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естр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Инструкция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rlito"/>
      <sz val="11"/>
    </font>
    <font>
      <name val="Times New Roman"/>
      <sz val="11"/>
    </font>
    <font>
      <name val="Times New Roman"/>
      <color rgb="FF000000"/>
      <sz val="11"/>
    </font>
    <font>
      <name val="Times New Roman"/>
      <b val="1"/>
      <color rgb="FF000000"/>
      <sz val="11"/>
    </font>
    <font>
      <name val="Carlito"/>
      <b val="1"/>
      <sz val="11"/>
    </font>
    <font>
      <name val="Carlito"/>
      <b val="1"/>
      <sz val="14"/>
    </font>
    <font>
      <name val="Times New Roman"/>
      <b val="1"/>
      <sz val="14"/>
    </font>
    <font>
      <name val="Times New Roman"/>
      <b val="1"/>
      <color rgb="FF000000"/>
      <sz val="14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164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44" customWidth="1" min="4" max="4"/>
    <col width="38" customWidth="1" min="5" max="5"/>
    <col width="24" customWidth="1" min="6" max="6"/>
    <col width="14" customWidth="1" min="7" max="7"/>
    <col width="16" customWidth="1" min="8" max="8"/>
    <col width="16" customWidth="1" min="9" max="9"/>
    <col width="38" customWidth="1" min="10" max="10"/>
    <col width="18" customWidth="1" min="11" max="11"/>
    <col width="34" customWidth="1" min="12" max="12"/>
    <col width="24" customWidth="1" min="13" max="13"/>
  </cols>
  <sheetData>
    <row r="1" ht="36" customHeight="1">
      <c r="A1" s="8" t="inlineStr">
        <is>
          <t>N</t>
        </is>
      </c>
      <c r="B1" s="8" t="inlineStr">
        <is>
          <t>Блок проекта</t>
        </is>
      </c>
      <c r="C1" s="8" t="inlineStr">
        <is>
          <t>Тип</t>
        </is>
      </c>
      <c r="D1" s="8" t="inlineStr">
        <is>
          <t>Вопрос или зависимость</t>
        </is>
      </c>
      <c r="E1" s="8" t="inlineStr">
        <is>
          <t>Почему влияет на оценку</t>
        </is>
      </c>
      <c r="F1" s="8" t="inlineStr">
        <is>
          <t>Кому адресовать</t>
        </is>
      </c>
      <c r="G1" s="8" t="inlineStr">
        <is>
          <t>Приоритет</t>
        </is>
      </c>
      <c r="H1" s="8" t="inlineStr">
        <is>
          <t>Срок ответа</t>
        </is>
      </c>
      <c r="I1" s="8" t="inlineStr">
        <is>
          <t>Статус</t>
        </is>
      </c>
      <c r="J1" s="8" t="inlineStr">
        <is>
          <t>Решение или ответ</t>
        </is>
      </c>
      <c r="K1" s="8" t="inlineStr">
        <is>
          <t>Влияние на оценку, чел.-дн.</t>
        </is>
      </c>
      <c r="L1" s="8" t="inlineStr">
        <is>
          <t>Комментарий РП</t>
        </is>
      </c>
      <c r="M1" s="8" t="inlineStr">
        <is>
          <t>Источник</t>
        </is>
      </c>
    </row>
    <row r="2" ht="70" customHeight="1">
      <c r="A2" s="5" t="n">
        <v>1</v>
      </c>
      <c r="B2" s="5" t="inlineStr">
        <is>
          <t>Границы проекта</t>
        </is>
      </c>
      <c r="C2" s="5" t="inlineStr">
        <is>
          <t>Решение</t>
        </is>
      </c>
      <c r="D2" s="5" t="inlineStr">
        <is>
          <t>Подтвердить, что команда АС оценивает только свой контур: интерфейсы, карточки, статусы, журналы, отчеты, подготовку данных и интеграции.</t>
        </is>
      </c>
      <c r="E2" s="5" t="inlineStr">
        <is>
          <t>Без этого в оценку могут попасть работы смежной команды, ИВИС или ФГИС ПГС.</t>
        </is>
      </c>
      <c r="F2" s="5" t="inlineStr">
        <is>
          <t>Заказчик / РП</t>
        </is>
      </c>
      <c r="G2" s="5" t="inlineStr">
        <is>
          <t>Критичный</t>
        </is>
      </c>
      <c r="H2" s="17" t="str"/>
      <c r="I2" s="5" t="inlineStr">
        <is>
          <t>Открыт</t>
        </is>
      </c>
      <c r="J2" s="5" t="str"/>
      <c r="K2" s="18" t="str"/>
      <c r="L2" s="5" t="str"/>
      <c r="M2" s="5" t="inlineStr">
        <is>
          <t>Устав, материал оценки</t>
        </is>
      </c>
    </row>
    <row r="3" ht="70" customHeight="1">
      <c r="A3" s="5" t="n">
        <v>2</v>
      </c>
      <c r="B3" s="5" t="inlineStr">
        <is>
          <t>Границы проекта</t>
        </is>
      </c>
      <c r="C3" s="5" t="inlineStr">
        <is>
          <t>Решение</t>
        </is>
      </c>
      <c r="D3" s="5" t="inlineStr">
        <is>
          <t>Подтвердить перечень работ, которые не входят в оценку АС: ИИ-модели, сервис доказательной базы, НДС, инфраструктура ИВИС, доработка ФГИС ПГС.</t>
        </is>
      </c>
      <c r="E3" s="5" t="inlineStr">
        <is>
          <t>Определяет объем оценки и исключает двойной учет работ.</t>
        </is>
      </c>
      <c r="F3" s="5" t="inlineStr">
        <is>
          <t>Заказчик / РП / смежная команда</t>
        </is>
      </c>
      <c r="G3" s="5" t="inlineStr">
        <is>
          <t>Критичный</t>
        </is>
      </c>
      <c r="H3" s="17" t="str"/>
      <c r="I3" s="5" t="inlineStr">
        <is>
          <t>Открыт</t>
        </is>
      </c>
      <c r="J3" s="5" t="str"/>
      <c r="K3" s="18" t="str"/>
      <c r="L3" s="5" t="str"/>
      <c r="M3" s="5" t="inlineStr">
        <is>
          <t>Устав, материал оценки</t>
        </is>
      </c>
    </row>
    <row r="4" ht="70" customHeight="1">
      <c r="A4" s="5" t="n">
        <v>3</v>
      </c>
      <c r="B4" s="5" t="inlineStr">
        <is>
          <t>Категорирование</t>
        </is>
      </c>
      <c r="C4" s="5" t="inlineStr">
        <is>
          <t>Решение</t>
        </is>
      </c>
      <c r="D4" s="5" t="inlineStr">
        <is>
          <t>Подтвердить, используется ли типовой процесс категорирования во ФГИС ПГС как базовый вариант.</t>
        </is>
      </c>
      <c r="E4" s="5" t="inlineStr">
        <is>
          <t>Если расчет выполняется во ФГИС ПГС, АС оценивает подготовку данных и интеграцию. Если нет, объем АС существенно растет.</t>
        </is>
      </c>
      <c r="F4" s="5" t="inlineStr">
        <is>
          <t>Заказчик / ФГИС ПГС / РП</t>
        </is>
      </c>
      <c r="G4" s="5" t="inlineStr">
        <is>
          <t>Критичный</t>
        </is>
      </c>
      <c r="H4" s="17" t="str"/>
      <c r="I4" s="5" t="inlineStr">
        <is>
          <t>Открыт</t>
        </is>
      </c>
      <c r="J4" s="5" t="str"/>
      <c r="K4" s="18" t="str"/>
      <c r="L4" s="5" t="str"/>
      <c r="M4" s="5" t="inlineStr">
        <is>
          <t>ТЗ, транскрипции, устав</t>
        </is>
      </c>
    </row>
    <row r="5" ht="70" customHeight="1">
      <c r="A5" s="5" t="n">
        <v>4</v>
      </c>
      <c r="B5" s="5" t="inlineStr">
        <is>
          <t>Категорирование</t>
        </is>
      </c>
      <c r="C5" s="5" t="inlineStr">
        <is>
          <t>Вопрос</t>
        </is>
      </c>
      <c r="D5" s="5" t="inlineStr">
        <is>
          <t>Какая часть работы по категорированию остается в АС: подготовка данных, отображение результата, ручная проверка факторов, расчетная логика?</t>
        </is>
      </c>
      <c r="E5" s="5" t="inlineStr">
        <is>
          <t>Меняет трудоемкость UI, backend, хранения расчетов и тестирования.</t>
        </is>
      </c>
      <c r="F5" s="5" t="inlineStr">
        <is>
          <t>Заказчик / команда АС</t>
        </is>
      </c>
      <c r="G5" s="5" t="inlineStr">
        <is>
          <t>Критичный</t>
        </is>
      </c>
      <c r="H5" s="17" t="str"/>
      <c r="I5" s="5" t="inlineStr">
        <is>
          <t>Открыт</t>
        </is>
      </c>
      <c r="J5" s="5" t="str"/>
      <c r="K5" s="18" t="str"/>
      <c r="L5" s="5" t="str"/>
      <c r="M5" s="5" t="inlineStr">
        <is>
          <t>ТЗ, материал оценки</t>
        </is>
      </c>
    </row>
    <row r="6" ht="70" customHeight="1">
      <c r="A6" s="5" t="n">
        <v>5</v>
      </c>
      <c r="B6" s="5" t="inlineStr">
        <is>
          <t>Категорирование</t>
        </is>
      </c>
      <c r="C6" s="5" t="inlineStr">
        <is>
          <t>Вопрос</t>
        </is>
      </c>
      <c r="D6" s="5" t="inlineStr">
        <is>
          <t>Нужен ли в АС собственный UI для подтверждения расчета категории риска или достаточно отображения результата и статуса?</t>
        </is>
      </c>
      <c r="E6" s="5" t="inlineStr">
        <is>
          <t>Определяет состав экранов, прав, статусов, журнала и проверок.</t>
        </is>
      </c>
      <c r="F6" s="5" t="inlineStr">
        <is>
          <t>Заказчик / команда АС</t>
        </is>
      </c>
      <c r="G6" s="5" t="inlineStr">
        <is>
          <t>Высокий</t>
        </is>
      </c>
      <c r="H6" s="17" t="str"/>
      <c r="I6" s="5" t="inlineStr">
        <is>
          <t>Открыт</t>
        </is>
      </c>
      <c r="J6" s="5" t="str"/>
      <c r="K6" s="18" t="str"/>
      <c r="L6" s="5" t="str"/>
      <c r="M6" s="5" t="inlineStr">
        <is>
          <t>ТЗ, макет, транскрипции</t>
        </is>
      </c>
    </row>
    <row r="7" ht="70" customHeight="1">
      <c r="A7" s="5" t="n">
        <v>6</v>
      </c>
      <c r="B7" s="5" t="inlineStr">
        <is>
          <t>Категорирование</t>
        </is>
      </c>
      <c r="C7" s="5" t="inlineStr">
        <is>
          <t>Вопрос</t>
        </is>
      </c>
      <c r="D7" s="5" t="inlineStr">
        <is>
          <t>Какие факторы категории риска должны отображаться инспектору и какие из них допускают ручное уточнение?</t>
        </is>
      </c>
      <c r="E7" s="5" t="inlineStr">
        <is>
          <t>Определяет модель данных, UI факторов, историю изменений и валидации.</t>
        </is>
      </c>
      <c r="F7" s="5" t="inlineStr">
        <is>
          <t>Заказчик / ФГИС ПГС</t>
        </is>
      </c>
      <c r="G7" s="5" t="inlineStr">
        <is>
          <t>Высокий</t>
        </is>
      </c>
      <c r="H7" s="17" t="str"/>
      <c r="I7" s="5" t="inlineStr">
        <is>
          <t>Открыт</t>
        </is>
      </c>
      <c r="J7" s="5" t="str"/>
      <c r="K7" s="18" t="str"/>
      <c r="L7" s="5" t="str"/>
      <c r="M7" s="5" t="inlineStr">
        <is>
          <t>ТЗ, материалы по категориям риска</t>
        </is>
      </c>
    </row>
    <row r="8" ht="70" customHeight="1">
      <c r="A8" s="5" t="n">
        <v>7</v>
      </c>
      <c r="B8" s="5" t="inlineStr">
        <is>
          <t>Категорирование</t>
        </is>
      </c>
      <c r="C8" s="5" t="inlineStr">
        <is>
          <t>Вопрос</t>
        </is>
      </c>
      <c r="D8" s="5" t="inlineStr">
        <is>
          <t>Нужно ли хранить в АС версии расчетов категории риска и историю подтверждения или возврата на уточнение?</t>
        </is>
      </c>
      <c r="E8" s="5" t="inlineStr">
        <is>
          <t>Влияет на хранение, аудит, отчеты и сложность карточки.</t>
        </is>
      </c>
      <c r="F8" s="5" t="inlineStr">
        <is>
          <t>Заказчик / команда АС</t>
        </is>
      </c>
      <c r="G8" s="5" t="inlineStr">
        <is>
          <t>Высокий</t>
        </is>
      </c>
      <c r="H8" s="17" t="str"/>
      <c r="I8" s="5" t="inlineStr">
        <is>
          <t>Открыт</t>
        </is>
      </c>
      <c r="J8" s="5" t="str"/>
      <c r="K8" s="18" t="str"/>
      <c r="L8" s="5" t="str"/>
      <c r="M8" s="5" t="inlineStr">
        <is>
          <t>ТЗ, материал оценки</t>
        </is>
      </c>
    </row>
    <row r="9" ht="70" customHeight="1">
      <c r="A9" s="5" t="n">
        <v>8</v>
      </c>
      <c r="B9" s="5" t="inlineStr">
        <is>
          <t>Категорирование</t>
        </is>
      </c>
      <c r="C9" s="5" t="inlineStr">
        <is>
          <t>Зависимость</t>
        </is>
      </c>
      <c r="D9" s="5" t="inlineStr">
        <is>
          <t>Нужен алгоритм или описание правил расчета категории риска, если часть расчета должна выполняться в АС.</t>
        </is>
      </c>
      <c r="E9" s="5" t="inlineStr">
        <is>
          <t>Без алгоритма нельзя оценить расчетную логику и тестирование.</t>
        </is>
      </c>
      <c r="F9" s="5" t="inlineStr">
        <is>
          <t>Заказчик / ФГИС ПГС</t>
        </is>
      </c>
      <c r="G9" s="5" t="inlineStr">
        <is>
          <t>Критичный</t>
        </is>
      </c>
      <c r="H9" s="17" t="str"/>
      <c r="I9" s="5" t="inlineStr">
        <is>
          <t>Открыт</t>
        </is>
      </c>
      <c r="J9" s="5" t="str"/>
      <c r="K9" s="18" t="str"/>
      <c r="L9" s="5" t="str"/>
      <c r="M9" s="5" t="inlineStr">
        <is>
          <t>ТЗ, постановления, транскрипции</t>
        </is>
      </c>
    </row>
    <row r="10" ht="70" customHeight="1">
      <c r="A10" s="5" t="n">
        <v>9</v>
      </c>
      <c r="B10" s="5" t="inlineStr">
        <is>
          <t>ЕРВК</t>
        </is>
      </c>
      <c r="C10" s="5" t="inlineStr">
        <is>
          <t>Решение</t>
        </is>
      </c>
      <c r="D10" s="5" t="inlineStr">
        <is>
          <t>Подтвердить, какие сценарии ЕРВК входят в объем АС: получение информации из реестра, внесение информации в реестр или оба сценария.</t>
        </is>
      </c>
      <c r="E10" s="5" t="inlineStr">
        <is>
          <t>Есть актуальные руководства, XSD и эталонные XML по ControlObjectsList 1.0.6 и AddControlObjects 1.0.5. Нужно решить, какие сценарии используются в проекте.</t>
        </is>
      </c>
      <c r="F10" s="5" t="inlineStr">
        <is>
          <t>Заказчик / РП / ИВИС</t>
        </is>
      </c>
      <c r="G10" s="5" t="inlineStr">
        <is>
          <t>Критичный</t>
        </is>
      </c>
      <c r="H10" s="17" t="str"/>
      <c r="I10" s="5" t="inlineStr">
        <is>
          <t>Открыт</t>
        </is>
      </c>
      <c r="J10" s="5" t="str"/>
      <c r="K10" s="18" t="str"/>
      <c r="L10" s="5" t="str"/>
      <c r="M10" s="5" t="inlineStr">
        <is>
          <t>СМЭВ материалы, разбор ЕРВК</t>
        </is>
      </c>
    </row>
    <row r="11" ht="70" customHeight="1">
      <c r="A11" s="5" t="n">
        <v>10</v>
      </c>
      <c r="B11" s="5" t="inlineStr">
        <is>
          <t>ЕРВК</t>
        </is>
      </c>
      <c r="C11" s="5" t="inlineStr">
        <is>
          <t>Вопрос</t>
        </is>
      </c>
      <c r="D11" s="5" t="inlineStr">
        <is>
          <t>Если используется внесение информации в ЕРВК, какие действия нужны: ADD, EDIT, DELETE или только часть из них?</t>
        </is>
      </c>
      <c r="E11" s="5" t="inlineStr">
        <is>
          <t>Каждое действие меняет правила подготовки XML, проверки данных, обработки ошибок и тестирования.</t>
        </is>
      </c>
      <c r="F11" s="5" t="inlineStr">
        <is>
          <t>Заказчик / ФГИС ПГС / ИВИС</t>
        </is>
      </c>
      <c r="G11" s="5" t="inlineStr">
        <is>
          <t>Высокий</t>
        </is>
      </c>
      <c r="H11" s="17" t="str"/>
      <c r="I11" s="5" t="inlineStr">
        <is>
          <t>Открыт</t>
        </is>
      </c>
      <c r="J11" s="5" t="str"/>
      <c r="K11" s="18" t="str"/>
      <c r="L11" s="5" t="str"/>
      <c r="M11" s="5" t="inlineStr">
        <is>
          <t>XSD AddControlObjects</t>
        </is>
      </c>
    </row>
    <row r="12" ht="70" customHeight="1">
      <c r="A12" s="5" t="n">
        <v>11</v>
      </c>
      <c r="B12" s="5" t="inlineStr">
        <is>
          <t>ЕРВК</t>
        </is>
      </c>
      <c r="C12" s="5" t="inlineStr">
        <is>
          <t>Вопрос</t>
        </is>
      </c>
      <c r="D12" s="5" t="inlineStr">
        <is>
          <t>Какие идентификаторы ЕРВК должна хранить АС: externalId, cosId, cosVersion, registryEntryId, controlObjectInfo.id?</t>
        </is>
      </c>
      <c r="E12" s="5" t="inlineStr">
        <is>
          <t>От этого зависит модель данных, связь карточки с объектом контроля и последующая сверка статусов.</t>
        </is>
      </c>
      <c r="F12" s="5" t="inlineStr">
        <is>
          <t>Команда АС / ИВИС / ФГИС ПГС</t>
        </is>
      </c>
      <c r="G12" s="5" t="inlineStr">
        <is>
          <t>Высокий</t>
        </is>
      </c>
      <c r="H12" s="17" t="str"/>
      <c r="I12" s="5" t="inlineStr">
        <is>
          <t>Открыт</t>
        </is>
      </c>
      <c r="J12" s="5" t="str"/>
      <c r="K12" s="18" t="str"/>
      <c r="L12" s="5" t="str"/>
      <c r="M12" s="5" t="inlineStr">
        <is>
          <t>XSD ControlObjectsList, XSD AddControlObjects</t>
        </is>
      </c>
    </row>
    <row r="13" ht="70" customHeight="1">
      <c r="A13" s="5" t="n">
        <v>12</v>
      </c>
      <c r="B13" s="5" t="inlineStr">
        <is>
          <t>ЕРВК</t>
        </is>
      </c>
      <c r="C13" s="5" t="inlineStr">
        <is>
          <t>Вопрос</t>
        </is>
      </c>
      <c r="D13" s="5" t="inlineStr">
        <is>
          <t>Кто отвечает за сопоставление полей объекта контроля с XML ЕРВК: команда АС, ИВИС или ФГИС ПГС?</t>
        </is>
      </c>
      <c r="E13" s="5" t="inlineStr">
        <is>
          <t>Если маппинг выполняет АС, объем работ включает подготовку структуры, обязательные поля, справочники и проверки.</t>
        </is>
      </c>
      <c r="F13" s="5" t="inlineStr">
        <is>
          <t>РП / ИВИС / команда АС</t>
        </is>
      </c>
      <c r="G13" s="5" t="inlineStr">
        <is>
          <t>Критичный</t>
        </is>
      </c>
      <c r="H13" s="17" t="str"/>
      <c r="I13" s="5" t="inlineStr">
        <is>
          <t>Открыт</t>
        </is>
      </c>
      <c r="J13" s="5" t="str"/>
      <c r="K13" s="18" t="str"/>
      <c r="L13" s="5" t="str"/>
      <c r="M13" s="5" t="inlineStr">
        <is>
          <t>СМЭВ материалы</t>
        </is>
      </c>
    </row>
    <row r="14" ht="70" customHeight="1">
      <c r="A14" s="5" t="n">
        <v>13</v>
      </c>
      <c r="B14" s="5" t="inlineStr">
        <is>
          <t>ИВИС и СМЭВ</t>
        </is>
      </c>
      <c r="C14" s="5" t="inlineStr">
        <is>
          <t>Зависимость</t>
        </is>
      </c>
      <c r="D14" s="5" t="inlineStr">
        <is>
          <t>Проверить достаточность эталонных XML по ControlObjectsList 1.0.6 и AddControlObjects 1.0.5 для нужных сценариев и запросить дополнительные примеры при необходимости.</t>
        </is>
      </c>
      <c r="E14" s="5" t="inlineStr">
        <is>
          <t>Эталоны XML теперь есть. Остается риск, что они покрывают только базовые сценарии, поэтому для интеграционного тестирования могут потребоваться дополнительные примеры и правила ошибок.</t>
        </is>
      </c>
      <c r="F14" s="5" t="inlineStr">
        <is>
          <t>ИВИС / заказчик</t>
        </is>
      </c>
      <c r="G14" s="5" t="inlineStr">
        <is>
          <t>Критичный</t>
        </is>
      </c>
      <c r="H14" s="17" t="str"/>
      <c r="I14" s="5" t="inlineStr">
        <is>
          <t>Открыт</t>
        </is>
      </c>
      <c r="J14" s="5" t="str"/>
      <c r="K14" s="18" t="str"/>
      <c r="L14" s="5" t="str"/>
      <c r="M14" s="5" t="inlineStr">
        <is>
          <t>СМЭВ материалы</t>
        </is>
      </c>
    </row>
    <row r="15" ht="70" customHeight="1">
      <c r="A15" s="5" t="n">
        <v>14</v>
      </c>
      <c r="B15" s="5" t="inlineStr">
        <is>
          <t>ИВИС и СМЭВ</t>
        </is>
      </c>
      <c r="C15" s="5" t="inlineStr">
        <is>
          <t>Вопрос</t>
        </is>
      </c>
      <c r="D15" s="5" t="inlineStr">
        <is>
          <t>Какие варианты ответов нужно обработать в АС по получению сведений ЕРВК: successMessage, successAttachment, error, paging?</t>
        </is>
      </c>
      <c r="E15" s="5" t="inlineStr">
        <is>
          <t>Влияет на обработку больших ответов, вложений, постраничности, ошибок и пользовательских сообщений.</t>
        </is>
      </c>
      <c r="F15" s="5" t="inlineStr">
        <is>
          <t>ИВИС / команда АС</t>
        </is>
      </c>
      <c r="G15" s="5" t="inlineStr">
        <is>
          <t>Высокий</t>
        </is>
      </c>
      <c r="H15" s="17" t="str"/>
      <c r="I15" s="5" t="inlineStr">
        <is>
          <t>Открыт</t>
        </is>
      </c>
      <c r="J15" s="5" t="str"/>
      <c r="K15" s="18" t="str"/>
      <c r="L15" s="5" t="str"/>
      <c r="M15" s="5" t="inlineStr">
        <is>
          <t>XSD ControlObjectsList</t>
        </is>
      </c>
    </row>
    <row r="16" ht="70" customHeight="1">
      <c r="A16" s="5" t="n">
        <v>15</v>
      </c>
      <c r="B16" s="5" t="inlineStr">
        <is>
          <t>ИВИС и СМЭВ</t>
        </is>
      </c>
      <c r="C16" s="5" t="inlineStr">
        <is>
          <t>Вопрос</t>
        </is>
      </c>
      <c r="D16" s="5" t="inlineStr">
        <is>
          <t>Какие статусы обмена ИВИС возвращает в АС и какие из них нужно показывать пользователю?</t>
        </is>
      </c>
      <c r="E16" s="5" t="inlineStr">
        <is>
          <t>Влияет на статусы карточек, журнал, отчеты и сценарии повторной отправки.</t>
        </is>
      </c>
      <c r="F16" s="5" t="inlineStr">
        <is>
          <t>ИВИС / команда АС</t>
        </is>
      </c>
      <c r="G16" s="5" t="inlineStr">
        <is>
          <t>Высокий</t>
        </is>
      </c>
      <c r="H16" s="17" t="str"/>
      <c r="I16" s="5" t="inlineStr">
        <is>
          <t>Открыт</t>
        </is>
      </c>
      <c r="J16" s="5" t="str"/>
      <c r="K16" s="18" t="str"/>
      <c r="L16" s="5" t="str"/>
      <c r="M16" s="5" t="inlineStr">
        <is>
          <t>ТЗ, материал оценки</t>
        </is>
      </c>
    </row>
    <row r="17" ht="70" customHeight="1">
      <c r="A17" s="5" t="n">
        <v>16</v>
      </c>
      <c r="B17" s="5" t="inlineStr">
        <is>
          <t>ИВИС и СМЭВ</t>
        </is>
      </c>
      <c r="C17" s="5" t="inlineStr">
        <is>
          <t>Вопрос</t>
        </is>
      </c>
      <c r="D17" s="5" t="inlineStr">
        <is>
          <t>Нужна ли повторная отправка сообщений и какие правила повторной отправки применяются?</t>
        </is>
      </c>
      <c r="E17" s="5" t="inlineStr">
        <is>
          <t>Меняет backend-логику, очередь, журналирование и UI ошибок.</t>
        </is>
      </c>
      <c r="F17" s="5" t="inlineStr">
        <is>
          <t>ИВИС / заказчик</t>
        </is>
      </c>
      <c r="G17" s="5" t="inlineStr">
        <is>
          <t>Высокий</t>
        </is>
      </c>
      <c r="H17" s="17" t="str"/>
      <c r="I17" s="5" t="inlineStr">
        <is>
          <t>Открыт</t>
        </is>
      </c>
      <c r="J17" s="5" t="str"/>
      <c r="K17" s="18" t="str"/>
      <c r="L17" s="5" t="str"/>
      <c r="M17" s="5" t="inlineStr">
        <is>
          <t>Материал оценки</t>
        </is>
      </c>
    </row>
    <row r="18" ht="70" customHeight="1">
      <c r="A18" s="5" t="n">
        <v>17</v>
      </c>
      <c r="B18" s="5" t="inlineStr">
        <is>
          <t>ИВИС и СМЭВ</t>
        </is>
      </c>
      <c r="C18" s="5" t="inlineStr">
        <is>
          <t>Вопрос</t>
        </is>
      </c>
      <c r="D18" s="5" t="inlineStr">
        <is>
          <t>Нужно ли хранить исходящие и входящие сообщения полностью или достаточно ссылок, статусов и метаданных?</t>
        </is>
      </c>
      <c r="E18" s="5" t="inlineStr">
        <is>
          <t>Влияет на хранение, ИБ, аудит и эксплуатационные требования.</t>
        </is>
      </c>
      <c r="F18" s="5" t="inlineStr">
        <is>
          <t>Заказчик / ИБ / ИВИС</t>
        </is>
      </c>
      <c r="G18" s="5" t="inlineStr">
        <is>
          <t>Высокий</t>
        </is>
      </c>
      <c r="H18" s="17" t="str"/>
      <c r="I18" s="5" t="inlineStr">
        <is>
          <t>Открыт</t>
        </is>
      </c>
      <c r="J18" s="5" t="str"/>
      <c r="K18" s="18" t="str"/>
      <c r="L18" s="5" t="str"/>
      <c r="M18" s="5" t="inlineStr">
        <is>
          <t>ТЗ, устав</t>
        </is>
      </c>
    </row>
    <row r="19" ht="70" customHeight="1">
      <c r="A19" s="5" t="n">
        <v>18</v>
      </c>
      <c r="B19" s="5" t="inlineStr">
        <is>
          <t>ИВИС и СМЭВ</t>
        </is>
      </c>
      <c r="C19" s="5" t="inlineStr">
        <is>
          <t>Вопрос</t>
        </is>
      </c>
      <c r="D19" s="5" t="inlineStr">
        <is>
          <t>Какие ошибки ИВИС и СМЭВ должны быть понятны инспектору, а какие остаются техническими?</t>
        </is>
      </c>
      <c r="E19" s="5" t="inlineStr">
        <is>
          <t>Определяет интерфейс, справочник ошибок, поддержку и сценарии обработки.</t>
        </is>
      </c>
      <c r="F19" s="5" t="inlineStr">
        <is>
          <t>ИВИС / заказчик / команда АС</t>
        </is>
      </c>
      <c r="G19" s="5" t="inlineStr">
        <is>
          <t>Средний</t>
        </is>
      </c>
      <c r="H19" s="17" t="str"/>
      <c r="I19" s="5" t="inlineStr">
        <is>
          <t>Открыт</t>
        </is>
      </c>
      <c r="J19" s="5" t="str"/>
      <c r="K19" s="18" t="str"/>
      <c r="L19" s="5" t="str"/>
      <c r="M19" s="5" t="inlineStr">
        <is>
          <t>Материал оценки</t>
        </is>
      </c>
    </row>
    <row r="20" ht="70" customHeight="1">
      <c r="A20" s="5" t="n">
        <v>19</v>
      </c>
      <c r="B20" s="5" t="inlineStr">
        <is>
          <t>Сервис доказательной базы</t>
        </is>
      </c>
      <c r="C20" s="5" t="inlineStr">
        <is>
          <t>Зависимость</t>
        </is>
      </c>
      <c r="D20" s="5" t="inlineStr">
        <is>
          <t>Получить правила работы с сервисом доказательной базы: что АС передает, что сервис возвращает, какие статусы и ошибки возможны.</t>
        </is>
      </c>
      <c r="E20" s="5" t="inlineStr">
        <is>
          <t>Без этого нельзя точно оценить интеграцию, UI материалов и обработку ошибок.</t>
        </is>
      </c>
      <c r="F20" s="5" t="inlineStr">
        <is>
          <t>Смежная команда</t>
        </is>
      </c>
      <c r="G20" s="5" t="inlineStr">
        <is>
          <t>Критичный</t>
        </is>
      </c>
      <c r="H20" s="17" t="str"/>
      <c r="I20" s="5" t="inlineStr">
        <is>
          <t>Открыт</t>
        </is>
      </c>
      <c r="J20" s="5" t="str"/>
      <c r="K20" s="18" t="str"/>
      <c r="L20" s="5" t="str"/>
      <c r="M20" s="5" t="inlineStr">
        <is>
          <t>Комментарии, устав, материал оценки</t>
        </is>
      </c>
    </row>
    <row r="21" ht="70" customHeight="1">
      <c r="A21" s="5" t="n">
        <v>20</v>
      </c>
      <c r="B21" s="5" t="inlineStr">
        <is>
          <t>Сервис доказательной базы</t>
        </is>
      </c>
      <c r="C21" s="5" t="inlineStr">
        <is>
          <t>Вопрос</t>
        </is>
      </c>
      <c r="D21" s="5" t="inlineStr">
        <is>
          <t>Где хранятся файлы доказательной базы: в сервисе, в АС или в отдельном хранилище?</t>
        </is>
      </c>
      <c r="E21" s="5" t="inlineStr">
        <is>
          <t>Влияет на хранение, ИБ, ссылки, права доступа, резервирование и объем разработки.</t>
        </is>
      </c>
      <c r="F21" s="5" t="inlineStr">
        <is>
          <t>Смежная команда / ИБ / заказчик</t>
        </is>
      </c>
      <c r="G21" s="5" t="inlineStr">
        <is>
          <t>Высокий</t>
        </is>
      </c>
      <c r="H21" s="17" t="str"/>
      <c r="I21" s="5" t="inlineStr">
        <is>
          <t>Открыт</t>
        </is>
      </c>
      <c r="J21" s="5" t="str"/>
      <c r="K21" s="18" t="str"/>
      <c r="L21" s="5" t="str"/>
      <c r="M21" s="5" t="inlineStr">
        <is>
          <t>ТЗ, комментарии</t>
        </is>
      </c>
    </row>
    <row r="22" ht="70" customHeight="1">
      <c r="A22" s="5" t="n">
        <v>21</v>
      </c>
      <c r="B22" s="5" t="inlineStr">
        <is>
          <t>Сервис доказательной базы</t>
        </is>
      </c>
      <c r="C22" s="5" t="inlineStr">
        <is>
          <t>Вопрос</t>
        </is>
      </c>
      <c r="D22" s="5" t="inlineStr">
        <is>
          <t>Какие типы материалов должны поддерживаться: скриншоты, выгрузки, письма, акты, PDF, структурированные данные?</t>
        </is>
      </c>
      <c r="E22" s="5" t="inlineStr">
        <is>
          <t>Определяет UI, загрузку, просмотр, ограничения размера и хранение метаданных.</t>
        </is>
      </c>
      <c r="F22" s="5" t="inlineStr">
        <is>
          <t>Заказчик / смежная команда</t>
        </is>
      </c>
      <c r="G22" s="5" t="inlineStr">
        <is>
          <t>Средний</t>
        </is>
      </c>
      <c r="H22" s="17" t="str"/>
      <c r="I22" s="5" t="inlineStr">
        <is>
          <t>Открыт</t>
        </is>
      </c>
      <c r="J22" s="5" t="str"/>
      <c r="K22" s="18" t="str"/>
      <c r="L22" s="5" t="str"/>
      <c r="M22" s="5" t="inlineStr">
        <is>
          <t>ТЗ, макет</t>
        </is>
      </c>
    </row>
    <row r="23" ht="70" customHeight="1">
      <c r="A23" s="5" t="n">
        <v>22</v>
      </c>
      <c r="B23" s="5" t="inlineStr">
        <is>
          <t>Сервис доказательной базы</t>
        </is>
      </c>
      <c r="C23" s="5" t="inlineStr">
        <is>
          <t>Вопрос</t>
        </is>
      </c>
      <c r="D23" s="5" t="inlineStr">
        <is>
          <t>Нужно ли прикрепление материалов вручную из АС или только выбор материалов, полученных из сервиса?</t>
        </is>
      </c>
      <c r="E23" s="5" t="inlineStr">
        <is>
          <t>Влияет на форму протокола, права, хранение файлов и аудит действий.</t>
        </is>
      </c>
      <c r="F23" s="5" t="inlineStr">
        <is>
          <t>Заказчик / команда АС</t>
        </is>
      </c>
      <c r="G23" s="5" t="inlineStr">
        <is>
          <t>Средний</t>
        </is>
      </c>
      <c r="H23" s="17" t="str"/>
      <c r="I23" s="5" t="inlineStr">
        <is>
          <t>Открыт</t>
        </is>
      </c>
      <c r="J23" s="5" t="str"/>
      <c r="K23" s="18" t="str"/>
      <c r="L23" s="5" t="str"/>
      <c r="M23" s="5" t="inlineStr">
        <is>
          <t>Макет, материал оценки</t>
        </is>
      </c>
    </row>
    <row r="24" ht="70" customHeight="1">
      <c r="A24" s="5" t="n">
        <v>23</v>
      </c>
      <c r="B24" s="5" t="inlineStr">
        <is>
          <t>ИИ-модели</t>
        </is>
      </c>
      <c r="C24" s="5" t="inlineStr">
        <is>
          <t>Зависимость</t>
        </is>
      </c>
      <c r="D24" s="5" t="inlineStr">
        <is>
          <t>Получить формат результата ИИ-моделей: структура данных, идентификаторы, уровень уверенности, пояснения, связи с объектами и операциями.</t>
        </is>
      </c>
      <c r="E24" s="5" t="inlineStr">
        <is>
          <t>Определяет модель данных, карточку, UI проверки и журнал.</t>
        </is>
      </c>
      <c r="F24" s="5" t="inlineStr">
        <is>
          <t>Смежная команда</t>
        </is>
      </c>
      <c r="G24" s="5" t="inlineStr">
        <is>
          <t>Критичный</t>
        </is>
      </c>
      <c r="H24" s="17" t="str"/>
      <c r="I24" s="5" t="inlineStr">
        <is>
          <t>Открыт</t>
        </is>
      </c>
      <c r="J24" s="5" t="str"/>
      <c r="K24" s="18" t="str"/>
      <c r="L24" s="5" t="str"/>
      <c r="M24" s="5" t="inlineStr">
        <is>
          <t>ТЗ, транскрипции</t>
        </is>
      </c>
    </row>
    <row r="25" ht="70" customHeight="1">
      <c r="A25" s="5" t="n">
        <v>24</v>
      </c>
      <c r="B25" s="5" t="inlineStr">
        <is>
          <t>ИИ-модели</t>
        </is>
      </c>
      <c r="C25" s="5" t="inlineStr">
        <is>
          <t>Вопрос</t>
        </is>
      </c>
      <c r="D25" s="5" t="inlineStr">
        <is>
          <t>Нужно ли инспектору видеть объяснение результата ИИ или только итоговый признак и связанные факты?</t>
        </is>
      </c>
      <c r="E25" s="5" t="inlineStr">
        <is>
          <t>Влияет на интерфейс, хранение пояснений и требования к прозрачности решений.</t>
        </is>
      </c>
      <c r="F25" s="5" t="inlineStr">
        <is>
          <t>Заказчик / смежная команда</t>
        </is>
      </c>
      <c r="G25" s="5" t="inlineStr">
        <is>
          <t>Высокий</t>
        </is>
      </c>
      <c r="H25" s="17" t="str"/>
      <c r="I25" s="5" t="inlineStr">
        <is>
          <t>Открыт</t>
        </is>
      </c>
      <c r="J25" s="5" t="str"/>
      <c r="K25" s="18" t="str"/>
      <c r="L25" s="5" t="str"/>
      <c r="M25" s="5" t="inlineStr">
        <is>
          <t>ТЗ, материал оценки</t>
        </is>
      </c>
    </row>
    <row r="26" ht="70" customHeight="1">
      <c r="A26" s="5" t="n">
        <v>25</v>
      </c>
      <c r="B26" s="5" t="inlineStr">
        <is>
          <t>ИИ-модели</t>
        </is>
      </c>
      <c r="C26" s="5" t="inlineStr">
        <is>
          <t>Вопрос</t>
        </is>
      </c>
      <c r="D26" s="5" t="inlineStr">
        <is>
          <t>Как обрабатываются повторные или изменившиеся результаты ИИ по одной карточке?</t>
        </is>
      </c>
      <c r="E26" s="5" t="inlineStr">
        <is>
          <t>Влияет на версии данных, статусы, историю и пересчет задач.</t>
        </is>
      </c>
      <c r="F26" s="5" t="inlineStr">
        <is>
          <t>Смежная команда / команда АС</t>
        </is>
      </c>
      <c r="G26" s="5" t="inlineStr">
        <is>
          <t>Средний</t>
        </is>
      </c>
      <c r="H26" s="17" t="str"/>
      <c r="I26" s="5" t="inlineStr">
        <is>
          <t>Открыт</t>
        </is>
      </c>
      <c r="J26" s="5" t="str"/>
      <c r="K26" s="18" t="str"/>
      <c r="L26" s="5" t="str"/>
      <c r="M26" s="5" t="inlineStr">
        <is>
          <t>Материал оценки</t>
        </is>
      </c>
    </row>
    <row r="27" ht="70" customHeight="1">
      <c r="A27" s="5" t="n">
        <v>26</v>
      </c>
      <c r="B27" s="5" t="inlineStr">
        <is>
          <t>НДС и объемы продукции</t>
        </is>
      </c>
      <c r="C27" s="5" t="inlineStr">
        <is>
          <t>Зависимость</t>
        </is>
      </c>
      <c r="D27" s="5" t="inlineStr">
        <is>
          <t>Получить состав данных НДС и расчетных результатов, которые должны использоваться в карточке и отчетах.</t>
        </is>
      </c>
      <c r="E27" s="5" t="inlineStr">
        <is>
          <t>Определяет интеграцию, отображение, связи с партиями и проверку отклонений.</t>
        </is>
      </c>
      <c r="F27" s="5" t="inlineStr">
        <is>
          <t>Смежная команда / заказчик</t>
        </is>
      </c>
      <c r="G27" s="5" t="inlineStr">
        <is>
          <t>Высокий</t>
        </is>
      </c>
      <c r="H27" s="17" t="str"/>
      <c r="I27" s="5" t="inlineStr">
        <is>
          <t>Открыт</t>
        </is>
      </c>
      <c r="J27" s="5" t="str"/>
      <c r="K27" s="18" t="str"/>
      <c r="L27" s="5" t="str"/>
      <c r="M27" s="5" t="inlineStr">
        <is>
          <t>ТЗ, материал оценки</t>
        </is>
      </c>
    </row>
    <row r="28" ht="70" customHeight="1">
      <c r="A28" s="5" t="n">
        <v>27</v>
      </c>
      <c r="B28" s="5" t="inlineStr">
        <is>
          <t>НДС и объемы продукции</t>
        </is>
      </c>
      <c r="C28" s="5" t="inlineStr">
        <is>
          <t>Вопрос</t>
        </is>
      </c>
      <c r="D28" s="5" t="inlineStr">
        <is>
          <t>Как часто обновляются расчетные данные НДС и нужны ли статусы актуальности данных?</t>
        </is>
      </c>
      <c r="E28" s="5" t="inlineStr">
        <is>
          <t>Влияет на кэширование, предупреждения пользователю и повторную обработку карточек.</t>
        </is>
      </c>
      <c r="F28" s="5" t="inlineStr">
        <is>
          <t>Смежная команда / команда АС</t>
        </is>
      </c>
      <c r="G28" s="5" t="inlineStr">
        <is>
          <t>Средний</t>
        </is>
      </c>
      <c r="H28" s="17" t="str"/>
      <c r="I28" s="5" t="inlineStr">
        <is>
          <t>Открыт</t>
        </is>
      </c>
      <c r="J28" s="5" t="str"/>
      <c r="K28" s="18" t="str"/>
      <c r="L28" s="5" t="str"/>
      <c r="M28" s="5" t="inlineStr">
        <is>
          <t>Материал оценки</t>
        </is>
      </c>
    </row>
    <row r="29" ht="70" customHeight="1">
      <c r="A29" s="5" t="n">
        <v>28</v>
      </c>
      <c r="B29" s="5" t="inlineStr">
        <is>
          <t>Цифровые индикаторы</t>
        </is>
      </c>
      <c r="C29" s="5" t="inlineStr">
        <is>
          <t>Вопрос</t>
        </is>
      </c>
      <c r="D29" s="5" t="inlineStr">
        <is>
          <t>Какой полный перечень цифровых индикаторов входит в первый этап и в полный объем ТЗ?</t>
        </is>
      </c>
      <c r="E29" s="5" t="inlineStr">
        <is>
          <t>Влияет на количество карточек, правил, источников, тестов и отчетов.</t>
        </is>
      </c>
      <c r="F29" s="5" t="inlineStr">
        <is>
          <t>Заказчик / команда АС</t>
        </is>
      </c>
      <c r="G29" s="5" t="inlineStr">
        <is>
          <t>Критичный</t>
        </is>
      </c>
      <c r="H29" s="17" t="str"/>
      <c r="I29" s="5" t="inlineStr">
        <is>
          <t>Открыт</t>
        </is>
      </c>
      <c r="J29" s="5" t="str"/>
      <c r="K29" s="18" t="str"/>
      <c r="L29" s="5" t="str"/>
      <c r="M29" s="5" t="inlineStr">
        <is>
          <t>ТЗ, устав</t>
        </is>
      </c>
    </row>
    <row r="30" ht="70" customHeight="1">
      <c r="A30" s="5" t="n">
        <v>29</v>
      </c>
      <c r="B30" s="5" t="inlineStr">
        <is>
          <t>Цифровые индикаторы</t>
        </is>
      </c>
      <c r="C30" s="5" t="inlineStr">
        <is>
          <t>Вопрос</t>
        </is>
      </c>
      <c r="D30" s="5" t="inlineStr">
        <is>
          <t>Какие данные считаются основанием срабатывания и какие поля обязательны для карточки?</t>
        </is>
      </c>
      <c r="E30" s="5" t="inlineStr">
        <is>
          <t>Определяет модель данных, UI карточки, валидации и протокол.</t>
        </is>
      </c>
      <c r="F30" s="5" t="inlineStr">
        <is>
          <t>Заказчик / команда АС</t>
        </is>
      </c>
      <c r="G30" s="5" t="inlineStr">
        <is>
          <t>Высокий</t>
        </is>
      </c>
      <c r="H30" s="17" t="str"/>
      <c r="I30" s="5" t="inlineStr">
        <is>
          <t>Открыт</t>
        </is>
      </c>
      <c r="J30" s="5" t="str"/>
      <c r="K30" s="18" t="str"/>
      <c r="L30" s="5" t="str"/>
      <c r="M30" s="5" t="inlineStr">
        <is>
          <t>ТЗ, макет</t>
        </is>
      </c>
    </row>
    <row r="31" ht="70" customHeight="1">
      <c r="A31" s="5" t="n">
        <v>30</v>
      </c>
      <c r="B31" s="5" t="inlineStr">
        <is>
          <t>Цифровые индикаторы</t>
        </is>
      </c>
      <c r="C31" s="5" t="inlineStr">
        <is>
          <t>Вопрос</t>
        </is>
      </c>
      <c r="D31" s="5" t="inlineStr">
        <is>
          <t>Нужен ли пересчет срабатывания после уточнения данных или решения инспектора?</t>
        </is>
      </c>
      <c r="E31" s="5" t="inlineStr">
        <is>
          <t>Влияет на бизнес-логику, статусы, журнал и запрет действий.</t>
        </is>
      </c>
      <c r="F31" s="5" t="inlineStr">
        <is>
          <t>Заказчик / команда АС</t>
        </is>
      </c>
      <c r="G31" s="5" t="inlineStr">
        <is>
          <t>Средний</t>
        </is>
      </c>
      <c r="H31" s="17" t="str"/>
      <c r="I31" s="5" t="inlineStr">
        <is>
          <t>Открыт</t>
        </is>
      </c>
      <c r="J31" s="5" t="str"/>
      <c r="K31" s="18" t="str"/>
      <c r="L31" s="5" t="str"/>
      <c r="M31" s="5" t="inlineStr">
        <is>
          <t>ТЗ, материал оценки</t>
        </is>
      </c>
    </row>
    <row r="32" ht="70" customHeight="1">
      <c r="A32" s="5" t="n">
        <v>31</v>
      </c>
      <c r="B32" s="5" t="inlineStr">
        <is>
          <t>Решение инспектора</t>
        </is>
      </c>
      <c r="C32" s="5" t="inlineStr">
        <is>
          <t>Вопрос</t>
        </is>
      </c>
      <c r="D32" s="5" t="inlineStr">
        <is>
          <t>Какой окончательный перечень решений инспектора должен поддерживаться?</t>
        </is>
      </c>
      <c r="E32" s="5" t="inlineStr">
        <is>
          <t>Определяет статусы, кнопки, форму протокола, последствия и отчеты.</t>
        </is>
      </c>
      <c r="F32" s="5" t="inlineStr">
        <is>
          <t>Заказчик</t>
        </is>
      </c>
      <c r="G32" s="5" t="inlineStr">
        <is>
          <t>Критичный</t>
        </is>
      </c>
      <c r="H32" s="17" t="str"/>
      <c r="I32" s="5" t="inlineStr">
        <is>
          <t>Открыт</t>
        </is>
      </c>
      <c r="J32" s="5" t="str"/>
      <c r="K32" s="18" t="str"/>
      <c r="L32" s="5" t="str"/>
      <c r="M32" s="5" t="inlineStr">
        <is>
          <t>Макет, ТЗ</t>
        </is>
      </c>
    </row>
    <row r="33" ht="70" customHeight="1">
      <c r="A33" s="5" t="n">
        <v>32</v>
      </c>
      <c r="B33" s="5" t="inlineStr">
        <is>
          <t>Решение инспектора</t>
        </is>
      </c>
      <c r="C33" s="5" t="inlineStr">
        <is>
          <t>Вопрос</t>
        </is>
      </c>
      <c r="D33" s="5" t="inlineStr">
        <is>
          <t>Нужен ли отдельный протокол для каждого решения или единая форма результата обработки?</t>
        </is>
      </c>
      <c r="E33" s="5" t="inlineStr">
        <is>
          <t>Влияет на генерацию документов, шаблоны, хранение и пользовательский маршрут.</t>
        </is>
      </c>
      <c r="F33" s="5" t="inlineStr">
        <is>
          <t>Заказчик / команда АС</t>
        </is>
      </c>
      <c r="G33" s="5" t="inlineStr">
        <is>
          <t>Высокий</t>
        </is>
      </c>
      <c r="H33" s="17" t="str"/>
      <c r="I33" s="5" t="inlineStr">
        <is>
          <t>Открыт</t>
        </is>
      </c>
      <c r="J33" s="5" t="str"/>
      <c r="K33" s="18" t="str"/>
      <c r="L33" s="5" t="str"/>
      <c r="M33" s="5" t="inlineStr">
        <is>
          <t>Макет, материал оценки</t>
        </is>
      </c>
    </row>
    <row r="34" ht="70" customHeight="1">
      <c r="A34" s="5" t="n">
        <v>33</v>
      </c>
      <c r="B34" s="5" t="inlineStr">
        <is>
          <t>Решение инспектора</t>
        </is>
      </c>
      <c r="C34" s="5" t="inlineStr">
        <is>
          <t>Вопрос</t>
        </is>
      </c>
      <c r="D34" s="5" t="inlineStr">
        <is>
          <t>Должен ли инспектор выбирать нормативное основание и конкретные пункты в протоколе?</t>
        </is>
      </c>
      <c r="E34" s="5" t="inlineStr">
        <is>
          <t>Влияет на справочники НПА, UI выбора, хранение и обновление нормативной базы.</t>
        </is>
      </c>
      <c r="F34" s="5" t="inlineStr">
        <is>
          <t>Заказчик</t>
        </is>
      </c>
      <c r="G34" s="5" t="inlineStr">
        <is>
          <t>Высокий</t>
        </is>
      </c>
      <c r="H34" s="17" t="str"/>
      <c r="I34" s="5" t="inlineStr">
        <is>
          <t>Открыт</t>
        </is>
      </c>
      <c r="J34" s="5" t="str"/>
      <c r="K34" s="18" t="str"/>
      <c r="L34" s="5" t="str"/>
      <c r="M34" s="5" t="inlineStr">
        <is>
          <t>Макет, обсуждения</t>
        </is>
      </c>
    </row>
    <row r="35" ht="70" customHeight="1">
      <c r="A35" s="5" t="n">
        <v>34</v>
      </c>
      <c r="B35" s="5" t="inlineStr">
        <is>
          <t>Роли и доступы</t>
        </is>
      </c>
      <c r="C35" s="5" t="inlineStr">
        <is>
          <t>Вопрос</t>
        </is>
      </c>
      <c r="D35" s="5" t="inlineStr">
        <is>
          <t>Какие роли требуются в АС: инспектор, главный инспектор региона, руководитель, администратор, другие роли?</t>
        </is>
      </c>
      <c r="E35" s="5" t="inlineStr">
        <is>
          <t>Определяет права доступа, маршруты согласования, видимость данных и тестирование.</t>
        </is>
      </c>
      <c r="F35" s="5" t="inlineStr">
        <is>
          <t>Заказчик / ИБ</t>
        </is>
      </c>
      <c r="G35" s="5" t="inlineStr">
        <is>
          <t>Высокий</t>
        </is>
      </c>
      <c r="H35" s="17" t="str"/>
      <c r="I35" s="5" t="inlineStr">
        <is>
          <t>Открыт</t>
        </is>
      </c>
      <c r="J35" s="5" t="str"/>
      <c r="K35" s="18" t="str"/>
      <c r="L35" s="5" t="str"/>
      <c r="M35" s="5" t="inlineStr">
        <is>
          <t>ТЗ, макет</t>
        </is>
      </c>
    </row>
    <row r="36" ht="70" customHeight="1">
      <c r="A36" s="5" t="n">
        <v>35</v>
      </c>
      <c r="B36" s="5" t="inlineStr">
        <is>
          <t>Роли и доступы</t>
        </is>
      </c>
      <c r="C36" s="5" t="inlineStr">
        <is>
          <t>Вопрос</t>
        </is>
      </c>
      <c r="D36" s="5" t="inlineStr">
        <is>
          <t>Нужны ли ограничения по территории, региону, подразделению или типу пользователя?</t>
        </is>
      </c>
      <c r="E36" s="5" t="inlineStr">
        <is>
          <t>Влияет на фильтрацию данных, права доступа и отчеты.</t>
        </is>
      </c>
      <c r="F36" s="5" t="inlineStr">
        <is>
          <t>Заказчик / ИБ</t>
        </is>
      </c>
      <c r="G36" s="5" t="inlineStr">
        <is>
          <t>Высокий</t>
        </is>
      </c>
      <c r="H36" s="17" t="str"/>
      <c r="I36" s="5" t="inlineStr">
        <is>
          <t>Открыт</t>
        </is>
      </c>
      <c r="J36" s="5" t="str"/>
      <c r="K36" s="18" t="str"/>
      <c r="L36" s="5" t="str"/>
      <c r="M36" s="5" t="inlineStr">
        <is>
          <t>ТЗ, макет</t>
        </is>
      </c>
    </row>
    <row r="37" ht="70" customHeight="1">
      <c r="A37" s="5" t="n">
        <v>36</v>
      </c>
      <c r="B37" s="5" t="inlineStr">
        <is>
          <t>Отчеты и мониторинг</t>
        </is>
      </c>
      <c r="C37" s="5" t="inlineStr">
        <is>
          <t>Вопрос</t>
        </is>
      </c>
      <c r="D37" s="5" t="inlineStr">
        <is>
          <t>Какой обязательный перечень отчетов и показателей нужен руководству?</t>
        </is>
      </c>
      <c r="E37" s="5" t="inlineStr">
        <is>
          <t>Влияет на витрины данных, агрегаты, выгрузки и сроки разработки.</t>
        </is>
      </c>
      <c r="F37" s="5" t="inlineStr">
        <is>
          <t>Заказчик / руководство проекта</t>
        </is>
      </c>
      <c r="G37" s="5" t="inlineStr">
        <is>
          <t>Высокий</t>
        </is>
      </c>
      <c r="H37" s="17" t="str"/>
      <c r="I37" s="5" t="inlineStr">
        <is>
          <t>Открыт</t>
        </is>
      </c>
      <c r="J37" s="5" t="str"/>
      <c r="K37" s="18" t="str"/>
      <c r="L37" s="5" t="str"/>
      <c r="M37" s="5" t="inlineStr">
        <is>
          <t>ТЗ, устав</t>
        </is>
      </c>
    </row>
    <row r="38" ht="70" customHeight="1">
      <c r="A38" s="5" t="n">
        <v>37</v>
      </c>
      <c r="B38" s="5" t="inlineStr">
        <is>
          <t>Отчеты и мониторинг</t>
        </is>
      </c>
      <c r="C38" s="5" t="inlineStr">
        <is>
          <t>Вопрос</t>
        </is>
      </c>
      <c r="D38" s="5" t="inlineStr">
        <is>
          <t>Нужны ли выгрузки в Excel/PDF и какие поля должны попадать в выгрузку?</t>
        </is>
      </c>
      <c r="E38" s="5" t="inlineStr">
        <is>
          <t>Определяет генерацию файлов, права доступа и тестирование форматов.</t>
        </is>
      </c>
      <c r="F38" s="5" t="inlineStr">
        <is>
          <t>Заказчик</t>
        </is>
      </c>
      <c r="G38" s="5" t="inlineStr">
        <is>
          <t>Средний</t>
        </is>
      </c>
      <c r="H38" s="17" t="str"/>
      <c r="I38" s="5" t="inlineStr">
        <is>
          <t>Открыт</t>
        </is>
      </c>
      <c r="J38" s="5" t="str"/>
      <c r="K38" s="18" t="str"/>
      <c r="L38" s="5" t="str"/>
      <c r="M38" s="5" t="inlineStr">
        <is>
          <t>ТЗ, материал оценки</t>
        </is>
      </c>
    </row>
    <row r="39" ht="70" customHeight="1">
      <c r="A39" s="5" t="n">
        <v>38</v>
      </c>
      <c r="B39" s="5" t="inlineStr">
        <is>
          <t>Данные и справочники</t>
        </is>
      </c>
      <c r="C39" s="5" t="inlineStr">
        <is>
          <t>Зависимость</t>
        </is>
      </c>
      <c r="D39" s="5" t="inlineStr">
        <is>
          <t>Получить перечень справочников и источников мастер-данных: субъекты, объекты, виды объектов, подвиды, типы контролируемых лиц, НПА.</t>
        </is>
      </c>
      <c r="E39" s="5" t="inlineStr">
        <is>
          <t>Влияет на интеграции, валидации, синхронизацию и UI выбора.</t>
        </is>
      </c>
      <c r="F39" s="5" t="inlineStr">
        <is>
          <t>Заказчик / смежная команда / ФГИС ПГС</t>
        </is>
      </c>
      <c r="G39" s="5" t="inlineStr">
        <is>
          <t>Высокий</t>
        </is>
      </c>
      <c r="H39" s="17" t="str"/>
      <c r="I39" s="5" t="inlineStr">
        <is>
          <t>Открыт</t>
        </is>
      </c>
      <c r="J39" s="5" t="str"/>
      <c r="K39" s="18" t="str"/>
      <c r="L39" s="5" t="str"/>
      <c r="M39" s="5" t="inlineStr">
        <is>
          <t>ТЗ, ЕРВК материалы</t>
        </is>
      </c>
    </row>
    <row r="40" ht="70" customHeight="1">
      <c r="A40" s="5" t="n">
        <v>39</v>
      </c>
      <c r="B40" s="5" t="inlineStr">
        <is>
          <t>Данные и справочники</t>
        </is>
      </c>
      <c r="C40" s="5" t="inlineStr">
        <is>
          <t>Вопрос</t>
        </is>
      </c>
      <c r="D40" s="5" t="inlineStr">
        <is>
          <t>Какая система является источником истины для субъекта, объекта, ИНН, ОГРН, КПП, адреса ФИАС?</t>
        </is>
      </c>
      <c r="E40" s="5" t="inlineStr">
        <is>
          <t>Влияет на качество данных, сверку дублей и подготовку сообщений.</t>
        </is>
      </c>
      <c r="F40" s="5" t="inlineStr">
        <is>
          <t>Заказчик / команда АС</t>
        </is>
      </c>
      <c r="G40" s="5" t="inlineStr">
        <is>
          <t>Высокий</t>
        </is>
      </c>
      <c r="H40" s="17" t="str"/>
      <c r="I40" s="5" t="inlineStr">
        <is>
          <t>Открыт</t>
        </is>
      </c>
      <c r="J40" s="5" t="str"/>
      <c r="K40" s="18" t="str"/>
      <c r="L40" s="5" t="str"/>
      <c r="M40" s="5" t="inlineStr">
        <is>
          <t>ЕРВК, материал оценки</t>
        </is>
      </c>
    </row>
    <row r="41" ht="70" customHeight="1">
      <c r="A41" s="5" t="n">
        <v>40</v>
      </c>
      <c r="B41" s="5" t="inlineStr">
        <is>
          <t>Нефункциональные требования</t>
        </is>
      </c>
      <c r="C41" s="5" t="inlineStr">
        <is>
          <t>Вопрос</t>
        </is>
      </c>
      <c r="D41" s="5" t="inlineStr">
        <is>
          <t>Какие обязательные требования к производительности, срокам обработки и объему данных применяются к АС?</t>
        </is>
      </c>
      <c r="E41" s="5" t="inlineStr">
        <is>
          <t>Влияет на архитектуру, оптимизацию, тестирование и инфраструктурные требования.</t>
        </is>
      </c>
      <c r="F41" s="5" t="inlineStr">
        <is>
          <t>Заказчик / эксплуатация / команда АС</t>
        </is>
      </c>
      <c r="G41" s="5" t="inlineStr">
        <is>
          <t>Высокий</t>
        </is>
      </c>
      <c r="H41" s="17" t="str"/>
      <c r="I41" s="5" t="inlineStr">
        <is>
          <t>Открыт</t>
        </is>
      </c>
      <c r="J41" s="5" t="str"/>
      <c r="K41" s="18" t="str"/>
      <c r="L41" s="5" t="str"/>
      <c r="M41" s="5" t="inlineStr">
        <is>
          <t>ТЗ, материал оценки</t>
        </is>
      </c>
    </row>
    <row r="42" ht="70" customHeight="1">
      <c r="A42" s="5" t="n">
        <v>41</v>
      </c>
      <c r="B42" s="5" t="inlineStr">
        <is>
          <t>Нефункциональные требования</t>
        </is>
      </c>
      <c r="C42" s="5" t="inlineStr">
        <is>
          <t>Вопрос</t>
        </is>
      </c>
      <c r="D42" s="5" t="inlineStr">
        <is>
          <t>Какие требования ИБ применяются к хранению доказательных материалов, сообщений обмена и персональных данных?</t>
        </is>
      </c>
      <c r="E42" s="5" t="inlineStr">
        <is>
          <t>Влияет на хранение, доступы, аудит, шифрование и эксплуатацию.</t>
        </is>
      </c>
      <c r="F42" s="5" t="inlineStr">
        <is>
          <t>ИБ / заказчик / команда АС</t>
        </is>
      </c>
      <c r="G42" s="5" t="inlineStr">
        <is>
          <t>Критичный</t>
        </is>
      </c>
      <c r="H42" s="17" t="str"/>
      <c r="I42" s="5" t="inlineStr">
        <is>
          <t>Открыт</t>
        </is>
      </c>
      <c r="J42" s="5" t="str"/>
      <c r="K42" s="18" t="str"/>
      <c r="L42" s="5" t="str"/>
      <c r="M42" s="5" t="inlineStr">
        <is>
          <t>ТЗ, материал оценки</t>
        </is>
      </c>
    </row>
    <row r="43" ht="70" customHeight="1">
      <c r="A43" s="5" t="n">
        <v>42</v>
      </c>
      <c r="B43" s="5" t="inlineStr">
        <is>
          <t>Тестирование и приемка</t>
        </is>
      </c>
      <c r="C43" s="5" t="inlineStr">
        <is>
          <t>Зависимость</t>
        </is>
      </c>
      <c r="D43" s="5" t="inlineStr">
        <is>
          <t>Нужен тестовый контур ИВИС/СМЭВ и заглушки смежных сервисов для интеграционного тестирования.</t>
        </is>
      </c>
      <c r="E43" s="5" t="inlineStr">
        <is>
          <t>Без тестового контура оценка тестирования и сроки приемки становятся рискованными.</t>
        </is>
      </c>
      <c r="F43" s="5" t="inlineStr">
        <is>
          <t>ИВИС / смежная команда / команда АС</t>
        </is>
      </c>
      <c r="G43" s="5" t="inlineStr">
        <is>
          <t>Высокий</t>
        </is>
      </c>
      <c r="H43" s="17" t="str"/>
      <c r="I43" s="5" t="inlineStr">
        <is>
          <t>Открыт</t>
        </is>
      </c>
      <c r="J43" s="5" t="str"/>
      <c r="K43" s="18" t="str"/>
      <c r="L43" s="5" t="str"/>
      <c r="M43" s="5" t="inlineStr">
        <is>
          <t>Материал оценки</t>
        </is>
      </c>
    </row>
    <row r="44" ht="70" customHeight="1">
      <c r="A44" s="5" t="n">
        <v>43</v>
      </c>
      <c r="B44" s="5" t="inlineStr">
        <is>
          <t>Тестирование и приемка</t>
        </is>
      </c>
      <c r="C44" s="5" t="inlineStr">
        <is>
          <t>Вопрос</t>
        </is>
      </c>
      <c r="D44" s="5" t="inlineStr">
        <is>
          <t>Какие сквозные сценарии будут использоваться для приемки первого этапа?</t>
        </is>
      </c>
      <c r="E44" s="5" t="inlineStr">
        <is>
          <t>Определяет тест-кейсы, демонстрацию, критерии готовности и объем исправлений.</t>
        </is>
      </c>
      <c r="F44" s="5" t="inlineStr">
        <is>
          <t>Заказчик / РП / команда АС</t>
        </is>
      </c>
      <c r="G44" s="5" t="inlineStr">
        <is>
          <t>Высокий</t>
        </is>
      </c>
      <c r="H44" s="17" t="str"/>
      <c r="I44" s="5" t="inlineStr">
        <is>
          <t>Открыт</t>
        </is>
      </c>
      <c r="J44" s="5" t="str"/>
      <c r="K44" s="18" t="str"/>
      <c r="L44" s="5" t="str"/>
      <c r="M44" s="5" t="inlineStr">
        <is>
          <t>Устав, материал оценки</t>
        </is>
      </c>
    </row>
    <row r="45" ht="70" customHeight="1">
      <c r="A45" s="5" t="n">
        <v>44</v>
      </c>
      <c r="B45" s="5" t="inlineStr">
        <is>
          <t>Макет и UX</t>
        </is>
      </c>
      <c r="C45" s="5" t="inlineStr">
        <is>
          <t>Вопрос</t>
        </is>
      </c>
      <c r="D45" s="5" t="inlineStr">
        <is>
          <t>Какие макеты считаются рабочей основой для дальнейшего проектирования и какие решения по ним уже закреплены?</t>
        </is>
      </c>
      <c r="E45" s="5" t="inlineStr">
        <is>
          <t>Влияет на объем UI, количество экранов, переделки и согласование с пользователями.</t>
        </is>
      </c>
      <c r="F45" s="5" t="inlineStr">
        <is>
          <t>РП / заказчик / команда АС</t>
        </is>
      </c>
      <c r="G45" s="5" t="inlineStr">
        <is>
          <t>Средний</t>
        </is>
      </c>
      <c r="H45" s="17" t="str"/>
      <c r="I45" s="5" t="inlineStr">
        <is>
          <t>Открыт</t>
        </is>
      </c>
      <c r="J45" s="5" t="str"/>
      <c r="K45" s="18" t="str"/>
      <c r="L45" s="5" t="str"/>
      <c r="M45" s="5" t="inlineStr">
        <is>
          <t>Макеты, обсуждения</t>
        </is>
      </c>
    </row>
    <row r="46" ht="70" customHeight="1">
      <c r="A46" s="5" t="n">
        <v>45</v>
      </c>
      <c r="B46" s="5" t="inlineStr">
        <is>
          <t>Управление проектом</t>
        </is>
      </c>
      <c r="C46" s="5" t="inlineStr">
        <is>
          <t>Вопрос</t>
        </is>
      </c>
      <c r="D46" s="5" t="inlineStr">
        <is>
          <t>Как часто актуализируется оценка после ответов на вопросы и кто утверждает изменения диапазона?</t>
        </is>
      </c>
      <c r="E46" s="5" t="inlineStr">
        <is>
          <t>Влияет на управляемость оценки и фиксацию изменений объема.</t>
        </is>
      </c>
      <c r="F46" s="5" t="inlineStr">
        <is>
          <t>РП / руководство проекта</t>
        </is>
      </c>
      <c r="G46" s="5" t="inlineStr">
        <is>
          <t>Средний</t>
        </is>
      </c>
      <c r="H46" s="17" t="str"/>
      <c r="I46" s="5" t="inlineStr">
        <is>
          <t>Открыт</t>
        </is>
      </c>
      <c r="J46" s="5" t="str"/>
      <c r="K46" s="18" t="str"/>
      <c r="L46" s="5" t="str"/>
      <c r="M46" s="5" t="inlineStr">
        <is>
          <t>Устав, материал оценки</t>
        </is>
      </c>
    </row>
  </sheetData>
  <dataValidations count="3">
    <dataValidation sqref="C2:C46" showDropDown="0" showInputMessage="0" showErrorMessage="0" allowBlank="0" type="list">
      <formula1>"Вопрос,Зависимость,Решение,Допущение"</formula1>
    </dataValidation>
    <dataValidation sqref="G2:G46" showDropDown="0" showInputMessage="0" showErrorMessage="0" allowBlank="0" type="list">
      <formula1>"Критичный,Высокий,Средний,Низкий"</formula1>
    </dataValidation>
    <dataValidation sqref="I2:I46" showDropDown="0" showInputMessage="0" showErrorMessage="0" allowBlank="0" type="list">
      <formula1>"Открыт,В работе,Ответ получен,Закрыт,Отложен"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</cols>
  <sheetData>
    <row r="1">
      <c r="A1" s="14" t="inlineStr">
        <is>
          <t>Сводка по реестру открытых вопросов и зависимостей</t>
        </is>
      </c>
      <c r="B1" s="2" t="n"/>
      <c r="C1" s="2" t="n"/>
    </row>
    <row r="2">
      <c r="A2" s="2" t="n"/>
      <c r="B2" s="2" t="n"/>
      <c r="C2" s="2" t="n"/>
    </row>
    <row r="3">
      <c r="A3" s="15" t="inlineStr">
        <is>
          <t>Всего строк</t>
        </is>
      </c>
      <c r="B3" s="15" t="n">
        <v>45</v>
      </c>
      <c r="C3" s="2" t="n"/>
    </row>
    <row r="4">
      <c r="A4" s="15" t="inlineStr">
        <is>
          <t>Критичный приоритет</t>
        </is>
      </c>
      <c r="B4" s="15">
        <f>COUNTIF(Реестр!G2:G46,"Критичный")</f>
        <v/>
      </c>
      <c r="C4" s="2" t="n"/>
    </row>
    <row r="5">
      <c r="A5" s="15" t="inlineStr">
        <is>
          <t>Высокий приоритет</t>
        </is>
      </c>
      <c r="B5" s="15">
        <f>COUNTIF(Реестр!G2:G46,"Высокий")</f>
        <v/>
      </c>
      <c r="C5" s="2" t="n"/>
    </row>
    <row r="6">
      <c r="A6" s="15" t="inlineStr">
        <is>
          <t>Открытые</t>
        </is>
      </c>
      <c r="B6" s="15">
        <f>COUNTIF(Реестр!I2:I46,"Открыт")</f>
        <v/>
      </c>
      <c r="C6" s="2" t="n"/>
    </row>
    <row r="7">
      <c r="A7" s="15" t="inlineStr">
        <is>
          <t>В работе</t>
        </is>
      </c>
      <c r="B7" s="15">
        <f>COUNTIF(Реестр!I2:I46,"В работе")</f>
        <v/>
      </c>
      <c r="C7" s="2" t="n"/>
    </row>
    <row r="8">
      <c r="A8" s="15" t="inlineStr">
        <is>
          <t>Ответ получен</t>
        </is>
      </c>
      <c r="B8" s="15">
        <f>COUNTIF(Реестр!I2:I46,"Ответ получен")</f>
        <v/>
      </c>
      <c r="C8" s="2" t="n"/>
    </row>
    <row r="9">
      <c r="A9" s="2" t="n"/>
      <c r="B9" s="2" t="n"/>
      <c r="C9" s="2" t="n"/>
    </row>
    <row r="10">
      <c r="A10" s="16" t="inlineStr">
        <is>
          <t>Как работать с реестром</t>
        </is>
      </c>
      <c r="B10" s="16" t="str"/>
      <c r="C10" s="16" t="str"/>
    </row>
    <row r="11">
      <c r="A11" s="16" t="inlineStr">
        <is>
          <t>1</t>
        </is>
      </c>
      <c r="B11" s="16" t="inlineStr">
        <is>
          <t>Заполнить срок ответа и ответственного по критичным строкам.</t>
        </is>
      </c>
      <c r="C11" s="16" t="str"/>
    </row>
    <row r="12">
      <c r="A12" s="16" t="inlineStr">
        <is>
          <t>2</t>
        </is>
      </c>
      <c r="B12" s="16" t="inlineStr">
        <is>
          <t>Передать вопросы адресатам: заказчик, смежная команда, ИВИС, ФГИС ПГС, ИБ.</t>
        </is>
      </c>
      <c r="C12" s="16" t="str"/>
    </row>
    <row r="13">
      <c r="A13" s="16" t="inlineStr">
        <is>
          <t>3</t>
        </is>
      </c>
      <c r="B13" s="16" t="inlineStr">
        <is>
          <t>После ответа заполнить колонку Решение или ответ.</t>
        </is>
      </c>
      <c r="C13" s="16" t="str"/>
    </row>
    <row r="14">
      <c r="A14" s="16" t="inlineStr">
        <is>
          <t>4</t>
        </is>
      </c>
      <c r="B14" s="16" t="inlineStr">
        <is>
          <t>Если ответ меняет трудоемкость, заполнить влияние на оценку в человеко-днях.</t>
        </is>
      </c>
      <c r="C14" s="16" t="str"/>
    </row>
    <row r="15">
      <c r="A15" s="16" t="inlineStr">
        <is>
          <t>5</t>
        </is>
      </c>
      <c r="B15" s="16" t="inlineStr">
        <is>
          <t>Закрывать строку только после отражения ответа в оценке или проектных материалах.</t>
        </is>
      </c>
      <c r="C15" s="16" t="str"/>
    </row>
    <row r="16">
      <c r="A16" s="16" t="str"/>
      <c r="B16" s="16" t="str"/>
      <c r="C16" s="16" t="str"/>
    </row>
    <row r="17">
      <c r="A17" s="16" t="inlineStr">
        <is>
          <t>Единица влияния на оценку</t>
        </is>
      </c>
      <c r="B17" s="16" t="inlineStr">
        <is>
          <t>человеко-дни</t>
        </is>
      </c>
      <c r="C17" s="16" t="str"/>
    </row>
    <row r="18">
      <c r="A18" s="16" t="inlineStr">
        <is>
          <t>Дата подготовки</t>
        </is>
      </c>
      <c r="B18" s="16" t="inlineStr">
        <is>
          <t>04.10.2026</t>
        </is>
      </c>
      <c r="C18" s="16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Назначение реестра</t>
        </is>
      </c>
    </row>
    <row r="2">
      <c r="A2" s="2" t="n"/>
    </row>
    <row r="3">
      <c r="A3" s="3" t="inlineStr">
        <is>
          <t>Реестр фиксирует вопросы, зависимости, решения и допущения, которые влияют на предварительную оценку работ команды АС.</t>
        </is>
      </c>
    </row>
    <row r="4">
      <c r="A4" s="3" t="inlineStr">
        <is>
          <t>Каждая строка должна иметь адресата, приоритет и статус.</t>
        </is>
      </c>
    </row>
    <row r="5">
      <c r="A5" s="3" t="inlineStr">
        <is>
          <t>Если вопрос влияет на трудоемкость, после получения ответа нужно указать влияние на оценку в человеко-днях.</t>
        </is>
      </c>
    </row>
    <row r="6">
      <c r="A6" s="3" t="inlineStr">
        <is>
          <t>Строки с приоритетом Критичный и Высокий желательно закрывать до фиксации базовой оценки.</t>
        </is>
      </c>
    </row>
    <row r="7">
      <c r="A7" s="3" t="inlineStr">
        <is>
          <t>Статус Закрыт ставится только после того, как ответ учтен в оценке или проектных материалах.</t>
        </is>
      </c>
    </row>
    <row r="8">
      <c r="A8" s="3" t="inlineStr">
        <is>
          <t>Реестр подготовлен по ТЗ, транскрипциям, разбору встреч, уставу проекта и материалу для предварительной оценки работ команды АС.</t>
        </is>
      </c>
    </row>
    <row r="9">
      <c r="A9" s="3" t="inlineStr">
        <is>
          <t>Документ предназначен для РП, аналитиков, архитектора, тимлида и участников, отвечающих за снятие неопределенности.</t>
        </is>
      </c>
    </row>
    <row r="10">
      <c r="A10" s="3" t="inlineStr">
        <is>
          <t>Рабочая единица влияния на оценку: человеко-дни.</t>
        </is>
      </c>
    </row>
    <row r="11">
      <c r="A11" s="3" t="inlineStr">
        <is>
          <t>Формулировки вопросов можно уточнять, но смысл и связь с оценкой желательно сохранять.</t>
        </is>
      </c>
    </row>
    <row r="12">
      <c r="A12" s="3" t="inlineStr">
        <is>
          <t>При появлении нового вопроса добавьте строку в конец листа Реестр.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2026-10-05T07:31:49Z</dcterms:created>
  <dcterms:modified xmlns:dcterms="http://purl.org/dc/terms/" xmlns:xsi="http://www.w3.org/2001/XMLSchema-instance" xsi:type="dcterms:W3CDTF">2026-10-05T07:31:49Z</dcterms:modified>
</cp:coreProperties>
</file>