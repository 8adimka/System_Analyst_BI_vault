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<sst xmlns="http://schemas.openxmlformats.org/spreadsheetml/2006/main" count="19" uniqueCount="19">
  <si>
    <t xml:space="preserve">ID</t>
  </si>
  <si>
    <t xml:space="preserve">Дата</t>
  </si>
  <si>
    <t xml:space="preserve">Год</t>
  </si>
  <si>
    <t xml:space="preserve">Квартал</t>
  </si>
  <si>
    <t xml:space="preserve">Месяц</t>
  </si>
  <si>
    <t xml:space="preserve">Регион</t>
  </si>
  <si>
    <t xml:space="preserve">Округ</t>
  </si>
  <si>
    <t xml:space="preserve">Город</t>
  </si>
  <si>
    <t xml:space="preserve">Категория</t>
  </si>
  <si>
    <t xml:space="preserve">Подкатегория</t>
  </si>
  <si>
    <t xml:space="preserve">Сумма_продаж</t>
  </si>
  <si>
    <t xml:space="preserve">Количество</t>
  </si>
  <si>
    <t xml:space="preserve">Себестоимость</t>
  </si>
  <si>
    <t xml:space="preserve">Прибыль</t>
  </si>
  <si>
    <t xml:space="preserve">Центр</t>
  </si>
  <si>
    <t xml:space="preserve">Округ_1_1</t>
  </si>
  <si>
    <t xml:space="preserve">Город_1_1_1</t>
  </si>
  <si>
    <t xml:space="preserve">Электроника</t>
  </si>
  <si>
    <t xml:space="preserve">Смартфоны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</si>
</sst>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dd\.mm\.yyyy"/>
    <numFmt numFmtId="166" formatCode="#,##0"/>
  </numFmts>
  <fonts count="5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Cambria"/>
      <family val="0"/>
      <charset val="1"/>
    </font>
  </fonts>
  <fills count="9">
    <fill>
      <patternFill patternType="none"/>
    </fill>
    <fill>
      <patternFill patternType="gray125"/>
    </fill>
    <fill>
      <patternFill patternType="solid">
        <fgColor rgb="FF2E4057"/>
        <bgColor rgb="FF333399"/>
      </patternFill>
    </fill>
    <fill>
      <patternFill patternType="solid">
        <fgColor rgb="FF6B3FA0"/>
        <bgColor rgb="FF333399"/>
      </patternFill>
    </fill>
    <fill>
      <patternFill patternType="solid">
        <fgColor rgb="FF1A6B55"/>
        <bgColor rgb="FF1F6291"/>
      </patternFill>
    </fill>
    <fill>
      <patternFill patternType="solid">
        <fgColor rgb="FFB85C38"/>
        <bgColor rgb="FF993366"/>
      </patternFill>
    </fill>
    <fill>
      <patternFill patternType="solid">
        <fgColor rgb="FF1F6291"/>
        <bgColor rgb="FF1A6B55"/>
      </patternFill>
    </fill>
    <fill>
      <patternFill patternType="solid">
        <fgColor rgb="FFE8F5E9"/>
        <bgColor rgb="FFE3F2FD"/>
      </patternFill>
    </fill>
    <fill>
      <patternFill patternType="solid">
        <fgColor rgb="FFE3F2FD"/>
        <bgColor rgb="FFE8F5E9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4" fillId="3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4" fillId="4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4" fillId="5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4" fillId="6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0" fillId="7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7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0" fillId="7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8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8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0" fillId="8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1A6B55"/>
      <rgbColor rgb="FFC0C0C0"/>
      <rgbColor rgb="FF808080"/>
      <rgbColor rgb="FF9999FF"/>
      <rgbColor rgb="FFB85C38"/>
      <rgbColor rgb="FFE8F5E9"/>
      <rgbColor rgb="FFE3F2FD"/>
      <rgbColor rgb="FF660066"/>
      <rgbColor rgb="FFFF8080"/>
      <rgbColor rgb="FF1F6291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B3FA0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2E4057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3550"/>
  <sheetViews>
    <sheetView showFormulas="false" showGridLines="true" showRowColHeaders="true" showZeros="true" rightToLeft="false" tabSelected="true" showOutlineSymbols="true" defaultGridColor="true" view="normal" topLeftCell="A2531" colorId="64" zoomScale="100" zoomScaleNormal="100" zoomScalePageLayoutView="100" workbookViewId="0">
      <selection pane="topLeft" activeCell="I2556" activeCellId="0" sqref="I2556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1" width="9.08"/>
    <col collapsed="false" customWidth="true" hidden="false" outlineLevel="0" max="2" min="2" style="1" width="15.89"/>
    <col collapsed="false" customWidth="true" hidden="false" outlineLevel="0" max="3" min="3" style="1" width="9.08"/>
    <col collapsed="false" customWidth="true" hidden="false" outlineLevel="0" max="5" min="4" style="1" width="11.35"/>
    <col collapsed="false" customWidth="true" hidden="false" outlineLevel="0" max="6" min="6" style="1" width="13.62"/>
    <col collapsed="false" customWidth="true" hidden="false" outlineLevel="0" max="7" min="7" style="1" width="18.16"/>
    <col collapsed="false" customWidth="true" hidden="false" outlineLevel="0" max="8" min="8" style="1" width="22.7"/>
    <col collapsed="false" customWidth="true" hidden="false" outlineLevel="0" max="9" min="9" style="1" width="18.16"/>
    <col collapsed="false" customWidth="true" hidden="false" outlineLevel="0" max="10" min="10" style="1" width="24.98"/>
    <col collapsed="false" customWidth="true" hidden="false" outlineLevel="0" max="11" min="11" style="1" width="18.16"/>
    <col collapsed="false" customWidth="true" hidden="false" outlineLevel="0" max="12" min="12" style="1" width="13.62"/>
    <col collapsed="false" customWidth="true" hidden="false" outlineLevel="0" max="13" min="13" style="1" width="18.16"/>
    <col collapsed="false" customWidth="true" hidden="false" outlineLevel="0" max="14" min="14" style="1" width="13.62"/>
  </cols>
  <sheetData>
    <row r="1" customFormat="false" ht="21.75" hidden="false" customHeight="true" outlineLevel="0" collapsed="false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4" t="s">
        <v>5</v>
      </c>
      <c r="G1" s="4" t="s">
        <v>6</v>
      </c>
      <c r="H1" s="4" t="s">
        <v>7</v>
      </c>
      <c r="I1" s="5" t="s">
        <v>8</v>
      </c>
      <c r="J1" s="5" t="s">
        <v>9</v>
      </c>
      <c r="K1" s="6" t="s">
        <v>10</v>
      </c>
      <c r="L1" s="6" t="s">
        <v>11</v>
      </c>
      <c r="M1" s="6" t="s">
        <v>12</v>
      </c>
      <c r="N1" s="6" t="s">
        <v>13</v>
      </c>
    </row>
    <row r="2" customFormat="false" ht="12.8" hidden="false" customHeight="false" outlineLevel="0" collapsed="false">
      <c r="A2" s="7" t="n">
        <v>1</v>
      </c>
      <c r="B2" s="8" t="n">
        <v>44927</v>
      </c>
      <c r="C2" s="7" t="n">
        <f aca="false">YEAR(B2)</f>
        <v>2023</v>
      </c>
      <c r="D2" s="7" t="n">
        <f aca="false">INT((MONTH(B2)-1)/3)+1</f>
        <v>1</v>
      </c>
      <c r="E2" s="7" t="n">
        <f aca="false">MONTH(B2)</f>
        <v>1</v>
      </c>
      <c r="F2" s="7" t="s">
        <v>14</v>
      </c>
      <c r="G2" s="7" t="s">
        <v>15</v>
      </c>
      <c r="H2" s="7" t="s">
        <v>16</v>
      </c>
      <c r="I2" s="7" t="s">
        <v>17</v>
      </c>
      <c r="J2" s="7" t="s">
        <v>18</v>
      </c>
      <c r="K2" s="9" t="n">
        <v>10000</v>
      </c>
      <c r="L2" s="9" t="n">
        <v>10</v>
      </c>
      <c r="M2" s="9" t="n">
        <v>7000</v>
      </c>
      <c r="N2" s="9" t="n">
        <f aca="false">K2-M2</f>
        <v>3000</v>
      </c>
    </row>
    <row r="3" customFormat="false" ht="12.8" hidden="false" customHeight="false" outlineLevel="0" collapsed="false">
      <c r="A3" s="10" t="n">
        <f aca="false">A2+1</f>
        <v>2</v>
      </c>
      <c r="B3" s="11" t="n">
        <f aca="false">B2+1</f>
        <v>44928</v>
      </c>
      <c r="C3" s="10" t="n">
        <f aca="false">YEAR(B3)</f>
        <v>2023</v>
      </c>
      <c r="D3" s="10" t="n">
        <f aca="false">INT((MONTH(B3)-1)/3)+1</f>
        <v>1</v>
      </c>
      <c r="E3" s="10" t="n">
        <f aca="false">MONTH(B3)</f>
        <v>1</v>
      </c>
      <c r="F3" s="10" t="str">
        <f aca="false">CHOOSE(MOD(A3-1,5)+1,"Центр","Юг","Север","Запад","Восток")</f>
        <v>Юг</v>
      </c>
      <c r="G3" s="10" t="str">
        <f aca="false">"Округ_"&amp;(MOD(A3-1,5)+1)&amp;"_"&amp;(MOD(INT((A3-1)/5),5)+1)</f>
        <v>Округ_2_1</v>
      </c>
      <c r="H3" s="10" t="str">
        <f aca="false">"Город_"&amp;(MOD(A3-1,5)+1)&amp;"_"&amp;(MOD(INT((A3-1)/5),5)+1)&amp;"_"&amp;(MOD(INT((A3-1)/25),10)+1)</f>
        <v>Город_2_1_1</v>
      </c>
      <c r="I3" s="10" t="str">
        <f aca="false">CHOOSE(MOD(A3-1,4)+1,"Электроника","Одежда","Продукты","Мебель")</f>
        <v>Одежда</v>
      </c>
      <c r="J3" s="10" t="str">
        <f aca="false">CHOOSE(MOD(INT((A3-1)/4),4)+1,CHOOSE(MOD(A3-1,4)+1,"Смартфоны","Ноутбуки","Аксессуары","Аудио"),CHOOSE(MOD(A3-1,4)+1,"Верхняя одежда","Спортивная","Повседневная","Обувь"),CHOOSE(MOD(A3-1,4)+1,"Молочные","Мясные","Бакалея","Напитки"),CHOOSE(MOD(A3-1,4)+1,"Мягкая мебель","Корпусная","Офисная","Кухонная"))</f>
        <v>Ноутбуки</v>
      </c>
      <c r="K3" s="12" t="n">
        <f aca="false">1000+MOD(A3*317+A3*A3*7,49001)</f>
        <v>1662</v>
      </c>
      <c r="L3" s="12" t="n">
        <f aca="false">1+MOD(A3*131,100)</f>
        <v>63</v>
      </c>
      <c r="M3" s="12" t="n">
        <f aca="false">INT(K3*(0.6+MOD(A3*43,21)/100))</f>
        <v>1030</v>
      </c>
      <c r="N3" s="12" t="n">
        <f aca="false">K3-M3</f>
        <v>632</v>
      </c>
    </row>
    <row r="4" customFormat="false" ht="12.8" hidden="false" customHeight="false" outlineLevel="0" collapsed="false">
      <c r="A4" s="10" t="n">
        <f aca="false">A3+1</f>
        <v>3</v>
      </c>
      <c r="B4" s="11" t="n">
        <f aca="false">B3+1</f>
        <v>44929</v>
      </c>
      <c r="C4" s="10" t="n">
        <f aca="false">YEAR(B4)</f>
        <v>2023</v>
      </c>
      <c r="D4" s="10" t="n">
        <f aca="false">INT((MONTH(B4)-1)/3)+1</f>
        <v>1</v>
      </c>
      <c r="E4" s="10" t="n">
        <f aca="false">MONTH(B4)</f>
        <v>1</v>
      </c>
      <c r="F4" s="10" t="str">
        <f aca="false">CHOOSE(MOD(A4-1,5)+1,"Центр","Юг","Север","Запад","Восток")</f>
        <v>Север</v>
      </c>
      <c r="G4" s="10" t="str">
        <f aca="false">"Округ_"&amp;(MOD(A4-1,5)+1)&amp;"_"&amp;(MOD(INT((A4-1)/5),5)+1)</f>
        <v>Округ_3_1</v>
      </c>
      <c r="H4" s="10" t="str">
        <f aca="false">"Город_"&amp;(MOD(A4-1,5)+1)&amp;"_"&amp;(MOD(INT((A4-1)/5),5)+1)&amp;"_"&amp;(MOD(INT((A4-1)/25),10)+1)</f>
        <v>Город_3_1_1</v>
      </c>
      <c r="I4" s="10" t="str">
        <f aca="false">CHOOSE(MOD(A4-1,4)+1,"Электроника","Одежда","Продукты","Мебель")</f>
        <v>Продукты</v>
      </c>
      <c r="J4" s="10" t="str">
        <f aca="false">CHOOSE(MOD(INT((A4-1)/4),4)+1,CHOOSE(MOD(A4-1,4)+1,"Смартфоны","Ноутбуки","Аксессуары","Аудио"),CHOOSE(MOD(A4-1,4)+1,"Верхняя одежда","Спортивная","Повседневная","Обувь"),CHOOSE(MOD(A4-1,4)+1,"Молочные","Мясные","Бакалея","Напитки"),CHOOSE(MOD(A4-1,4)+1,"Мягкая мебель","Корпусная","Офисная","Кухонная"))</f>
        <v>Аксессуары</v>
      </c>
      <c r="K4" s="12" t="n">
        <f aca="false">1000+MOD(A4*317+A4*A4*7,49001)</f>
        <v>2014</v>
      </c>
      <c r="L4" s="12" t="n">
        <f aca="false">1+MOD(A4*131,100)</f>
        <v>94</v>
      </c>
      <c r="M4" s="12" t="n">
        <f aca="false">INT(K4*(0.6+MOD(A4*43,21)/100))</f>
        <v>1268</v>
      </c>
      <c r="N4" s="12" t="n">
        <f aca="false">K4-M4</f>
        <v>746</v>
      </c>
    </row>
    <row r="5" customFormat="false" ht="12.8" hidden="false" customHeight="false" outlineLevel="0" collapsed="false">
      <c r="A5" s="10" t="n">
        <f aca="false">A4+1</f>
        <v>4</v>
      </c>
      <c r="B5" s="11" t="n">
        <f aca="false">B4+1</f>
        <v>44930</v>
      </c>
      <c r="C5" s="10" t="n">
        <f aca="false">YEAR(B5)</f>
        <v>2023</v>
      </c>
      <c r="D5" s="10" t="n">
        <f aca="false">INT((MONTH(B5)-1)/3)+1</f>
        <v>1</v>
      </c>
      <c r="E5" s="10" t="n">
        <f aca="false">MONTH(B5)</f>
        <v>1</v>
      </c>
      <c r="F5" s="10" t="str">
        <f aca="false">CHOOSE(MOD(A5-1,5)+1,"Центр","Юг","Север","Запад","Восток")</f>
        <v>Запад</v>
      </c>
      <c r="G5" s="10" t="str">
        <f aca="false">"Округ_"&amp;(MOD(A5-1,5)+1)&amp;"_"&amp;(MOD(INT((A5-1)/5),5)+1)</f>
        <v>Округ_4_1</v>
      </c>
      <c r="H5" s="10" t="str">
        <f aca="false">"Город_"&amp;(MOD(A5-1,5)+1)&amp;"_"&amp;(MOD(INT((A5-1)/5),5)+1)&amp;"_"&amp;(MOD(INT((A5-1)/25),10)+1)</f>
        <v>Город_4_1_1</v>
      </c>
      <c r="I5" s="10" t="str">
        <f aca="false">CHOOSE(MOD(A5-1,4)+1,"Электроника","Одежда","Продукты","Мебель")</f>
        <v>Мебель</v>
      </c>
      <c r="J5" s="10" t="str">
        <f aca="false">CHOOSE(MOD(INT((A5-1)/4),4)+1,CHOOSE(MOD(A5-1,4)+1,"Смартфоны","Ноутбуки","Аксессуары","Аудио"),CHOOSE(MOD(A5-1,4)+1,"Верхняя одежда","Спортивная","Повседневная","Обувь"),CHOOSE(MOD(A5-1,4)+1,"Молочные","Мясные","Бакалея","Напитки"),CHOOSE(MOD(A5-1,4)+1,"Мягкая мебель","Корпусная","Офисная","Кухонная"))</f>
        <v>Аудио</v>
      </c>
      <c r="K5" s="12" t="n">
        <f aca="false">1000+MOD(A5*317+A5*A5*7,49001)</f>
        <v>2380</v>
      </c>
      <c r="L5" s="12" t="n">
        <f aca="false">1+MOD(A5*131,100)</f>
        <v>25</v>
      </c>
      <c r="M5" s="12" t="n">
        <f aca="false">INT(K5*(0.6+MOD(A5*43,21)/100))</f>
        <v>1523</v>
      </c>
      <c r="N5" s="12" t="n">
        <f aca="false">K5-M5</f>
        <v>857</v>
      </c>
    </row>
    <row r="6" customFormat="false" ht="12.8" hidden="false" customHeight="false" outlineLevel="0" collapsed="false">
      <c r="A6" s="10" t="n">
        <f aca="false">A5+1</f>
        <v>5</v>
      </c>
      <c r="B6" s="11" t="n">
        <f aca="false">B5+1</f>
        <v>44931</v>
      </c>
      <c r="C6" s="10" t="n">
        <f aca="false">YEAR(B6)</f>
        <v>2023</v>
      </c>
      <c r="D6" s="10" t="n">
        <f aca="false">INT((MONTH(B6)-1)/3)+1</f>
        <v>1</v>
      </c>
      <c r="E6" s="10" t="n">
        <f aca="false">MONTH(B6)</f>
        <v>1</v>
      </c>
      <c r="F6" s="10" t="str">
        <f aca="false">CHOOSE(MOD(A6-1,5)+1,"Центр","Юг","Север","Запад","Восток")</f>
        <v>Восток</v>
      </c>
      <c r="G6" s="10" t="str">
        <f aca="false">"Округ_"&amp;(MOD(A6-1,5)+1)&amp;"_"&amp;(MOD(INT((A6-1)/5),5)+1)</f>
        <v>Округ_5_1</v>
      </c>
      <c r="H6" s="10" t="str">
        <f aca="false">"Город_"&amp;(MOD(A6-1,5)+1)&amp;"_"&amp;(MOD(INT((A6-1)/5),5)+1)&amp;"_"&amp;(MOD(INT((A6-1)/25),10)+1)</f>
        <v>Город_5_1_1</v>
      </c>
      <c r="I6" s="10" t="str">
        <f aca="false">CHOOSE(MOD(A6-1,4)+1,"Электроника","Одежда","Продукты","Мебель")</f>
        <v>Электроника</v>
      </c>
      <c r="J6" s="10" t="str">
        <f aca="false">CHOOSE(MOD(INT((A6-1)/4),4)+1,CHOOSE(MOD(A6-1,4)+1,"Смартфоны","Ноутбуки","Аксессуары","Аудио"),CHOOSE(MOD(A6-1,4)+1,"Верхняя одежда","Спортивная","Повседневная","Обувь"),CHOOSE(MOD(A6-1,4)+1,"Молочные","Мясные","Бакалея","Напитки"),CHOOSE(MOD(A6-1,4)+1,"Мягкая мебель","Корпусная","Офисная","Кухонная"))</f>
        <v>Верхняя одежда</v>
      </c>
      <c r="K6" s="12" t="n">
        <f aca="false">1000+MOD(A6*317+A6*A6*7,49001)</f>
        <v>2760</v>
      </c>
      <c r="L6" s="12" t="n">
        <f aca="false">1+MOD(A6*131,100)</f>
        <v>56</v>
      </c>
      <c r="M6" s="12" t="n">
        <f aca="false">INT(K6*(0.6+MOD(A6*43,21)/100))</f>
        <v>1794</v>
      </c>
      <c r="N6" s="12" t="n">
        <f aca="false">K6-M6</f>
        <v>966</v>
      </c>
    </row>
    <row r="7" customFormat="false" ht="12.8" hidden="false" customHeight="false" outlineLevel="0" collapsed="false">
      <c r="A7" s="10" t="n">
        <f aca="false">A6+1</f>
        <v>6</v>
      </c>
      <c r="B7" s="11" t="n">
        <f aca="false">B6+1</f>
        <v>44932</v>
      </c>
      <c r="C7" s="10" t="n">
        <f aca="false">YEAR(B7)</f>
        <v>2023</v>
      </c>
      <c r="D7" s="10" t="n">
        <f aca="false">INT((MONTH(B7)-1)/3)+1</f>
        <v>1</v>
      </c>
      <c r="E7" s="10" t="n">
        <f aca="false">MONTH(B7)</f>
        <v>1</v>
      </c>
      <c r="F7" s="10" t="str">
        <f aca="false">CHOOSE(MOD(A7-1,5)+1,"Центр","Юг","Север","Запад","Восток")</f>
        <v>Центр</v>
      </c>
      <c r="G7" s="10" t="str">
        <f aca="false">"Округ_"&amp;(MOD(A7-1,5)+1)&amp;"_"&amp;(MOD(INT((A7-1)/5),5)+1)</f>
        <v>Округ_1_2</v>
      </c>
      <c r="H7" s="10" t="str">
        <f aca="false">"Город_"&amp;(MOD(A7-1,5)+1)&amp;"_"&amp;(MOD(INT((A7-1)/5),5)+1)&amp;"_"&amp;(MOD(INT((A7-1)/25),10)+1)</f>
        <v>Город_1_2_1</v>
      </c>
      <c r="I7" s="10" t="str">
        <f aca="false">CHOOSE(MOD(A7-1,4)+1,"Электроника","Одежда","Продукты","Мебель")</f>
        <v>Одежда</v>
      </c>
      <c r="J7" s="10" t="str">
        <f aca="false">CHOOSE(MOD(INT((A7-1)/4),4)+1,CHOOSE(MOD(A7-1,4)+1,"Смартфоны","Ноутбуки","Аксессуары","Аудио"),CHOOSE(MOD(A7-1,4)+1,"Верхняя одежда","Спортивная","Повседневная","Обувь"),CHOOSE(MOD(A7-1,4)+1,"Молочные","Мясные","Бакалея","Напитки"),CHOOSE(MOD(A7-1,4)+1,"Мягкая мебель","Корпусная","Офисная","Кухонная"))</f>
        <v>Спортивная</v>
      </c>
      <c r="K7" s="12" t="n">
        <f aca="false">1000+MOD(A7*317+A7*A7*7,49001)</f>
        <v>3154</v>
      </c>
      <c r="L7" s="12" t="n">
        <f aca="false">1+MOD(A7*131,100)</f>
        <v>87</v>
      </c>
      <c r="M7" s="12" t="n">
        <f aca="false">INT(K7*(0.6+MOD(A7*43,21)/100))</f>
        <v>2081</v>
      </c>
      <c r="N7" s="12" t="n">
        <f aca="false">K7-M7</f>
        <v>1073</v>
      </c>
    </row>
    <row r="8" customFormat="false" ht="12.8" hidden="false" customHeight="false" outlineLevel="0" collapsed="false">
      <c r="A8" s="10" t="n">
        <f aca="false">A7+1</f>
        <v>7</v>
      </c>
      <c r="B8" s="11" t="n">
        <f aca="false">B7+1</f>
        <v>44933</v>
      </c>
      <c r="C8" s="10" t="n">
        <f aca="false">YEAR(B8)</f>
        <v>2023</v>
      </c>
      <c r="D8" s="10" t="n">
        <f aca="false">INT((MONTH(B8)-1)/3)+1</f>
        <v>1</v>
      </c>
      <c r="E8" s="10" t="n">
        <f aca="false">MONTH(B8)</f>
        <v>1</v>
      </c>
      <c r="F8" s="10" t="str">
        <f aca="false">CHOOSE(MOD(A8-1,5)+1,"Центр","Юг","Север","Запад","Восток")</f>
        <v>Юг</v>
      </c>
      <c r="G8" s="10" t="str">
        <f aca="false">"Округ_"&amp;(MOD(A8-1,5)+1)&amp;"_"&amp;(MOD(INT((A8-1)/5),5)+1)</f>
        <v>Округ_2_2</v>
      </c>
      <c r="H8" s="10" t="str">
        <f aca="false">"Город_"&amp;(MOD(A8-1,5)+1)&amp;"_"&amp;(MOD(INT((A8-1)/5),5)+1)&amp;"_"&amp;(MOD(INT((A8-1)/25),10)+1)</f>
        <v>Город_2_2_1</v>
      </c>
      <c r="I8" s="10" t="str">
        <f aca="false">CHOOSE(MOD(A8-1,4)+1,"Электроника","Одежда","Продукты","Мебель")</f>
        <v>Продукты</v>
      </c>
      <c r="J8" s="10" t="str">
        <f aca="false">CHOOSE(MOD(INT((A8-1)/4),4)+1,CHOOSE(MOD(A8-1,4)+1,"Смартфоны","Ноутбуки","Аксессуары","Аудио"),CHOOSE(MOD(A8-1,4)+1,"Верхняя одежда","Спортивная","Повседневная","Обувь"),CHOOSE(MOD(A8-1,4)+1,"Молочные","Мясные","Бакалея","Напитки"),CHOOSE(MOD(A8-1,4)+1,"Мягкая мебель","Корпусная","Офисная","Кухонная"))</f>
        <v>Повседневная</v>
      </c>
      <c r="K8" s="12" t="n">
        <f aca="false">1000+MOD(A8*317+A8*A8*7,49001)</f>
        <v>3562</v>
      </c>
      <c r="L8" s="12" t="n">
        <f aca="false">1+MOD(A8*131,100)</f>
        <v>18</v>
      </c>
      <c r="M8" s="12" t="n">
        <f aca="false">INT(K8*(0.6+MOD(A8*43,21)/100))</f>
        <v>2386</v>
      </c>
      <c r="N8" s="12" t="n">
        <f aca="false">K8-M8</f>
        <v>1176</v>
      </c>
    </row>
    <row r="9" customFormat="false" ht="12.8" hidden="false" customHeight="false" outlineLevel="0" collapsed="false">
      <c r="A9" s="10" t="n">
        <f aca="false">A8+1</f>
        <v>8</v>
      </c>
      <c r="B9" s="11" t="n">
        <f aca="false">B8+1</f>
        <v>44934</v>
      </c>
      <c r="C9" s="10" t="n">
        <f aca="false">YEAR(B9)</f>
        <v>2023</v>
      </c>
      <c r="D9" s="10" t="n">
        <f aca="false">INT((MONTH(B9)-1)/3)+1</f>
        <v>1</v>
      </c>
      <c r="E9" s="10" t="n">
        <f aca="false">MONTH(B9)</f>
        <v>1</v>
      </c>
      <c r="F9" s="10" t="str">
        <f aca="false">CHOOSE(MOD(A9-1,5)+1,"Центр","Юг","Север","Запад","Восток")</f>
        <v>Север</v>
      </c>
      <c r="G9" s="10" t="str">
        <f aca="false">"Округ_"&amp;(MOD(A9-1,5)+1)&amp;"_"&amp;(MOD(INT((A9-1)/5),5)+1)</f>
        <v>Округ_3_2</v>
      </c>
      <c r="H9" s="10" t="str">
        <f aca="false">"Город_"&amp;(MOD(A9-1,5)+1)&amp;"_"&amp;(MOD(INT((A9-1)/5),5)+1)&amp;"_"&amp;(MOD(INT((A9-1)/25),10)+1)</f>
        <v>Город_3_2_1</v>
      </c>
      <c r="I9" s="10" t="str">
        <f aca="false">CHOOSE(MOD(A9-1,4)+1,"Электроника","Одежда","Продукты","Мебель")</f>
        <v>Мебель</v>
      </c>
      <c r="J9" s="10" t="str">
        <f aca="false">CHOOSE(MOD(INT((A9-1)/4),4)+1,CHOOSE(MOD(A9-1,4)+1,"Смартфоны","Ноутбуки","Аксессуары","Аудио"),CHOOSE(MOD(A9-1,4)+1,"Верхняя одежда","Спортивная","Повседневная","Обувь"),CHOOSE(MOD(A9-1,4)+1,"Молочные","Мясные","Бакалея","Напитки"),CHOOSE(MOD(A9-1,4)+1,"Мягкая мебель","Корпусная","Офисная","Кухонная"))</f>
        <v>Обувь</v>
      </c>
      <c r="K9" s="12" t="n">
        <f aca="false">1000+MOD(A9*317+A9*A9*7,49001)</f>
        <v>3984</v>
      </c>
      <c r="L9" s="12" t="n">
        <f aca="false">1+MOD(A9*131,100)</f>
        <v>49</v>
      </c>
      <c r="M9" s="12" t="n">
        <f aca="false">INT(K9*(0.6+MOD(A9*43,21)/100))</f>
        <v>2709</v>
      </c>
      <c r="N9" s="12" t="n">
        <f aca="false">K9-M9</f>
        <v>1275</v>
      </c>
    </row>
    <row r="10" customFormat="false" ht="12.8" hidden="false" customHeight="false" outlineLevel="0" collapsed="false">
      <c r="A10" s="10" t="n">
        <f aca="false">A9+1</f>
        <v>9</v>
      </c>
      <c r="B10" s="11" t="n">
        <f aca="false">B9+1</f>
        <v>44935</v>
      </c>
      <c r="C10" s="10" t="n">
        <f aca="false">YEAR(B10)</f>
        <v>2023</v>
      </c>
      <c r="D10" s="10" t="n">
        <f aca="false">INT((MONTH(B10)-1)/3)+1</f>
        <v>1</v>
      </c>
      <c r="E10" s="10" t="n">
        <f aca="false">MONTH(B10)</f>
        <v>1</v>
      </c>
      <c r="F10" s="10" t="str">
        <f aca="false">CHOOSE(MOD(A10-1,5)+1,"Центр","Юг","Север","Запад","Восток")</f>
        <v>Запад</v>
      </c>
      <c r="G10" s="10" t="str">
        <f aca="false">"Округ_"&amp;(MOD(A10-1,5)+1)&amp;"_"&amp;(MOD(INT((A10-1)/5),5)+1)</f>
        <v>Округ_4_2</v>
      </c>
      <c r="H10" s="10" t="str">
        <f aca="false">"Город_"&amp;(MOD(A10-1,5)+1)&amp;"_"&amp;(MOD(INT((A10-1)/5),5)+1)&amp;"_"&amp;(MOD(INT((A10-1)/25),10)+1)</f>
        <v>Город_4_2_1</v>
      </c>
      <c r="I10" s="10" t="str">
        <f aca="false">CHOOSE(MOD(A10-1,4)+1,"Электроника","Одежда","Продукты","Мебель")</f>
        <v>Электроника</v>
      </c>
      <c r="J10" s="10" t="str">
        <f aca="false">CHOOSE(MOD(INT((A10-1)/4),4)+1,CHOOSE(MOD(A10-1,4)+1,"Смартфоны","Ноутбуки","Аксессуары","Аудио"),CHOOSE(MOD(A10-1,4)+1,"Верхняя одежда","Спортивная","Повседневная","Обувь"),CHOOSE(MOD(A10-1,4)+1,"Молочные","Мясные","Бакалея","Напитки"),CHOOSE(MOD(A10-1,4)+1,"Мягкая мебель","Корпусная","Офисная","Кухонная"))</f>
        <v>Молочные</v>
      </c>
      <c r="K10" s="12" t="n">
        <f aca="false">1000+MOD(A10*317+A10*A10*7,49001)</f>
        <v>4420</v>
      </c>
      <c r="L10" s="12" t="n">
        <f aca="false">1+MOD(A10*131,100)</f>
        <v>80</v>
      </c>
      <c r="M10" s="12" t="n">
        <f aca="false">INT(K10*(0.6+MOD(A10*43,21)/100))</f>
        <v>3049</v>
      </c>
      <c r="N10" s="12" t="n">
        <f aca="false">K10-M10</f>
        <v>1371</v>
      </c>
    </row>
    <row r="11" customFormat="false" ht="12.8" hidden="false" customHeight="false" outlineLevel="0" collapsed="false">
      <c r="A11" s="10" t="n">
        <f aca="false">A10+1</f>
        <v>10</v>
      </c>
      <c r="B11" s="11" t="n">
        <f aca="false">B10+1</f>
        <v>44936</v>
      </c>
      <c r="C11" s="10" t="n">
        <f aca="false">YEAR(B11)</f>
        <v>2023</v>
      </c>
      <c r="D11" s="10" t="n">
        <f aca="false">INT((MONTH(B11)-1)/3)+1</f>
        <v>1</v>
      </c>
      <c r="E11" s="10" t="n">
        <f aca="false">MONTH(B11)</f>
        <v>1</v>
      </c>
      <c r="F11" s="10" t="str">
        <f aca="false">CHOOSE(MOD(A11-1,5)+1,"Центр","Юг","Север","Запад","Восток")</f>
        <v>Восток</v>
      </c>
      <c r="G11" s="10" t="str">
        <f aca="false">"Округ_"&amp;(MOD(A11-1,5)+1)&amp;"_"&amp;(MOD(INT((A11-1)/5),5)+1)</f>
        <v>Округ_5_2</v>
      </c>
      <c r="H11" s="10" t="str">
        <f aca="false">"Город_"&amp;(MOD(A11-1,5)+1)&amp;"_"&amp;(MOD(INT((A11-1)/5),5)+1)&amp;"_"&amp;(MOD(INT((A11-1)/25),10)+1)</f>
        <v>Город_5_2_1</v>
      </c>
      <c r="I11" s="10" t="str">
        <f aca="false">CHOOSE(MOD(A11-1,4)+1,"Электроника","Одежда","Продукты","Мебель")</f>
        <v>Одежда</v>
      </c>
      <c r="J11" s="10" t="str">
        <f aca="false">CHOOSE(MOD(INT((A11-1)/4),4)+1,CHOOSE(MOD(A11-1,4)+1,"Смартфоны","Ноутбуки","Аксессуары","Аудио"),CHOOSE(MOD(A11-1,4)+1,"Верхняя одежда","Спортивная","Повседневная","Обувь"),CHOOSE(MOD(A11-1,4)+1,"Молочные","Мясные","Бакалея","Напитки"),CHOOSE(MOD(A11-1,4)+1,"Мягкая мебель","Корпусная","Офисная","Кухонная"))</f>
        <v>Мясные</v>
      </c>
      <c r="K11" s="12" t="n">
        <f aca="false">1000+MOD(A11*317+A11*A11*7,49001)</f>
        <v>4870</v>
      </c>
      <c r="L11" s="12" t="n">
        <f aca="false">1+MOD(A11*131,100)</f>
        <v>11</v>
      </c>
      <c r="M11" s="12" t="n">
        <f aca="false">INT(K11*(0.6+MOD(A11*43,21)/100))</f>
        <v>3409</v>
      </c>
      <c r="N11" s="12" t="n">
        <f aca="false">K11-M11</f>
        <v>1461</v>
      </c>
    </row>
    <row r="12" customFormat="false" ht="12.8" hidden="false" customHeight="false" outlineLevel="0" collapsed="false">
      <c r="A12" s="10" t="n">
        <f aca="false">A11+1</f>
        <v>11</v>
      </c>
      <c r="B12" s="11" t="n">
        <f aca="false">B11+1</f>
        <v>44937</v>
      </c>
      <c r="C12" s="10" t="n">
        <f aca="false">YEAR(B12)</f>
        <v>2023</v>
      </c>
      <c r="D12" s="10" t="n">
        <f aca="false">INT((MONTH(B12)-1)/3)+1</f>
        <v>1</v>
      </c>
      <c r="E12" s="10" t="n">
        <f aca="false">MONTH(B12)</f>
        <v>1</v>
      </c>
      <c r="F12" s="10" t="str">
        <f aca="false">CHOOSE(MOD(A12-1,5)+1,"Центр","Юг","Север","Запад","Восток")</f>
        <v>Центр</v>
      </c>
      <c r="G12" s="10" t="str">
        <f aca="false">"Округ_"&amp;(MOD(A12-1,5)+1)&amp;"_"&amp;(MOD(INT((A12-1)/5),5)+1)</f>
        <v>Округ_1_3</v>
      </c>
      <c r="H12" s="10" t="str">
        <f aca="false">"Город_"&amp;(MOD(A12-1,5)+1)&amp;"_"&amp;(MOD(INT((A12-1)/5),5)+1)&amp;"_"&amp;(MOD(INT((A12-1)/25),10)+1)</f>
        <v>Город_1_3_1</v>
      </c>
      <c r="I12" s="10" t="str">
        <f aca="false">CHOOSE(MOD(A12-1,4)+1,"Электроника","Одежда","Продукты","Мебель")</f>
        <v>Продукты</v>
      </c>
      <c r="J12" s="10" t="str">
        <f aca="false">CHOOSE(MOD(INT((A12-1)/4),4)+1,CHOOSE(MOD(A12-1,4)+1,"Смартфоны","Ноутбуки","Аксессуары","Аудио"),CHOOSE(MOD(A12-1,4)+1,"Верхняя одежда","Спортивная","Повседневная","Обувь"),CHOOSE(MOD(A12-1,4)+1,"Молочные","Мясные","Бакалея","Напитки"),CHOOSE(MOD(A12-1,4)+1,"Мягкая мебель","Корпусная","Офисная","Кухонная"))</f>
        <v>Бакалея</v>
      </c>
      <c r="K12" s="12" t="n">
        <f aca="false">1000+MOD(A12*317+A12*A12*7,49001)</f>
        <v>5334</v>
      </c>
      <c r="L12" s="12" t="n">
        <f aca="false">1+MOD(A12*131,100)</f>
        <v>42</v>
      </c>
      <c r="M12" s="12" t="n">
        <f aca="false">INT(K12*(0.6+MOD(A12*43,21)/100))</f>
        <v>3787</v>
      </c>
      <c r="N12" s="12" t="n">
        <f aca="false">K12-M12</f>
        <v>1547</v>
      </c>
    </row>
    <row r="13" customFormat="false" ht="12.8" hidden="false" customHeight="false" outlineLevel="0" collapsed="false">
      <c r="A13" s="10" t="n">
        <f aca="false">A12+1</f>
        <v>12</v>
      </c>
      <c r="B13" s="11" t="n">
        <f aca="false">B12+1</f>
        <v>44938</v>
      </c>
      <c r="C13" s="10" t="n">
        <f aca="false">YEAR(B13)</f>
        <v>2023</v>
      </c>
      <c r="D13" s="10" t="n">
        <f aca="false">INT((MONTH(B13)-1)/3)+1</f>
        <v>1</v>
      </c>
      <c r="E13" s="10" t="n">
        <f aca="false">MONTH(B13)</f>
        <v>1</v>
      </c>
      <c r="F13" s="10" t="str">
        <f aca="false">CHOOSE(MOD(A13-1,5)+1,"Центр","Юг","Север","Запад","Восток")</f>
        <v>Юг</v>
      </c>
      <c r="G13" s="10" t="str">
        <f aca="false">"Округ_"&amp;(MOD(A13-1,5)+1)&amp;"_"&amp;(MOD(INT((A13-1)/5),5)+1)</f>
        <v>Округ_2_3</v>
      </c>
      <c r="H13" s="10" t="str">
        <f aca="false">"Город_"&amp;(MOD(A13-1,5)+1)&amp;"_"&amp;(MOD(INT((A13-1)/5),5)+1)&amp;"_"&amp;(MOD(INT((A13-1)/25),10)+1)</f>
        <v>Город_2_3_1</v>
      </c>
      <c r="I13" s="10" t="str">
        <f aca="false">CHOOSE(MOD(A13-1,4)+1,"Электроника","Одежда","Продукты","Мебель")</f>
        <v>Мебель</v>
      </c>
      <c r="J13" s="10" t="str">
        <f aca="false">CHOOSE(MOD(INT((A13-1)/4),4)+1,CHOOSE(MOD(A13-1,4)+1,"Смартфоны","Ноутбуки","Аксессуары","Аудио"),CHOOSE(MOD(A13-1,4)+1,"Верхняя одежда","Спортивная","Повседневная","Обувь"),CHOOSE(MOD(A13-1,4)+1,"Молочные","Мясные","Бакалея","Напитки"),CHOOSE(MOD(A13-1,4)+1,"Мягкая мебель","Корпусная","Офисная","Кухонная"))</f>
        <v>Напитки</v>
      </c>
      <c r="K13" s="12" t="n">
        <f aca="false">1000+MOD(A13*317+A13*A13*7,49001)</f>
        <v>5812</v>
      </c>
      <c r="L13" s="12" t="n">
        <f aca="false">1+MOD(A13*131,100)</f>
        <v>73</v>
      </c>
      <c r="M13" s="12" t="n">
        <f aca="false">INT(K13*(0.6+MOD(A13*43,21)/100))</f>
        <v>4184</v>
      </c>
      <c r="N13" s="12" t="n">
        <f aca="false">K13-M13</f>
        <v>1628</v>
      </c>
    </row>
    <row r="14" customFormat="false" ht="12.8" hidden="false" customHeight="false" outlineLevel="0" collapsed="false">
      <c r="A14" s="10" t="n">
        <f aca="false">A13+1</f>
        <v>13</v>
      </c>
      <c r="B14" s="11" t="n">
        <f aca="false">B13+1</f>
        <v>44939</v>
      </c>
      <c r="C14" s="10" t="n">
        <f aca="false">YEAR(B14)</f>
        <v>2023</v>
      </c>
      <c r="D14" s="10" t="n">
        <f aca="false">INT((MONTH(B14)-1)/3)+1</f>
        <v>1</v>
      </c>
      <c r="E14" s="10" t="n">
        <f aca="false">MONTH(B14)</f>
        <v>1</v>
      </c>
      <c r="F14" s="10" t="str">
        <f aca="false">CHOOSE(MOD(A14-1,5)+1,"Центр","Юг","Север","Запад","Восток")</f>
        <v>Север</v>
      </c>
      <c r="G14" s="10" t="str">
        <f aca="false">"Округ_"&amp;(MOD(A14-1,5)+1)&amp;"_"&amp;(MOD(INT((A14-1)/5),5)+1)</f>
        <v>Округ_3_3</v>
      </c>
      <c r="H14" s="10" t="str">
        <f aca="false">"Город_"&amp;(MOD(A14-1,5)+1)&amp;"_"&amp;(MOD(INT((A14-1)/5),5)+1)&amp;"_"&amp;(MOD(INT((A14-1)/25),10)+1)</f>
        <v>Город_3_3_1</v>
      </c>
      <c r="I14" s="10" t="str">
        <f aca="false">CHOOSE(MOD(A14-1,4)+1,"Электроника","Одежда","Продукты","Мебель")</f>
        <v>Электроника</v>
      </c>
      <c r="J14" s="10" t="str">
        <f aca="false">CHOOSE(MOD(INT((A14-1)/4),4)+1,CHOOSE(MOD(A14-1,4)+1,"Смартфоны","Ноутбуки","Аксессуары","Аудио"),CHOOSE(MOD(A14-1,4)+1,"Верхняя одежда","Спортивная","Повседневная","Обувь"),CHOOSE(MOD(A14-1,4)+1,"Молочные","Мясные","Бакалея","Напитки"),CHOOSE(MOD(A14-1,4)+1,"Мягкая мебель","Корпусная","Офисная","Кухонная"))</f>
        <v>Мягкая мебель</v>
      </c>
      <c r="K14" s="12" t="n">
        <f aca="false">1000+MOD(A14*317+A14*A14*7,49001)</f>
        <v>6304</v>
      </c>
      <c r="L14" s="12" t="n">
        <f aca="false">1+MOD(A14*131,100)</f>
        <v>4</v>
      </c>
      <c r="M14" s="12" t="n">
        <f aca="false">INT(K14*(0.6+MOD(A14*43,21)/100))</f>
        <v>4601</v>
      </c>
      <c r="N14" s="12" t="n">
        <f aca="false">K14-M14</f>
        <v>1703</v>
      </c>
    </row>
    <row r="15" customFormat="false" ht="12.8" hidden="false" customHeight="false" outlineLevel="0" collapsed="false">
      <c r="A15" s="10" t="n">
        <f aca="false">A14+1</f>
        <v>14</v>
      </c>
      <c r="B15" s="11" t="n">
        <f aca="false">B14+1</f>
        <v>44940</v>
      </c>
      <c r="C15" s="10" t="n">
        <f aca="false">YEAR(B15)</f>
        <v>2023</v>
      </c>
      <c r="D15" s="10" t="n">
        <f aca="false">INT((MONTH(B15)-1)/3)+1</f>
        <v>1</v>
      </c>
      <c r="E15" s="10" t="n">
        <f aca="false">MONTH(B15)</f>
        <v>1</v>
      </c>
      <c r="F15" s="10" t="str">
        <f aca="false">CHOOSE(MOD(A15-1,5)+1,"Центр","Юг","Север","Запад","Восток")</f>
        <v>Запад</v>
      </c>
      <c r="G15" s="10" t="str">
        <f aca="false">"Округ_"&amp;(MOD(A15-1,5)+1)&amp;"_"&amp;(MOD(INT((A15-1)/5),5)+1)</f>
        <v>Округ_4_3</v>
      </c>
      <c r="H15" s="10" t="str">
        <f aca="false">"Город_"&amp;(MOD(A15-1,5)+1)&amp;"_"&amp;(MOD(INT((A15-1)/5),5)+1)&amp;"_"&amp;(MOD(INT((A15-1)/25),10)+1)</f>
        <v>Город_4_3_1</v>
      </c>
      <c r="I15" s="10" t="str">
        <f aca="false">CHOOSE(MOD(A15-1,4)+1,"Электроника","Одежда","Продукты","Мебель")</f>
        <v>Одежда</v>
      </c>
      <c r="J15" s="10" t="str">
        <f aca="false">CHOOSE(MOD(INT((A15-1)/4),4)+1,CHOOSE(MOD(A15-1,4)+1,"Смартфоны","Ноутбуки","Аксессуары","Аудио"),CHOOSE(MOD(A15-1,4)+1,"Верхняя одежда","Спортивная","Повседневная","Обувь"),CHOOSE(MOD(A15-1,4)+1,"Молочные","Мясные","Бакалея","Напитки"),CHOOSE(MOD(A15-1,4)+1,"Мягкая мебель","Корпусная","Офисная","Кухонная"))</f>
        <v>Корпусная</v>
      </c>
      <c r="K15" s="12" t="n">
        <f aca="false">1000+MOD(A15*317+A15*A15*7,49001)</f>
        <v>6810</v>
      </c>
      <c r="L15" s="12" t="n">
        <f aca="false">1+MOD(A15*131,100)</f>
        <v>35</v>
      </c>
      <c r="M15" s="12" t="n">
        <f aca="false">INT(K15*(0.6+MOD(A15*43,21)/100))</f>
        <v>5039</v>
      </c>
      <c r="N15" s="12" t="n">
        <f aca="false">K15-M15</f>
        <v>1771</v>
      </c>
    </row>
    <row r="16" customFormat="false" ht="12.8" hidden="false" customHeight="false" outlineLevel="0" collapsed="false">
      <c r="A16" s="10" t="n">
        <f aca="false">A15+1</f>
        <v>15</v>
      </c>
      <c r="B16" s="11" t="n">
        <f aca="false">B15+1</f>
        <v>44941</v>
      </c>
      <c r="C16" s="10" t="n">
        <f aca="false">YEAR(B16)</f>
        <v>2023</v>
      </c>
      <c r="D16" s="10" t="n">
        <f aca="false">INT((MONTH(B16)-1)/3)+1</f>
        <v>1</v>
      </c>
      <c r="E16" s="10" t="n">
        <f aca="false">MONTH(B16)</f>
        <v>1</v>
      </c>
      <c r="F16" s="10" t="str">
        <f aca="false">CHOOSE(MOD(A16-1,5)+1,"Центр","Юг","Север","Запад","Восток")</f>
        <v>Восток</v>
      </c>
      <c r="G16" s="10" t="str">
        <f aca="false">"Округ_"&amp;(MOD(A16-1,5)+1)&amp;"_"&amp;(MOD(INT((A16-1)/5),5)+1)</f>
        <v>Округ_5_3</v>
      </c>
      <c r="H16" s="10" t="str">
        <f aca="false">"Город_"&amp;(MOD(A16-1,5)+1)&amp;"_"&amp;(MOD(INT((A16-1)/5),5)+1)&amp;"_"&amp;(MOD(INT((A16-1)/25),10)+1)</f>
        <v>Город_5_3_1</v>
      </c>
      <c r="I16" s="10" t="str">
        <f aca="false">CHOOSE(MOD(A16-1,4)+1,"Электроника","Одежда","Продукты","Мебель")</f>
        <v>Продукты</v>
      </c>
      <c r="J16" s="10" t="str">
        <f aca="false">CHOOSE(MOD(INT((A16-1)/4),4)+1,CHOOSE(MOD(A16-1,4)+1,"Смартфоны","Ноутбуки","Аксессуары","Аудио"),CHOOSE(MOD(A16-1,4)+1,"Верхняя одежда","Спортивная","Повседневная","Обувь"),CHOOSE(MOD(A16-1,4)+1,"Молочные","Мясные","Бакалея","Напитки"),CHOOSE(MOD(A16-1,4)+1,"Мягкая мебель","Корпусная","Офисная","Кухонная"))</f>
        <v>Офисная</v>
      </c>
      <c r="K16" s="12" t="n">
        <f aca="false">1000+MOD(A16*317+A16*A16*7,49001)</f>
        <v>7330</v>
      </c>
      <c r="L16" s="12" t="n">
        <f aca="false">1+MOD(A16*131,100)</f>
        <v>66</v>
      </c>
      <c r="M16" s="12" t="n">
        <f aca="false">INT(K16*(0.6+MOD(A16*43,21)/100))</f>
        <v>5497</v>
      </c>
      <c r="N16" s="12" t="n">
        <f aca="false">K16-M16</f>
        <v>1833</v>
      </c>
    </row>
    <row r="17" customFormat="false" ht="12.8" hidden="false" customHeight="false" outlineLevel="0" collapsed="false">
      <c r="A17" s="10" t="n">
        <f aca="false">A16+1</f>
        <v>16</v>
      </c>
      <c r="B17" s="11" t="n">
        <f aca="false">B16+1</f>
        <v>44942</v>
      </c>
      <c r="C17" s="10" t="n">
        <f aca="false">YEAR(B17)</f>
        <v>2023</v>
      </c>
      <c r="D17" s="10" t="n">
        <f aca="false">INT((MONTH(B17)-1)/3)+1</f>
        <v>1</v>
      </c>
      <c r="E17" s="10" t="n">
        <f aca="false">MONTH(B17)</f>
        <v>1</v>
      </c>
      <c r="F17" s="10" t="str">
        <f aca="false">CHOOSE(MOD(A17-1,5)+1,"Центр","Юг","Север","Запад","Восток")</f>
        <v>Центр</v>
      </c>
      <c r="G17" s="10" t="str">
        <f aca="false">"Округ_"&amp;(MOD(A17-1,5)+1)&amp;"_"&amp;(MOD(INT((A17-1)/5),5)+1)</f>
        <v>Округ_1_4</v>
      </c>
      <c r="H17" s="10" t="str">
        <f aca="false">"Город_"&amp;(MOD(A17-1,5)+1)&amp;"_"&amp;(MOD(INT((A17-1)/5),5)+1)&amp;"_"&amp;(MOD(INT((A17-1)/25),10)+1)</f>
        <v>Город_1_4_1</v>
      </c>
      <c r="I17" s="10" t="str">
        <f aca="false">CHOOSE(MOD(A17-1,4)+1,"Электроника","Одежда","Продукты","Мебель")</f>
        <v>Мебель</v>
      </c>
      <c r="J17" s="10" t="str">
        <f aca="false">CHOOSE(MOD(INT((A17-1)/4),4)+1,CHOOSE(MOD(A17-1,4)+1,"Смартфоны","Ноутбуки","Аксессуары","Аудио"),CHOOSE(MOD(A17-1,4)+1,"Верхняя одежда","Спортивная","Повседневная","Обувь"),CHOOSE(MOD(A17-1,4)+1,"Молочные","Мясные","Бакалея","Напитки"),CHOOSE(MOD(A17-1,4)+1,"Мягкая мебель","Корпусная","Офисная","Кухонная"))</f>
        <v>Кухонная</v>
      </c>
      <c r="K17" s="12" t="n">
        <f aca="false">1000+MOD(A17*317+A17*A17*7,49001)</f>
        <v>7864</v>
      </c>
      <c r="L17" s="12" t="n">
        <f aca="false">1+MOD(A17*131,100)</f>
        <v>97</v>
      </c>
      <c r="M17" s="12" t="n">
        <f aca="false">INT(K17*(0.6+MOD(A17*43,21)/100))</f>
        <v>5976</v>
      </c>
      <c r="N17" s="12" t="n">
        <f aca="false">K17-M17</f>
        <v>1888</v>
      </c>
    </row>
    <row r="18" customFormat="false" ht="12.8" hidden="false" customHeight="false" outlineLevel="0" collapsed="false">
      <c r="A18" s="10" t="n">
        <f aca="false">A17+1</f>
        <v>17</v>
      </c>
      <c r="B18" s="11" t="n">
        <f aca="false">B17+1</f>
        <v>44943</v>
      </c>
      <c r="C18" s="10" t="n">
        <f aca="false">YEAR(B18)</f>
        <v>2023</v>
      </c>
      <c r="D18" s="10" t="n">
        <f aca="false">INT((MONTH(B18)-1)/3)+1</f>
        <v>1</v>
      </c>
      <c r="E18" s="10" t="n">
        <f aca="false">MONTH(B18)</f>
        <v>1</v>
      </c>
      <c r="F18" s="10" t="str">
        <f aca="false">CHOOSE(MOD(A18-1,5)+1,"Центр","Юг","Север","Запад","Восток")</f>
        <v>Юг</v>
      </c>
      <c r="G18" s="10" t="str">
        <f aca="false">"Округ_"&amp;(MOD(A18-1,5)+1)&amp;"_"&amp;(MOD(INT((A18-1)/5),5)+1)</f>
        <v>Округ_2_4</v>
      </c>
      <c r="H18" s="10" t="str">
        <f aca="false">"Город_"&amp;(MOD(A18-1,5)+1)&amp;"_"&amp;(MOD(INT((A18-1)/5),5)+1)&amp;"_"&amp;(MOD(INT((A18-1)/25),10)+1)</f>
        <v>Город_2_4_1</v>
      </c>
      <c r="I18" s="10" t="str">
        <f aca="false">CHOOSE(MOD(A18-1,4)+1,"Электроника","Одежда","Продукты","Мебель")</f>
        <v>Электроника</v>
      </c>
      <c r="J18" s="10" t="str">
        <f aca="false">CHOOSE(MOD(INT((A18-1)/4),4)+1,CHOOSE(MOD(A18-1,4)+1,"Смартфоны","Ноутбуки","Аксессуары","Аудио"),CHOOSE(MOD(A18-1,4)+1,"Верхняя одежда","Спортивная","Повседневная","Обувь"),CHOOSE(MOD(A18-1,4)+1,"Молочные","Мясные","Бакалея","Напитки"),CHOOSE(MOD(A18-1,4)+1,"Мягкая мебель","Корпусная","Офисная","Кухонная"))</f>
        <v>Смартфоны</v>
      </c>
      <c r="K18" s="12" t="n">
        <f aca="false">1000+MOD(A18*317+A18*A18*7,49001)</f>
        <v>8412</v>
      </c>
      <c r="L18" s="12" t="n">
        <f aca="false">1+MOD(A18*131,100)</f>
        <v>28</v>
      </c>
      <c r="M18" s="12" t="n">
        <f aca="false">INT(K18*(0.6+MOD(A18*43,21)/100))</f>
        <v>6477</v>
      </c>
      <c r="N18" s="12" t="n">
        <f aca="false">K18-M18</f>
        <v>1935</v>
      </c>
    </row>
    <row r="19" customFormat="false" ht="12.8" hidden="false" customHeight="false" outlineLevel="0" collapsed="false">
      <c r="A19" s="10" t="n">
        <f aca="false">A18+1</f>
        <v>18</v>
      </c>
      <c r="B19" s="11" t="n">
        <f aca="false">B18+1</f>
        <v>44944</v>
      </c>
      <c r="C19" s="10" t="n">
        <f aca="false">YEAR(B19)</f>
        <v>2023</v>
      </c>
      <c r="D19" s="10" t="n">
        <f aca="false">INT((MONTH(B19)-1)/3)+1</f>
        <v>1</v>
      </c>
      <c r="E19" s="10" t="n">
        <f aca="false">MONTH(B19)</f>
        <v>1</v>
      </c>
      <c r="F19" s="10" t="str">
        <f aca="false">CHOOSE(MOD(A19-1,5)+1,"Центр","Юг","Север","Запад","Восток")</f>
        <v>Север</v>
      </c>
      <c r="G19" s="10" t="str">
        <f aca="false">"Округ_"&amp;(MOD(A19-1,5)+1)&amp;"_"&amp;(MOD(INT((A19-1)/5),5)+1)</f>
        <v>Округ_3_4</v>
      </c>
      <c r="H19" s="10" t="str">
        <f aca="false">"Город_"&amp;(MOD(A19-1,5)+1)&amp;"_"&amp;(MOD(INT((A19-1)/5),5)+1)&amp;"_"&amp;(MOD(INT((A19-1)/25),10)+1)</f>
        <v>Город_3_4_1</v>
      </c>
      <c r="I19" s="10" t="str">
        <f aca="false">CHOOSE(MOD(A19-1,4)+1,"Электроника","Одежда","Продукты","Мебель")</f>
        <v>Одежда</v>
      </c>
      <c r="J19" s="10" t="str">
        <f aca="false">CHOOSE(MOD(INT((A19-1)/4),4)+1,CHOOSE(MOD(A19-1,4)+1,"Смартфоны","Ноутбуки","Аксессуары","Аудио"),CHOOSE(MOD(A19-1,4)+1,"Верхняя одежда","Спортивная","Повседневная","Обувь"),CHOOSE(MOD(A19-1,4)+1,"Молочные","Мясные","Бакалея","Напитки"),CHOOSE(MOD(A19-1,4)+1,"Мягкая мебель","Корпусная","Офисная","Кухонная"))</f>
        <v>Ноутбуки</v>
      </c>
      <c r="K19" s="12" t="n">
        <f aca="false">1000+MOD(A19*317+A19*A19*7,49001)</f>
        <v>8974</v>
      </c>
      <c r="L19" s="12" t="n">
        <f aca="false">1+MOD(A19*131,100)</f>
        <v>59</v>
      </c>
      <c r="M19" s="12" t="n">
        <f aca="false">INT(K19*(0.6+MOD(A19*43,21)/100))</f>
        <v>6999</v>
      </c>
      <c r="N19" s="12" t="n">
        <f aca="false">K19-M19</f>
        <v>1975</v>
      </c>
    </row>
    <row r="20" customFormat="false" ht="12.8" hidden="false" customHeight="false" outlineLevel="0" collapsed="false">
      <c r="A20" s="10" t="n">
        <f aca="false">A19+1</f>
        <v>19</v>
      </c>
      <c r="B20" s="11" t="n">
        <f aca="false">B19+1</f>
        <v>44945</v>
      </c>
      <c r="C20" s="10" t="n">
        <f aca="false">YEAR(B20)</f>
        <v>2023</v>
      </c>
      <c r="D20" s="10" t="n">
        <f aca="false">INT((MONTH(B20)-1)/3)+1</f>
        <v>1</v>
      </c>
      <c r="E20" s="10" t="n">
        <f aca="false">MONTH(B20)</f>
        <v>1</v>
      </c>
      <c r="F20" s="10" t="str">
        <f aca="false">CHOOSE(MOD(A20-1,5)+1,"Центр","Юг","Север","Запад","Восток")</f>
        <v>Запад</v>
      </c>
      <c r="G20" s="10" t="str">
        <f aca="false">"Округ_"&amp;(MOD(A20-1,5)+1)&amp;"_"&amp;(MOD(INT((A20-1)/5),5)+1)</f>
        <v>Округ_4_4</v>
      </c>
      <c r="H20" s="10" t="str">
        <f aca="false">"Город_"&amp;(MOD(A20-1,5)+1)&amp;"_"&amp;(MOD(INT((A20-1)/5),5)+1)&amp;"_"&amp;(MOD(INT((A20-1)/25),10)+1)</f>
        <v>Город_4_4_1</v>
      </c>
      <c r="I20" s="10" t="str">
        <f aca="false">CHOOSE(MOD(A20-1,4)+1,"Электроника","Одежда","Продукты","Мебель")</f>
        <v>Продукты</v>
      </c>
      <c r="J20" s="10" t="str">
        <f aca="false">CHOOSE(MOD(INT((A20-1)/4),4)+1,CHOOSE(MOD(A20-1,4)+1,"Смартфоны","Ноутбуки","Аксессуары","Аудио"),CHOOSE(MOD(A20-1,4)+1,"Верхняя одежда","Спортивная","Повседневная","Обувь"),CHOOSE(MOD(A20-1,4)+1,"Молочные","Мясные","Бакалея","Напитки"),CHOOSE(MOD(A20-1,4)+1,"Мягкая мебель","Корпусная","Офисная","Кухонная"))</f>
        <v>Аксессуары</v>
      </c>
      <c r="K20" s="12" t="n">
        <f aca="false">1000+MOD(A20*317+A20*A20*7,49001)</f>
        <v>9550</v>
      </c>
      <c r="L20" s="12" t="n">
        <f aca="false">1+MOD(A20*131,100)</f>
        <v>90</v>
      </c>
      <c r="M20" s="12" t="n">
        <f aca="false">INT(K20*(0.6+MOD(A20*43,21)/100))</f>
        <v>7544</v>
      </c>
      <c r="N20" s="12" t="n">
        <f aca="false">K20-M20</f>
        <v>2006</v>
      </c>
    </row>
    <row r="21" customFormat="false" ht="12.8" hidden="false" customHeight="false" outlineLevel="0" collapsed="false">
      <c r="A21" s="10" t="n">
        <f aca="false">A20+1</f>
        <v>20</v>
      </c>
      <c r="B21" s="11" t="n">
        <f aca="false">B20+1</f>
        <v>44946</v>
      </c>
      <c r="C21" s="10" t="n">
        <f aca="false">YEAR(B21)</f>
        <v>2023</v>
      </c>
      <c r="D21" s="10" t="n">
        <f aca="false">INT((MONTH(B21)-1)/3)+1</f>
        <v>1</v>
      </c>
      <c r="E21" s="10" t="n">
        <f aca="false">MONTH(B21)</f>
        <v>1</v>
      </c>
      <c r="F21" s="10" t="str">
        <f aca="false">CHOOSE(MOD(A21-1,5)+1,"Центр","Юг","Север","Запад","Восток")</f>
        <v>Восток</v>
      </c>
      <c r="G21" s="10" t="str">
        <f aca="false">"Округ_"&amp;(MOD(A21-1,5)+1)&amp;"_"&amp;(MOD(INT((A21-1)/5),5)+1)</f>
        <v>Округ_5_4</v>
      </c>
      <c r="H21" s="10" t="str">
        <f aca="false">"Город_"&amp;(MOD(A21-1,5)+1)&amp;"_"&amp;(MOD(INT((A21-1)/5),5)+1)&amp;"_"&amp;(MOD(INT((A21-1)/25),10)+1)</f>
        <v>Город_5_4_1</v>
      </c>
      <c r="I21" s="10" t="str">
        <f aca="false">CHOOSE(MOD(A21-1,4)+1,"Электроника","Одежда","Продукты","Мебель")</f>
        <v>Мебель</v>
      </c>
      <c r="J21" s="10" t="str">
        <f aca="false">CHOOSE(MOD(INT((A21-1)/4),4)+1,CHOOSE(MOD(A21-1,4)+1,"Смартфоны","Ноутбуки","Аксессуары","Аудио"),CHOOSE(MOD(A21-1,4)+1,"Верхняя одежда","Спортивная","Повседневная","Обувь"),CHOOSE(MOD(A21-1,4)+1,"Молочные","Мясные","Бакалея","Напитки"),CHOOSE(MOD(A21-1,4)+1,"Мягкая мебель","Корпусная","Офисная","Кухонная"))</f>
        <v>Аудио</v>
      </c>
      <c r="K21" s="12" t="n">
        <f aca="false">1000+MOD(A21*317+A21*A21*7,49001)</f>
        <v>10140</v>
      </c>
      <c r="L21" s="12" t="n">
        <f aca="false">1+MOD(A21*131,100)</f>
        <v>21</v>
      </c>
      <c r="M21" s="12" t="n">
        <f aca="false">INT(K21*(0.6+MOD(A21*43,21)/100))</f>
        <v>8112</v>
      </c>
      <c r="N21" s="12" t="n">
        <f aca="false">K21-M21</f>
        <v>2028</v>
      </c>
    </row>
    <row r="22" customFormat="false" ht="12.8" hidden="false" customHeight="false" outlineLevel="0" collapsed="false">
      <c r="A22" s="10" t="n">
        <f aca="false">A21+1</f>
        <v>21</v>
      </c>
      <c r="B22" s="11" t="n">
        <f aca="false">B21+1</f>
        <v>44947</v>
      </c>
      <c r="C22" s="10" t="n">
        <f aca="false">YEAR(B22)</f>
        <v>2023</v>
      </c>
      <c r="D22" s="10" t="n">
        <f aca="false">INT((MONTH(B22)-1)/3)+1</f>
        <v>1</v>
      </c>
      <c r="E22" s="10" t="n">
        <f aca="false">MONTH(B22)</f>
        <v>1</v>
      </c>
      <c r="F22" s="10" t="str">
        <f aca="false">CHOOSE(MOD(A22-1,5)+1,"Центр","Юг","Север","Запад","Восток")</f>
        <v>Центр</v>
      </c>
      <c r="G22" s="10" t="str">
        <f aca="false">"Округ_"&amp;(MOD(A22-1,5)+1)&amp;"_"&amp;(MOD(INT((A22-1)/5),5)+1)</f>
        <v>Округ_1_5</v>
      </c>
      <c r="H22" s="10" t="str">
        <f aca="false">"Город_"&amp;(MOD(A22-1,5)+1)&amp;"_"&amp;(MOD(INT((A22-1)/5),5)+1)&amp;"_"&amp;(MOD(INT((A22-1)/25),10)+1)</f>
        <v>Город_1_5_1</v>
      </c>
      <c r="I22" s="10" t="str">
        <f aca="false">CHOOSE(MOD(A22-1,4)+1,"Электроника","Одежда","Продукты","Мебель")</f>
        <v>Электроника</v>
      </c>
      <c r="J22" s="10" t="str">
        <f aca="false">CHOOSE(MOD(INT((A22-1)/4),4)+1,CHOOSE(MOD(A22-1,4)+1,"Смартфоны","Ноутбуки","Аксессуары","Аудио"),CHOOSE(MOD(A22-1,4)+1,"Верхняя одежда","Спортивная","Повседневная","Обувь"),CHOOSE(MOD(A22-1,4)+1,"Молочные","Мясные","Бакалея","Напитки"),CHOOSE(MOD(A22-1,4)+1,"Мягкая мебель","Корпусная","Офисная","Кухонная"))</f>
        <v>Верхняя одежда</v>
      </c>
      <c r="K22" s="12" t="n">
        <f aca="false">1000+MOD(A22*317+A22*A22*7,49001)</f>
        <v>10744</v>
      </c>
      <c r="L22" s="12" t="n">
        <f aca="false">1+MOD(A22*131,100)</f>
        <v>52</v>
      </c>
      <c r="M22" s="12" t="n">
        <f aca="false">INT(K22*(0.6+MOD(A22*43,21)/100))</f>
        <v>6446</v>
      </c>
      <c r="N22" s="12" t="n">
        <f aca="false">K22-M22</f>
        <v>4298</v>
      </c>
    </row>
    <row r="23" customFormat="false" ht="12.8" hidden="false" customHeight="false" outlineLevel="0" collapsed="false">
      <c r="A23" s="10" t="n">
        <f aca="false">A22+1</f>
        <v>22</v>
      </c>
      <c r="B23" s="11" t="n">
        <f aca="false">B22+1</f>
        <v>44948</v>
      </c>
      <c r="C23" s="10" t="n">
        <f aca="false">YEAR(B23)</f>
        <v>2023</v>
      </c>
      <c r="D23" s="10" t="n">
        <f aca="false">INT((MONTH(B23)-1)/3)+1</f>
        <v>1</v>
      </c>
      <c r="E23" s="10" t="n">
        <f aca="false">MONTH(B23)</f>
        <v>1</v>
      </c>
      <c r="F23" s="10" t="str">
        <f aca="false">CHOOSE(MOD(A23-1,5)+1,"Центр","Юг","Север","Запад","Восток")</f>
        <v>Юг</v>
      </c>
      <c r="G23" s="10" t="str">
        <f aca="false">"Округ_"&amp;(MOD(A23-1,5)+1)&amp;"_"&amp;(MOD(INT((A23-1)/5),5)+1)</f>
        <v>Округ_2_5</v>
      </c>
      <c r="H23" s="10" t="str">
        <f aca="false">"Город_"&amp;(MOD(A23-1,5)+1)&amp;"_"&amp;(MOD(INT((A23-1)/5),5)+1)&amp;"_"&amp;(MOD(INT((A23-1)/25),10)+1)</f>
        <v>Город_2_5_1</v>
      </c>
      <c r="I23" s="10" t="str">
        <f aca="false">CHOOSE(MOD(A23-1,4)+1,"Электроника","Одежда","Продукты","Мебель")</f>
        <v>Одежда</v>
      </c>
      <c r="J23" s="10" t="str">
        <f aca="false">CHOOSE(MOD(INT((A23-1)/4),4)+1,CHOOSE(MOD(A23-1,4)+1,"Смартфоны","Ноутбуки","Аксессуары","Аудио"),CHOOSE(MOD(A23-1,4)+1,"Верхняя одежда","Спортивная","Повседневная","Обувь"),CHOOSE(MOD(A23-1,4)+1,"Молочные","Мясные","Бакалея","Напитки"),CHOOSE(MOD(A23-1,4)+1,"Мягкая мебель","Корпусная","Офисная","Кухонная"))</f>
        <v>Спортивная</v>
      </c>
      <c r="K23" s="12" t="n">
        <f aca="false">1000+MOD(A23*317+A23*A23*7,49001)</f>
        <v>11362</v>
      </c>
      <c r="L23" s="12" t="n">
        <f aca="false">1+MOD(A23*131,100)</f>
        <v>83</v>
      </c>
      <c r="M23" s="12" t="n">
        <f aca="false">INT(K23*(0.6+MOD(A23*43,21)/100))</f>
        <v>6930</v>
      </c>
      <c r="N23" s="12" t="n">
        <f aca="false">K23-M23</f>
        <v>4432</v>
      </c>
    </row>
    <row r="24" customFormat="false" ht="12.8" hidden="false" customHeight="false" outlineLevel="0" collapsed="false">
      <c r="A24" s="10" t="n">
        <f aca="false">A23+1</f>
        <v>23</v>
      </c>
      <c r="B24" s="11" t="n">
        <f aca="false">B23+1</f>
        <v>44949</v>
      </c>
      <c r="C24" s="10" t="n">
        <f aca="false">YEAR(B24)</f>
        <v>2023</v>
      </c>
      <c r="D24" s="10" t="n">
        <f aca="false">INT((MONTH(B24)-1)/3)+1</f>
        <v>1</v>
      </c>
      <c r="E24" s="10" t="n">
        <f aca="false">MONTH(B24)</f>
        <v>1</v>
      </c>
      <c r="F24" s="10" t="str">
        <f aca="false">CHOOSE(MOD(A24-1,5)+1,"Центр","Юг","Север","Запад","Восток")</f>
        <v>Север</v>
      </c>
      <c r="G24" s="10" t="str">
        <f aca="false">"Округ_"&amp;(MOD(A24-1,5)+1)&amp;"_"&amp;(MOD(INT((A24-1)/5),5)+1)</f>
        <v>Округ_3_5</v>
      </c>
      <c r="H24" s="10" t="str">
        <f aca="false">"Город_"&amp;(MOD(A24-1,5)+1)&amp;"_"&amp;(MOD(INT((A24-1)/5),5)+1)&amp;"_"&amp;(MOD(INT((A24-1)/25),10)+1)</f>
        <v>Город_3_5_1</v>
      </c>
      <c r="I24" s="10" t="str">
        <f aca="false">CHOOSE(MOD(A24-1,4)+1,"Электроника","Одежда","Продукты","Мебель")</f>
        <v>Продукты</v>
      </c>
      <c r="J24" s="10" t="str">
        <f aca="false">CHOOSE(MOD(INT((A24-1)/4),4)+1,CHOOSE(MOD(A24-1,4)+1,"Смартфоны","Ноутбуки","Аксессуары","Аудио"),CHOOSE(MOD(A24-1,4)+1,"Верхняя одежда","Спортивная","Повседневная","Обувь"),CHOOSE(MOD(A24-1,4)+1,"Молочные","Мясные","Бакалея","Напитки"),CHOOSE(MOD(A24-1,4)+1,"Мягкая мебель","Корпусная","Офисная","Кухонная"))</f>
        <v>Повседневная</v>
      </c>
      <c r="K24" s="12" t="n">
        <f aca="false">1000+MOD(A24*317+A24*A24*7,49001)</f>
        <v>11994</v>
      </c>
      <c r="L24" s="12" t="n">
        <f aca="false">1+MOD(A24*131,100)</f>
        <v>14</v>
      </c>
      <c r="M24" s="12" t="n">
        <f aca="false">INT(K24*(0.6+MOD(A24*43,21)/100))</f>
        <v>7436</v>
      </c>
      <c r="N24" s="12" t="n">
        <f aca="false">K24-M24</f>
        <v>4558</v>
      </c>
    </row>
    <row r="25" customFormat="false" ht="12.8" hidden="false" customHeight="false" outlineLevel="0" collapsed="false">
      <c r="A25" s="10" t="n">
        <f aca="false">A24+1</f>
        <v>24</v>
      </c>
      <c r="B25" s="11" t="n">
        <f aca="false">B24+1</f>
        <v>44950</v>
      </c>
      <c r="C25" s="10" t="n">
        <f aca="false">YEAR(B25)</f>
        <v>2023</v>
      </c>
      <c r="D25" s="10" t="n">
        <f aca="false">INT((MONTH(B25)-1)/3)+1</f>
        <v>1</v>
      </c>
      <c r="E25" s="10" t="n">
        <f aca="false">MONTH(B25)</f>
        <v>1</v>
      </c>
      <c r="F25" s="10" t="str">
        <f aca="false">CHOOSE(MOD(A25-1,5)+1,"Центр","Юг","Север","Запад","Восток")</f>
        <v>Запад</v>
      </c>
      <c r="G25" s="10" t="str">
        <f aca="false">"Округ_"&amp;(MOD(A25-1,5)+1)&amp;"_"&amp;(MOD(INT((A25-1)/5),5)+1)</f>
        <v>Округ_4_5</v>
      </c>
      <c r="H25" s="10" t="str">
        <f aca="false">"Город_"&amp;(MOD(A25-1,5)+1)&amp;"_"&amp;(MOD(INT((A25-1)/5),5)+1)&amp;"_"&amp;(MOD(INT((A25-1)/25),10)+1)</f>
        <v>Город_4_5_1</v>
      </c>
      <c r="I25" s="10" t="str">
        <f aca="false">CHOOSE(MOD(A25-1,4)+1,"Электроника","Одежда","Продукты","Мебель")</f>
        <v>Мебель</v>
      </c>
      <c r="J25" s="10" t="str">
        <f aca="false">CHOOSE(MOD(INT((A25-1)/4),4)+1,CHOOSE(MOD(A25-1,4)+1,"Смартфоны","Ноутбуки","Аксессуары","Аудио"),CHOOSE(MOD(A25-1,4)+1,"Верхняя одежда","Спортивная","Повседневная","Обувь"),CHOOSE(MOD(A25-1,4)+1,"Молочные","Мясные","Бакалея","Напитки"),CHOOSE(MOD(A25-1,4)+1,"Мягкая мебель","Корпусная","Офисная","Кухонная"))</f>
        <v>Обувь</v>
      </c>
      <c r="K25" s="12" t="n">
        <f aca="false">1000+MOD(A25*317+A25*A25*7,49001)</f>
        <v>12640</v>
      </c>
      <c r="L25" s="12" t="n">
        <f aca="false">1+MOD(A25*131,100)</f>
        <v>45</v>
      </c>
      <c r="M25" s="12" t="n">
        <f aca="false">INT(K25*(0.6+MOD(A25*43,21)/100))</f>
        <v>7963</v>
      </c>
      <c r="N25" s="12" t="n">
        <f aca="false">K25-M25</f>
        <v>4677</v>
      </c>
    </row>
    <row r="26" customFormat="false" ht="12.8" hidden="false" customHeight="false" outlineLevel="0" collapsed="false">
      <c r="A26" s="10" t="n">
        <f aca="false">A25+1</f>
        <v>25</v>
      </c>
      <c r="B26" s="11" t="n">
        <f aca="false">B25+1</f>
        <v>44951</v>
      </c>
      <c r="C26" s="10" t="n">
        <f aca="false">YEAR(B26)</f>
        <v>2023</v>
      </c>
      <c r="D26" s="10" t="n">
        <f aca="false">INT((MONTH(B26)-1)/3)+1</f>
        <v>1</v>
      </c>
      <c r="E26" s="10" t="n">
        <f aca="false">MONTH(B26)</f>
        <v>1</v>
      </c>
      <c r="F26" s="10" t="str">
        <f aca="false">CHOOSE(MOD(A26-1,5)+1,"Центр","Юг","Север","Запад","Восток")</f>
        <v>Восток</v>
      </c>
      <c r="G26" s="10" t="str">
        <f aca="false">"Округ_"&amp;(MOD(A26-1,5)+1)&amp;"_"&amp;(MOD(INT((A26-1)/5),5)+1)</f>
        <v>Округ_5_5</v>
      </c>
      <c r="H26" s="10" t="str">
        <f aca="false">"Город_"&amp;(MOD(A26-1,5)+1)&amp;"_"&amp;(MOD(INT((A26-1)/5),5)+1)&amp;"_"&amp;(MOD(INT((A26-1)/25),10)+1)</f>
        <v>Город_5_5_1</v>
      </c>
      <c r="I26" s="10" t="str">
        <f aca="false">CHOOSE(MOD(A26-1,4)+1,"Электроника","Одежда","Продукты","Мебель")</f>
        <v>Электроника</v>
      </c>
      <c r="J26" s="10" t="str">
        <f aca="false">CHOOSE(MOD(INT((A26-1)/4),4)+1,CHOOSE(MOD(A26-1,4)+1,"Смартфоны","Ноутбуки","Аксессуары","Аудио"),CHOOSE(MOD(A26-1,4)+1,"Верхняя одежда","Спортивная","Повседневная","Обувь"),CHOOSE(MOD(A26-1,4)+1,"Молочные","Мясные","Бакалея","Напитки"),CHOOSE(MOD(A26-1,4)+1,"Мягкая мебель","Корпусная","Офисная","Кухонная"))</f>
        <v>Молочные</v>
      </c>
      <c r="K26" s="12" t="n">
        <f aca="false">1000+MOD(A26*317+A26*A26*7,49001)</f>
        <v>13300</v>
      </c>
      <c r="L26" s="12" t="n">
        <f aca="false">1+MOD(A26*131,100)</f>
        <v>76</v>
      </c>
      <c r="M26" s="12" t="n">
        <f aca="false">INT(K26*(0.6+MOD(A26*43,21)/100))</f>
        <v>8512</v>
      </c>
      <c r="N26" s="12" t="n">
        <f aca="false">K26-M26</f>
        <v>4788</v>
      </c>
    </row>
    <row r="27" customFormat="false" ht="12.8" hidden="false" customHeight="false" outlineLevel="0" collapsed="false">
      <c r="A27" s="10" t="n">
        <f aca="false">A26+1</f>
        <v>26</v>
      </c>
      <c r="B27" s="11" t="n">
        <f aca="false">B26+1</f>
        <v>44952</v>
      </c>
      <c r="C27" s="10" t="n">
        <f aca="false">YEAR(B27)</f>
        <v>2023</v>
      </c>
      <c r="D27" s="10" t="n">
        <f aca="false">INT((MONTH(B27)-1)/3)+1</f>
        <v>1</v>
      </c>
      <c r="E27" s="10" t="n">
        <f aca="false">MONTH(B27)</f>
        <v>1</v>
      </c>
      <c r="F27" s="10" t="str">
        <f aca="false">CHOOSE(MOD(A27-1,5)+1,"Центр","Юг","Север","Запад","Восток")</f>
        <v>Центр</v>
      </c>
      <c r="G27" s="10" t="str">
        <f aca="false">"Округ_"&amp;(MOD(A27-1,5)+1)&amp;"_"&amp;(MOD(INT((A27-1)/5),5)+1)</f>
        <v>Округ_1_1</v>
      </c>
      <c r="H27" s="10" t="str">
        <f aca="false">"Город_"&amp;(MOD(A27-1,5)+1)&amp;"_"&amp;(MOD(INT((A27-1)/5),5)+1)&amp;"_"&amp;(MOD(INT((A27-1)/25),10)+1)</f>
        <v>Город_1_1_2</v>
      </c>
      <c r="I27" s="10" t="str">
        <f aca="false">CHOOSE(MOD(A27-1,4)+1,"Электроника","Одежда","Продукты","Мебель")</f>
        <v>Одежда</v>
      </c>
      <c r="J27" s="10" t="str">
        <f aca="false">CHOOSE(MOD(INT((A27-1)/4),4)+1,CHOOSE(MOD(A27-1,4)+1,"Смартфоны","Ноутбуки","Аксессуары","Аудио"),CHOOSE(MOD(A27-1,4)+1,"Верхняя одежда","Спортивная","Повседневная","Обувь"),CHOOSE(MOD(A27-1,4)+1,"Молочные","Мясные","Бакалея","Напитки"),CHOOSE(MOD(A27-1,4)+1,"Мягкая мебель","Корпусная","Офисная","Кухонная"))</f>
        <v>Мясные</v>
      </c>
      <c r="K27" s="12" t="n">
        <f aca="false">1000+MOD(A27*317+A27*A27*7,49001)</f>
        <v>13974</v>
      </c>
      <c r="L27" s="12" t="n">
        <f aca="false">1+MOD(A27*131,100)</f>
        <v>7</v>
      </c>
      <c r="M27" s="12" t="n">
        <f aca="false">INT(K27*(0.6+MOD(A27*43,21)/100))</f>
        <v>9083</v>
      </c>
      <c r="N27" s="12" t="n">
        <f aca="false">K27-M27</f>
        <v>4891</v>
      </c>
    </row>
    <row r="28" customFormat="false" ht="12.8" hidden="false" customHeight="false" outlineLevel="0" collapsed="false">
      <c r="A28" s="10" t="n">
        <f aca="false">A27+1</f>
        <v>27</v>
      </c>
      <c r="B28" s="11" t="n">
        <f aca="false">B27+1</f>
        <v>44953</v>
      </c>
      <c r="C28" s="10" t="n">
        <f aca="false">YEAR(B28)</f>
        <v>2023</v>
      </c>
      <c r="D28" s="10" t="n">
        <f aca="false">INT((MONTH(B28)-1)/3)+1</f>
        <v>1</v>
      </c>
      <c r="E28" s="10" t="n">
        <f aca="false">MONTH(B28)</f>
        <v>1</v>
      </c>
      <c r="F28" s="10" t="str">
        <f aca="false">CHOOSE(MOD(A28-1,5)+1,"Центр","Юг","Север","Запад","Восток")</f>
        <v>Юг</v>
      </c>
      <c r="G28" s="10" t="str">
        <f aca="false">"Округ_"&amp;(MOD(A28-1,5)+1)&amp;"_"&amp;(MOD(INT((A28-1)/5),5)+1)</f>
        <v>Округ_2_1</v>
      </c>
      <c r="H28" s="10" t="str">
        <f aca="false">"Город_"&amp;(MOD(A28-1,5)+1)&amp;"_"&amp;(MOD(INT((A28-1)/5),5)+1)&amp;"_"&amp;(MOD(INT((A28-1)/25),10)+1)</f>
        <v>Город_2_1_2</v>
      </c>
      <c r="I28" s="10" t="str">
        <f aca="false">CHOOSE(MOD(A28-1,4)+1,"Электроника","Одежда","Продукты","Мебель")</f>
        <v>Продукты</v>
      </c>
      <c r="J28" s="10" t="str">
        <f aca="false">CHOOSE(MOD(INT((A28-1)/4),4)+1,CHOOSE(MOD(A28-1,4)+1,"Смартфоны","Ноутбуки","Аксессуары","Аудио"),CHOOSE(MOD(A28-1,4)+1,"Верхняя одежда","Спортивная","Повседневная","Обувь"),CHOOSE(MOD(A28-1,4)+1,"Молочные","Мясные","Бакалея","Напитки"),CHOOSE(MOD(A28-1,4)+1,"Мягкая мебель","Корпусная","Офисная","Кухонная"))</f>
        <v>Бакалея</v>
      </c>
      <c r="K28" s="12" t="n">
        <f aca="false">1000+MOD(A28*317+A28*A28*7,49001)</f>
        <v>14662</v>
      </c>
      <c r="L28" s="12" t="n">
        <f aca="false">1+MOD(A28*131,100)</f>
        <v>38</v>
      </c>
      <c r="M28" s="12" t="n">
        <f aca="false">INT(K28*(0.6+MOD(A28*43,21)/100))</f>
        <v>9676</v>
      </c>
      <c r="N28" s="12" t="n">
        <f aca="false">K28-M28</f>
        <v>4986</v>
      </c>
    </row>
    <row r="29" customFormat="false" ht="12.8" hidden="false" customHeight="false" outlineLevel="0" collapsed="false">
      <c r="A29" s="10" t="n">
        <f aca="false">A28+1</f>
        <v>28</v>
      </c>
      <c r="B29" s="11" t="n">
        <f aca="false">B28+1</f>
        <v>44954</v>
      </c>
      <c r="C29" s="10" t="n">
        <f aca="false">YEAR(B29)</f>
        <v>2023</v>
      </c>
      <c r="D29" s="10" t="n">
        <f aca="false">INT((MONTH(B29)-1)/3)+1</f>
        <v>1</v>
      </c>
      <c r="E29" s="10" t="n">
        <f aca="false">MONTH(B29)</f>
        <v>1</v>
      </c>
      <c r="F29" s="10" t="str">
        <f aca="false">CHOOSE(MOD(A29-1,5)+1,"Центр","Юг","Север","Запад","Восток")</f>
        <v>Север</v>
      </c>
      <c r="G29" s="10" t="str">
        <f aca="false">"Округ_"&amp;(MOD(A29-1,5)+1)&amp;"_"&amp;(MOD(INT((A29-1)/5),5)+1)</f>
        <v>Округ_3_1</v>
      </c>
      <c r="H29" s="10" t="str">
        <f aca="false">"Город_"&amp;(MOD(A29-1,5)+1)&amp;"_"&amp;(MOD(INT((A29-1)/5),5)+1)&amp;"_"&amp;(MOD(INT((A29-1)/25),10)+1)</f>
        <v>Город_3_1_2</v>
      </c>
      <c r="I29" s="10" t="str">
        <f aca="false">CHOOSE(MOD(A29-1,4)+1,"Электроника","Одежда","Продукты","Мебель")</f>
        <v>Мебель</v>
      </c>
      <c r="J29" s="10" t="str">
        <f aca="false">CHOOSE(MOD(INT((A29-1)/4),4)+1,CHOOSE(MOD(A29-1,4)+1,"Смартфоны","Ноутбуки","Аксессуары","Аудио"),CHOOSE(MOD(A29-1,4)+1,"Верхняя одежда","Спортивная","Повседневная","Обувь"),CHOOSE(MOD(A29-1,4)+1,"Молочные","Мясные","Бакалея","Напитки"),CHOOSE(MOD(A29-1,4)+1,"Мягкая мебель","Корпусная","Офисная","Кухонная"))</f>
        <v>Напитки</v>
      </c>
      <c r="K29" s="12" t="n">
        <f aca="false">1000+MOD(A29*317+A29*A29*7,49001)</f>
        <v>15364</v>
      </c>
      <c r="L29" s="12" t="n">
        <f aca="false">1+MOD(A29*131,100)</f>
        <v>69</v>
      </c>
      <c r="M29" s="12" t="n">
        <f aca="false">INT(K29*(0.6+MOD(A29*43,21)/100))</f>
        <v>10293</v>
      </c>
      <c r="N29" s="12" t="n">
        <f aca="false">K29-M29</f>
        <v>5071</v>
      </c>
    </row>
    <row r="30" customFormat="false" ht="12.8" hidden="false" customHeight="false" outlineLevel="0" collapsed="false">
      <c r="A30" s="10" t="n">
        <f aca="false">A29+1</f>
        <v>29</v>
      </c>
      <c r="B30" s="11" t="n">
        <f aca="false">B29+1</f>
        <v>44955</v>
      </c>
      <c r="C30" s="10" t="n">
        <f aca="false">YEAR(B30)</f>
        <v>2023</v>
      </c>
      <c r="D30" s="10" t="n">
        <f aca="false">INT((MONTH(B30)-1)/3)+1</f>
        <v>1</v>
      </c>
      <c r="E30" s="10" t="n">
        <f aca="false">MONTH(B30)</f>
        <v>1</v>
      </c>
      <c r="F30" s="10" t="str">
        <f aca="false">CHOOSE(MOD(A30-1,5)+1,"Центр","Юг","Север","Запад","Восток")</f>
        <v>Запад</v>
      </c>
      <c r="G30" s="10" t="str">
        <f aca="false">"Округ_"&amp;(MOD(A30-1,5)+1)&amp;"_"&amp;(MOD(INT((A30-1)/5),5)+1)</f>
        <v>Округ_4_1</v>
      </c>
      <c r="H30" s="10" t="str">
        <f aca="false">"Город_"&amp;(MOD(A30-1,5)+1)&amp;"_"&amp;(MOD(INT((A30-1)/5),5)+1)&amp;"_"&amp;(MOD(INT((A30-1)/25),10)+1)</f>
        <v>Город_4_1_2</v>
      </c>
      <c r="I30" s="10" t="str">
        <f aca="false">CHOOSE(MOD(A30-1,4)+1,"Электроника","Одежда","Продукты","Мебель")</f>
        <v>Электроника</v>
      </c>
      <c r="J30" s="10" t="str">
        <f aca="false">CHOOSE(MOD(INT((A30-1)/4),4)+1,CHOOSE(MOD(A30-1,4)+1,"Смартфоны","Ноутбуки","Аксессуары","Аудио"),CHOOSE(MOD(A30-1,4)+1,"Верхняя одежда","Спортивная","Повседневная","Обувь"),CHOOSE(MOD(A30-1,4)+1,"Молочные","Мясные","Бакалея","Напитки"),CHOOSE(MOD(A30-1,4)+1,"Мягкая мебель","Корпусная","Офисная","Кухонная"))</f>
        <v>Мягкая мебель</v>
      </c>
      <c r="K30" s="12" t="n">
        <f aca="false">1000+MOD(A30*317+A30*A30*7,49001)</f>
        <v>16080</v>
      </c>
      <c r="L30" s="12" t="n">
        <f aca="false">1+MOD(A30*131,100)</f>
        <v>100</v>
      </c>
      <c r="M30" s="12" t="n">
        <f aca="false">INT(K30*(0.6+MOD(A30*43,21)/100))</f>
        <v>10934</v>
      </c>
      <c r="N30" s="12" t="n">
        <f aca="false">K30-M30</f>
        <v>5146</v>
      </c>
    </row>
    <row r="31" customFormat="false" ht="12.8" hidden="false" customHeight="false" outlineLevel="0" collapsed="false">
      <c r="A31" s="10" t="n">
        <f aca="false">A30+1</f>
        <v>30</v>
      </c>
      <c r="B31" s="11" t="n">
        <f aca="false">B30+1</f>
        <v>44956</v>
      </c>
      <c r="C31" s="10" t="n">
        <f aca="false">YEAR(B31)</f>
        <v>2023</v>
      </c>
      <c r="D31" s="10" t="n">
        <f aca="false">INT((MONTH(B31)-1)/3)+1</f>
        <v>1</v>
      </c>
      <c r="E31" s="10" t="n">
        <f aca="false">MONTH(B31)</f>
        <v>1</v>
      </c>
      <c r="F31" s="10" t="str">
        <f aca="false">CHOOSE(MOD(A31-1,5)+1,"Центр","Юг","Север","Запад","Восток")</f>
        <v>Восток</v>
      </c>
      <c r="G31" s="10" t="str">
        <f aca="false">"Округ_"&amp;(MOD(A31-1,5)+1)&amp;"_"&amp;(MOD(INT((A31-1)/5),5)+1)</f>
        <v>Округ_5_1</v>
      </c>
      <c r="H31" s="10" t="str">
        <f aca="false">"Город_"&amp;(MOD(A31-1,5)+1)&amp;"_"&amp;(MOD(INT((A31-1)/5),5)+1)&amp;"_"&amp;(MOD(INT((A31-1)/25),10)+1)</f>
        <v>Город_5_1_2</v>
      </c>
      <c r="I31" s="10" t="str">
        <f aca="false">CHOOSE(MOD(A31-1,4)+1,"Электроника","Одежда","Продукты","Мебель")</f>
        <v>Одежда</v>
      </c>
      <c r="J31" s="10" t="str">
        <f aca="false">CHOOSE(MOD(INT((A31-1)/4),4)+1,CHOOSE(MOD(A31-1,4)+1,"Смартфоны","Ноутбуки","Аксессуары","Аудио"),CHOOSE(MOD(A31-1,4)+1,"Верхняя одежда","Спортивная","Повседневная","Обувь"),CHOOSE(MOD(A31-1,4)+1,"Молочные","Мясные","Бакалея","Напитки"),CHOOSE(MOD(A31-1,4)+1,"Мягкая мебель","Корпусная","Офисная","Кухонная"))</f>
        <v>Корпусная</v>
      </c>
      <c r="K31" s="12" t="n">
        <f aca="false">1000+MOD(A31*317+A31*A31*7,49001)</f>
        <v>16810</v>
      </c>
      <c r="L31" s="12" t="n">
        <f aca="false">1+MOD(A31*131,100)</f>
        <v>31</v>
      </c>
      <c r="M31" s="12" t="n">
        <f aca="false">INT(K31*(0.6+MOD(A31*43,21)/100))</f>
        <v>11598</v>
      </c>
      <c r="N31" s="12" t="n">
        <f aca="false">K31-M31</f>
        <v>5212</v>
      </c>
    </row>
    <row r="32" customFormat="false" ht="12.8" hidden="false" customHeight="false" outlineLevel="0" collapsed="false">
      <c r="A32" s="10" t="n">
        <f aca="false">A31+1</f>
        <v>31</v>
      </c>
      <c r="B32" s="11" t="n">
        <f aca="false">B31+1</f>
        <v>44957</v>
      </c>
      <c r="C32" s="10" t="n">
        <f aca="false">YEAR(B32)</f>
        <v>2023</v>
      </c>
      <c r="D32" s="10" t="n">
        <f aca="false">INT((MONTH(B32)-1)/3)+1</f>
        <v>1</v>
      </c>
      <c r="E32" s="10" t="n">
        <f aca="false">MONTH(B32)</f>
        <v>1</v>
      </c>
      <c r="F32" s="10" t="str">
        <f aca="false">CHOOSE(MOD(A32-1,5)+1,"Центр","Юг","Север","Запад","Восток")</f>
        <v>Центр</v>
      </c>
      <c r="G32" s="10" t="str">
        <f aca="false">"Округ_"&amp;(MOD(A32-1,5)+1)&amp;"_"&amp;(MOD(INT((A32-1)/5),5)+1)</f>
        <v>Округ_1_2</v>
      </c>
      <c r="H32" s="10" t="str">
        <f aca="false">"Город_"&amp;(MOD(A32-1,5)+1)&amp;"_"&amp;(MOD(INT((A32-1)/5),5)+1)&amp;"_"&amp;(MOD(INT((A32-1)/25),10)+1)</f>
        <v>Город_1_2_2</v>
      </c>
      <c r="I32" s="10" t="str">
        <f aca="false">CHOOSE(MOD(A32-1,4)+1,"Электроника","Одежда","Продукты","Мебель")</f>
        <v>Продукты</v>
      </c>
      <c r="J32" s="10" t="str">
        <f aca="false">CHOOSE(MOD(INT((A32-1)/4),4)+1,CHOOSE(MOD(A32-1,4)+1,"Смартфоны","Ноутбуки","Аксессуары","Аудио"),CHOOSE(MOD(A32-1,4)+1,"Верхняя одежда","Спортивная","Повседневная","Обувь"),CHOOSE(MOD(A32-1,4)+1,"Молочные","Мясные","Бакалея","Напитки"),CHOOSE(MOD(A32-1,4)+1,"Мягкая мебель","Корпусная","Офисная","Кухонная"))</f>
        <v>Офисная</v>
      </c>
      <c r="K32" s="12" t="n">
        <f aca="false">1000+MOD(A32*317+A32*A32*7,49001)</f>
        <v>17554</v>
      </c>
      <c r="L32" s="12" t="n">
        <f aca="false">1+MOD(A32*131,100)</f>
        <v>62</v>
      </c>
      <c r="M32" s="12" t="n">
        <f aca="false">INT(K32*(0.6+MOD(A32*43,21)/100))</f>
        <v>12287</v>
      </c>
      <c r="N32" s="12" t="n">
        <f aca="false">K32-M32</f>
        <v>5267</v>
      </c>
    </row>
    <row r="33" customFormat="false" ht="12.8" hidden="false" customHeight="false" outlineLevel="0" collapsed="false">
      <c r="A33" s="10" t="n">
        <f aca="false">A32+1</f>
        <v>32</v>
      </c>
      <c r="B33" s="11" t="n">
        <f aca="false">B32+1</f>
        <v>44958</v>
      </c>
      <c r="C33" s="10" t="n">
        <f aca="false">YEAR(B33)</f>
        <v>2023</v>
      </c>
      <c r="D33" s="10" t="n">
        <f aca="false">INT((MONTH(B33)-1)/3)+1</f>
        <v>1</v>
      </c>
      <c r="E33" s="10" t="n">
        <f aca="false">MONTH(B33)</f>
        <v>2</v>
      </c>
      <c r="F33" s="10" t="str">
        <f aca="false">CHOOSE(MOD(A33-1,5)+1,"Центр","Юг","Север","Запад","Восток")</f>
        <v>Юг</v>
      </c>
      <c r="G33" s="10" t="str">
        <f aca="false">"Округ_"&amp;(MOD(A33-1,5)+1)&amp;"_"&amp;(MOD(INT((A33-1)/5),5)+1)</f>
        <v>Округ_2_2</v>
      </c>
      <c r="H33" s="10" t="str">
        <f aca="false">"Город_"&amp;(MOD(A33-1,5)+1)&amp;"_"&amp;(MOD(INT((A33-1)/5),5)+1)&amp;"_"&amp;(MOD(INT((A33-1)/25),10)+1)</f>
        <v>Город_2_2_2</v>
      </c>
      <c r="I33" s="10" t="str">
        <f aca="false">CHOOSE(MOD(A33-1,4)+1,"Электроника","Одежда","Продукты","Мебель")</f>
        <v>Мебель</v>
      </c>
      <c r="J33" s="10" t="str">
        <f aca="false">CHOOSE(MOD(INT((A33-1)/4),4)+1,CHOOSE(MOD(A33-1,4)+1,"Смартфоны","Ноутбуки","Аксессуары","Аудио"),CHOOSE(MOD(A33-1,4)+1,"Верхняя одежда","Спортивная","Повседневная","Обувь"),CHOOSE(MOD(A33-1,4)+1,"Молочные","Мясные","Бакалея","Напитки"),CHOOSE(MOD(A33-1,4)+1,"Мягкая мебель","Корпусная","Офисная","Кухонная"))</f>
        <v>Кухонная</v>
      </c>
      <c r="K33" s="12" t="n">
        <f aca="false">1000+MOD(A33*317+A33*A33*7,49001)</f>
        <v>18312</v>
      </c>
      <c r="L33" s="12" t="n">
        <f aca="false">1+MOD(A33*131,100)</f>
        <v>93</v>
      </c>
      <c r="M33" s="12" t="n">
        <f aca="false">INT(K33*(0.6+MOD(A33*43,21)/100))</f>
        <v>13001</v>
      </c>
      <c r="N33" s="12" t="n">
        <f aca="false">K33-M33</f>
        <v>5311</v>
      </c>
    </row>
    <row r="34" customFormat="false" ht="12.8" hidden="false" customHeight="false" outlineLevel="0" collapsed="false">
      <c r="A34" s="10" t="n">
        <f aca="false">A33+1</f>
        <v>33</v>
      </c>
      <c r="B34" s="11" t="n">
        <f aca="false">B33+1</f>
        <v>44959</v>
      </c>
      <c r="C34" s="10" t="n">
        <f aca="false">YEAR(B34)</f>
        <v>2023</v>
      </c>
      <c r="D34" s="10" t="n">
        <f aca="false">INT((MONTH(B34)-1)/3)+1</f>
        <v>1</v>
      </c>
      <c r="E34" s="10" t="n">
        <f aca="false">MONTH(B34)</f>
        <v>2</v>
      </c>
      <c r="F34" s="10" t="str">
        <f aca="false">CHOOSE(MOD(A34-1,5)+1,"Центр","Юг","Север","Запад","Восток")</f>
        <v>Север</v>
      </c>
      <c r="G34" s="10" t="str">
        <f aca="false">"Округ_"&amp;(MOD(A34-1,5)+1)&amp;"_"&amp;(MOD(INT((A34-1)/5),5)+1)</f>
        <v>Округ_3_2</v>
      </c>
      <c r="H34" s="10" t="str">
        <f aca="false">"Город_"&amp;(MOD(A34-1,5)+1)&amp;"_"&amp;(MOD(INT((A34-1)/5),5)+1)&amp;"_"&amp;(MOD(INT((A34-1)/25),10)+1)</f>
        <v>Город_3_2_2</v>
      </c>
      <c r="I34" s="10" t="str">
        <f aca="false">CHOOSE(MOD(A34-1,4)+1,"Электроника","Одежда","Продукты","Мебель")</f>
        <v>Электроника</v>
      </c>
      <c r="J34" s="10" t="str">
        <f aca="false">CHOOSE(MOD(INT((A34-1)/4),4)+1,CHOOSE(MOD(A34-1,4)+1,"Смартфоны","Ноутбуки","Аксессуары","Аудио"),CHOOSE(MOD(A34-1,4)+1,"Верхняя одежда","Спортивная","Повседневная","Обувь"),CHOOSE(MOD(A34-1,4)+1,"Молочные","Мясные","Бакалея","Напитки"),CHOOSE(MOD(A34-1,4)+1,"Мягкая мебель","Корпусная","Офисная","Кухонная"))</f>
        <v>Смартфоны</v>
      </c>
      <c r="K34" s="12" t="n">
        <f aca="false">1000+MOD(A34*317+A34*A34*7,49001)</f>
        <v>19084</v>
      </c>
      <c r="L34" s="12" t="n">
        <f aca="false">1+MOD(A34*131,100)</f>
        <v>24</v>
      </c>
      <c r="M34" s="12" t="n">
        <f aca="false">INT(K34*(0.6+MOD(A34*43,21)/100))</f>
        <v>13740</v>
      </c>
      <c r="N34" s="12" t="n">
        <f aca="false">K34-M34</f>
        <v>5344</v>
      </c>
    </row>
    <row r="35" customFormat="false" ht="12.8" hidden="false" customHeight="false" outlineLevel="0" collapsed="false">
      <c r="A35" s="10" t="n">
        <f aca="false">A34+1</f>
        <v>34</v>
      </c>
      <c r="B35" s="11" t="n">
        <f aca="false">B34+1</f>
        <v>44960</v>
      </c>
      <c r="C35" s="10" t="n">
        <f aca="false">YEAR(B35)</f>
        <v>2023</v>
      </c>
      <c r="D35" s="10" t="n">
        <f aca="false">INT((MONTH(B35)-1)/3)+1</f>
        <v>1</v>
      </c>
      <c r="E35" s="10" t="n">
        <f aca="false">MONTH(B35)</f>
        <v>2</v>
      </c>
      <c r="F35" s="10" t="str">
        <f aca="false">CHOOSE(MOD(A35-1,5)+1,"Центр","Юг","Север","Запад","Восток")</f>
        <v>Запад</v>
      </c>
      <c r="G35" s="10" t="str">
        <f aca="false">"Округ_"&amp;(MOD(A35-1,5)+1)&amp;"_"&amp;(MOD(INT((A35-1)/5),5)+1)</f>
        <v>Округ_4_2</v>
      </c>
      <c r="H35" s="10" t="str">
        <f aca="false">"Город_"&amp;(MOD(A35-1,5)+1)&amp;"_"&amp;(MOD(INT((A35-1)/5),5)+1)&amp;"_"&amp;(MOD(INT((A35-1)/25),10)+1)</f>
        <v>Город_4_2_2</v>
      </c>
      <c r="I35" s="10" t="str">
        <f aca="false">CHOOSE(MOD(A35-1,4)+1,"Электроника","Одежда","Продукты","Мебель")</f>
        <v>Одежда</v>
      </c>
      <c r="J35" s="10" t="str">
        <f aca="false">CHOOSE(MOD(INT((A35-1)/4),4)+1,CHOOSE(MOD(A35-1,4)+1,"Смартфоны","Ноутбуки","Аксессуары","Аудио"),CHOOSE(MOD(A35-1,4)+1,"Верхняя одежда","Спортивная","Повседневная","Обувь"),CHOOSE(MOD(A35-1,4)+1,"Молочные","Мясные","Бакалея","Напитки"),CHOOSE(MOD(A35-1,4)+1,"Мягкая мебель","Корпусная","Офисная","Кухонная"))</f>
        <v>Ноутбуки</v>
      </c>
      <c r="K35" s="12" t="n">
        <f aca="false">1000+MOD(A35*317+A35*A35*7,49001)</f>
        <v>19870</v>
      </c>
      <c r="L35" s="12" t="n">
        <f aca="false">1+MOD(A35*131,100)</f>
        <v>55</v>
      </c>
      <c r="M35" s="12" t="n">
        <f aca="false">INT(K35*(0.6+MOD(A35*43,21)/100))</f>
        <v>14505</v>
      </c>
      <c r="N35" s="12" t="n">
        <f aca="false">K35-M35</f>
        <v>5365</v>
      </c>
    </row>
    <row r="36" customFormat="false" ht="12.8" hidden="false" customHeight="false" outlineLevel="0" collapsed="false">
      <c r="A36" s="10" t="n">
        <f aca="false">A35+1</f>
        <v>35</v>
      </c>
      <c r="B36" s="11" t="n">
        <f aca="false">B35+1</f>
        <v>44961</v>
      </c>
      <c r="C36" s="10" t="n">
        <f aca="false">YEAR(B36)</f>
        <v>2023</v>
      </c>
      <c r="D36" s="10" t="n">
        <f aca="false">INT((MONTH(B36)-1)/3)+1</f>
        <v>1</v>
      </c>
      <c r="E36" s="10" t="n">
        <f aca="false">MONTH(B36)</f>
        <v>2</v>
      </c>
      <c r="F36" s="10" t="str">
        <f aca="false">CHOOSE(MOD(A36-1,5)+1,"Центр","Юг","Север","Запад","Восток")</f>
        <v>Восток</v>
      </c>
      <c r="G36" s="10" t="str">
        <f aca="false">"Округ_"&amp;(MOD(A36-1,5)+1)&amp;"_"&amp;(MOD(INT((A36-1)/5),5)+1)</f>
        <v>Округ_5_2</v>
      </c>
      <c r="H36" s="10" t="str">
        <f aca="false">"Город_"&amp;(MOD(A36-1,5)+1)&amp;"_"&amp;(MOD(INT((A36-1)/5),5)+1)&amp;"_"&amp;(MOD(INT((A36-1)/25),10)+1)</f>
        <v>Город_5_2_2</v>
      </c>
      <c r="I36" s="10" t="str">
        <f aca="false">CHOOSE(MOD(A36-1,4)+1,"Электроника","Одежда","Продукты","Мебель")</f>
        <v>Продукты</v>
      </c>
      <c r="J36" s="10" t="str">
        <f aca="false">CHOOSE(MOD(INT((A36-1)/4),4)+1,CHOOSE(MOD(A36-1,4)+1,"Смартфоны","Ноутбуки","Аксессуары","Аудио"),CHOOSE(MOD(A36-1,4)+1,"Верхняя одежда","Спортивная","Повседневная","Обувь"),CHOOSE(MOD(A36-1,4)+1,"Молочные","Мясные","Бакалея","Напитки"),CHOOSE(MOD(A36-1,4)+1,"Мягкая мебель","Корпусная","Офисная","Кухонная"))</f>
        <v>Аксессуары</v>
      </c>
      <c r="K36" s="12" t="n">
        <f aca="false">1000+MOD(A36*317+A36*A36*7,49001)</f>
        <v>20670</v>
      </c>
      <c r="L36" s="12" t="n">
        <f aca="false">1+MOD(A36*131,100)</f>
        <v>86</v>
      </c>
      <c r="M36" s="12" t="n">
        <f aca="false">INT(K36*(0.6+MOD(A36*43,21)/100))</f>
        <v>15295</v>
      </c>
      <c r="N36" s="12" t="n">
        <f aca="false">K36-M36</f>
        <v>5375</v>
      </c>
    </row>
    <row r="37" customFormat="false" ht="12.8" hidden="false" customHeight="false" outlineLevel="0" collapsed="false">
      <c r="A37" s="10" t="n">
        <f aca="false">A36+1</f>
        <v>36</v>
      </c>
      <c r="B37" s="11" t="n">
        <f aca="false">B36+1</f>
        <v>44962</v>
      </c>
      <c r="C37" s="10" t="n">
        <f aca="false">YEAR(B37)</f>
        <v>2023</v>
      </c>
      <c r="D37" s="10" t="n">
        <f aca="false">INT((MONTH(B37)-1)/3)+1</f>
        <v>1</v>
      </c>
      <c r="E37" s="10" t="n">
        <f aca="false">MONTH(B37)</f>
        <v>2</v>
      </c>
      <c r="F37" s="10" t="str">
        <f aca="false">CHOOSE(MOD(A37-1,5)+1,"Центр","Юг","Север","Запад","Восток")</f>
        <v>Центр</v>
      </c>
      <c r="G37" s="10" t="str">
        <f aca="false">"Округ_"&amp;(MOD(A37-1,5)+1)&amp;"_"&amp;(MOD(INT((A37-1)/5),5)+1)</f>
        <v>Округ_1_3</v>
      </c>
      <c r="H37" s="10" t="str">
        <f aca="false">"Город_"&amp;(MOD(A37-1,5)+1)&amp;"_"&amp;(MOD(INT((A37-1)/5),5)+1)&amp;"_"&amp;(MOD(INT((A37-1)/25),10)+1)</f>
        <v>Город_1_3_2</v>
      </c>
      <c r="I37" s="10" t="str">
        <f aca="false">CHOOSE(MOD(A37-1,4)+1,"Электроника","Одежда","Продукты","Мебель")</f>
        <v>Мебель</v>
      </c>
      <c r="J37" s="10" t="str">
        <f aca="false">CHOOSE(MOD(INT((A37-1)/4),4)+1,CHOOSE(MOD(A37-1,4)+1,"Смартфоны","Ноутбуки","Аксессуары","Аудио"),CHOOSE(MOD(A37-1,4)+1,"Верхняя одежда","Спортивная","Повседневная","Обувь"),CHOOSE(MOD(A37-1,4)+1,"Молочные","Мясные","Бакалея","Напитки"),CHOOSE(MOD(A37-1,4)+1,"Мягкая мебель","Корпусная","Офисная","Кухонная"))</f>
        <v>Аудио</v>
      </c>
      <c r="K37" s="12" t="n">
        <f aca="false">1000+MOD(A37*317+A37*A37*7,49001)</f>
        <v>21484</v>
      </c>
      <c r="L37" s="12" t="n">
        <f aca="false">1+MOD(A37*131,100)</f>
        <v>17</v>
      </c>
      <c r="M37" s="12" t="n">
        <f aca="false">INT(K37*(0.6+MOD(A37*43,21)/100))</f>
        <v>16113</v>
      </c>
      <c r="N37" s="12" t="n">
        <f aca="false">K37-M37</f>
        <v>5371</v>
      </c>
    </row>
    <row r="38" customFormat="false" ht="12.8" hidden="false" customHeight="false" outlineLevel="0" collapsed="false">
      <c r="A38" s="10" t="n">
        <f aca="false">A37+1</f>
        <v>37</v>
      </c>
      <c r="B38" s="11" t="n">
        <f aca="false">B37+1</f>
        <v>44963</v>
      </c>
      <c r="C38" s="10" t="n">
        <f aca="false">YEAR(B38)</f>
        <v>2023</v>
      </c>
      <c r="D38" s="10" t="n">
        <f aca="false">INT((MONTH(B38)-1)/3)+1</f>
        <v>1</v>
      </c>
      <c r="E38" s="10" t="n">
        <f aca="false">MONTH(B38)</f>
        <v>2</v>
      </c>
      <c r="F38" s="10" t="str">
        <f aca="false">CHOOSE(MOD(A38-1,5)+1,"Центр","Юг","Север","Запад","Восток")</f>
        <v>Юг</v>
      </c>
      <c r="G38" s="10" t="str">
        <f aca="false">"Округ_"&amp;(MOD(A38-1,5)+1)&amp;"_"&amp;(MOD(INT((A38-1)/5),5)+1)</f>
        <v>Округ_2_3</v>
      </c>
      <c r="H38" s="10" t="str">
        <f aca="false">"Город_"&amp;(MOD(A38-1,5)+1)&amp;"_"&amp;(MOD(INT((A38-1)/5),5)+1)&amp;"_"&amp;(MOD(INT((A38-1)/25),10)+1)</f>
        <v>Город_2_3_2</v>
      </c>
      <c r="I38" s="10" t="str">
        <f aca="false">CHOOSE(MOD(A38-1,4)+1,"Электроника","Одежда","Продукты","Мебель")</f>
        <v>Электроника</v>
      </c>
      <c r="J38" s="10" t="str">
        <f aca="false">CHOOSE(MOD(INT((A38-1)/4),4)+1,CHOOSE(MOD(A38-1,4)+1,"Смартфоны","Ноутбуки","Аксессуары","Аудио"),CHOOSE(MOD(A38-1,4)+1,"Верхняя одежда","Спортивная","Повседневная","Обувь"),CHOOSE(MOD(A38-1,4)+1,"Молочные","Мясные","Бакалея","Напитки"),CHOOSE(MOD(A38-1,4)+1,"Мягкая мебель","Корпусная","Офисная","Кухонная"))</f>
        <v>Верхняя одежда</v>
      </c>
      <c r="K38" s="12" t="n">
        <f aca="false">1000+MOD(A38*317+A38*A38*7,49001)</f>
        <v>22312</v>
      </c>
      <c r="L38" s="12" t="n">
        <f aca="false">1+MOD(A38*131,100)</f>
        <v>48</v>
      </c>
      <c r="M38" s="12" t="n">
        <f aca="false">INT(K38*(0.6+MOD(A38*43,21)/100))</f>
        <v>16957</v>
      </c>
      <c r="N38" s="12" t="n">
        <f aca="false">K38-M38</f>
        <v>5355</v>
      </c>
    </row>
    <row r="39" customFormat="false" ht="12.8" hidden="false" customHeight="false" outlineLevel="0" collapsed="false">
      <c r="A39" s="10" t="n">
        <f aca="false">A38+1</f>
        <v>38</v>
      </c>
      <c r="B39" s="11" t="n">
        <f aca="false">B38+1</f>
        <v>44964</v>
      </c>
      <c r="C39" s="10" t="n">
        <f aca="false">YEAR(B39)</f>
        <v>2023</v>
      </c>
      <c r="D39" s="10" t="n">
        <f aca="false">INT((MONTH(B39)-1)/3)+1</f>
        <v>1</v>
      </c>
      <c r="E39" s="10" t="n">
        <f aca="false">MONTH(B39)</f>
        <v>2</v>
      </c>
      <c r="F39" s="10" t="str">
        <f aca="false">CHOOSE(MOD(A39-1,5)+1,"Центр","Юг","Север","Запад","Восток")</f>
        <v>Север</v>
      </c>
      <c r="G39" s="10" t="str">
        <f aca="false">"Округ_"&amp;(MOD(A39-1,5)+1)&amp;"_"&amp;(MOD(INT((A39-1)/5),5)+1)</f>
        <v>Округ_3_3</v>
      </c>
      <c r="H39" s="10" t="str">
        <f aca="false">"Город_"&amp;(MOD(A39-1,5)+1)&amp;"_"&amp;(MOD(INT((A39-1)/5),5)+1)&amp;"_"&amp;(MOD(INT((A39-1)/25),10)+1)</f>
        <v>Город_3_3_2</v>
      </c>
      <c r="I39" s="10" t="str">
        <f aca="false">CHOOSE(MOD(A39-1,4)+1,"Электроника","Одежда","Продукты","Мебель")</f>
        <v>Одежда</v>
      </c>
      <c r="J39" s="10" t="str">
        <f aca="false">CHOOSE(MOD(INT((A39-1)/4),4)+1,CHOOSE(MOD(A39-1,4)+1,"Смартфоны","Ноутбуки","Аксессуары","Аудио"),CHOOSE(MOD(A39-1,4)+1,"Верхняя одежда","Спортивная","Повседневная","Обувь"),CHOOSE(MOD(A39-1,4)+1,"Молочные","Мясные","Бакалея","Напитки"),CHOOSE(MOD(A39-1,4)+1,"Мягкая мебель","Корпусная","Офисная","Кухонная"))</f>
        <v>Спортивная</v>
      </c>
      <c r="K39" s="12" t="n">
        <f aca="false">1000+MOD(A39*317+A39*A39*7,49001)</f>
        <v>23154</v>
      </c>
      <c r="L39" s="12" t="n">
        <f aca="false">1+MOD(A39*131,100)</f>
        <v>79</v>
      </c>
      <c r="M39" s="12" t="n">
        <f aca="false">INT(K39*(0.6+MOD(A39*43,21)/100))</f>
        <v>17828</v>
      </c>
      <c r="N39" s="12" t="n">
        <f aca="false">K39-M39</f>
        <v>5326</v>
      </c>
    </row>
    <row r="40" customFormat="false" ht="12.8" hidden="false" customHeight="false" outlineLevel="0" collapsed="false">
      <c r="A40" s="10" t="n">
        <f aca="false">A39+1</f>
        <v>39</v>
      </c>
      <c r="B40" s="11" t="n">
        <f aca="false">B39+1</f>
        <v>44965</v>
      </c>
      <c r="C40" s="10" t="n">
        <f aca="false">YEAR(B40)</f>
        <v>2023</v>
      </c>
      <c r="D40" s="10" t="n">
        <f aca="false">INT((MONTH(B40)-1)/3)+1</f>
        <v>1</v>
      </c>
      <c r="E40" s="10" t="n">
        <f aca="false">MONTH(B40)</f>
        <v>2</v>
      </c>
      <c r="F40" s="10" t="str">
        <f aca="false">CHOOSE(MOD(A40-1,5)+1,"Центр","Юг","Север","Запад","Восток")</f>
        <v>Запад</v>
      </c>
      <c r="G40" s="10" t="str">
        <f aca="false">"Округ_"&amp;(MOD(A40-1,5)+1)&amp;"_"&amp;(MOD(INT((A40-1)/5),5)+1)</f>
        <v>Округ_4_3</v>
      </c>
      <c r="H40" s="10" t="str">
        <f aca="false">"Город_"&amp;(MOD(A40-1,5)+1)&amp;"_"&amp;(MOD(INT((A40-1)/5),5)+1)&amp;"_"&amp;(MOD(INT((A40-1)/25),10)+1)</f>
        <v>Город_4_3_2</v>
      </c>
      <c r="I40" s="10" t="str">
        <f aca="false">CHOOSE(MOD(A40-1,4)+1,"Электроника","Одежда","Продукты","Мебель")</f>
        <v>Продукты</v>
      </c>
      <c r="J40" s="10" t="str">
        <f aca="false">CHOOSE(MOD(INT((A40-1)/4),4)+1,CHOOSE(MOD(A40-1,4)+1,"Смартфоны","Ноутбуки","Аксессуары","Аудио"),CHOOSE(MOD(A40-1,4)+1,"Верхняя одежда","Спортивная","Повседневная","Обувь"),CHOOSE(MOD(A40-1,4)+1,"Молочные","Мясные","Бакалея","Напитки"),CHOOSE(MOD(A40-1,4)+1,"Мягкая мебель","Корпусная","Офисная","Кухонная"))</f>
        <v>Повседневная</v>
      </c>
      <c r="K40" s="12" t="n">
        <f aca="false">1000+MOD(A40*317+A40*A40*7,49001)</f>
        <v>24010</v>
      </c>
      <c r="L40" s="12" t="n">
        <f aca="false">1+MOD(A40*131,100)</f>
        <v>10</v>
      </c>
      <c r="M40" s="12" t="n">
        <f aca="false">INT(K40*(0.6+MOD(A40*43,21)/100))</f>
        <v>18727</v>
      </c>
      <c r="N40" s="12" t="n">
        <f aca="false">K40-M40</f>
        <v>5283</v>
      </c>
    </row>
    <row r="41" customFormat="false" ht="12.8" hidden="false" customHeight="false" outlineLevel="0" collapsed="false">
      <c r="A41" s="10" t="n">
        <f aca="false">A40+1</f>
        <v>40</v>
      </c>
      <c r="B41" s="11" t="n">
        <f aca="false">B40+1</f>
        <v>44966</v>
      </c>
      <c r="C41" s="10" t="n">
        <f aca="false">YEAR(B41)</f>
        <v>2023</v>
      </c>
      <c r="D41" s="10" t="n">
        <f aca="false">INT((MONTH(B41)-1)/3)+1</f>
        <v>1</v>
      </c>
      <c r="E41" s="10" t="n">
        <f aca="false">MONTH(B41)</f>
        <v>2</v>
      </c>
      <c r="F41" s="10" t="str">
        <f aca="false">CHOOSE(MOD(A41-1,5)+1,"Центр","Юг","Север","Запад","Восток")</f>
        <v>Восток</v>
      </c>
      <c r="G41" s="10" t="str">
        <f aca="false">"Округ_"&amp;(MOD(A41-1,5)+1)&amp;"_"&amp;(MOD(INT((A41-1)/5),5)+1)</f>
        <v>Округ_5_3</v>
      </c>
      <c r="H41" s="10" t="str">
        <f aca="false">"Город_"&amp;(MOD(A41-1,5)+1)&amp;"_"&amp;(MOD(INT((A41-1)/5),5)+1)&amp;"_"&amp;(MOD(INT((A41-1)/25),10)+1)</f>
        <v>Город_5_3_2</v>
      </c>
      <c r="I41" s="10" t="str">
        <f aca="false">CHOOSE(MOD(A41-1,4)+1,"Электроника","Одежда","Продукты","Мебель")</f>
        <v>Мебель</v>
      </c>
      <c r="J41" s="10" t="str">
        <f aca="false">CHOOSE(MOD(INT((A41-1)/4),4)+1,CHOOSE(MOD(A41-1,4)+1,"Смартфоны","Ноутбуки","Аксессуары","Аудио"),CHOOSE(MOD(A41-1,4)+1,"Верхняя одежда","Спортивная","Повседневная","Обувь"),CHOOSE(MOD(A41-1,4)+1,"Молочные","Мясные","Бакалея","Напитки"),CHOOSE(MOD(A41-1,4)+1,"Мягкая мебель","Корпусная","Офисная","Кухонная"))</f>
        <v>Обувь</v>
      </c>
      <c r="K41" s="12" t="n">
        <f aca="false">1000+MOD(A41*317+A41*A41*7,49001)</f>
        <v>24880</v>
      </c>
      <c r="L41" s="12" t="n">
        <f aca="false">1+MOD(A41*131,100)</f>
        <v>41</v>
      </c>
      <c r="M41" s="12" t="n">
        <f aca="false">INT(K41*(0.6+MOD(A41*43,21)/100))</f>
        <v>19655</v>
      </c>
      <c r="N41" s="12" t="n">
        <f aca="false">K41-M41</f>
        <v>5225</v>
      </c>
    </row>
    <row r="42" customFormat="false" ht="12.8" hidden="false" customHeight="false" outlineLevel="0" collapsed="false">
      <c r="A42" s="10" t="n">
        <f aca="false">A41+1</f>
        <v>41</v>
      </c>
      <c r="B42" s="11" t="n">
        <f aca="false">B41+1</f>
        <v>44967</v>
      </c>
      <c r="C42" s="10" t="n">
        <f aca="false">YEAR(B42)</f>
        <v>2023</v>
      </c>
      <c r="D42" s="10" t="n">
        <f aca="false">INT((MONTH(B42)-1)/3)+1</f>
        <v>1</v>
      </c>
      <c r="E42" s="10" t="n">
        <f aca="false">MONTH(B42)</f>
        <v>2</v>
      </c>
      <c r="F42" s="10" t="str">
        <f aca="false">CHOOSE(MOD(A42-1,5)+1,"Центр","Юг","Север","Запад","Восток")</f>
        <v>Центр</v>
      </c>
      <c r="G42" s="10" t="str">
        <f aca="false">"Округ_"&amp;(MOD(A42-1,5)+1)&amp;"_"&amp;(MOD(INT((A42-1)/5),5)+1)</f>
        <v>Округ_1_4</v>
      </c>
      <c r="H42" s="10" t="str">
        <f aca="false">"Город_"&amp;(MOD(A42-1,5)+1)&amp;"_"&amp;(MOD(INT((A42-1)/5),5)+1)&amp;"_"&amp;(MOD(INT((A42-1)/25),10)+1)</f>
        <v>Город_1_4_2</v>
      </c>
      <c r="I42" s="10" t="str">
        <f aca="false">CHOOSE(MOD(A42-1,4)+1,"Электроника","Одежда","Продукты","Мебель")</f>
        <v>Электроника</v>
      </c>
      <c r="J42" s="10" t="str">
        <f aca="false">CHOOSE(MOD(INT((A42-1)/4),4)+1,CHOOSE(MOD(A42-1,4)+1,"Смартфоны","Ноутбуки","Аксессуары","Аудио"),CHOOSE(MOD(A42-1,4)+1,"Верхняя одежда","Спортивная","Повседневная","Обувь"),CHOOSE(MOD(A42-1,4)+1,"Молочные","Мясные","Бакалея","Напитки"),CHOOSE(MOD(A42-1,4)+1,"Мягкая мебель","Корпусная","Офисная","Кухонная"))</f>
        <v>Молочные</v>
      </c>
      <c r="K42" s="12" t="n">
        <f aca="false">1000+MOD(A42*317+A42*A42*7,49001)</f>
        <v>25764</v>
      </c>
      <c r="L42" s="12" t="n">
        <f aca="false">1+MOD(A42*131,100)</f>
        <v>72</v>
      </c>
      <c r="M42" s="12" t="n">
        <f aca="false">INT(K42*(0.6+MOD(A42*43,21)/100))</f>
        <v>20611</v>
      </c>
      <c r="N42" s="12" t="n">
        <f aca="false">K42-M42</f>
        <v>5153</v>
      </c>
    </row>
    <row r="43" customFormat="false" ht="12.8" hidden="false" customHeight="false" outlineLevel="0" collapsed="false">
      <c r="A43" s="10" t="n">
        <f aca="false">A42+1</f>
        <v>42</v>
      </c>
      <c r="B43" s="11" t="n">
        <f aca="false">B42+1</f>
        <v>44968</v>
      </c>
      <c r="C43" s="10" t="n">
        <f aca="false">YEAR(B43)</f>
        <v>2023</v>
      </c>
      <c r="D43" s="10" t="n">
        <f aca="false">INT((MONTH(B43)-1)/3)+1</f>
        <v>1</v>
      </c>
      <c r="E43" s="10" t="n">
        <f aca="false">MONTH(B43)</f>
        <v>2</v>
      </c>
      <c r="F43" s="10" t="str">
        <f aca="false">CHOOSE(MOD(A43-1,5)+1,"Центр","Юг","Север","Запад","Восток")</f>
        <v>Юг</v>
      </c>
      <c r="G43" s="10" t="str">
        <f aca="false">"Округ_"&amp;(MOD(A43-1,5)+1)&amp;"_"&amp;(MOD(INT((A43-1)/5),5)+1)</f>
        <v>Округ_2_4</v>
      </c>
      <c r="H43" s="10" t="str">
        <f aca="false">"Город_"&amp;(MOD(A43-1,5)+1)&amp;"_"&amp;(MOD(INT((A43-1)/5),5)+1)&amp;"_"&amp;(MOD(INT((A43-1)/25),10)+1)</f>
        <v>Город_2_4_2</v>
      </c>
      <c r="I43" s="10" t="str">
        <f aca="false">CHOOSE(MOD(A43-1,4)+1,"Электроника","Одежда","Продукты","Мебель")</f>
        <v>Одежда</v>
      </c>
      <c r="J43" s="10" t="str">
        <f aca="false">CHOOSE(MOD(INT((A43-1)/4),4)+1,CHOOSE(MOD(A43-1,4)+1,"Смартфоны","Ноутбуки","Аксессуары","Аудио"),CHOOSE(MOD(A43-1,4)+1,"Верхняя одежда","Спортивная","Повседневная","Обувь"),CHOOSE(MOD(A43-1,4)+1,"Молочные","Мясные","Бакалея","Напитки"),CHOOSE(MOD(A43-1,4)+1,"Мягкая мебель","Корпусная","Офисная","Кухонная"))</f>
        <v>Мясные</v>
      </c>
      <c r="K43" s="12" t="n">
        <f aca="false">1000+MOD(A43*317+A43*A43*7,49001)</f>
        <v>26662</v>
      </c>
      <c r="L43" s="12" t="n">
        <f aca="false">1+MOD(A43*131,100)</f>
        <v>3</v>
      </c>
      <c r="M43" s="12" t="n">
        <f aca="false">INT(K43*(0.6+MOD(A43*43,21)/100))</f>
        <v>15997</v>
      </c>
      <c r="N43" s="12" t="n">
        <f aca="false">K43-M43</f>
        <v>10665</v>
      </c>
    </row>
    <row r="44" customFormat="false" ht="12.8" hidden="false" customHeight="false" outlineLevel="0" collapsed="false">
      <c r="A44" s="10" t="n">
        <f aca="false">A43+1</f>
        <v>43</v>
      </c>
      <c r="B44" s="11" t="n">
        <f aca="false">B43+1</f>
        <v>44969</v>
      </c>
      <c r="C44" s="10" t="n">
        <f aca="false">YEAR(B44)</f>
        <v>2023</v>
      </c>
      <c r="D44" s="10" t="n">
        <f aca="false">INT((MONTH(B44)-1)/3)+1</f>
        <v>1</v>
      </c>
      <c r="E44" s="10" t="n">
        <f aca="false">MONTH(B44)</f>
        <v>2</v>
      </c>
      <c r="F44" s="10" t="str">
        <f aca="false">CHOOSE(MOD(A44-1,5)+1,"Центр","Юг","Север","Запад","Восток")</f>
        <v>Север</v>
      </c>
      <c r="G44" s="10" t="str">
        <f aca="false">"Округ_"&amp;(MOD(A44-1,5)+1)&amp;"_"&amp;(MOD(INT((A44-1)/5),5)+1)</f>
        <v>Округ_3_4</v>
      </c>
      <c r="H44" s="10" t="str">
        <f aca="false">"Город_"&amp;(MOD(A44-1,5)+1)&amp;"_"&amp;(MOD(INT((A44-1)/5),5)+1)&amp;"_"&amp;(MOD(INT((A44-1)/25),10)+1)</f>
        <v>Город_3_4_2</v>
      </c>
      <c r="I44" s="10" t="str">
        <f aca="false">CHOOSE(MOD(A44-1,4)+1,"Электроника","Одежда","Продукты","Мебель")</f>
        <v>Продукты</v>
      </c>
      <c r="J44" s="10" t="str">
        <f aca="false">CHOOSE(MOD(INT((A44-1)/4),4)+1,CHOOSE(MOD(A44-1,4)+1,"Смартфоны","Ноутбуки","Аксессуары","Аудио"),CHOOSE(MOD(A44-1,4)+1,"Верхняя одежда","Спортивная","Повседневная","Обувь"),CHOOSE(MOD(A44-1,4)+1,"Молочные","Мясные","Бакалея","Напитки"),CHOOSE(MOD(A44-1,4)+1,"Мягкая мебель","Корпусная","Офисная","Кухонная"))</f>
        <v>Бакалея</v>
      </c>
      <c r="K44" s="12" t="n">
        <f aca="false">1000+MOD(A44*317+A44*A44*7,49001)</f>
        <v>27574</v>
      </c>
      <c r="L44" s="12" t="n">
        <f aca="false">1+MOD(A44*131,100)</f>
        <v>34</v>
      </c>
      <c r="M44" s="12" t="n">
        <f aca="false">INT(K44*(0.6+MOD(A44*43,21)/100))</f>
        <v>16820</v>
      </c>
      <c r="N44" s="12" t="n">
        <f aca="false">K44-M44</f>
        <v>10754</v>
      </c>
    </row>
    <row r="45" customFormat="false" ht="12.8" hidden="false" customHeight="false" outlineLevel="0" collapsed="false">
      <c r="A45" s="10" t="n">
        <f aca="false">A44+1</f>
        <v>44</v>
      </c>
      <c r="B45" s="11" t="n">
        <f aca="false">B44+1</f>
        <v>44970</v>
      </c>
      <c r="C45" s="10" t="n">
        <f aca="false">YEAR(B45)</f>
        <v>2023</v>
      </c>
      <c r="D45" s="10" t="n">
        <f aca="false">INT((MONTH(B45)-1)/3)+1</f>
        <v>1</v>
      </c>
      <c r="E45" s="10" t="n">
        <f aca="false">MONTH(B45)</f>
        <v>2</v>
      </c>
      <c r="F45" s="10" t="str">
        <f aca="false">CHOOSE(MOD(A45-1,5)+1,"Центр","Юг","Север","Запад","Восток")</f>
        <v>Запад</v>
      </c>
      <c r="G45" s="10" t="str">
        <f aca="false">"Округ_"&amp;(MOD(A45-1,5)+1)&amp;"_"&amp;(MOD(INT((A45-1)/5),5)+1)</f>
        <v>Округ_4_4</v>
      </c>
      <c r="H45" s="10" t="str">
        <f aca="false">"Город_"&amp;(MOD(A45-1,5)+1)&amp;"_"&amp;(MOD(INT((A45-1)/5),5)+1)&amp;"_"&amp;(MOD(INT((A45-1)/25),10)+1)</f>
        <v>Город_4_4_2</v>
      </c>
      <c r="I45" s="10" t="str">
        <f aca="false">CHOOSE(MOD(A45-1,4)+1,"Электроника","Одежда","Продукты","Мебель")</f>
        <v>Мебель</v>
      </c>
      <c r="J45" s="10" t="str">
        <f aca="false">CHOOSE(MOD(INT((A45-1)/4),4)+1,CHOOSE(MOD(A45-1,4)+1,"Смартфоны","Ноутбуки","Аксессуары","Аудио"),CHOOSE(MOD(A45-1,4)+1,"Верхняя одежда","Спортивная","Повседневная","Обувь"),CHOOSE(MOD(A45-1,4)+1,"Молочные","Мясные","Бакалея","Напитки"),CHOOSE(MOD(A45-1,4)+1,"Мягкая мебель","Корпусная","Офисная","Кухонная"))</f>
        <v>Напитки</v>
      </c>
      <c r="K45" s="12" t="n">
        <f aca="false">1000+MOD(A45*317+A45*A45*7,49001)</f>
        <v>28500</v>
      </c>
      <c r="L45" s="12" t="n">
        <f aca="false">1+MOD(A45*131,100)</f>
        <v>65</v>
      </c>
      <c r="M45" s="12" t="n">
        <f aca="false">INT(K45*(0.6+MOD(A45*43,21)/100))</f>
        <v>17670</v>
      </c>
      <c r="N45" s="12" t="n">
        <f aca="false">K45-M45</f>
        <v>10830</v>
      </c>
    </row>
    <row r="46" customFormat="false" ht="12.8" hidden="false" customHeight="false" outlineLevel="0" collapsed="false">
      <c r="A46" s="10" t="n">
        <f aca="false">A45+1</f>
        <v>45</v>
      </c>
      <c r="B46" s="11" t="n">
        <f aca="false">B45+1</f>
        <v>44971</v>
      </c>
      <c r="C46" s="10" t="n">
        <f aca="false">YEAR(B46)</f>
        <v>2023</v>
      </c>
      <c r="D46" s="10" t="n">
        <f aca="false">INT((MONTH(B46)-1)/3)+1</f>
        <v>1</v>
      </c>
      <c r="E46" s="10" t="n">
        <f aca="false">MONTH(B46)</f>
        <v>2</v>
      </c>
      <c r="F46" s="10" t="str">
        <f aca="false">CHOOSE(MOD(A46-1,5)+1,"Центр","Юг","Север","Запад","Восток")</f>
        <v>Восток</v>
      </c>
      <c r="G46" s="10" t="str">
        <f aca="false">"Округ_"&amp;(MOD(A46-1,5)+1)&amp;"_"&amp;(MOD(INT((A46-1)/5),5)+1)</f>
        <v>Округ_5_4</v>
      </c>
      <c r="H46" s="10" t="str">
        <f aca="false">"Город_"&amp;(MOD(A46-1,5)+1)&amp;"_"&amp;(MOD(INT((A46-1)/5),5)+1)&amp;"_"&amp;(MOD(INT((A46-1)/25),10)+1)</f>
        <v>Город_5_4_2</v>
      </c>
      <c r="I46" s="10" t="str">
        <f aca="false">CHOOSE(MOD(A46-1,4)+1,"Электроника","Одежда","Продукты","Мебель")</f>
        <v>Электроника</v>
      </c>
      <c r="J46" s="10" t="str">
        <f aca="false">CHOOSE(MOD(INT((A46-1)/4),4)+1,CHOOSE(MOD(A46-1,4)+1,"Смартфоны","Ноутбуки","Аксессуары","Аудио"),CHOOSE(MOD(A46-1,4)+1,"Верхняя одежда","Спортивная","Повседневная","Обувь"),CHOOSE(MOD(A46-1,4)+1,"Молочные","Мясные","Бакалея","Напитки"),CHOOSE(MOD(A46-1,4)+1,"Мягкая мебель","Корпусная","Офисная","Кухонная"))</f>
        <v>Мягкая мебель</v>
      </c>
      <c r="K46" s="12" t="n">
        <f aca="false">1000+MOD(A46*317+A46*A46*7,49001)</f>
        <v>29440</v>
      </c>
      <c r="L46" s="12" t="n">
        <f aca="false">1+MOD(A46*131,100)</f>
        <v>96</v>
      </c>
      <c r="M46" s="12" t="n">
        <f aca="false">INT(K46*(0.6+MOD(A46*43,21)/100))</f>
        <v>18547</v>
      </c>
      <c r="N46" s="12" t="n">
        <f aca="false">K46-M46</f>
        <v>10893</v>
      </c>
    </row>
    <row r="47" customFormat="false" ht="12.8" hidden="false" customHeight="false" outlineLevel="0" collapsed="false">
      <c r="A47" s="10" t="n">
        <f aca="false">A46+1</f>
        <v>46</v>
      </c>
      <c r="B47" s="11" t="n">
        <f aca="false">B46+1</f>
        <v>44972</v>
      </c>
      <c r="C47" s="10" t="n">
        <f aca="false">YEAR(B47)</f>
        <v>2023</v>
      </c>
      <c r="D47" s="10" t="n">
        <f aca="false">INT((MONTH(B47)-1)/3)+1</f>
        <v>1</v>
      </c>
      <c r="E47" s="10" t="n">
        <f aca="false">MONTH(B47)</f>
        <v>2</v>
      </c>
      <c r="F47" s="10" t="str">
        <f aca="false">CHOOSE(MOD(A47-1,5)+1,"Центр","Юг","Север","Запад","Восток")</f>
        <v>Центр</v>
      </c>
      <c r="G47" s="10" t="str">
        <f aca="false">"Округ_"&amp;(MOD(A47-1,5)+1)&amp;"_"&amp;(MOD(INT((A47-1)/5),5)+1)</f>
        <v>Округ_1_5</v>
      </c>
      <c r="H47" s="10" t="str">
        <f aca="false">"Город_"&amp;(MOD(A47-1,5)+1)&amp;"_"&amp;(MOD(INT((A47-1)/5),5)+1)&amp;"_"&amp;(MOD(INT((A47-1)/25),10)+1)</f>
        <v>Город_1_5_2</v>
      </c>
      <c r="I47" s="10" t="str">
        <f aca="false">CHOOSE(MOD(A47-1,4)+1,"Электроника","Одежда","Продукты","Мебель")</f>
        <v>Одежда</v>
      </c>
      <c r="J47" s="10" t="str">
        <f aca="false">CHOOSE(MOD(INT((A47-1)/4),4)+1,CHOOSE(MOD(A47-1,4)+1,"Смартфоны","Ноутбуки","Аксессуары","Аудио"),CHOOSE(MOD(A47-1,4)+1,"Верхняя одежда","Спортивная","Повседневная","Обувь"),CHOOSE(MOD(A47-1,4)+1,"Молочные","Мясные","Бакалея","Напитки"),CHOOSE(MOD(A47-1,4)+1,"Мягкая мебель","Корпусная","Офисная","Кухонная"))</f>
        <v>Корпусная</v>
      </c>
      <c r="K47" s="12" t="n">
        <f aca="false">1000+MOD(A47*317+A47*A47*7,49001)</f>
        <v>30394</v>
      </c>
      <c r="L47" s="12" t="n">
        <f aca="false">1+MOD(A47*131,100)</f>
        <v>27</v>
      </c>
      <c r="M47" s="12" t="n">
        <f aca="false">INT(K47*(0.6+MOD(A47*43,21)/100))</f>
        <v>19452</v>
      </c>
      <c r="N47" s="12" t="n">
        <f aca="false">K47-M47</f>
        <v>10942</v>
      </c>
    </row>
    <row r="48" customFormat="false" ht="12.8" hidden="false" customHeight="false" outlineLevel="0" collapsed="false">
      <c r="A48" s="10" t="n">
        <f aca="false">A47+1</f>
        <v>47</v>
      </c>
      <c r="B48" s="11" t="n">
        <f aca="false">B47+1</f>
        <v>44973</v>
      </c>
      <c r="C48" s="10" t="n">
        <f aca="false">YEAR(B48)</f>
        <v>2023</v>
      </c>
      <c r="D48" s="10" t="n">
        <f aca="false">INT((MONTH(B48)-1)/3)+1</f>
        <v>1</v>
      </c>
      <c r="E48" s="10" t="n">
        <f aca="false">MONTH(B48)</f>
        <v>2</v>
      </c>
      <c r="F48" s="10" t="str">
        <f aca="false">CHOOSE(MOD(A48-1,5)+1,"Центр","Юг","Север","Запад","Восток")</f>
        <v>Юг</v>
      </c>
      <c r="G48" s="10" t="str">
        <f aca="false">"Округ_"&amp;(MOD(A48-1,5)+1)&amp;"_"&amp;(MOD(INT((A48-1)/5),5)+1)</f>
        <v>Округ_2_5</v>
      </c>
      <c r="H48" s="10" t="str">
        <f aca="false">"Город_"&amp;(MOD(A48-1,5)+1)&amp;"_"&amp;(MOD(INT((A48-1)/5),5)+1)&amp;"_"&amp;(MOD(INT((A48-1)/25),10)+1)</f>
        <v>Город_2_5_2</v>
      </c>
      <c r="I48" s="10" t="str">
        <f aca="false">CHOOSE(MOD(A48-1,4)+1,"Электроника","Одежда","Продукты","Мебель")</f>
        <v>Продукты</v>
      </c>
      <c r="J48" s="10" t="str">
        <f aca="false">CHOOSE(MOD(INT((A48-1)/4),4)+1,CHOOSE(MOD(A48-1,4)+1,"Смартфоны","Ноутбуки","Аксессуары","Аудио"),CHOOSE(MOD(A48-1,4)+1,"Верхняя одежда","Спортивная","Повседневная","Обувь"),CHOOSE(MOD(A48-1,4)+1,"Молочные","Мясные","Бакалея","Напитки"),CHOOSE(MOD(A48-1,4)+1,"Мягкая мебель","Корпусная","Офисная","Кухонная"))</f>
        <v>Офисная</v>
      </c>
      <c r="K48" s="12" t="n">
        <f aca="false">1000+MOD(A48*317+A48*A48*7,49001)</f>
        <v>31362</v>
      </c>
      <c r="L48" s="12" t="n">
        <f aca="false">1+MOD(A48*131,100)</f>
        <v>58</v>
      </c>
      <c r="M48" s="12" t="n">
        <f aca="false">INT(K48*(0.6+MOD(A48*43,21)/100))</f>
        <v>20385</v>
      </c>
      <c r="N48" s="12" t="n">
        <f aca="false">K48-M48</f>
        <v>10977</v>
      </c>
    </row>
    <row r="49" customFormat="false" ht="12.8" hidden="false" customHeight="false" outlineLevel="0" collapsed="false">
      <c r="A49" s="10" t="n">
        <f aca="false">A48+1</f>
        <v>48</v>
      </c>
      <c r="B49" s="11" t="n">
        <f aca="false">B48+1</f>
        <v>44974</v>
      </c>
      <c r="C49" s="10" t="n">
        <f aca="false">YEAR(B49)</f>
        <v>2023</v>
      </c>
      <c r="D49" s="10" t="n">
        <f aca="false">INT((MONTH(B49)-1)/3)+1</f>
        <v>1</v>
      </c>
      <c r="E49" s="10" t="n">
        <f aca="false">MONTH(B49)</f>
        <v>2</v>
      </c>
      <c r="F49" s="10" t="str">
        <f aca="false">CHOOSE(MOD(A49-1,5)+1,"Центр","Юг","Север","Запад","Восток")</f>
        <v>Север</v>
      </c>
      <c r="G49" s="10" t="str">
        <f aca="false">"Округ_"&amp;(MOD(A49-1,5)+1)&amp;"_"&amp;(MOD(INT((A49-1)/5),5)+1)</f>
        <v>Округ_3_5</v>
      </c>
      <c r="H49" s="10" t="str">
        <f aca="false">"Город_"&amp;(MOD(A49-1,5)+1)&amp;"_"&amp;(MOD(INT((A49-1)/5),5)+1)&amp;"_"&amp;(MOD(INT((A49-1)/25),10)+1)</f>
        <v>Город_3_5_2</v>
      </c>
      <c r="I49" s="10" t="str">
        <f aca="false">CHOOSE(MOD(A49-1,4)+1,"Электроника","Одежда","Продукты","Мебель")</f>
        <v>Мебель</v>
      </c>
      <c r="J49" s="10" t="str">
        <f aca="false">CHOOSE(MOD(INT((A49-1)/4),4)+1,CHOOSE(MOD(A49-1,4)+1,"Смартфоны","Ноутбуки","Аксессуары","Аудио"),CHOOSE(MOD(A49-1,4)+1,"Верхняя одежда","Спортивная","Повседневная","Обувь"),CHOOSE(MOD(A49-1,4)+1,"Молочные","Мясные","Бакалея","Напитки"),CHOOSE(MOD(A49-1,4)+1,"Мягкая мебель","Корпусная","Офисная","Кухонная"))</f>
        <v>Кухонная</v>
      </c>
      <c r="K49" s="12" t="n">
        <f aca="false">1000+MOD(A49*317+A49*A49*7,49001)</f>
        <v>32344</v>
      </c>
      <c r="L49" s="12" t="n">
        <f aca="false">1+MOD(A49*131,100)</f>
        <v>89</v>
      </c>
      <c r="M49" s="12" t="n">
        <f aca="false">INT(K49*(0.6+MOD(A49*43,21)/100))</f>
        <v>21347</v>
      </c>
      <c r="N49" s="12" t="n">
        <f aca="false">K49-M49</f>
        <v>10997</v>
      </c>
    </row>
    <row r="50" customFormat="false" ht="12.8" hidden="false" customHeight="false" outlineLevel="0" collapsed="false">
      <c r="A50" s="10" t="n">
        <f aca="false">A49+1</f>
        <v>49</v>
      </c>
      <c r="B50" s="11" t="n">
        <f aca="false">B49+1</f>
        <v>44975</v>
      </c>
      <c r="C50" s="10" t="n">
        <f aca="false">YEAR(B50)</f>
        <v>2023</v>
      </c>
      <c r="D50" s="10" t="n">
        <f aca="false">INT((MONTH(B50)-1)/3)+1</f>
        <v>1</v>
      </c>
      <c r="E50" s="10" t="n">
        <f aca="false">MONTH(B50)</f>
        <v>2</v>
      </c>
      <c r="F50" s="10" t="str">
        <f aca="false">CHOOSE(MOD(A50-1,5)+1,"Центр","Юг","Север","Запад","Восток")</f>
        <v>Запад</v>
      </c>
      <c r="G50" s="10" t="str">
        <f aca="false">"Округ_"&amp;(MOD(A50-1,5)+1)&amp;"_"&amp;(MOD(INT((A50-1)/5),5)+1)</f>
        <v>Округ_4_5</v>
      </c>
      <c r="H50" s="10" t="str">
        <f aca="false">"Город_"&amp;(MOD(A50-1,5)+1)&amp;"_"&amp;(MOD(INT((A50-1)/5),5)+1)&amp;"_"&amp;(MOD(INT((A50-1)/25),10)+1)</f>
        <v>Город_4_5_2</v>
      </c>
      <c r="I50" s="10" t="str">
        <f aca="false">CHOOSE(MOD(A50-1,4)+1,"Электроника","Одежда","Продукты","Мебель")</f>
        <v>Электроника</v>
      </c>
      <c r="J50" s="10" t="str">
        <f aca="false">CHOOSE(MOD(INT((A50-1)/4),4)+1,CHOOSE(MOD(A50-1,4)+1,"Смартфоны","Ноутбуки","Аксессуары","Аудио"),CHOOSE(MOD(A50-1,4)+1,"Верхняя одежда","Спортивная","Повседневная","Обувь"),CHOOSE(MOD(A50-1,4)+1,"Молочные","Мясные","Бакалея","Напитки"),CHOOSE(MOD(A50-1,4)+1,"Мягкая мебель","Корпусная","Офисная","Кухонная"))</f>
        <v>Смартфоны</v>
      </c>
      <c r="K50" s="12" t="n">
        <f aca="false">1000+MOD(A50*317+A50*A50*7,49001)</f>
        <v>33340</v>
      </c>
      <c r="L50" s="12" t="n">
        <f aca="false">1+MOD(A50*131,100)</f>
        <v>20</v>
      </c>
      <c r="M50" s="12" t="n">
        <f aca="false">INT(K50*(0.6+MOD(A50*43,21)/100))</f>
        <v>22337</v>
      </c>
      <c r="N50" s="12" t="n">
        <f aca="false">K50-M50</f>
        <v>11003</v>
      </c>
    </row>
    <row r="51" customFormat="false" ht="12.8" hidden="false" customHeight="false" outlineLevel="0" collapsed="false">
      <c r="A51" s="10" t="n">
        <f aca="false">A50+1</f>
        <v>50</v>
      </c>
      <c r="B51" s="11" t="n">
        <f aca="false">B50+1</f>
        <v>44976</v>
      </c>
      <c r="C51" s="10" t="n">
        <f aca="false">YEAR(B51)</f>
        <v>2023</v>
      </c>
      <c r="D51" s="10" t="n">
        <f aca="false">INT((MONTH(B51)-1)/3)+1</f>
        <v>1</v>
      </c>
      <c r="E51" s="10" t="n">
        <f aca="false">MONTH(B51)</f>
        <v>2</v>
      </c>
      <c r="F51" s="10" t="str">
        <f aca="false">CHOOSE(MOD(A51-1,5)+1,"Центр","Юг","Север","Запад","Восток")</f>
        <v>Восток</v>
      </c>
      <c r="G51" s="10" t="str">
        <f aca="false">"Округ_"&amp;(MOD(A51-1,5)+1)&amp;"_"&amp;(MOD(INT((A51-1)/5),5)+1)</f>
        <v>Округ_5_5</v>
      </c>
      <c r="H51" s="10" t="str">
        <f aca="false">"Город_"&amp;(MOD(A51-1,5)+1)&amp;"_"&amp;(MOD(INT((A51-1)/5),5)+1)&amp;"_"&amp;(MOD(INT((A51-1)/25),10)+1)</f>
        <v>Город_5_5_2</v>
      </c>
      <c r="I51" s="10" t="str">
        <f aca="false">CHOOSE(MOD(A51-1,4)+1,"Электроника","Одежда","Продукты","Мебель")</f>
        <v>Одежда</v>
      </c>
      <c r="J51" s="10" t="str">
        <f aca="false">CHOOSE(MOD(INT((A51-1)/4),4)+1,CHOOSE(MOD(A51-1,4)+1,"Смартфоны","Ноутбуки","Аксессуары","Аудио"),CHOOSE(MOD(A51-1,4)+1,"Верхняя одежда","Спортивная","Повседневная","Обувь"),CHOOSE(MOD(A51-1,4)+1,"Молочные","Мясные","Бакалея","Напитки"),CHOOSE(MOD(A51-1,4)+1,"Мягкая мебель","Корпусная","Офисная","Кухонная"))</f>
        <v>Ноутбуки</v>
      </c>
      <c r="K51" s="12" t="n">
        <f aca="false">1000+MOD(A51*317+A51*A51*7,49001)</f>
        <v>34350</v>
      </c>
      <c r="L51" s="12" t="n">
        <f aca="false">1+MOD(A51*131,100)</f>
        <v>51</v>
      </c>
      <c r="M51" s="12" t="n">
        <f aca="false">INT(K51*(0.6+MOD(A51*43,21)/100))</f>
        <v>23358</v>
      </c>
      <c r="N51" s="12" t="n">
        <f aca="false">K51-M51</f>
        <v>10992</v>
      </c>
    </row>
    <row r="52" customFormat="false" ht="12.8" hidden="false" customHeight="false" outlineLevel="0" collapsed="false">
      <c r="A52" s="10" t="n">
        <f aca="false">A51+1</f>
        <v>51</v>
      </c>
      <c r="B52" s="11" t="n">
        <f aca="false">B51+1</f>
        <v>44977</v>
      </c>
      <c r="C52" s="10" t="n">
        <f aca="false">YEAR(B52)</f>
        <v>2023</v>
      </c>
      <c r="D52" s="10" t="n">
        <f aca="false">INT((MONTH(B52)-1)/3)+1</f>
        <v>1</v>
      </c>
      <c r="E52" s="10" t="n">
        <f aca="false">MONTH(B52)</f>
        <v>2</v>
      </c>
      <c r="F52" s="10" t="str">
        <f aca="false">CHOOSE(MOD(A52-1,5)+1,"Центр","Юг","Север","Запад","Восток")</f>
        <v>Центр</v>
      </c>
      <c r="G52" s="10" t="str">
        <f aca="false">"Округ_"&amp;(MOD(A52-1,5)+1)&amp;"_"&amp;(MOD(INT((A52-1)/5),5)+1)</f>
        <v>Округ_1_1</v>
      </c>
      <c r="H52" s="10" t="str">
        <f aca="false">"Город_"&amp;(MOD(A52-1,5)+1)&amp;"_"&amp;(MOD(INT((A52-1)/5),5)+1)&amp;"_"&amp;(MOD(INT((A52-1)/25),10)+1)</f>
        <v>Город_1_1_3</v>
      </c>
      <c r="I52" s="10" t="str">
        <f aca="false">CHOOSE(MOD(A52-1,4)+1,"Электроника","Одежда","Продукты","Мебель")</f>
        <v>Продукты</v>
      </c>
      <c r="J52" s="10" t="str">
        <f aca="false">CHOOSE(MOD(INT((A52-1)/4),4)+1,CHOOSE(MOD(A52-1,4)+1,"Смартфоны","Ноутбуки","Аксессуары","Аудио"),CHOOSE(MOD(A52-1,4)+1,"Верхняя одежда","Спортивная","Повседневная","Обувь"),CHOOSE(MOD(A52-1,4)+1,"Молочные","Мясные","Бакалея","Напитки"),CHOOSE(MOD(A52-1,4)+1,"Мягкая мебель","Корпусная","Офисная","Кухонная"))</f>
        <v>Аксессуары</v>
      </c>
      <c r="K52" s="12" t="n">
        <f aca="false">1000+MOD(A52*317+A52*A52*7,49001)</f>
        <v>35374</v>
      </c>
      <c r="L52" s="12" t="n">
        <f aca="false">1+MOD(A52*131,100)</f>
        <v>82</v>
      </c>
      <c r="M52" s="12" t="n">
        <f aca="false">INT(K52*(0.6+MOD(A52*43,21)/100))</f>
        <v>24408</v>
      </c>
      <c r="N52" s="12" t="n">
        <f aca="false">K52-M52</f>
        <v>10966</v>
      </c>
    </row>
    <row r="53" customFormat="false" ht="12.8" hidden="false" customHeight="false" outlineLevel="0" collapsed="false">
      <c r="A53" s="10" t="n">
        <f aca="false">A52+1</f>
        <v>52</v>
      </c>
      <c r="B53" s="11" t="n">
        <f aca="false">B52+1</f>
        <v>44978</v>
      </c>
      <c r="C53" s="10" t="n">
        <f aca="false">YEAR(B53)</f>
        <v>2023</v>
      </c>
      <c r="D53" s="10" t="n">
        <f aca="false">INT((MONTH(B53)-1)/3)+1</f>
        <v>1</v>
      </c>
      <c r="E53" s="10" t="n">
        <f aca="false">MONTH(B53)</f>
        <v>2</v>
      </c>
      <c r="F53" s="10" t="str">
        <f aca="false">CHOOSE(MOD(A53-1,5)+1,"Центр","Юг","Север","Запад","Восток")</f>
        <v>Юг</v>
      </c>
      <c r="G53" s="10" t="str">
        <f aca="false">"Округ_"&amp;(MOD(A53-1,5)+1)&amp;"_"&amp;(MOD(INT((A53-1)/5),5)+1)</f>
        <v>Округ_2_1</v>
      </c>
      <c r="H53" s="10" t="str">
        <f aca="false">"Город_"&amp;(MOD(A53-1,5)+1)&amp;"_"&amp;(MOD(INT((A53-1)/5),5)+1)&amp;"_"&amp;(MOD(INT((A53-1)/25),10)+1)</f>
        <v>Город_2_1_3</v>
      </c>
      <c r="I53" s="10" t="str">
        <f aca="false">CHOOSE(MOD(A53-1,4)+1,"Электроника","Одежда","Продукты","Мебель")</f>
        <v>Мебель</v>
      </c>
      <c r="J53" s="10" t="str">
        <f aca="false">CHOOSE(MOD(INT((A53-1)/4),4)+1,CHOOSE(MOD(A53-1,4)+1,"Смартфоны","Ноутбуки","Аксессуары","Аудио"),CHOOSE(MOD(A53-1,4)+1,"Верхняя одежда","Спортивная","Повседневная","Обувь"),CHOOSE(MOD(A53-1,4)+1,"Молочные","Мясные","Бакалея","Напитки"),CHOOSE(MOD(A53-1,4)+1,"Мягкая мебель","Корпусная","Офисная","Кухонная"))</f>
        <v>Аудио</v>
      </c>
      <c r="K53" s="12" t="n">
        <f aca="false">1000+MOD(A53*317+A53*A53*7,49001)</f>
        <v>36412</v>
      </c>
      <c r="L53" s="12" t="n">
        <f aca="false">1+MOD(A53*131,100)</f>
        <v>13</v>
      </c>
      <c r="M53" s="12" t="n">
        <f aca="false">INT(K53*(0.6+MOD(A53*43,21)/100))</f>
        <v>25488</v>
      </c>
      <c r="N53" s="12" t="n">
        <f aca="false">K53-M53</f>
        <v>10924</v>
      </c>
    </row>
    <row r="54" customFormat="false" ht="12.8" hidden="false" customHeight="false" outlineLevel="0" collapsed="false">
      <c r="A54" s="10" t="n">
        <f aca="false">A53+1</f>
        <v>53</v>
      </c>
      <c r="B54" s="11" t="n">
        <f aca="false">B53+1</f>
        <v>44979</v>
      </c>
      <c r="C54" s="10" t="n">
        <f aca="false">YEAR(B54)</f>
        <v>2023</v>
      </c>
      <c r="D54" s="10" t="n">
        <f aca="false">INT((MONTH(B54)-1)/3)+1</f>
        <v>1</v>
      </c>
      <c r="E54" s="10" t="n">
        <f aca="false">MONTH(B54)</f>
        <v>2</v>
      </c>
      <c r="F54" s="10" t="str">
        <f aca="false">CHOOSE(MOD(A54-1,5)+1,"Центр","Юг","Север","Запад","Восток")</f>
        <v>Север</v>
      </c>
      <c r="G54" s="10" t="str">
        <f aca="false">"Округ_"&amp;(MOD(A54-1,5)+1)&amp;"_"&amp;(MOD(INT((A54-1)/5),5)+1)</f>
        <v>Округ_3_1</v>
      </c>
      <c r="H54" s="10" t="str">
        <f aca="false">"Город_"&amp;(MOD(A54-1,5)+1)&amp;"_"&amp;(MOD(INT((A54-1)/5),5)+1)&amp;"_"&amp;(MOD(INT((A54-1)/25),10)+1)</f>
        <v>Город_3_1_3</v>
      </c>
      <c r="I54" s="10" t="str">
        <f aca="false">CHOOSE(MOD(A54-1,4)+1,"Электроника","Одежда","Продукты","Мебель")</f>
        <v>Электроника</v>
      </c>
      <c r="J54" s="10" t="str">
        <f aca="false">CHOOSE(MOD(INT((A54-1)/4),4)+1,CHOOSE(MOD(A54-1,4)+1,"Смартфоны","Ноутбуки","Аксессуары","Аудио"),CHOOSE(MOD(A54-1,4)+1,"Верхняя одежда","Спортивная","Повседневная","Обувь"),CHOOSE(MOD(A54-1,4)+1,"Молочные","Мясные","Бакалея","Напитки"),CHOOSE(MOD(A54-1,4)+1,"Мягкая мебель","Корпусная","Офисная","Кухонная"))</f>
        <v>Верхняя одежда</v>
      </c>
      <c r="K54" s="12" t="n">
        <f aca="false">1000+MOD(A54*317+A54*A54*7,49001)</f>
        <v>37464</v>
      </c>
      <c r="L54" s="12" t="n">
        <f aca="false">1+MOD(A54*131,100)</f>
        <v>44</v>
      </c>
      <c r="M54" s="12" t="n">
        <f aca="false">INT(K54*(0.6+MOD(A54*43,21)/100))</f>
        <v>26599</v>
      </c>
      <c r="N54" s="12" t="n">
        <f aca="false">K54-M54</f>
        <v>10865</v>
      </c>
    </row>
    <row r="55" customFormat="false" ht="12.8" hidden="false" customHeight="false" outlineLevel="0" collapsed="false">
      <c r="A55" s="10" t="n">
        <f aca="false">A54+1</f>
        <v>54</v>
      </c>
      <c r="B55" s="11" t="n">
        <f aca="false">B54+1</f>
        <v>44980</v>
      </c>
      <c r="C55" s="10" t="n">
        <f aca="false">YEAR(B55)</f>
        <v>2023</v>
      </c>
      <c r="D55" s="10" t="n">
        <f aca="false">INT((MONTH(B55)-1)/3)+1</f>
        <v>1</v>
      </c>
      <c r="E55" s="10" t="n">
        <f aca="false">MONTH(B55)</f>
        <v>2</v>
      </c>
      <c r="F55" s="10" t="str">
        <f aca="false">CHOOSE(MOD(A55-1,5)+1,"Центр","Юг","Север","Запад","Восток")</f>
        <v>Запад</v>
      </c>
      <c r="G55" s="10" t="str">
        <f aca="false">"Округ_"&amp;(MOD(A55-1,5)+1)&amp;"_"&amp;(MOD(INT((A55-1)/5),5)+1)</f>
        <v>Округ_4_1</v>
      </c>
      <c r="H55" s="10" t="str">
        <f aca="false">"Город_"&amp;(MOD(A55-1,5)+1)&amp;"_"&amp;(MOD(INT((A55-1)/5),5)+1)&amp;"_"&amp;(MOD(INT((A55-1)/25),10)+1)</f>
        <v>Город_4_1_3</v>
      </c>
      <c r="I55" s="10" t="str">
        <f aca="false">CHOOSE(MOD(A55-1,4)+1,"Электроника","Одежда","Продукты","Мебель")</f>
        <v>Одежда</v>
      </c>
      <c r="J55" s="10" t="str">
        <f aca="false">CHOOSE(MOD(INT((A55-1)/4),4)+1,CHOOSE(MOD(A55-1,4)+1,"Смартфоны","Ноутбуки","Аксессуары","Аудио"),CHOOSE(MOD(A55-1,4)+1,"Верхняя одежда","Спортивная","Повседневная","Обувь"),CHOOSE(MOD(A55-1,4)+1,"Молочные","Мясные","Бакалея","Напитки"),CHOOSE(MOD(A55-1,4)+1,"Мягкая мебель","Корпусная","Офисная","Кухонная"))</f>
        <v>Спортивная</v>
      </c>
      <c r="K55" s="12" t="n">
        <f aca="false">1000+MOD(A55*317+A55*A55*7,49001)</f>
        <v>38530</v>
      </c>
      <c r="L55" s="12" t="n">
        <f aca="false">1+MOD(A55*131,100)</f>
        <v>75</v>
      </c>
      <c r="M55" s="12" t="n">
        <f aca="false">INT(K55*(0.6+MOD(A55*43,21)/100))</f>
        <v>27741</v>
      </c>
      <c r="N55" s="12" t="n">
        <f aca="false">K55-M55</f>
        <v>10789</v>
      </c>
    </row>
    <row r="56" customFormat="false" ht="12.8" hidden="false" customHeight="false" outlineLevel="0" collapsed="false">
      <c r="A56" s="10" t="n">
        <f aca="false">A55+1</f>
        <v>55</v>
      </c>
      <c r="B56" s="11" t="n">
        <f aca="false">B55+1</f>
        <v>44981</v>
      </c>
      <c r="C56" s="10" t="n">
        <f aca="false">YEAR(B56)</f>
        <v>2023</v>
      </c>
      <c r="D56" s="10" t="n">
        <f aca="false">INT((MONTH(B56)-1)/3)+1</f>
        <v>1</v>
      </c>
      <c r="E56" s="10" t="n">
        <f aca="false">MONTH(B56)</f>
        <v>2</v>
      </c>
      <c r="F56" s="10" t="str">
        <f aca="false">CHOOSE(MOD(A56-1,5)+1,"Центр","Юг","Север","Запад","Восток")</f>
        <v>Восток</v>
      </c>
      <c r="G56" s="10" t="str">
        <f aca="false">"Округ_"&amp;(MOD(A56-1,5)+1)&amp;"_"&amp;(MOD(INT((A56-1)/5),5)+1)</f>
        <v>Округ_5_1</v>
      </c>
      <c r="H56" s="10" t="str">
        <f aca="false">"Город_"&amp;(MOD(A56-1,5)+1)&amp;"_"&amp;(MOD(INT((A56-1)/5),5)+1)&amp;"_"&amp;(MOD(INT((A56-1)/25),10)+1)</f>
        <v>Город_5_1_3</v>
      </c>
      <c r="I56" s="10" t="str">
        <f aca="false">CHOOSE(MOD(A56-1,4)+1,"Электроника","Одежда","Продукты","Мебель")</f>
        <v>Продукты</v>
      </c>
      <c r="J56" s="10" t="str">
        <f aca="false">CHOOSE(MOD(INT((A56-1)/4),4)+1,CHOOSE(MOD(A56-1,4)+1,"Смартфоны","Ноутбуки","Аксессуары","Аудио"),CHOOSE(MOD(A56-1,4)+1,"Верхняя одежда","Спортивная","Повседневная","Обувь"),CHOOSE(MOD(A56-1,4)+1,"Молочные","Мясные","Бакалея","Напитки"),CHOOSE(MOD(A56-1,4)+1,"Мягкая мебель","Корпусная","Офисная","Кухонная"))</f>
        <v>Повседневная</v>
      </c>
      <c r="K56" s="12" t="n">
        <f aca="false">1000+MOD(A56*317+A56*A56*7,49001)</f>
        <v>39610</v>
      </c>
      <c r="L56" s="12" t="n">
        <f aca="false">1+MOD(A56*131,100)</f>
        <v>6</v>
      </c>
      <c r="M56" s="12" t="n">
        <f aca="false">INT(K56*(0.6+MOD(A56*43,21)/100))</f>
        <v>28915</v>
      </c>
      <c r="N56" s="12" t="n">
        <f aca="false">K56-M56</f>
        <v>10695</v>
      </c>
    </row>
    <row r="57" customFormat="false" ht="12.8" hidden="false" customHeight="false" outlineLevel="0" collapsed="false">
      <c r="A57" s="10" t="n">
        <f aca="false">A56+1</f>
        <v>56</v>
      </c>
      <c r="B57" s="11" t="n">
        <f aca="false">B56+1</f>
        <v>44982</v>
      </c>
      <c r="C57" s="10" t="n">
        <f aca="false">YEAR(B57)</f>
        <v>2023</v>
      </c>
      <c r="D57" s="10" t="n">
        <f aca="false">INT((MONTH(B57)-1)/3)+1</f>
        <v>1</v>
      </c>
      <c r="E57" s="10" t="n">
        <f aca="false">MONTH(B57)</f>
        <v>2</v>
      </c>
      <c r="F57" s="10" t="str">
        <f aca="false">CHOOSE(MOD(A57-1,5)+1,"Центр","Юг","Север","Запад","Восток")</f>
        <v>Центр</v>
      </c>
      <c r="G57" s="10" t="str">
        <f aca="false">"Округ_"&amp;(MOD(A57-1,5)+1)&amp;"_"&amp;(MOD(INT((A57-1)/5),5)+1)</f>
        <v>Округ_1_2</v>
      </c>
      <c r="H57" s="10" t="str">
        <f aca="false">"Город_"&amp;(MOD(A57-1,5)+1)&amp;"_"&amp;(MOD(INT((A57-1)/5),5)+1)&amp;"_"&amp;(MOD(INT((A57-1)/25),10)+1)</f>
        <v>Город_1_2_3</v>
      </c>
      <c r="I57" s="10" t="str">
        <f aca="false">CHOOSE(MOD(A57-1,4)+1,"Электроника","Одежда","Продукты","Мебель")</f>
        <v>Мебель</v>
      </c>
      <c r="J57" s="10" t="str">
        <f aca="false">CHOOSE(MOD(INT((A57-1)/4),4)+1,CHOOSE(MOD(A57-1,4)+1,"Смартфоны","Ноутбуки","Аксессуары","Аудио"),CHOOSE(MOD(A57-1,4)+1,"Верхняя одежда","Спортивная","Повседневная","Обувь"),CHOOSE(MOD(A57-1,4)+1,"Молочные","Мясные","Бакалея","Напитки"),CHOOSE(MOD(A57-1,4)+1,"Мягкая мебель","Корпусная","Офисная","Кухонная"))</f>
        <v>Обувь</v>
      </c>
      <c r="K57" s="12" t="n">
        <f aca="false">1000+MOD(A57*317+A57*A57*7,49001)</f>
        <v>40704</v>
      </c>
      <c r="L57" s="12" t="n">
        <f aca="false">1+MOD(A57*131,100)</f>
        <v>37</v>
      </c>
      <c r="M57" s="12" t="n">
        <f aca="false">INT(K57*(0.6+MOD(A57*43,21)/100))</f>
        <v>30120</v>
      </c>
      <c r="N57" s="12" t="n">
        <f aca="false">K57-M57</f>
        <v>10584</v>
      </c>
    </row>
    <row r="58" customFormat="false" ht="12.8" hidden="false" customHeight="false" outlineLevel="0" collapsed="false">
      <c r="A58" s="10" t="n">
        <f aca="false">A57+1</f>
        <v>57</v>
      </c>
      <c r="B58" s="11" t="n">
        <f aca="false">B57+1</f>
        <v>44983</v>
      </c>
      <c r="C58" s="10" t="n">
        <f aca="false">YEAR(B58)</f>
        <v>2023</v>
      </c>
      <c r="D58" s="10" t="n">
        <f aca="false">INT((MONTH(B58)-1)/3)+1</f>
        <v>1</v>
      </c>
      <c r="E58" s="10" t="n">
        <f aca="false">MONTH(B58)</f>
        <v>2</v>
      </c>
      <c r="F58" s="10" t="str">
        <f aca="false">CHOOSE(MOD(A58-1,5)+1,"Центр","Юг","Север","Запад","Восток")</f>
        <v>Юг</v>
      </c>
      <c r="G58" s="10" t="str">
        <f aca="false">"Округ_"&amp;(MOD(A58-1,5)+1)&amp;"_"&amp;(MOD(INT((A58-1)/5),5)+1)</f>
        <v>Округ_2_2</v>
      </c>
      <c r="H58" s="10" t="str">
        <f aca="false">"Город_"&amp;(MOD(A58-1,5)+1)&amp;"_"&amp;(MOD(INT((A58-1)/5),5)+1)&amp;"_"&amp;(MOD(INT((A58-1)/25),10)+1)</f>
        <v>Город_2_2_3</v>
      </c>
      <c r="I58" s="10" t="str">
        <f aca="false">CHOOSE(MOD(A58-1,4)+1,"Электроника","Одежда","Продукты","Мебель")</f>
        <v>Электроника</v>
      </c>
      <c r="J58" s="10" t="str">
        <f aca="false">CHOOSE(MOD(INT((A58-1)/4),4)+1,CHOOSE(MOD(A58-1,4)+1,"Смартфоны","Ноутбуки","Аксессуары","Аудио"),CHOOSE(MOD(A58-1,4)+1,"Верхняя одежда","Спортивная","Повседневная","Обувь"),CHOOSE(MOD(A58-1,4)+1,"Молочные","Мясные","Бакалея","Напитки"),CHOOSE(MOD(A58-1,4)+1,"Мягкая мебель","Корпусная","Офисная","Кухонная"))</f>
        <v>Молочные</v>
      </c>
      <c r="K58" s="12" t="n">
        <f aca="false">1000+MOD(A58*317+A58*A58*7,49001)</f>
        <v>41812</v>
      </c>
      <c r="L58" s="12" t="n">
        <f aca="false">1+MOD(A58*131,100)</f>
        <v>68</v>
      </c>
      <c r="M58" s="12" t="n">
        <f aca="false">INT(K58*(0.6+MOD(A58*43,21)/100))</f>
        <v>31359</v>
      </c>
      <c r="N58" s="12" t="n">
        <f aca="false">K58-M58</f>
        <v>10453</v>
      </c>
    </row>
    <row r="59" customFormat="false" ht="12.8" hidden="false" customHeight="false" outlineLevel="0" collapsed="false">
      <c r="A59" s="10" t="n">
        <f aca="false">A58+1</f>
        <v>58</v>
      </c>
      <c r="B59" s="11" t="n">
        <f aca="false">B58+1</f>
        <v>44984</v>
      </c>
      <c r="C59" s="10" t="n">
        <f aca="false">YEAR(B59)</f>
        <v>2023</v>
      </c>
      <c r="D59" s="10" t="n">
        <f aca="false">INT((MONTH(B59)-1)/3)+1</f>
        <v>1</v>
      </c>
      <c r="E59" s="10" t="n">
        <f aca="false">MONTH(B59)</f>
        <v>2</v>
      </c>
      <c r="F59" s="10" t="str">
        <f aca="false">CHOOSE(MOD(A59-1,5)+1,"Центр","Юг","Север","Запад","Восток")</f>
        <v>Север</v>
      </c>
      <c r="G59" s="10" t="str">
        <f aca="false">"Округ_"&amp;(MOD(A59-1,5)+1)&amp;"_"&amp;(MOD(INT((A59-1)/5),5)+1)</f>
        <v>Округ_3_2</v>
      </c>
      <c r="H59" s="10" t="str">
        <f aca="false">"Город_"&amp;(MOD(A59-1,5)+1)&amp;"_"&amp;(MOD(INT((A59-1)/5),5)+1)&amp;"_"&amp;(MOD(INT((A59-1)/25),10)+1)</f>
        <v>Город_3_2_3</v>
      </c>
      <c r="I59" s="10" t="str">
        <f aca="false">CHOOSE(MOD(A59-1,4)+1,"Электроника","Одежда","Продукты","Мебель")</f>
        <v>Одежда</v>
      </c>
      <c r="J59" s="10" t="str">
        <f aca="false">CHOOSE(MOD(INT((A59-1)/4),4)+1,CHOOSE(MOD(A59-1,4)+1,"Смартфоны","Ноутбуки","Аксессуары","Аудио"),CHOOSE(MOD(A59-1,4)+1,"Верхняя одежда","Спортивная","Повседневная","Обувь"),CHOOSE(MOD(A59-1,4)+1,"Молочные","Мясные","Бакалея","Напитки"),CHOOSE(MOD(A59-1,4)+1,"Мягкая мебель","Корпусная","Офисная","Кухонная"))</f>
        <v>Мясные</v>
      </c>
      <c r="K59" s="12" t="n">
        <f aca="false">1000+MOD(A59*317+A59*A59*7,49001)</f>
        <v>42934</v>
      </c>
      <c r="L59" s="12" t="n">
        <f aca="false">1+MOD(A59*131,100)</f>
        <v>99</v>
      </c>
      <c r="M59" s="12" t="n">
        <f aca="false">INT(K59*(0.6+MOD(A59*43,21)/100))</f>
        <v>32629</v>
      </c>
      <c r="N59" s="12" t="n">
        <f aca="false">K59-M59</f>
        <v>10305</v>
      </c>
    </row>
    <row r="60" customFormat="false" ht="12.8" hidden="false" customHeight="false" outlineLevel="0" collapsed="false">
      <c r="A60" s="10" t="n">
        <f aca="false">A59+1</f>
        <v>59</v>
      </c>
      <c r="B60" s="11" t="n">
        <f aca="false">B59+1</f>
        <v>44985</v>
      </c>
      <c r="C60" s="10" t="n">
        <f aca="false">YEAR(B60)</f>
        <v>2023</v>
      </c>
      <c r="D60" s="10" t="n">
        <f aca="false">INT((MONTH(B60)-1)/3)+1</f>
        <v>1</v>
      </c>
      <c r="E60" s="10" t="n">
        <f aca="false">MONTH(B60)</f>
        <v>2</v>
      </c>
      <c r="F60" s="10" t="str">
        <f aca="false">CHOOSE(MOD(A60-1,5)+1,"Центр","Юг","Север","Запад","Восток")</f>
        <v>Запад</v>
      </c>
      <c r="G60" s="10" t="str">
        <f aca="false">"Округ_"&amp;(MOD(A60-1,5)+1)&amp;"_"&amp;(MOD(INT((A60-1)/5),5)+1)</f>
        <v>Округ_4_2</v>
      </c>
      <c r="H60" s="10" t="str">
        <f aca="false">"Город_"&amp;(MOD(A60-1,5)+1)&amp;"_"&amp;(MOD(INT((A60-1)/5),5)+1)&amp;"_"&amp;(MOD(INT((A60-1)/25),10)+1)</f>
        <v>Город_4_2_3</v>
      </c>
      <c r="I60" s="10" t="str">
        <f aca="false">CHOOSE(MOD(A60-1,4)+1,"Электроника","Одежда","Продукты","Мебель")</f>
        <v>Продукты</v>
      </c>
      <c r="J60" s="10" t="str">
        <f aca="false">CHOOSE(MOD(INT((A60-1)/4),4)+1,CHOOSE(MOD(A60-1,4)+1,"Смартфоны","Ноутбуки","Аксессуары","Аудио"),CHOOSE(MOD(A60-1,4)+1,"Верхняя одежда","Спортивная","Повседневная","Обувь"),CHOOSE(MOD(A60-1,4)+1,"Молочные","Мясные","Бакалея","Напитки"),CHOOSE(MOD(A60-1,4)+1,"Мягкая мебель","Корпусная","Офисная","Кухонная"))</f>
        <v>Бакалея</v>
      </c>
      <c r="K60" s="12" t="n">
        <f aca="false">1000+MOD(A60*317+A60*A60*7,49001)</f>
        <v>44070</v>
      </c>
      <c r="L60" s="12" t="n">
        <f aca="false">1+MOD(A60*131,100)</f>
        <v>30</v>
      </c>
      <c r="M60" s="12" t="n">
        <f aca="false">INT(K60*(0.6+MOD(A60*43,21)/100))</f>
        <v>33933</v>
      </c>
      <c r="N60" s="12" t="n">
        <f aca="false">K60-M60</f>
        <v>10137</v>
      </c>
    </row>
    <row r="61" customFormat="false" ht="12.8" hidden="false" customHeight="false" outlineLevel="0" collapsed="false">
      <c r="A61" s="10" t="n">
        <f aca="false">A60+1</f>
        <v>60</v>
      </c>
      <c r="B61" s="11" t="n">
        <f aca="false">B60+1</f>
        <v>44986</v>
      </c>
      <c r="C61" s="10" t="n">
        <f aca="false">YEAR(B61)</f>
        <v>2023</v>
      </c>
      <c r="D61" s="10" t="n">
        <f aca="false">INT((MONTH(B61)-1)/3)+1</f>
        <v>1</v>
      </c>
      <c r="E61" s="10" t="n">
        <f aca="false">MONTH(B61)</f>
        <v>3</v>
      </c>
      <c r="F61" s="10" t="str">
        <f aca="false">CHOOSE(MOD(A61-1,5)+1,"Центр","Юг","Север","Запад","Восток")</f>
        <v>Восток</v>
      </c>
      <c r="G61" s="10" t="str">
        <f aca="false">"Округ_"&amp;(MOD(A61-1,5)+1)&amp;"_"&amp;(MOD(INT((A61-1)/5),5)+1)</f>
        <v>Округ_5_2</v>
      </c>
      <c r="H61" s="10" t="str">
        <f aca="false">"Город_"&amp;(MOD(A61-1,5)+1)&amp;"_"&amp;(MOD(INT((A61-1)/5),5)+1)&amp;"_"&amp;(MOD(INT((A61-1)/25),10)+1)</f>
        <v>Город_5_2_3</v>
      </c>
      <c r="I61" s="10" t="str">
        <f aca="false">CHOOSE(MOD(A61-1,4)+1,"Электроника","Одежда","Продукты","Мебель")</f>
        <v>Мебель</v>
      </c>
      <c r="J61" s="10" t="str">
        <f aca="false">CHOOSE(MOD(INT((A61-1)/4),4)+1,CHOOSE(MOD(A61-1,4)+1,"Смартфоны","Ноутбуки","Аксессуары","Аудио"),CHOOSE(MOD(A61-1,4)+1,"Верхняя одежда","Спортивная","Повседневная","Обувь"),CHOOSE(MOD(A61-1,4)+1,"Молочные","Мясные","Бакалея","Напитки"),CHOOSE(MOD(A61-1,4)+1,"Мягкая мебель","Корпусная","Офисная","Кухонная"))</f>
        <v>Напитки</v>
      </c>
      <c r="K61" s="12" t="n">
        <f aca="false">1000+MOD(A61*317+A61*A61*7,49001)</f>
        <v>45220</v>
      </c>
      <c r="L61" s="12" t="n">
        <f aca="false">1+MOD(A61*131,100)</f>
        <v>61</v>
      </c>
      <c r="M61" s="12" t="n">
        <f aca="false">INT(K61*(0.6+MOD(A61*43,21)/100))</f>
        <v>35271</v>
      </c>
      <c r="N61" s="12" t="n">
        <f aca="false">K61-M61</f>
        <v>9949</v>
      </c>
    </row>
    <row r="62" customFormat="false" ht="12.8" hidden="false" customHeight="false" outlineLevel="0" collapsed="false">
      <c r="A62" s="10" t="n">
        <f aca="false">A61+1</f>
        <v>61</v>
      </c>
      <c r="B62" s="11" t="n">
        <f aca="false">B61+1</f>
        <v>44987</v>
      </c>
      <c r="C62" s="10" t="n">
        <f aca="false">YEAR(B62)</f>
        <v>2023</v>
      </c>
      <c r="D62" s="10" t="n">
        <f aca="false">INT((MONTH(B62)-1)/3)+1</f>
        <v>1</v>
      </c>
      <c r="E62" s="10" t="n">
        <f aca="false">MONTH(B62)</f>
        <v>3</v>
      </c>
      <c r="F62" s="10" t="str">
        <f aca="false">CHOOSE(MOD(A62-1,5)+1,"Центр","Юг","Север","Запад","Восток")</f>
        <v>Центр</v>
      </c>
      <c r="G62" s="10" t="str">
        <f aca="false">"Округ_"&amp;(MOD(A62-1,5)+1)&amp;"_"&amp;(MOD(INT((A62-1)/5),5)+1)</f>
        <v>Округ_1_3</v>
      </c>
      <c r="H62" s="10" t="str">
        <f aca="false">"Город_"&amp;(MOD(A62-1,5)+1)&amp;"_"&amp;(MOD(INT((A62-1)/5),5)+1)&amp;"_"&amp;(MOD(INT((A62-1)/25),10)+1)</f>
        <v>Город_1_3_3</v>
      </c>
      <c r="I62" s="10" t="str">
        <f aca="false">CHOOSE(MOD(A62-1,4)+1,"Электроника","Одежда","Продукты","Мебель")</f>
        <v>Электроника</v>
      </c>
      <c r="J62" s="10" t="str">
        <f aca="false">CHOOSE(MOD(INT((A62-1)/4),4)+1,CHOOSE(MOD(A62-1,4)+1,"Смартфоны","Ноутбуки","Аксессуары","Аудио"),CHOOSE(MOD(A62-1,4)+1,"Верхняя одежда","Спортивная","Повседневная","Обувь"),CHOOSE(MOD(A62-1,4)+1,"Молочные","Мясные","Бакалея","Напитки"),CHOOSE(MOD(A62-1,4)+1,"Мягкая мебель","Корпусная","Офисная","Кухонная"))</f>
        <v>Мягкая мебель</v>
      </c>
      <c r="K62" s="12" t="n">
        <f aca="false">1000+MOD(A62*317+A62*A62*7,49001)</f>
        <v>46384</v>
      </c>
      <c r="L62" s="12" t="n">
        <f aca="false">1+MOD(A62*131,100)</f>
        <v>92</v>
      </c>
      <c r="M62" s="12" t="n">
        <f aca="false">INT(K62*(0.6+MOD(A62*43,21)/100))</f>
        <v>36643</v>
      </c>
      <c r="N62" s="12" t="n">
        <f aca="false">K62-M62</f>
        <v>9741</v>
      </c>
    </row>
    <row r="63" customFormat="false" ht="12.8" hidden="false" customHeight="false" outlineLevel="0" collapsed="false">
      <c r="A63" s="10" t="n">
        <f aca="false">A62+1</f>
        <v>62</v>
      </c>
      <c r="B63" s="11" t="n">
        <f aca="false">B62+1</f>
        <v>44988</v>
      </c>
      <c r="C63" s="10" t="n">
        <f aca="false">YEAR(B63)</f>
        <v>2023</v>
      </c>
      <c r="D63" s="10" t="n">
        <f aca="false">INT((MONTH(B63)-1)/3)+1</f>
        <v>1</v>
      </c>
      <c r="E63" s="10" t="n">
        <f aca="false">MONTH(B63)</f>
        <v>3</v>
      </c>
      <c r="F63" s="10" t="str">
        <f aca="false">CHOOSE(MOD(A63-1,5)+1,"Центр","Юг","Север","Запад","Восток")</f>
        <v>Юг</v>
      </c>
      <c r="G63" s="10" t="str">
        <f aca="false">"Округ_"&amp;(MOD(A63-1,5)+1)&amp;"_"&amp;(MOD(INT((A63-1)/5),5)+1)</f>
        <v>Округ_2_3</v>
      </c>
      <c r="H63" s="10" t="str">
        <f aca="false">"Город_"&amp;(MOD(A63-1,5)+1)&amp;"_"&amp;(MOD(INT((A63-1)/5),5)+1)&amp;"_"&amp;(MOD(INT((A63-1)/25),10)+1)</f>
        <v>Город_2_3_3</v>
      </c>
      <c r="I63" s="10" t="str">
        <f aca="false">CHOOSE(MOD(A63-1,4)+1,"Электроника","Одежда","Продукты","Мебель")</f>
        <v>Одежда</v>
      </c>
      <c r="J63" s="10" t="str">
        <f aca="false">CHOOSE(MOD(INT((A63-1)/4),4)+1,CHOOSE(MOD(A63-1,4)+1,"Смартфоны","Ноутбуки","Аксессуары","Аудио"),CHOOSE(MOD(A63-1,4)+1,"Верхняя одежда","Спортивная","Повседневная","Обувь"),CHOOSE(MOD(A63-1,4)+1,"Молочные","Мясные","Бакалея","Напитки"),CHOOSE(MOD(A63-1,4)+1,"Мягкая мебель","Корпусная","Офисная","Кухонная"))</f>
        <v>Корпусная</v>
      </c>
      <c r="K63" s="12" t="n">
        <f aca="false">1000+MOD(A63*317+A63*A63*7,49001)</f>
        <v>47562</v>
      </c>
      <c r="L63" s="12" t="n">
        <f aca="false">1+MOD(A63*131,100)</f>
        <v>23</v>
      </c>
      <c r="M63" s="12" t="n">
        <f aca="false">INT(K63*(0.6+MOD(A63*43,21)/100))</f>
        <v>38049</v>
      </c>
      <c r="N63" s="12" t="n">
        <f aca="false">K63-M63</f>
        <v>9513</v>
      </c>
    </row>
    <row r="64" customFormat="false" ht="12.8" hidden="false" customHeight="false" outlineLevel="0" collapsed="false">
      <c r="A64" s="10" t="n">
        <f aca="false">A63+1</f>
        <v>63</v>
      </c>
      <c r="B64" s="11" t="n">
        <f aca="false">B63+1</f>
        <v>44989</v>
      </c>
      <c r="C64" s="10" t="n">
        <f aca="false">YEAR(B64)</f>
        <v>2023</v>
      </c>
      <c r="D64" s="10" t="n">
        <f aca="false">INT((MONTH(B64)-1)/3)+1</f>
        <v>1</v>
      </c>
      <c r="E64" s="10" t="n">
        <f aca="false">MONTH(B64)</f>
        <v>3</v>
      </c>
      <c r="F64" s="10" t="str">
        <f aca="false">CHOOSE(MOD(A64-1,5)+1,"Центр","Юг","Север","Запад","Восток")</f>
        <v>Север</v>
      </c>
      <c r="G64" s="10" t="str">
        <f aca="false">"Округ_"&amp;(MOD(A64-1,5)+1)&amp;"_"&amp;(MOD(INT((A64-1)/5),5)+1)</f>
        <v>Округ_3_3</v>
      </c>
      <c r="H64" s="10" t="str">
        <f aca="false">"Город_"&amp;(MOD(A64-1,5)+1)&amp;"_"&amp;(MOD(INT((A64-1)/5),5)+1)&amp;"_"&amp;(MOD(INT((A64-1)/25),10)+1)</f>
        <v>Город_3_3_3</v>
      </c>
      <c r="I64" s="10" t="str">
        <f aca="false">CHOOSE(MOD(A64-1,4)+1,"Электроника","Одежда","Продукты","Мебель")</f>
        <v>Продукты</v>
      </c>
      <c r="J64" s="10" t="str">
        <f aca="false">CHOOSE(MOD(INT((A64-1)/4),4)+1,CHOOSE(MOD(A64-1,4)+1,"Смартфоны","Ноутбуки","Аксессуары","Аудио"),CHOOSE(MOD(A64-1,4)+1,"Верхняя одежда","Спортивная","Повседневная","Обувь"),CHOOSE(MOD(A64-1,4)+1,"Молочные","Мясные","Бакалея","Напитки"),CHOOSE(MOD(A64-1,4)+1,"Мягкая мебель","Корпусная","Офисная","Кухонная"))</f>
        <v>Офисная</v>
      </c>
      <c r="K64" s="12" t="n">
        <f aca="false">1000+MOD(A64*317+A64*A64*7,49001)</f>
        <v>48754</v>
      </c>
      <c r="L64" s="12" t="n">
        <f aca="false">1+MOD(A64*131,100)</f>
        <v>54</v>
      </c>
      <c r="M64" s="12" t="n">
        <f aca="false">INT(K64*(0.6+MOD(A64*43,21)/100))</f>
        <v>29252</v>
      </c>
      <c r="N64" s="12" t="n">
        <f aca="false">K64-M64</f>
        <v>19502</v>
      </c>
    </row>
    <row r="65" customFormat="false" ht="12.8" hidden="false" customHeight="false" outlineLevel="0" collapsed="false">
      <c r="A65" s="10" t="n">
        <f aca="false">A64+1</f>
        <v>64</v>
      </c>
      <c r="B65" s="11" t="n">
        <f aca="false">B64+1</f>
        <v>44990</v>
      </c>
      <c r="C65" s="10" t="n">
        <f aca="false">YEAR(B65)</f>
        <v>2023</v>
      </c>
      <c r="D65" s="10" t="n">
        <f aca="false">INT((MONTH(B65)-1)/3)+1</f>
        <v>1</v>
      </c>
      <c r="E65" s="10" t="n">
        <f aca="false">MONTH(B65)</f>
        <v>3</v>
      </c>
      <c r="F65" s="10" t="str">
        <f aca="false">CHOOSE(MOD(A65-1,5)+1,"Центр","Юг","Север","Запад","Восток")</f>
        <v>Запад</v>
      </c>
      <c r="G65" s="10" t="str">
        <f aca="false">"Округ_"&amp;(MOD(A65-1,5)+1)&amp;"_"&amp;(MOD(INT((A65-1)/5),5)+1)</f>
        <v>Округ_4_3</v>
      </c>
      <c r="H65" s="10" t="str">
        <f aca="false">"Город_"&amp;(MOD(A65-1,5)+1)&amp;"_"&amp;(MOD(INT((A65-1)/5),5)+1)&amp;"_"&amp;(MOD(INT((A65-1)/25),10)+1)</f>
        <v>Город_4_3_3</v>
      </c>
      <c r="I65" s="10" t="str">
        <f aca="false">CHOOSE(MOD(A65-1,4)+1,"Электроника","Одежда","Продукты","Мебель")</f>
        <v>Мебель</v>
      </c>
      <c r="J65" s="10" t="str">
        <f aca="false">CHOOSE(MOD(INT((A65-1)/4),4)+1,CHOOSE(MOD(A65-1,4)+1,"Смартфоны","Ноутбуки","Аксессуары","Аудио"),CHOOSE(MOD(A65-1,4)+1,"Верхняя одежда","Спортивная","Повседневная","Обувь"),CHOOSE(MOD(A65-1,4)+1,"Молочные","Мясные","Бакалея","Напитки"),CHOOSE(MOD(A65-1,4)+1,"Мягкая мебель","Корпусная","Офисная","Кухонная"))</f>
        <v>Кухонная</v>
      </c>
      <c r="K65" s="12" t="n">
        <f aca="false">1000+MOD(A65*317+A65*A65*7,49001)</f>
        <v>49960</v>
      </c>
      <c r="L65" s="12" t="n">
        <f aca="false">1+MOD(A65*131,100)</f>
        <v>85</v>
      </c>
      <c r="M65" s="12" t="n">
        <f aca="false">INT(K65*(0.6+MOD(A65*43,21)/100))</f>
        <v>30475</v>
      </c>
      <c r="N65" s="12" t="n">
        <f aca="false">K65-M65</f>
        <v>19485</v>
      </c>
    </row>
    <row r="66" customFormat="false" ht="12.8" hidden="false" customHeight="false" outlineLevel="0" collapsed="false">
      <c r="A66" s="10" t="n">
        <f aca="false">A65+1</f>
        <v>65</v>
      </c>
      <c r="B66" s="11" t="n">
        <f aca="false">B65+1</f>
        <v>44991</v>
      </c>
      <c r="C66" s="10" t="n">
        <f aca="false">YEAR(B66)</f>
        <v>2023</v>
      </c>
      <c r="D66" s="10" t="n">
        <f aca="false">INT((MONTH(B66)-1)/3)+1</f>
        <v>1</v>
      </c>
      <c r="E66" s="10" t="n">
        <f aca="false">MONTH(B66)</f>
        <v>3</v>
      </c>
      <c r="F66" s="10" t="str">
        <f aca="false">CHOOSE(MOD(A66-1,5)+1,"Центр","Юг","Север","Запад","Восток")</f>
        <v>Восток</v>
      </c>
      <c r="G66" s="10" t="str">
        <f aca="false">"Округ_"&amp;(MOD(A66-1,5)+1)&amp;"_"&amp;(MOD(INT((A66-1)/5),5)+1)</f>
        <v>Округ_5_3</v>
      </c>
      <c r="H66" s="10" t="str">
        <f aca="false">"Город_"&amp;(MOD(A66-1,5)+1)&amp;"_"&amp;(MOD(INT((A66-1)/5),5)+1)&amp;"_"&amp;(MOD(INT((A66-1)/25),10)+1)</f>
        <v>Город_5_3_3</v>
      </c>
      <c r="I66" s="10" t="str">
        <f aca="false">CHOOSE(MOD(A66-1,4)+1,"Электроника","Одежда","Продукты","Мебель")</f>
        <v>Электроника</v>
      </c>
      <c r="J66" s="10" t="str">
        <f aca="false">CHOOSE(MOD(INT((A66-1)/4),4)+1,CHOOSE(MOD(A66-1,4)+1,"Смартфоны","Ноутбуки","Аксессуары","Аудио"),CHOOSE(MOD(A66-1,4)+1,"Верхняя одежда","Спортивная","Повседневная","Обувь"),CHOOSE(MOD(A66-1,4)+1,"Молочные","Мясные","Бакалея","Напитки"),CHOOSE(MOD(A66-1,4)+1,"Мягкая мебель","Корпусная","Офисная","Кухонная"))</f>
        <v>Смартфоны</v>
      </c>
      <c r="K66" s="12" t="n">
        <f aca="false">1000+MOD(A66*317+A66*A66*7,49001)</f>
        <v>2179</v>
      </c>
      <c r="L66" s="12" t="n">
        <f aca="false">1+MOD(A66*131,100)</f>
        <v>16</v>
      </c>
      <c r="M66" s="12" t="n">
        <f aca="false">INT(K66*(0.6+MOD(A66*43,21)/100))</f>
        <v>1350</v>
      </c>
      <c r="N66" s="12" t="n">
        <f aca="false">K66-M66</f>
        <v>829</v>
      </c>
    </row>
    <row r="67" customFormat="false" ht="12.8" hidden="false" customHeight="false" outlineLevel="0" collapsed="false">
      <c r="A67" s="10" t="n">
        <f aca="false">A66+1</f>
        <v>66</v>
      </c>
      <c r="B67" s="11" t="n">
        <f aca="false">B66+1</f>
        <v>44992</v>
      </c>
      <c r="C67" s="10" t="n">
        <f aca="false">YEAR(B67)</f>
        <v>2023</v>
      </c>
      <c r="D67" s="10" t="n">
        <f aca="false">INT((MONTH(B67)-1)/3)+1</f>
        <v>1</v>
      </c>
      <c r="E67" s="10" t="n">
        <f aca="false">MONTH(B67)</f>
        <v>3</v>
      </c>
      <c r="F67" s="10" t="str">
        <f aca="false">CHOOSE(MOD(A67-1,5)+1,"Центр","Юг","Север","Запад","Восток")</f>
        <v>Центр</v>
      </c>
      <c r="G67" s="10" t="str">
        <f aca="false">"Округ_"&amp;(MOD(A67-1,5)+1)&amp;"_"&amp;(MOD(INT((A67-1)/5),5)+1)</f>
        <v>Округ_1_4</v>
      </c>
      <c r="H67" s="10" t="str">
        <f aca="false">"Город_"&amp;(MOD(A67-1,5)+1)&amp;"_"&amp;(MOD(INT((A67-1)/5),5)+1)&amp;"_"&amp;(MOD(INT((A67-1)/25),10)+1)</f>
        <v>Город_1_4_3</v>
      </c>
      <c r="I67" s="10" t="str">
        <f aca="false">CHOOSE(MOD(A67-1,4)+1,"Электроника","Одежда","Продукты","Мебель")</f>
        <v>Одежда</v>
      </c>
      <c r="J67" s="10" t="str">
        <f aca="false">CHOOSE(MOD(INT((A67-1)/4),4)+1,CHOOSE(MOD(A67-1,4)+1,"Смартфоны","Ноутбуки","Аксессуары","Аудио"),CHOOSE(MOD(A67-1,4)+1,"Верхняя одежда","Спортивная","Повседневная","Обувь"),CHOOSE(MOD(A67-1,4)+1,"Молочные","Мясные","Бакалея","Напитки"),CHOOSE(MOD(A67-1,4)+1,"Мягкая мебель","Корпусная","Офисная","Кухонная"))</f>
        <v>Ноутбуки</v>
      </c>
      <c r="K67" s="12" t="n">
        <f aca="false">1000+MOD(A67*317+A67*A67*7,49001)</f>
        <v>3413</v>
      </c>
      <c r="L67" s="12" t="n">
        <f aca="false">1+MOD(A67*131,100)</f>
        <v>47</v>
      </c>
      <c r="M67" s="12" t="n">
        <f aca="false">INT(K67*(0.6+MOD(A67*43,21)/100))</f>
        <v>2150</v>
      </c>
      <c r="N67" s="12" t="n">
        <f aca="false">K67-M67</f>
        <v>1263</v>
      </c>
    </row>
    <row r="68" customFormat="false" ht="12.8" hidden="false" customHeight="false" outlineLevel="0" collapsed="false">
      <c r="A68" s="10" t="n">
        <f aca="false">A67+1</f>
        <v>67</v>
      </c>
      <c r="B68" s="11" t="n">
        <f aca="false">B67+1</f>
        <v>44993</v>
      </c>
      <c r="C68" s="10" t="n">
        <f aca="false">YEAR(B68)</f>
        <v>2023</v>
      </c>
      <c r="D68" s="10" t="n">
        <f aca="false">INT((MONTH(B68)-1)/3)+1</f>
        <v>1</v>
      </c>
      <c r="E68" s="10" t="n">
        <f aca="false">MONTH(B68)</f>
        <v>3</v>
      </c>
      <c r="F68" s="10" t="str">
        <f aca="false">CHOOSE(MOD(A68-1,5)+1,"Центр","Юг","Север","Запад","Восток")</f>
        <v>Юг</v>
      </c>
      <c r="G68" s="10" t="str">
        <f aca="false">"Округ_"&amp;(MOD(A68-1,5)+1)&amp;"_"&amp;(MOD(INT((A68-1)/5),5)+1)</f>
        <v>Округ_2_4</v>
      </c>
      <c r="H68" s="10" t="str">
        <f aca="false">"Город_"&amp;(MOD(A68-1,5)+1)&amp;"_"&amp;(MOD(INT((A68-1)/5),5)+1)&amp;"_"&amp;(MOD(INT((A68-1)/25),10)+1)</f>
        <v>Город_2_4_3</v>
      </c>
      <c r="I68" s="10" t="str">
        <f aca="false">CHOOSE(MOD(A68-1,4)+1,"Электроника","Одежда","Продукты","Мебель")</f>
        <v>Продукты</v>
      </c>
      <c r="J68" s="10" t="str">
        <f aca="false">CHOOSE(MOD(INT((A68-1)/4),4)+1,CHOOSE(MOD(A68-1,4)+1,"Смартфоны","Ноутбуки","Аксессуары","Аудио"),CHOOSE(MOD(A68-1,4)+1,"Верхняя одежда","Спортивная","Повседневная","Обувь"),CHOOSE(MOD(A68-1,4)+1,"Молочные","Мясные","Бакалея","Напитки"),CHOOSE(MOD(A68-1,4)+1,"Мягкая мебель","Корпусная","Офисная","Кухонная"))</f>
        <v>Аксессуары</v>
      </c>
      <c r="K68" s="12" t="n">
        <f aca="false">1000+MOD(A68*317+A68*A68*7,49001)</f>
        <v>4661</v>
      </c>
      <c r="L68" s="12" t="n">
        <f aca="false">1+MOD(A68*131,100)</f>
        <v>78</v>
      </c>
      <c r="M68" s="12" t="n">
        <f aca="false">INT(K68*(0.6+MOD(A68*43,21)/100))</f>
        <v>2983</v>
      </c>
      <c r="N68" s="12" t="n">
        <f aca="false">K68-M68</f>
        <v>1678</v>
      </c>
    </row>
    <row r="69" customFormat="false" ht="12.8" hidden="false" customHeight="false" outlineLevel="0" collapsed="false">
      <c r="A69" s="10" t="n">
        <f aca="false">A68+1</f>
        <v>68</v>
      </c>
      <c r="B69" s="11" t="n">
        <f aca="false">B68+1</f>
        <v>44994</v>
      </c>
      <c r="C69" s="10" t="n">
        <f aca="false">YEAR(B69)</f>
        <v>2023</v>
      </c>
      <c r="D69" s="10" t="n">
        <f aca="false">INT((MONTH(B69)-1)/3)+1</f>
        <v>1</v>
      </c>
      <c r="E69" s="10" t="n">
        <f aca="false">MONTH(B69)</f>
        <v>3</v>
      </c>
      <c r="F69" s="10" t="str">
        <f aca="false">CHOOSE(MOD(A69-1,5)+1,"Центр","Юг","Север","Запад","Восток")</f>
        <v>Север</v>
      </c>
      <c r="G69" s="10" t="str">
        <f aca="false">"Округ_"&amp;(MOD(A69-1,5)+1)&amp;"_"&amp;(MOD(INT((A69-1)/5),5)+1)</f>
        <v>Округ_3_4</v>
      </c>
      <c r="H69" s="10" t="str">
        <f aca="false">"Город_"&amp;(MOD(A69-1,5)+1)&amp;"_"&amp;(MOD(INT((A69-1)/5),5)+1)&amp;"_"&amp;(MOD(INT((A69-1)/25),10)+1)</f>
        <v>Город_3_4_3</v>
      </c>
      <c r="I69" s="10" t="str">
        <f aca="false">CHOOSE(MOD(A69-1,4)+1,"Электроника","Одежда","Продукты","Мебель")</f>
        <v>Мебель</v>
      </c>
      <c r="J69" s="10" t="str">
        <f aca="false">CHOOSE(MOD(INT((A69-1)/4),4)+1,CHOOSE(MOD(A69-1,4)+1,"Смартфоны","Ноутбуки","Аксессуары","Аудио"),CHOOSE(MOD(A69-1,4)+1,"Верхняя одежда","Спортивная","Повседневная","Обувь"),CHOOSE(MOD(A69-1,4)+1,"Молочные","Мясные","Бакалея","Напитки"),CHOOSE(MOD(A69-1,4)+1,"Мягкая мебель","Корпусная","Офисная","Кухонная"))</f>
        <v>Аудио</v>
      </c>
      <c r="K69" s="12" t="n">
        <f aca="false">1000+MOD(A69*317+A69*A69*7,49001)</f>
        <v>5923</v>
      </c>
      <c r="L69" s="12" t="n">
        <f aca="false">1+MOD(A69*131,100)</f>
        <v>9</v>
      </c>
      <c r="M69" s="12" t="n">
        <f aca="false">INT(K69*(0.6+MOD(A69*43,21)/100))</f>
        <v>3849</v>
      </c>
      <c r="N69" s="12" t="n">
        <f aca="false">K69-M69</f>
        <v>2074</v>
      </c>
    </row>
    <row r="70" customFormat="false" ht="12.8" hidden="false" customHeight="false" outlineLevel="0" collapsed="false">
      <c r="A70" s="10" t="n">
        <f aca="false">A69+1</f>
        <v>69</v>
      </c>
      <c r="B70" s="11" t="n">
        <f aca="false">B69+1</f>
        <v>44995</v>
      </c>
      <c r="C70" s="10" t="n">
        <f aca="false">YEAR(B70)</f>
        <v>2023</v>
      </c>
      <c r="D70" s="10" t="n">
        <f aca="false">INT((MONTH(B70)-1)/3)+1</f>
        <v>1</v>
      </c>
      <c r="E70" s="10" t="n">
        <f aca="false">MONTH(B70)</f>
        <v>3</v>
      </c>
      <c r="F70" s="10" t="str">
        <f aca="false">CHOOSE(MOD(A70-1,5)+1,"Центр","Юг","Север","Запад","Восток")</f>
        <v>Запад</v>
      </c>
      <c r="G70" s="10" t="str">
        <f aca="false">"Округ_"&amp;(MOD(A70-1,5)+1)&amp;"_"&amp;(MOD(INT((A70-1)/5),5)+1)</f>
        <v>Округ_4_4</v>
      </c>
      <c r="H70" s="10" t="str">
        <f aca="false">"Город_"&amp;(MOD(A70-1,5)+1)&amp;"_"&amp;(MOD(INT((A70-1)/5),5)+1)&amp;"_"&amp;(MOD(INT((A70-1)/25),10)+1)</f>
        <v>Город_4_4_3</v>
      </c>
      <c r="I70" s="10" t="str">
        <f aca="false">CHOOSE(MOD(A70-1,4)+1,"Электроника","Одежда","Продукты","Мебель")</f>
        <v>Электроника</v>
      </c>
      <c r="J70" s="10" t="str">
        <f aca="false">CHOOSE(MOD(INT((A70-1)/4),4)+1,CHOOSE(MOD(A70-1,4)+1,"Смартфоны","Ноутбуки","Аксессуары","Аудио"),CHOOSE(MOD(A70-1,4)+1,"Верхняя одежда","Спортивная","Повседневная","Обувь"),CHOOSE(MOD(A70-1,4)+1,"Молочные","Мясные","Бакалея","Напитки"),CHOOSE(MOD(A70-1,4)+1,"Мягкая мебель","Корпусная","Офисная","Кухонная"))</f>
        <v>Верхняя одежда</v>
      </c>
      <c r="K70" s="12" t="n">
        <f aca="false">1000+MOD(A70*317+A70*A70*7,49001)</f>
        <v>7199</v>
      </c>
      <c r="L70" s="12" t="n">
        <f aca="false">1+MOD(A70*131,100)</f>
        <v>40</v>
      </c>
      <c r="M70" s="12" t="n">
        <f aca="false">INT(K70*(0.6+MOD(A70*43,21)/100))</f>
        <v>4751</v>
      </c>
      <c r="N70" s="12" t="n">
        <f aca="false">K70-M70</f>
        <v>2448</v>
      </c>
    </row>
    <row r="71" customFormat="false" ht="12.8" hidden="false" customHeight="false" outlineLevel="0" collapsed="false">
      <c r="A71" s="10" t="n">
        <f aca="false">A70+1</f>
        <v>70</v>
      </c>
      <c r="B71" s="11" t="n">
        <f aca="false">B70+1</f>
        <v>44996</v>
      </c>
      <c r="C71" s="10" t="n">
        <f aca="false">YEAR(B71)</f>
        <v>2023</v>
      </c>
      <c r="D71" s="10" t="n">
        <f aca="false">INT((MONTH(B71)-1)/3)+1</f>
        <v>1</v>
      </c>
      <c r="E71" s="10" t="n">
        <f aca="false">MONTH(B71)</f>
        <v>3</v>
      </c>
      <c r="F71" s="10" t="str">
        <f aca="false">CHOOSE(MOD(A71-1,5)+1,"Центр","Юг","Север","Запад","Восток")</f>
        <v>Восток</v>
      </c>
      <c r="G71" s="10" t="str">
        <f aca="false">"Округ_"&amp;(MOD(A71-1,5)+1)&amp;"_"&amp;(MOD(INT((A71-1)/5),5)+1)</f>
        <v>Округ_5_4</v>
      </c>
      <c r="H71" s="10" t="str">
        <f aca="false">"Город_"&amp;(MOD(A71-1,5)+1)&amp;"_"&amp;(MOD(INT((A71-1)/5),5)+1)&amp;"_"&amp;(MOD(INT((A71-1)/25),10)+1)</f>
        <v>Город_5_4_3</v>
      </c>
      <c r="I71" s="10" t="str">
        <f aca="false">CHOOSE(MOD(A71-1,4)+1,"Электроника","Одежда","Продукты","Мебель")</f>
        <v>Одежда</v>
      </c>
      <c r="J71" s="10" t="str">
        <f aca="false">CHOOSE(MOD(INT((A71-1)/4),4)+1,CHOOSE(MOD(A71-1,4)+1,"Смартфоны","Ноутбуки","Аксессуары","Аудио"),CHOOSE(MOD(A71-1,4)+1,"Верхняя одежда","Спортивная","Повседневная","Обувь"),CHOOSE(MOD(A71-1,4)+1,"Молочные","Мясные","Бакалея","Напитки"),CHOOSE(MOD(A71-1,4)+1,"Мягкая мебель","Корпусная","Офисная","Кухонная"))</f>
        <v>Спортивная</v>
      </c>
      <c r="K71" s="12" t="n">
        <f aca="false">1000+MOD(A71*317+A71*A71*7,49001)</f>
        <v>8489</v>
      </c>
      <c r="L71" s="12" t="n">
        <f aca="false">1+MOD(A71*131,100)</f>
        <v>71</v>
      </c>
      <c r="M71" s="12" t="n">
        <f aca="false">INT(K71*(0.6+MOD(A71*43,21)/100))</f>
        <v>5687</v>
      </c>
      <c r="N71" s="12" t="n">
        <f aca="false">K71-M71</f>
        <v>2802</v>
      </c>
    </row>
    <row r="72" customFormat="false" ht="12.8" hidden="false" customHeight="false" outlineLevel="0" collapsed="false">
      <c r="A72" s="10" t="n">
        <f aca="false">A71+1</f>
        <v>71</v>
      </c>
      <c r="B72" s="11" t="n">
        <f aca="false">B71+1</f>
        <v>44997</v>
      </c>
      <c r="C72" s="10" t="n">
        <f aca="false">YEAR(B72)</f>
        <v>2023</v>
      </c>
      <c r="D72" s="10" t="n">
        <f aca="false">INT((MONTH(B72)-1)/3)+1</f>
        <v>1</v>
      </c>
      <c r="E72" s="10" t="n">
        <f aca="false">MONTH(B72)</f>
        <v>3</v>
      </c>
      <c r="F72" s="10" t="str">
        <f aca="false">CHOOSE(MOD(A72-1,5)+1,"Центр","Юг","Север","Запад","Восток")</f>
        <v>Центр</v>
      </c>
      <c r="G72" s="10" t="str">
        <f aca="false">"Округ_"&amp;(MOD(A72-1,5)+1)&amp;"_"&amp;(MOD(INT((A72-1)/5),5)+1)</f>
        <v>Округ_1_5</v>
      </c>
      <c r="H72" s="10" t="str">
        <f aca="false">"Город_"&amp;(MOD(A72-1,5)+1)&amp;"_"&amp;(MOD(INT((A72-1)/5),5)+1)&amp;"_"&amp;(MOD(INT((A72-1)/25),10)+1)</f>
        <v>Город_1_5_3</v>
      </c>
      <c r="I72" s="10" t="str">
        <f aca="false">CHOOSE(MOD(A72-1,4)+1,"Электроника","Одежда","Продукты","Мебель")</f>
        <v>Продукты</v>
      </c>
      <c r="J72" s="10" t="str">
        <f aca="false">CHOOSE(MOD(INT((A72-1)/4),4)+1,CHOOSE(MOD(A72-1,4)+1,"Смартфоны","Ноутбуки","Аксессуары","Аудио"),CHOOSE(MOD(A72-1,4)+1,"Верхняя одежда","Спортивная","Повседневная","Обувь"),CHOOSE(MOD(A72-1,4)+1,"Молочные","Мясные","Бакалея","Напитки"),CHOOSE(MOD(A72-1,4)+1,"Мягкая мебель","Корпусная","Офисная","Кухонная"))</f>
        <v>Повседневная</v>
      </c>
      <c r="K72" s="12" t="n">
        <f aca="false">1000+MOD(A72*317+A72*A72*7,49001)</f>
        <v>9793</v>
      </c>
      <c r="L72" s="12" t="n">
        <f aca="false">1+MOD(A72*131,100)</f>
        <v>2</v>
      </c>
      <c r="M72" s="12" t="n">
        <f aca="false">INT(K72*(0.6+MOD(A72*43,21)/100))</f>
        <v>6659</v>
      </c>
      <c r="N72" s="12" t="n">
        <f aca="false">K72-M72</f>
        <v>3134</v>
      </c>
    </row>
    <row r="73" customFormat="false" ht="12.8" hidden="false" customHeight="false" outlineLevel="0" collapsed="false">
      <c r="A73" s="10" t="n">
        <f aca="false">A72+1</f>
        <v>72</v>
      </c>
      <c r="B73" s="11" t="n">
        <f aca="false">B72+1</f>
        <v>44998</v>
      </c>
      <c r="C73" s="10" t="n">
        <f aca="false">YEAR(B73)</f>
        <v>2023</v>
      </c>
      <c r="D73" s="10" t="n">
        <f aca="false">INT((MONTH(B73)-1)/3)+1</f>
        <v>1</v>
      </c>
      <c r="E73" s="10" t="n">
        <f aca="false">MONTH(B73)</f>
        <v>3</v>
      </c>
      <c r="F73" s="10" t="str">
        <f aca="false">CHOOSE(MOD(A73-1,5)+1,"Центр","Юг","Север","Запад","Восток")</f>
        <v>Юг</v>
      </c>
      <c r="G73" s="10" t="str">
        <f aca="false">"Округ_"&amp;(MOD(A73-1,5)+1)&amp;"_"&amp;(MOD(INT((A73-1)/5),5)+1)</f>
        <v>Округ_2_5</v>
      </c>
      <c r="H73" s="10" t="str">
        <f aca="false">"Город_"&amp;(MOD(A73-1,5)+1)&amp;"_"&amp;(MOD(INT((A73-1)/5),5)+1)&amp;"_"&amp;(MOD(INT((A73-1)/25),10)+1)</f>
        <v>Город_2_5_3</v>
      </c>
      <c r="I73" s="10" t="str">
        <f aca="false">CHOOSE(MOD(A73-1,4)+1,"Электроника","Одежда","Продукты","Мебель")</f>
        <v>Мебель</v>
      </c>
      <c r="J73" s="10" t="str">
        <f aca="false">CHOOSE(MOD(INT((A73-1)/4),4)+1,CHOOSE(MOD(A73-1,4)+1,"Смартфоны","Ноутбуки","Аксессуары","Аудио"),CHOOSE(MOD(A73-1,4)+1,"Верхняя одежда","Спортивная","Повседневная","Обувь"),CHOOSE(MOD(A73-1,4)+1,"Молочные","Мясные","Бакалея","Напитки"),CHOOSE(MOD(A73-1,4)+1,"Мягкая мебель","Корпусная","Офисная","Кухонная"))</f>
        <v>Обувь</v>
      </c>
      <c r="K73" s="12" t="n">
        <f aca="false">1000+MOD(A73*317+A73*A73*7,49001)</f>
        <v>11111</v>
      </c>
      <c r="L73" s="12" t="n">
        <f aca="false">1+MOD(A73*131,100)</f>
        <v>33</v>
      </c>
      <c r="M73" s="12" t="n">
        <f aca="false">INT(K73*(0.6+MOD(A73*43,21)/100))</f>
        <v>7666</v>
      </c>
      <c r="N73" s="12" t="n">
        <f aca="false">K73-M73</f>
        <v>3445</v>
      </c>
    </row>
    <row r="74" customFormat="false" ht="12.8" hidden="false" customHeight="false" outlineLevel="0" collapsed="false">
      <c r="A74" s="10" t="n">
        <f aca="false">A73+1</f>
        <v>73</v>
      </c>
      <c r="B74" s="11" t="n">
        <f aca="false">B73+1</f>
        <v>44999</v>
      </c>
      <c r="C74" s="10" t="n">
        <f aca="false">YEAR(B74)</f>
        <v>2023</v>
      </c>
      <c r="D74" s="10" t="n">
        <f aca="false">INT((MONTH(B74)-1)/3)+1</f>
        <v>1</v>
      </c>
      <c r="E74" s="10" t="n">
        <f aca="false">MONTH(B74)</f>
        <v>3</v>
      </c>
      <c r="F74" s="10" t="str">
        <f aca="false">CHOOSE(MOD(A74-1,5)+1,"Центр","Юг","Север","Запад","Восток")</f>
        <v>Север</v>
      </c>
      <c r="G74" s="10" t="str">
        <f aca="false">"Округ_"&amp;(MOD(A74-1,5)+1)&amp;"_"&amp;(MOD(INT((A74-1)/5),5)+1)</f>
        <v>Округ_3_5</v>
      </c>
      <c r="H74" s="10" t="str">
        <f aca="false">"Город_"&amp;(MOD(A74-1,5)+1)&amp;"_"&amp;(MOD(INT((A74-1)/5),5)+1)&amp;"_"&amp;(MOD(INT((A74-1)/25),10)+1)</f>
        <v>Город_3_5_3</v>
      </c>
      <c r="I74" s="10" t="str">
        <f aca="false">CHOOSE(MOD(A74-1,4)+1,"Электроника","Одежда","Продукты","Мебель")</f>
        <v>Электроника</v>
      </c>
      <c r="J74" s="10" t="str">
        <f aca="false">CHOOSE(MOD(INT((A74-1)/4),4)+1,CHOOSE(MOD(A74-1,4)+1,"Смартфоны","Ноутбуки","Аксессуары","Аудио"),CHOOSE(MOD(A74-1,4)+1,"Верхняя одежда","Спортивная","Повседневная","Обувь"),CHOOSE(MOD(A74-1,4)+1,"Молочные","Мясные","Бакалея","Напитки"),CHOOSE(MOD(A74-1,4)+1,"Мягкая мебель","Корпусная","Офисная","Кухонная"))</f>
        <v>Молочные</v>
      </c>
      <c r="K74" s="12" t="n">
        <f aca="false">1000+MOD(A74*317+A74*A74*7,49001)</f>
        <v>12443</v>
      </c>
      <c r="L74" s="12" t="n">
        <f aca="false">1+MOD(A74*131,100)</f>
        <v>64</v>
      </c>
      <c r="M74" s="12" t="n">
        <f aca="false">INT(K74*(0.6+MOD(A74*43,21)/100))</f>
        <v>8710</v>
      </c>
      <c r="N74" s="12" t="n">
        <f aca="false">K74-M74</f>
        <v>3733</v>
      </c>
    </row>
    <row r="75" customFormat="false" ht="12.8" hidden="false" customHeight="false" outlineLevel="0" collapsed="false">
      <c r="A75" s="10" t="n">
        <f aca="false">A74+1</f>
        <v>74</v>
      </c>
      <c r="B75" s="11" t="n">
        <f aca="false">B74+1</f>
        <v>45000</v>
      </c>
      <c r="C75" s="10" t="n">
        <f aca="false">YEAR(B75)</f>
        <v>2023</v>
      </c>
      <c r="D75" s="10" t="n">
        <f aca="false">INT((MONTH(B75)-1)/3)+1</f>
        <v>1</v>
      </c>
      <c r="E75" s="10" t="n">
        <f aca="false">MONTH(B75)</f>
        <v>3</v>
      </c>
      <c r="F75" s="10" t="str">
        <f aca="false">CHOOSE(MOD(A75-1,5)+1,"Центр","Юг","Север","Запад","Восток")</f>
        <v>Запад</v>
      </c>
      <c r="G75" s="10" t="str">
        <f aca="false">"Округ_"&amp;(MOD(A75-1,5)+1)&amp;"_"&amp;(MOD(INT((A75-1)/5),5)+1)</f>
        <v>Округ_4_5</v>
      </c>
      <c r="H75" s="10" t="str">
        <f aca="false">"Город_"&amp;(MOD(A75-1,5)+1)&amp;"_"&amp;(MOD(INT((A75-1)/5),5)+1)&amp;"_"&amp;(MOD(INT((A75-1)/25),10)+1)</f>
        <v>Город_4_5_3</v>
      </c>
      <c r="I75" s="10" t="str">
        <f aca="false">CHOOSE(MOD(A75-1,4)+1,"Электроника","Одежда","Продукты","Мебель")</f>
        <v>Одежда</v>
      </c>
      <c r="J75" s="10" t="str">
        <f aca="false">CHOOSE(MOD(INT((A75-1)/4),4)+1,CHOOSE(MOD(A75-1,4)+1,"Смартфоны","Ноутбуки","Аксессуары","Аудио"),CHOOSE(MOD(A75-1,4)+1,"Верхняя одежда","Спортивная","Повседневная","Обувь"),CHOOSE(MOD(A75-1,4)+1,"Молочные","Мясные","Бакалея","Напитки"),CHOOSE(MOD(A75-1,4)+1,"Мягкая мебель","Корпусная","Офисная","Кухонная"))</f>
        <v>Мясные</v>
      </c>
      <c r="K75" s="12" t="n">
        <f aca="false">1000+MOD(A75*317+A75*A75*7,49001)</f>
        <v>13789</v>
      </c>
      <c r="L75" s="12" t="n">
        <f aca="false">1+MOD(A75*131,100)</f>
        <v>95</v>
      </c>
      <c r="M75" s="12" t="n">
        <f aca="false">INT(K75*(0.6+MOD(A75*43,21)/100))</f>
        <v>9790</v>
      </c>
      <c r="N75" s="12" t="n">
        <f aca="false">K75-M75</f>
        <v>3999</v>
      </c>
    </row>
    <row r="76" customFormat="false" ht="12.8" hidden="false" customHeight="false" outlineLevel="0" collapsed="false">
      <c r="A76" s="10" t="n">
        <f aca="false">A75+1</f>
        <v>75</v>
      </c>
      <c r="B76" s="11" t="n">
        <f aca="false">B75+1</f>
        <v>45001</v>
      </c>
      <c r="C76" s="10" t="n">
        <f aca="false">YEAR(B76)</f>
        <v>2023</v>
      </c>
      <c r="D76" s="10" t="n">
        <f aca="false">INT((MONTH(B76)-1)/3)+1</f>
        <v>1</v>
      </c>
      <c r="E76" s="10" t="n">
        <f aca="false">MONTH(B76)</f>
        <v>3</v>
      </c>
      <c r="F76" s="10" t="str">
        <f aca="false">CHOOSE(MOD(A76-1,5)+1,"Центр","Юг","Север","Запад","Восток")</f>
        <v>Восток</v>
      </c>
      <c r="G76" s="10" t="str">
        <f aca="false">"Округ_"&amp;(MOD(A76-1,5)+1)&amp;"_"&amp;(MOD(INT((A76-1)/5),5)+1)</f>
        <v>Округ_5_5</v>
      </c>
      <c r="H76" s="10" t="str">
        <f aca="false">"Город_"&amp;(MOD(A76-1,5)+1)&amp;"_"&amp;(MOD(INT((A76-1)/5),5)+1)&amp;"_"&amp;(MOD(INT((A76-1)/25),10)+1)</f>
        <v>Город_5_5_3</v>
      </c>
      <c r="I76" s="10" t="str">
        <f aca="false">CHOOSE(MOD(A76-1,4)+1,"Электроника","Одежда","Продукты","Мебель")</f>
        <v>Продукты</v>
      </c>
      <c r="J76" s="10" t="str">
        <f aca="false">CHOOSE(MOD(INT((A76-1)/4),4)+1,CHOOSE(MOD(A76-1,4)+1,"Смартфоны","Ноутбуки","Аксессуары","Аудио"),CHOOSE(MOD(A76-1,4)+1,"Верхняя одежда","Спортивная","Повседневная","Обувь"),CHOOSE(MOD(A76-1,4)+1,"Молочные","Мясные","Бакалея","Напитки"),CHOOSE(MOD(A76-1,4)+1,"Мягкая мебель","Корпусная","Офисная","Кухонная"))</f>
        <v>Бакалея</v>
      </c>
      <c r="K76" s="12" t="n">
        <f aca="false">1000+MOD(A76*317+A76*A76*7,49001)</f>
        <v>15149</v>
      </c>
      <c r="L76" s="12" t="n">
        <f aca="false">1+MOD(A76*131,100)</f>
        <v>26</v>
      </c>
      <c r="M76" s="12" t="n">
        <f aca="false">INT(K76*(0.6+MOD(A76*43,21)/100))</f>
        <v>10907</v>
      </c>
      <c r="N76" s="12" t="n">
        <f aca="false">K76-M76</f>
        <v>4242</v>
      </c>
    </row>
    <row r="77" customFormat="false" ht="12.8" hidden="false" customHeight="false" outlineLevel="0" collapsed="false">
      <c r="A77" s="10" t="n">
        <f aca="false">A76+1</f>
        <v>76</v>
      </c>
      <c r="B77" s="11" t="n">
        <f aca="false">B76+1</f>
        <v>45002</v>
      </c>
      <c r="C77" s="10" t="n">
        <f aca="false">YEAR(B77)</f>
        <v>2023</v>
      </c>
      <c r="D77" s="10" t="n">
        <f aca="false">INT((MONTH(B77)-1)/3)+1</f>
        <v>1</v>
      </c>
      <c r="E77" s="10" t="n">
        <f aca="false">MONTH(B77)</f>
        <v>3</v>
      </c>
      <c r="F77" s="10" t="str">
        <f aca="false">CHOOSE(MOD(A77-1,5)+1,"Центр","Юг","Север","Запад","Восток")</f>
        <v>Центр</v>
      </c>
      <c r="G77" s="10" t="str">
        <f aca="false">"Округ_"&amp;(MOD(A77-1,5)+1)&amp;"_"&amp;(MOD(INT((A77-1)/5),5)+1)</f>
        <v>Округ_1_1</v>
      </c>
      <c r="H77" s="10" t="str">
        <f aca="false">"Город_"&amp;(MOD(A77-1,5)+1)&amp;"_"&amp;(MOD(INT((A77-1)/5),5)+1)&amp;"_"&amp;(MOD(INT((A77-1)/25),10)+1)</f>
        <v>Город_1_1_4</v>
      </c>
      <c r="I77" s="10" t="str">
        <f aca="false">CHOOSE(MOD(A77-1,4)+1,"Электроника","Одежда","Продукты","Мебель")</f>
        <v>Мебель</v>
      </c>
      <c r="J77" s="10" t="str">
        <f aca="false">CHOOSE(MOD(INT((A77-1)/4),4)+1,CHOOSE(MOD(A77-1,4)+1,"Смартфоны","Ноутбуки","Аксессуары","Аудио"),CHOOSE(MOD(A77-1,4)+1,"Верхняя одежда","Спортивная","Повседневная","Обувь"),CHOOSE(MOD(A77-1,4)+1,"Молочные","Мясные","Бакалея","Напитки"),CHOOSE(MOD(A77-1,4)+1,"Мягкая мебель","Корпусная","Офисная","Кухонная"))</f>
        <v>Напитки</v>
      </c>
      <c r="K77" s="12" t="n">
        <f aca="false">1000+MOD(A77*317+A77*A77*7,49001)</f>
        <v>16523</v>
      </c>
      <c r="L77" s="12" t="n">
        <f aca="false">1+MOD(A77*131,100)</f>
        <v>57</v>
      </c>
      <c r="M77" s="12" t="n">
        <f aca="false">INT(K77*(0.6+MOD(A77*43,21)/100))</f>
        <v>12061</v>
      </c>
      <c r="N77" s="12" t="n">
        <f aca="false">K77-M77</f>
        <v>4462</v>
      </c>
    </row>
    <row r="78" customFormat="false" ht="12.8" hidden="false" customHeight="false" outlineLevel="0" collapsed="false">
      <c r="A78" s="10" t="n">
        <f aca="false">A77+1</f>
        <v>77</v>
      </c>
      <c r="B78" s="11" t="n">
        <f aca="false">B77+1</f>
        <v>45003</v>
      </c>
      <c r="C78" s="10" t="n">
        <f aca="false">YEAR(B78)</f>
        <v>2023</v>
      </c>
      <c r="D78" s="10" t="n">
        <f aca="false">INT((MONTH(B78)-1)/3)+1</f>
        <v>1</v>
      </c>
      <c r="E78" s="10" t="n">
        <f aca="false">MONTH(B78)</f>
        <v>3</v>
      </c>
      <c r="F78" s="10" t="str">
        <f aca="false">CHOOSE(MOD(A78-1,5)+1,"Центр","Юг","Север","Запад","Восток")</f>
        <v>Юг</v>
      </c>
      <c r="G78" s="10" t="str">
        <f aca="false">"Округ_"&amp;(MOD(A78-1,5)+1)&amp;"_"&amp;(MOD(INT((A78-1)/5),5)+1)</f>
        <v>Округ_2_1</v>
      </c>
      <c r="H78" s="10" t="str">
        <f aca="false">"Город_"&amp;(MOD(A78-1,5)+1)&amp;"_"&amp;(MOD(INT((A78-1)/5),5)+1)&amp;"_"&amp;(MOD(INT((A78-1)/25),10)+1)</f>
        <v>Город_2_1_4</v>
      </c>
      <c r="I78" s="10" t="str">
        <f aca="false">CHOOSE(MOD(A78-1,4)+1,"Электроника","Одежда","Продукты","Мебель")</f>
        <v>Электроника</v>
      </c>
      <c r="J78" s="10" t="str">
        <f aca="false">CHOOSE(MOD(INT((A78-1)/4),4)+1,CHOOSE(MOD(A78-1,4)+1,"Смартфоны","Ноутбуки","Аксессуары","Аудио"),CHOOSE(MOD(A78-1,4)+1,"Верхняя одежда","Спортивная","Повседневная","Обувь"),CHOOSE(MOD(A78-1,4)+1,"Молочные","Мясные","Бакалея","Напитки"),CHOOSE(MOD(A78-1,4)+1,"Мягкая мебель","Корпусная","Офисная","Кухонная"))</f>
        <v>Мягкая мебель</v>
      </c>
      <c r="K78" s="12" t="n">
        <f aca="false">1000+MOD(A78*317+A78*A78*7,49001)</f>
        <v>17911</v>
      </c>
      <c r="L78" s="12" t="n">
        <f aca="false">1+MOD(A78*131,100)</f>
        <v>88</v>
      </c>
      <c r="M78" s="12" t="n">
        <f aca="false">INT(K78*(0.6+MOD(A78*43,21)/100))</f>
        <v>13254</v>
      </c>
      <c r="N78" s="12" t="n">
        <f aca="false">K78-M78</f>
        <v>4657</v>
      </c>
    </row>
    <row r="79" customFormat="false" ht="12.8" hidden="false" customHeight="false" outlineLevel="0" collapsed="false">
      <c r="A79" s="10" t="n">
        <f aca="false">A78+1</f>
        <v>78</v>
      </c>
      <c r="B79" s="11" t="n">
        <f aca="false">B78+1</f>
        <v>45004</v>
      </c>
      <c r="C79" s="10" t="n">
        <f aca="false">YEAR(B79)</f>
        <v>2023</v>
      </c>
      <c r="D79" s="10" t="n">
        <f aca="false">INT((MONTH(B79)-1)/3)+1</f>
        <v>1</v>
      </c>
      <c r="E79" s="10" t="n">
        <f aca="false">MONTH(B79)</f>
        <v>3</v>
      </c>
      <c r="F79" s="10" t="str">
        <f aca="false">CHOOSE(MOD(A79-1,5)+1,"Центр","Юг","Север","Запад","Восток")</f>
        <v>Север</v>
      </c>
      <c r="G79" s="10" t="str">
        <f aca="false">"Округ_"&amp;(MOD(A79-1,5)+1)&amp;"_"&amp;(MOD(INT((A79-1)/5),5)+1)</f>
        <v>Округ_3_1</v>
      </c>
      <c r="H79" s="10" t="str">
        <f aca="false">"Город_"&amp;(MOD(A79-1,5)+1)&amp;"_"&amp;(MOD(INT((A79-1)/5),5)+1)&amp;"_"&amp;(MOD(INT((A79-1)/25),10)+1)</f>
        <v>Город_3_1_4</v>
      </c>
      <c r="I79" s="10" t="str">
        <f aca="false">CHOOSE(MOD(A79-1,4)+1,"Электроника","Одежда","Продукты","Мебель")</f>
        <v>Одежда</v>
      </c>
      <c r="J79" s="10" t="str">
        <f aca="false">CHOOSE(MOD(INT((A79-1)/4),4)+1,CHOOSE(MOD(A79-1,4)+1,"Смартфоны","Ноутбуки","Аксессуары","Аудио"),CHOOSE(MOD(A79-1,4)+1,"Верхняя одежда","Спортивная","Повседневная","Обувь"),CHOOSE(MOD(A79-1,4)+1,"Молочные","Мясные","Бакалея","Напитки"),CHOOSE(MOD(A79-1,4)+1,"Мягкая мебель","Корпусная","Офисная","Кухонная"))</f>
        <v>Корпусная</v>
      </c>
      <c r="K79" s="12" t="n">
        <f aca="false">1000+MOD(A79*317+A79*A79*7,49001)</f>
        <v>19313</v>
      </c>
      <c r="L79" s="12" t="n">
        <f aca="false">1+MOD(A79*131,100)</f>
        <v>19</v>
      </c>
      <c r="M79" s="12" t="n">
        <f aca="false">INT(K79*(0.6+MOD(A79*43,21)/100))</f>
        <v>14484</v>
      </c>
      <c r="N79" s="12" t="n">
        <f aca="false">K79-M79</f>
        <v>4829</v>
      </c>
    </row>
    <row r="80" customFormat="false" ht="12.8" hidden="false" customHeight="false" outlineLevel="0" collapsed="false">
      <c r="A80" s="10" t="n">
        <f aca="false">A79+1</f>
        <v>79</v>
      </c>
      <c r="B80" s="11" t="n">
        <f aca="false">B79+1</f>
        <v>45005</v>
      </c>
      <c r="C80" s="10" t="n">
        <f aca="false">YEAR(B80)</f>
        <v>2023</v>
      </c>
      <c r="D80" s="10" t="n">
        <f aca="false">INT((MONTH(B80)-1)/3)+1</f>
        <v>1</v>
      </c>
      <c r="E80" s="10" t="n">
        <f aca="false">MONTH(B80)</f>
        <v>3</v>
      </c>
      <c r="F80" s="10" t="str">
        <f aca="false">CHOOSE(MOD(A80-1,5)+1,"Центр","Юг","Север","Запад","Восток")</f>
        <v>Запад</v>
      </c>
      <c r="G80" s="10" t="str">
        <f aca="false">"Округ_"&amp;(MOD(A80-1,5)+1)&amp;"_"&amp;(MOD(INT((A80-1)/5),5)+1)</f>
        <v>Округ_4_1</v>
      </c>
      <c r="H80" s="10" t="str">
        <f aca="false">"Город_"&amp;(MOD(A80-1,5)+1)&amp;"_"&amp;(MOD(INT((A80-1)/5),5)+1)&amp;"_"&amp;(MOD(INT((A80-1)/25),10)+1)</f>
        <v>Город_4_1_4</v>
      </c>
      <c r="I80" s="10" t="str">
        <f aca="false">CHOOSE(MOD(A80-1,4)+1,"Электроника","Одежда","Продукты","Мебель")</f>
        <v>Продукты</v>
      </c>
      <c r="J80" s="10" t="str">
        <f aca="false">CHOOSE(MOD(INT((A80-1)/4),4)+1,CHOOSE(MOD(A80-1,4)+1,"Смартфоны","Ноутбуки","Аксессуары","Аудио"),CHOOSE(MOD(A80-1,4)+1,"Верхняя одежда","Спортивная","Повседневная","Обувь"),CHOOSE(MOD(A80-1,4)+1,"Молочные","Мясные","Бакалея","Напитки"),CHOOSE(MOD(A80-1,4)+1,"Мягкая мебель","Корпусная","Офисная","Кухонная"))</f>
        <v>Офисная</v>
      </c>
      <c r="K80" s="12" t="n">
        <f aca="false">1000+MOD(A80*317+A80*A80*7,49001)</f>
        <v>20729</v>
      </c>
      <c r="L80" s="12" t="n">
        <f aca="false">1+MOD(A80*131,100)</f>
        <v>50</v>
      </c>
      <c r="M80" s="12" t="n">
        <f aca="false">INT(K80*(0.6+MOD(A80*43,21)/100))</f>
        <v>15754</v>
      </c>
      <c r="N80" s="12" t="n">
        <f aca="false">K80-M80</f>
        <v>4975</v>
      </c>
    </row>
    <row r="81" customFormat="false" ht="12.8" hidden="false" customHeight="false" outlineLevel="0" collapsed="false">
      <c r="A81" s="10" t="n">
        <f aca="false">A80+1</f>
        <v>80</v>
      </c>
      <c r="B81" s="11" t="n">
        <f aca="false">B80+1</f>
        <v>45006</v>
      </c>
      <c r="C81" s="10" t="n">
        <f aca="false">YEAR(B81)</f>
        <v>2023</v>
      </c>
      <c r="D81" s="10" t="n">
        <f aca="false">INT((MONTH(B81)-1)/3)+1</f>
        <v>1</v>
      </c>
      <c r="E81" s="10" t="n">
        <f aca="false">MONTH(B81)</f>
        <v>3</v>
      </c>
      <c r="F81" s="10" t="str">
        <f aca="false">CHOOSE(MOD(A81-1,5)+1,"Центр","Юг","Север","Запад","Восток")</f>
        <v>Восток</v>
      </c>
      <c r="G81" s="10" t="str">
        <f aca="false">"Округ_"&amp;(MOD(A81-1,5)+1)&amp;"_"&amp;(MOD(INT((A81-1)/5),5)+1)</f>
        <v>Округ_5_1</v>
      </c>
      <c r="H81" s="10" t="str">
        <f aca="false">"Город_"&amp;(MOD(A81-1,5)+1)&amp;"_"&amp;(MOD(INT((A81-1)/5),5)+1)&amp;"_"&amp;(MOD(INT((A81-1)/25),10)+1)</f>
        <v>Город_5_1_4</v>
      </c>
      <c r="I81" s="10" t="str">
        <f aca="false">CHOOSE(MOD(A81-1,4)+1,"Электроника","Одежда","Продукты","Мебель")</f>
        <v>Мебель</v>
      </c>
      <c r="J81" s="10" t="str">
        <f aca="false">CHOOSE(MOD(INT((A81-1)/4),4)+1,CHOOSE(MOD(A81-1,4)+1,"Смартфоны","Ноутбуки","Аксессуары","Аудио"),CHOOSE(MOD(A81-1,4)+1,"Верхняя одежда","Спортивная","Повседневная","Обувь"),CHOOSE(MOD(A81-1,4)+1,"Молочные","Мясные","Бакалея","Напитки"),CHOOSE(MOD(A81-1,4)+1,"Мягкая мебель","Корпусная","Офисная","Кухонная"))</f>
        <v>Кухонная</v>
      </c>
      <c r="K81" s="12" t="n">
        <f aca="false">1000+MOD(A81*317+A81*A81*7,49001)</f>
        <v>22159</v>
      </c>
      <c r="L81" s="12" t="n">
        <f aca="false">1+MOD(A81*131,100)</f>
        <v>81</v>
      </c>
      <c r="M81" s="12" t="n">
        <f aca="false">INT(K81*(0.6+MOD(A81*43,21)/100))</f>
        <v>17062</v>
      </c>
      <c r="N81" s="12" t="n">
        <f aca="false">K81-M81</f>
        <v>5097</v>
      </c>
    </row>
    <row r="82" customFormat="false" ht="12.8" hidden="false" customHeight="false" outlineLevel="0" collapsed="false">
      <c r="A82" s="10" t="n">
        <f aca="false">A81+1</f>
        <v>81</v>
      </c>
      <c r="B82" s="11" t="n">
        <f aca="false">B81+1</f>
        <v>45007</v>
      </c>
      <c r="C82" s="10" t="n">
        <f aca="false">YEAR(B82)</f>
        <v>2023</v>
      </c>
      <c r="D82" s="10" t="n">
        <f aca="false">INT((MONTH(B82)-1)/3)+1</f>
        <v>1</v>
      </c>
      <c r="E82" s="10" t="n">
        <f aca="false">MONTH(B82)</f>
        <v>3</v>
      </c>
      <c r="F82" s="10" t="str">
        <f aca="false">CHOOSE(MOD(A82-1,5)+1,"Центр","Юг","Север","Запад","Восток")</f>
        <v>Центр</v>
      </c>
      <c r="G82" s="10" t="str">
        <f aca="false">"Округ_"&amp;(MOD(A82-1,5)+1)&amp;"_"&amp;(MOD(INT((A82-1)/5),5)+1)</f>
        <v>Округ_1_2</v>
      </c>
      <c r="H82" s="10" t="str">
        <f aca="false">"Город_"&amp;(MOD(A82-1,5)+1)&amp;"_"&amp;(MOD(INT((A82-1)/5),5)+1)&amp;"_"&amp;(MOD(INT((A82-1)/25),10)+1)</f>
        <v>Город_1_2_4</v>
      </c>
      <c r="I82" s="10" t="str">
        <f aca="false">CHOOSE(MOD(A82-1,4)+1,"Электроника","Одежда","Продукты","Мебель")</f>
        <v>Электроника</v>
      </c>
      <c r="J82" s="10" t="str">
        <f aca="false">CHOOSE(MOD(INT((A82-1)/4),4)+1,CHOOSE(MOD(A82-1,4)+1,"Смартфоны","Ноутбуки","Аксессуары","Аудио"),CHOOSE(MOD(A82-1,4)+1,"Верхняя одежда","Спортивная","Повседневная","Обувь"),CHOOSE(MOD(A82-1,4)+1,"Молочные","Мясные","Бакалея","Напитки"),CHOOSE(MOD(A82-1,4)+1,"Мягкая мебель","Корпусная","Офисная","Кухонная"))</f>
        <v>Смартфоны</v>
      </c>
      <c r="K82" s="12" t="n">
        <f aca="false">1000+MOD(A82*317+A82*A82*7,49001)</f>
        <v>23603</v>
      </c>
      <c r="L82" s="12" t="n">
        <f aca="false">1+MOD(A82*131,100)</f>
        <v>12</v>
      </c>
      <c r="M82" s="12" t="n">
        <f aca="false">INT(K82*(0.6+MOD(A82*43,21)/100))</f>
        <v>18410</v>
      </c>
      <c r="N82" s="12" t="n">
        <f aca="false">K82-M82</f>
        <v>5193</v>
      </c>
    </row>
    <row r="83" customFormat="false" ht="12.8" hidden="false" customHeight="false" outlineLevel="0" collapsed="false">
      <c r="A83" s="10" t="n">
        <f aca="false">A82+1</f>
        <v>82</v>
      </c>
      <c r="B83" s="11" t="n">
        <f aca="false">B82+1</f>
        <v>45008</v>
      </c>
      <c r="C83" s="10" t="n">
        <f aca="false">YEAR(B83)</f>
        <v>2023</v>
      </c>
      <c r="D83" s="10" t="n">
        <f aca="false">INT((MONTH(B83)-1)/3)+1</f>
        <v>1</v>
      </c>
      <c r="E83" s="10" t="n">
        <f aca="false">MONTH(B83)</f>
        <v>3</v>
      </c>
      <c r="F83" s="10" t="str">
        <f aca="false">CHOOSE(MOD(A83-1,5)+1,"Центр","Юг","Север","Запад","Восток")</f>
        <v>Юг</v>
      </c>
      <c r="G83" s="10" t="str">
        <f aca="false">"Округ_"&amp;(MOD(A83-1,5)+1)&amp;"_"&amp;(MOD(INT((A83-1)/5),5)+1)</f>
        <v>Округ_2_2</v>
      </c>
      <c r="H83" s="10" t="str">
        <f aca="false">"Город_"&amp;(MOD(A83-1,5)+1)&amp;"_"&amp;(MOD(INT((A83-1)/5),5)+1)&amp;"_"&amp;(MOD(INT((A83-1)/25),10)+1)</f>
        <v>Город_2_2_4</v>
      </c>
      <c r="I83" s="10" t="str">
        <f aca="false">CHOOSE(MOD(A83-1,4)+1,"Электроника","Одежда","Продукты","Мебель")</f>
        <v>Одежда</v>
      </c>
      <c r="J83" s="10" t="str">
        <f aca="false">CHOOSE(MOD(INT((A83-1)/4),4)+1,CHOOSE(MOD(A83-1,4)+1,"Смартфоны","Ноутбуки","Аксессуары","Аудио"),CHOOSE(MOD(A83-1,4)+1,"Верхняя одежда","Спортивная","Повседневная","Обувь"),CHOOSE(MOD(A83-1,4)+1,"Молочные","Мясные","Бакалея","Напитки"),CHOOSE(MOD(A83-1,4)+1,"Мягкая мебель","Корпусная","Офисная","Кухонная"))</f>
        <v>Ноутбуки</v>
      </c>
      <c r="K83" s="12" t="n">
        <f aca="false">1000+MOD(A83*317+A83*A83*7,49001)</f>
        <v>25061</v>
      </c>
      <c r="L83" s="12" t="n">
        <f aca="false">1+MOD(A83*131,100)</f>
        <v>43</v>
      </c>
      <c r="M83" s="12" t="n">
        <f aca="false">INT(K83*(0.6+MOD(A83*43,21)/100))</f>
        <v>19798</v>
      </c>
      <c r="N83" s="12" t="n">
        <f aca="false">K83-M83</f>
        <v>5263</v>
      </c>
    </row>
    <row r="84" customFormat="false" ht="12.8" hidden="false" customHeight="false" outlineLevel="0" collapsed="false">
      <c r="A84" s="10" t="n">
        <f aca="false">A83+1</f>
        <v>83</v>
      </c>
      <c r="B84" s="11" t="n">
        <f aca="false">B83+1</f>
        <v>45009</v>
      </c>
      <c r="C84" s="10" t="n">
        <f aca="false">YEAR(B84)</f>
        <v>2023</v>
      </c>
      <c r="D84" s="10" t="n">
        <f aca="false">INT((MONTH(B84)-1)/3)+1</f>
        <v>1</v>
      </c>
      <c r="E84" s="10" t="n">
        <f aca="false">MONTH(B84)</f>
        <v>3</v>
      </c>
      <c r="F84" s="10" t="str">
        <f aca="false">CHOOSE(MOD(A84-1,5)+1,"Центр","Юг","Север","Запад","Восток")</f>
        <v>Север</v>
      </c>
      <c r="G84" s="10" t="str">
        <f aca="false">"Округ_"&amp;(MOD(A84-1,5)+1)&amp;"_"&amp;(MOD(INT((A84-1)/5),5)+1)</f>
        <v>Округ_3_2</v>
      </c>
      <c r="H84" s="10" t="str">
        <f aca="false">"Город_"&amp;(MOD(A84-1,5)+1)&amp;"_"&amp;(MOD(INT((A84-1)/5),5)+1)&amp;"_"&amp;(MOD(INT((A84-1)/25),10)+1)</f>
        <v>Город_3_2_4</v>
      </c>
      <c r="I84" s="10" t="str">
        <f aca="false">CHOOSE(MOD(A84-1,4)+1,"Электроника","Одежда","Продукты","Мебель")</f>
        <v>Продукты</v>
      </c>
      <c r="J84" s="10" t="str">
        <f aca="false">CHOOSE(MOD(INT((A84-1)/4),4)+1,CHOOSE(MOD(A84-1,4)+1,"Смартфоны","Ноутбуки","Аксессуары","Аудио"),CHOOSE(MOD(A84-1,4)+1,"Верхняя одежда","Спортивная","Повседневная","Обувь"),CHOOSE(MOD(A84-1,4)+1,"Молочные","Мясные","Бакалея","Напитки"),CHOOSE(MOD(A84-1,4)+1,"Мягкая мебель","Корпусная","Офисная","Кухонная"))</f>
        <v>Аксессуары</v>
      </c>
      <c r="K84" s="12" t="n">
        <f aca="false">1000+MOD(A84*317+A84*A84*7,49001)</f>
        <v>26533</v>
      </c>
      <c r="L84" s="12" t="n">
        <f aca="false">1+MOD(A84*131,100)</f>
        <v>74</v>
      </c>
      <c r="M84" s="12" t="n">
        <f aca="false">INT(K84*(0.6+MOD(A84*43,21)/100))</f>
        <v>21226</v>
      </c>
      <c r="N84" s="12" t="n">
        <f aca="false">K84-M84</f>
        <v>5307</v>
      </c>
    </row>
    <row r="85" customFormat="false" ht="12.8" hidden="false" customHeight="false" outlineLevel="0" collapsed="false">
      <c r="A85" s="10" t="n">
        <f aca="false">A84+1</f>
        <v>84</v>
      </c>
      <c r="B85" s="11" t="n">
        <f aca="false">B84+1</f>
        <v>45010</v>
      </c>
      <c r="C85" s="10" t="n">
        <f aca="false">YEAR(B85)</f>
        <v>2023</v>
      </c>
      <c r="D85" s="10" t="n">
        <f aca="false">INT((MONTH(B85)-1)/3)+1</f>
        <v>1</v>
      </c>
      <c r="E85" s="10" t="n">
        <f aca="false">MONTH(B85)</f>
        <v>3</v>
      </c>
      <c r="F85" s="10" t="str">
        <f aca="false">CHOOSE(MOD(A85-1,5)+1,"Центр","Юг","Север","Запад","Восток")</f>
        <v>Запад</v>
      </c>
      <c r="G85" s="10" t="str">
        <f aca="false">"Округ_"&amp;(MOD(A85-1,5)+1)&amp;"_"&amp;(MOD(INT((A85-1)/5),5)+1)</f>
        <v>Округ_4_2</v>
      </c>
      <c r="H85" s="10" t="str">
        <f aca="false">"Город_"&amp;(MOD(A85-1,5)+1)&amp;"_"&amp;(MOD(INT((A85-1)/5),5)+1)&amp;"_"&amp;(MOD(INT((A85-1)/25),10)+1)</f>
        <v>Город_4_2_4</v>
      </c>
      <c r="I85" s="10" t="str">
        <f aca="false">CHOOSE(MOD(A85-1,4)+1,"Электроника","Одежда","Продукты","Мебель")</f>
        <v>Мебель</v>
      </c>
      <c r="J85" s="10" t="str">
        <f aca="false">CHOOSE(MOD(INT((A85-1)/4),4)+1,CHOOSE(MOD(A85-1,4)+1,"Смартфоны","Ноутбуки","Аксессуары","Аудио"),CHOOSE(MOD(A85-1,4)+1,"Верхняя одежда","Спортивная","Повседневная","Обувь"),CHOOSE(MOD(A85-1,4)+1,"Молочные","Мясные","Бакалея","Напитки"),CHOOSE(MOD(A85-1,4)+1,"Мягкая мебель","Корпусная","Офисная","Кухонная"))</f>
        <v>Аудио</v>
      </c>
      <c r="K85" s="12" t="n">
        <f aca="false">1000+MOD(A85*317+A85*A85*7,49001)</f>
        <v>28019</v>
      </c>
      <c r="L85" s="12" t="n">
        <f aca="false">1+MOD(A85*131,100)</f>
        <v>5</v>
      </c>
      <c r="M85" s="12" t="n">
        <f aca="false">INT(K85*(0.6+MOD(A85*43,21)/100))</f>
        <v>16811</v>
      </c>
      <c r="N85" s="12" t="n">
        <f aca="false">K85-M85</f>
        <v>11208</v>
      </c>
    </row>
    <row r="86" customFormat="false" ht="12.8" hidden="false" customHeight="false" outlineLevel="0" collapsed="false">
      <c r="A86" s="10" t="n">
        <f aca="false">A85+1</f>
        <v>85</v>
      </c>
      <c r="B86" s="11" t="n">
        <f aca="false">B85+1</f>
        <v>45011</v>
      </c>
      <c r="C86" s="10" t="n">
        <f aca="false">YEAR(B86)</f>
        <v>2023</v>
      </c>
      <c r="D86" s="10" t="n">
        <f aca="false">INT((MONTH(B86)-1)/3)+1</f>
        <v>1</v>
      </c>
      <c r="E86" s="10" t="n">
        <f aca="false">MONTH(B86)</f>
        <v>3</v>
      </c>
      <c r="F86" s="10" t="str">
        <f aca="false">CHOOSE(MOD(A86-1,5)+1,"Центр","Юг","Север","Запад","Восток")</f>
        <v>Восток</v>
      </c>
      <c r="G86" s="10" t="str">
        <f aca="false">"Округ_"&amp;(MOD(A86-1,5)+1)&amp;"_"&amp;(MOD(INT((A86-1)/5),5)+1)</f>
        <v>Округ_5_2</v>
      </c>
      <c r="H86" s="10" t="str">
        <f aca="false">"Город_"&amp;(MOD(A86-1,5)+1)&amp;"_"&amp;(MOD(INT((A86-1)/5),5)+1)&amp;"_"&amp;(MOD(INT((A86-1)/25),10)+1)</f>
        <v>Город_5_2_4</v>
      </c>
      <c r="I86" s="10" t="str">
        <f aca="false">CHOOSE(MOD(A86-1,4)+1,"Электроника","Одежда","Продукты","Мебель")</f>
        <v>Электроника</v>
      </c>
      <c r="J86" s="10" t="str">
        <f aca="false">CHOOSE(MOD(INT((A86-1)/4),4)+1,CHOOSE(MOD(A86-1,4)+1,"Смартфоны","Ноутбуки","Аксессуары","Аудио"),CHOOSE(MOD(A86-1,4)+1,"Верхняя одежда","Спортивная","Повседневная","Обувь"),CHOOSE(MOD(A86-1,4)+1,"Молочные","Мясные","Бакалея","Напитки"),CHOOSE(MOD(A86-1,4)+1,"Мягкая мебель","Корпусная","Офисная","Кухонная"))</f>
        <v>Верхняя одежда</v>
      </c>
      <c r="K86" s="12" t="n">
        <f aca="false">1000+MOD(A86*317+A86*A86*7,49001)</f>
        <v>29519</v>
      </c>
      <c r="L86" s="12" t="n">
        <f aca="false">1+MOD(A86*131,100)</f>
        <v>36</v>
      </c>
      <c r="M86" s="12" t="n">
        <f aca="false">INT(K86*(0.6+MOD(A86*43,21)/100))</f>
        <v>18006</v>
      </c>
      <c r="N86" s="12" t="n">
        <f aca="false">K86-M86</f>
        <v>11513</v>
      </c>
    </row>
    <row r="87" customFormat="false" ht="12.8" hidden="false" customHeight="false" outlineLevel="0" collapsed="false">
      <c r="A87" s="10" t="n">
        <f aca="false">A86+1</f>
        <v>86</v>
      </c>
      <c r="B87" s="11" t="n">
        <f aca="false">B86+1</f>
        <v>45012</v>
      </c>
      <c r="C87" s="10" t="n">
        <f aca="false">YEAR(B87)</f>
        <v>2023</v>
      </c>
      <c r="D87" s="10" t="n">
        <f aca="false">INT((MONTH(B87)-1)/3)+1</f>
        <v>1</v>
      </c>
      <c r="E87" s="10" t="n">
        <f aca="false">MONTH(B87)</f>
        <v>3</v>
      </c>
      <c r="F87" s="10" t="str">
        <f aca="false">CHOOSE(MOD(A87-1,5)+1,"Центр","Юг","Север","Запад","Восток")</f>
        <v>Центр</v>
      </c>
      <c r="G87" s="10" t="str">
        <f aca="false">"Округ_"&amp;(MOD(A87-1,5)+1)&amp;"_"&amp;(MOD(INT((A87-1)/5),5)+1)</f>
        <v>Округ_1_3</v>
      </c>
      <c r="H87" s="10" t="str">
        <f aca="false">"Город_"&amp;(MOD(A87-1,5)+1)&amp;"_"&amp;(MOD(INT((A87-1)/5),5)+1)&amp;"_"&amp;(MOD(INT((A87-1)/25),10)+1)</f>
        <v>Город_1_3_4</v>
      </c>
      <c r="I87" s="10" t="str">
        <f aca="false">CHOOSE(MOD(A87-1,4)+1,"Электроника","Одежда","Продукты","Мебель")</f>
        <v>Одежда</v>
      </c>
      <c r="J87" s="10" t="str">
        <f aca="false">CHOOSE(MOD(INT((A87-1)/4),4)+1,CHOOSE(MOD(A87-1,4)+1,"Смартфоны","Ноутбуки","Аксессуары","Аудио"),CHOOSE(MOD(A87-1,4)+1,"Верхняя одежда","Спортивная","Повседневная","Обувь"),CHOOSE(MOD(A87-1,4)+1,"Молочные","Мясные","Бакалея","Напитки"),CHOOSE(MOD(A87-1,4)+1,"Мягкая мебель","Корпусная","Офисная","Кухонная"))</f>
        <v>Спортивная</v>
      </c>
      <c r="K87" s="12" t="n">
        <f aca="false">1000+MOD(A87*317+A87*A87*7,49001)</f>
        <v>31033</v>
      </c>
      <c r="L87" s="12" t="n">
        <f aca="false">1+MOD(A87*131,100)</f>
        <v>67</v>
      </c>
      <c r="M87" s="12" t="n">
        <f aca="false">INT(K87*(0.6+MOD(A87*43,21)/100))</f>
        <v>19240</v>
      </c>
      <c r="N87" s="12" t="n">
        <f aca="false">K87-M87</f>
        <v>11793</v>
      </c>
    </row>
    <row r="88" customFormat="false" ht="12.8" hidden="false" customHeight="false" outlineLevel="0" collapsed="false">
      <c r="A88" s="10" t="n">
        <f aca="false">A87+1</f>
        <v>87</v>
      </c>
      <c r="B88" s="11" t="n">
        <f aca="false">B87+1</f>
        <v>45013</v>
      </c>
      <c r="C88" s="10" t="n">
        <f aca="false">YEAR(B88)</f>
        <v>2023</v>
      </c>
      <c r="D88" s="10" t="n">
        <f aca="false">INT((MONTH(B88)-1)/3)+1</f>
        <v>1</v>
      </c>
      <c r="E88" s="10" t="n">
        <f aca="false">MONTH(B88)</f>
        <v>3</v>
      </c>
      <c r="F88" s="10" t="str">
        <f aca="false">CHOOSE(MOD(A88-1,5)+1,"Центр","Юг","Север","Запад","Восток")</f>
        <v>Юг</v>
      </c>
      <c r="G88" s="10" t="str">
        <f aca="false">"Округ_"&amp;(MOD(A88-1,5)+1)&amp;"_"&amp;(MOD(INT((A88-1)/5),5)+1)</f>
        <v>Округ_2_3</v>
      </c>
      <c r="H88" s="10" t="str">
        <f aca="false">"Город_"&amp;(MOD(A88-1,5)+1)&amp;"_"&amp;(MOD(INT((A88-1)/5),5)+1)&amp;"_"&amp;(MOD(INT((A88-1)/25),10)+1)</f>
        <v>Город_2_3_4</v>
      </c>
      <c r="I88" s="10" t="str">
        <f aca="false">CHOOSE(MOD(A88-1,4)+1,"Электроника","Одежда","Продукты","Мебель")</f>
        <v>Продукты</v>
      </c>
      <c r="J88" s="10" t="str">
        <f aca="false">CHOOSE(MOD(INT((A88-1)/4),4)+1,CHOOSE(MOD(A88-1,4)+1,"Смартфоны","Ноутбуки","Аксессуары","Аудио"),CHOOSE(MOD(A88-1,4)+1,"Верхняя одежда","Спортивная","Повседневная","Обувь"),CHOOSE(MOD(A88-1,4)+1,"Молочные","Мясные","Бакалея","Напитки"),CHOOSE(MOD(A88-1,4)+1,"Мягкая мебель","Корпусная","Офисная","Кухонная"))</f>
        <v>Повседневная</v>
      </c>
      <c r="K88" s="12" t="n">
        <f aca="false">1000+MOD(A88*317+A88*A88*7,49001)</f>
        <v>32561</v>
      </c>
      <c r="L88" s="12" t="n">
        <f aca="false">1+MOD(A88*131,100)</f>
        <v>98</v>
      </c>
      <c r="M88" s="12" t="n">
        <f aca="false">INT(K88*(0.6+MOD(A88*43,21)/100))</f>
        <v>20513</v>
      </c>
      <c r="N88" s="12" t="n">
        <f aca="false">K88-M88</f>
        <v>12048</v>
      </c>
    </row>
    <row r="89" customFormat="false" ht="12.8" hidden="false" customHeight="false" outlineLevel="0" collapsed="false">
      <c r="A89" s="10" t="n">
        <f aca="false">A88+1</f>
        <v>88</v>
      </c>
      <c r="B89" s="11" t="n">
        <f aca="false">B88+1</f>
        <v>45014</v>
      </c>
      <c r="C89" s="10" t="n">
        <f aca="false">YEAR(B89)</f>
        <v>2023</v>
      </c>
      <c r="D89" s="10" t="n">
        <f aca="false">INT((MONTH(B89)-1)/3)+1</f>
        <v>1</v>
      </c>
      <c r="E89" s="10" t="n">
        <f aca="false">MONTH(B89)</f>
        <v>3</v>
      </c>
      <c r="F89" s="10" t="str">
        <f aca="false">CHOOSE(MOD(A89-1,5)+1,"Центр","Юг","Север","Запад","Восток")</f>
        <v>Север</v>
      </c>
      <c r="G89" s="10" t="str">
        <f aca="false">"Округ_"&amp;(MOD(A89-1,5)+1)&amp;"_"&amp;(MOD(INT((A89-1)/5),5)+1)</f>
        <v>Округ_3_3</v>
      </c>
      <c r="H89" s="10" t="str">
        <f aca="false">"Город_"&amp;(MOD(A89-1,5)+1)&amp;"_"&amp;(MOD(INT((A89-1)/5),5)+1)&amp;"_"&amp;(MOD(INT((A89-1)/25),10)+1)</f>
        <v>Город_3_3_4</v>
      </c>
      <c r="I89" s="10" t="str">
        <f aca="false">CHOOSE(MOD(A89-1,4)+1,"Электроника","Одежда","Продукты","Мебель")</f>
        <v>Мебель</v>
      </c>
      <c r="J89" s="10" t="str">
        <f aca="false">CHOOSE(MOD(INT((A89-1)/4),4)+1,CHOOSE(MOD(A89-1,4)+1,"Смартфоны","Ноутбуки","Аксессуары","Аудио"),CHOOSE(MOD(A89-1,4)+1,"Верхняя одежда","Спортивная","Повседневная","Обувь"),CHOOSE(MOD(A89-1,4)+1,"Молочные","Мясные","Бакалея","Напитки"),CHOOSE(MOD(A89-1,4)+1,"Мягкая мебель","Корпусная","Офисная","Кухонная"))</f>
        <v>Обувь</v>
      </c>
      <c r="K89" s="12" t="n">
        <f aca="false">1000+MOD(A89*317+A89*A89*7,49001)</f>
        <v>34103</v>
      </c>
      <c r="L89" s="12" t="n">
        <f aca="false">1+MOD(A89*131,100)</f>
        <v>29</v>
      </c>
      <c r="M89" s="12" t="n">
        <f aca="false">INT(K89*(0.6+MOD(A89*43,21)/100))</f>
        <v>21825</v>
      </c>
      <c r="N89" s="12" t="n">
        <f aca="false">K89-M89</f>
        <v>12278</v>
      </c>
    </row>
    <row r="90" customFormat="false" ht="12.8" hidden="false" customHeight="false" outlineLevel="0" collapsed="false">
      <c r="A90" s="10" t="n">
        <f aca="false">A89+1</f>
        <v>89</v>
      </c>
      <c r="B90" s="11" t="n">
        <f aca="false">B89+1</f>
        <v>45015</v>
      </c>
      <c r="C90" s="10" t="n">
        <f aca="false">YEAR(B90)</f>
        <v>2023</v>
      </c>
      <c r="D90" s="10" t="n">
        <f aca="false">INT((MONTH(B90)-1)/3)+1</f>
        <v>1</v>
      </c>
      <c r="E90" s="10" t="n">
        <f aca="false">MONTH(B90)</f>
        <v>3</v>
      </c>
      <c r="F90" s="10" t="str">
        <f aca="false">CHOOSE(MOD(A90-1,5)+1,"Центр","Юг","Север","Запад","Восток")</f>
        <v>Запад</v>
      </c>
      <c r="G90" s="10" t="str">
        <f aca="false">"Округ_"&amp;(MOD(A90-1,5)+1)&amp;"_"&amp;(MOD(INT((A90-1)/5),5)+1)</f>
        <v>Округ_4_3</v>
      </c>
      <c r="H90" s="10" t="str">
        <f aca="false">"Город_"&amp;(MOD(A90-1,5)+1)&amp;"_"&amp;(MOD(INT((A90-1)/5),5)+1)&amp;"_"&amp;(MOD(INT((A90-1)/25),10)+1)</f>
        <v>Город_4_3_4</v>
      </c>
      <c r="I90" s="10" t="str">
        <f aca="false">CHOOSE(MOD(A90-1,4)+1,"Электроника","Одежда","Продукты","Мебель")</f>
        <v>Электроника</v>
      </c>
      <c r="J90" s="10" t="str">
        <f aca="false">CHOOSE(MOD(INT((A90-1)/4),4)+1,CHOOSE(MOD(A90-1,4)+1,"Смартфоны","Ноутбуки","Аксессуары","Аудио"),CHOOSE(MOD(A90-1,4)+1,"Верхняя одежда","Спортивная","Повседневная","Обувь"),CHOOSE(MOD(A90-1,4)+1,"Молочные","Мясные","Бакалея","Напитки"),CHOOSE(MOD(A90-1,4)+1,"Мягкая мебель","Корпусная","Офисная","Кухонная"))</f>
        <v>Молочные</v>
      </c>
      <c r="K90" s="12" t="n">
        <f aca="false">1000+MOD(A90*317+A90*A90*7,49001)</f>
        <v>35659</v>
      </c>
      <c r="L90" s="12" t="n">
        <f aca="false">1+MOD(A90*131,100)</f>
        <v>60</v>
      </c>
      <c r="M90" s="12" t="n">
        <f aca="false">INT(K90*(0.6+MOD(A90*43,21)/100))</f>
        <v>23178</v>
      </c>
      <c r="N90" s="12" t="n">
        <f aca="false">K90-M90</f>
        <v>12481</v>
      </c>
    </row>
    <row r="91" customFormat="false" ht="12.8" hidden="false" customHeight="false" outlineLevel="0" collapsed="false">
      <c r="A91" s="10" t="n">
        <f aca="false">A90+1</f>
        <v>90</v>
      </c>
      <c r="B91" s="11" t="n">
        <f aca="false">B90+1</f>
        <v>45016</v>
      </c>
      <c r="C91" s="10" t="n">
        <f aca="false">YEAR(B91)</f>
        <v>2023</v>
      </c>
      <c r="D91" s="10" t="n">
        <f aca="false">INT((MONTH(B91)-1)/3)+1</f>
        <v>1</v>
      </c>
      <c r="E91" s="10" t="n">
        <f aca="false">MONTH(B91)</f>
        <v>3</v>
      </c>
      <c r="F91" s="10" t="str">
        <f aca="false">CHOOSE(MOD(A91-1,5)+1,"Центр","Юг","Север","Запад","Восток")</f>
        <v>Восток</v>
      </c>
      <c r="G91" s="10" t="str">
        <f aca="false">"Округ_"&amp;(MOD(A91-1,5)+1)&amp;"_"&amp;(MOD(INT((A91-1)/5),5)+1)</f>
        <v>Округ_5_3</v>
      </c>
      <c r="H91" s="10" t="str">
        <f aca="false">"Город_"&amp;(MOD(A91-1,5)+1)&amp;"_"&amp;(MOD(INT((A91-1)/5),5)+1)&amp;"_"&amp;(MOD(INT((A91-1)/25),10)+1)</f>
        <v>Город_5_3_4</v>
      </c>
      <c r="I91" s="10" t="str">
        <f aca="false">CHOOSE(MOD(A91-1,4)+1,"Электроника","Одежда","Продукты","Мебель")</f>
        <v>Одежда</v>
      </c>
      <c r="J91" s="10" t="str">
        <f aca="false">CHOOSE(MOD(INT((A91-1)/4),4)+1,CHOOSE(MOD(A91-1,4)+1,"Смартфоны","Ноутбуки","Аксессуары","Аудио"),CHOOSE(MOD(A91-1,4)+1,"Верхняя одежда","Спортивная","Повседневная","Обувь"),CHOOSE(MOD(A91-1,4)+1,"Молочные","Мясные","Бакалея","Напитки"),CHOOSE(MOD(A91-1,4)+1,"Мягкая мебель","Корпусная","Офисная","Кухонная"))</f>
        <v>Мясные</v>
      </c>
      <c r="K91" s="12" t="n">
        <f aca="false">1000+MOD(A91*317+A91*A91*7,49001)</f>
        <v>37229</v>
      </c>
      <c r="L91" s="12" t="n">
        <f aca="false">1+MOD(A91*131,100)</f>
        <v>91</v>
      </c>
      <c r="M91" s="12" t="n">
        <f aca="false">INT(K91*(0.6+MOD(A91*43,21)/100))</f>
        <v>24571</v>
      </c>
      <c r="N91" s="12" t="n">
        <f aca="false">K91-M91</f>
        <v>12658</v>
      </c>
    </row>
    <row r="92" customFormat="false" ht="12.8" hidden="false" customHeight="false" outlineLevel="0" collapsed="false">
      <c r="A92" s="10" t="n">
        <f aca="false">A91+1</f>
        <v>91</v>
      </c>
      <c r="B92" s="11" t="n">
        <f aca="false">B91+1</f>
        <v>45017</v>
      </c>
      <c r="C92" s="10" t="n">
        <f aca="false">YEAR(B92)</f>
        <v>2023</v>
      </c>
      <c r="D92" s="10" t="n">
        <f aca="false">INT((MONTH(B92)-1)/3)+1</f>
        <v>2</v>
      </c>
      <c r="E92" s="10" t="n">
        <f aca="false">MONTH(B92)</f>
        <v>4</v>
      </c>
      <c r="F92" s="10" t="str">
        <f aca="false">CHOOSE(MOD(A92-1,5)+1,"Центр","Юг","Север","Запад","Восток")</f>
        <v>Центр</v>
      </c>
      <c r="G92" s="10" t="str">
        <f aca="false">"Округ_"&amp;(MOD(A92-1,5)+1)&amp;"_"&amp;(MOD(INT((A92-1)/5),5)+1)</f>
        <v>Округ_1_4</v>
      </c>
      <c r="H92" s="10" t="str">
        <f aca="false">"Город_"&amp;(MOD(A92-1,5)+1)&amp;"_"&amp;(MOD(INT((A92-1)/5),5)+1)&amp;"_"&amp;(MOD(INT((A92-1)/25),10)+1)</f>
        <v>Город_1_4_4</v>
      </c>
      <c r="I92" s="10" t="str">
        <f aca="false">CHOOSE(MOD(A92-1,4)+1,"Электроника","Одежда","Продукты","Мебель")</f>
        <v>Продукты</v>
      </c>
      <c r="J92" s="10" t="str">
        <f aca="false">CHOOSE(MOD(INT((A92-1)/4),4)+1,CHOOSE(MOD(A92-1,4)+1,"Смартфоны","Ноутбуки","Аксессуары","Аудио"),CHOOSE(MOD(A92-1,4)+1,"Верхняя одежда","Спортивная","Повседневная","Обувь"),CHOOSE(MOD(A92-1,4)+1,"Молочные","Мясные","Бакалея","Напитки"),CHOOSE(MOD(A92-1,4)+1,"Мягкая мебель","Корпусная","Офисная","Кухонная"))</f>
        <v>Бакалея</v>
      </c>
      <c r="K92" s="12" t="n">
        <f aca="false">1000+MOD(A92*317+A92*A92*7,49001)</f>
        <v>38813</v>
      </c>
      <c r="L92" s="12" t="n">
        <f aca="false">1+MOD(A92*131,100)</f>
        <v>22</v>
      </c>
      <c r="M92" s="12" t="n">
        <f aca="false">INT(K92*(0.6+MOD(A92*43,21)/100))</f>
        <v>26004</v>
      </c>
      <c r="N92" s="12" t="n">
        <f aca="false">K92-M92</f>
        <v>12809</v>
      </c>
    </row>
    <row r="93" customFormat="false" ht="12.8" hidden="false" customHeight="false" outlineLevel="0" collapsed="false">
      <c r="A93" s="10" t="n">
        <f aca="false">A92+1</f>
        <v>92</v>
      </c>
      <c r="B93" s="11" t="n">
        <f aca="false">B92+1</f>
        <v>45018</v>
      </c>
      <c r="C93" s="10" t="n">
        <f aca="false">YEAR(B93)</f>
        <v>2023</v>
      </c>
      <c r="D93" s="10" t="n">
        <f aca="false">INT((MONTH(B93)-1)/3)+1</f>
        <v>2</v>
      </c>
      <c r="E93" s="10" t="n">
        <f aca="false">MONTH(B93)</f>
        <v>4</v>
      </c>
      <c r="F93" s="10" t="str">
        <f aca="false">CHOOSE(MOD(A93-1,5)+1,"Центр","Юг","Север","Запад","Восток")</f>
        <v>Юг</v>
      </c>
      <c r="G93" s="10" t="str">
        <f aca="false">"Округ_"&amp;(MOD(A93-1,5)+1)&amp;"_"&amp;(MOD(INT((A93-1)/5),5)+1)</f>
        <v>Округ_2_4</v>
      </c>
      <c r="H93" s="10" t="str">
        <f aca="false">"Город_"&amp;(MOD(A93-1,5)+1)&amp;"_"&amp;(MOD(INT((A93-1)/5),5)+1)&amp;"_"&amp;(MOD(INT((A93-1)/25),10)+1)</f>
        <v>Город_2_4_4</v>
      </c>
      <c r="I93" s="10" t="str">
        <f aca="false">CHOOSE(MOD(A93-1,4)+1,"Электроника","Одежда","Продукты","Мебель")</f>
        <v>Мебель</v>
      </c>
      <c r="J93" s="10" t="str">
        <f aca="false">CHOOSE(MOD(INT((A93-1)/4),4)+1,CHOOSE(MOD(A93-1,4)+1,"Смартфоны","Ноутбуки","Аксессуары","Аудио"),CHOOSE(MOD(A93-1,4)+1,"Верхняя одежда","Спортивная","Повседневная","Обувь"),CHOOSE(MOD(A93-1,4)+1,"Молочные","Мясные","Бакалея","Напитки"),CHOOSE(MOD(A93-1,4)+1,"Мягкая мебель","Корпусная","Офисная","Кухонная"))</f>
        <v>Напитки</v>
      </c>
      <c r="K93" s="12" t="n">
        <f aca="false">1000+MOD(A93*317+A93*A93*7,49001)</f>
        <v>40411</v>
      </c>
      <c r="L93" s="12" t="n">
        <f aca="false">1+MOD(A93*131,100)</f>
        <v>53</v>
      </c>
      <c r="M93" s="12" t="n">
        <f aca="false">INT(K93*(0.6+MOD(A93*43,21)/100))</f>
        <v>27479</v>
      </c>
      <c r="N93" s="12" t="n">
        <f aca="false">K93-M93</f>
        <v>12932</v>
      </c>
    </row>
    <row r="94" customFormat="false" ht="12.8" hidden="false" customHeight="false" outlineLevel="0" collapsed="false">
      <c r="A94" s="10" t="n">
        <f aca="false">A93+1</f>
        <v>93</v>
      </c>
      <c r="B94" s="11" t="n">
        <f aca="false">B93+1</f>
        <v>45019</v>
      </c>
      <c r="C94" s="10" t="n">
        <f aca="false">YEAR(B94)</f>
        <v>2023</v>
      </c>
      <c r="D94" s="10" t="n">
        <f aca="false">INT((MONTH(B94)-1)/3)+1</f>
        <v>2</v>
      </c>
      <c r="E94" s="10" t="n">
        <f aca="false">MONTH(B94)</f>
        <v>4</v>
      </c>
      <c r="F94" s="10" t="str">
        <f aca="false">CHOOSE(MOD(A94-1,5)+1,"Центр","Юг","Север","Запад","Восток")</f>
        <v>Север</v>
      </c>
      <c r="G94" s="10" t="str">
        <f aca="false">"Округ_"&amp;(MOD(A94-1,5)+1)&amp;"_"&amp;(MOD(INT((A94-1)/5),5)+1)</f>
        <v>Округ_3_4</v>
      </c>
      <c r="H94" s="10" t="str">
        <f aca="false">"Город_"&amp;(MOD(A94-1,5)+1)&amp;"_"&amp;(MOD(INT((A94-1)/5),5)+1)&amp;"_"&amp;(MOD(INT((A94-1)/25),10)+1)</f>
        <v>Город_3_4_4</v>
      </c>
      <c r="I94" s="10" t="str">
        <f aca="false">CHOOSE(MOD(A94-1,4)+1,"Электроника","Одежда","Продукты","Мебель")</f>
        <v>Электроника</v>
      </c>
      <c r="J94" s="10" t="str">
        <f aca="false">CHOOSE(MOD(INT((A94-1)/4),4)+1,CHOOSE(MOD(A94-1,4)+1,"Смартфоны","Ноутбуки","Аксессуары","Аудио"),CHOOSE(MOD(A94-1,4)+1,"Верхняя одежда","Спортивная","Повседневная","Обувь"),CHOOSE(MOD(A94-1,4)+1,"Молочные","Мясные","Бакалея","Напитки"),CHOOSE(MOD(A94-1,4)+1,"Мягкая мебель","Корпусная","Офисная","Кухонная"))</f>
        <v>Мягкая мебель</v>
      </c>
      <c r="K94" s="12" t="n">
        <f aca="false">1000+MOD(A94*317+A94*A94*7,49001)</f>
        <v>42023</v>
      </c>
      <c r="L94" s="12" t="n">
        <f aca="false">1+MOD(A94*131,100)</f>
        <v>84</v>
      </c>
      <c r="M94" s="12" t="n">
        <f aca="false">INT(K94*(0.6+MOD(A94*43,21)/100))</f>
        <v>28995</v>
      </c>
      <c r="N94" s="12" t="n">
        <f aca="false">K94-M94</f>
        <v>13028</v>
      </c>
    </row>
    <row r="95" customFormat="false" ht="12.8" hidden="false" customHeight="false" outlineLevel="0" collapsed="false">
      <c r="A95" s="10" t="n">
        <f aca="false">A94+1</f>
        <v>94</v>
      </c>
      <c r="B95" s="11" t="n">
        <f aca="false">B94+1</f>
        <v>45020</v>
      </c>
      <c r="C95" s="10" t="n">
        <f aca="false">YEAR(B95)</f>
        <v>2023</v>
      </c>
      <c r="D95" s="10" t="n">
        <f aca="false">INT((MONTH(B95)-1)/3)+1</f>
        <v>2</v>
      </c>
      <c r="E95" s="10" t="n">
        <f aca="false">MONTH(B95)</f>
        <v>4</v>
      </c>
      <c r="F95" s="10" t="str">
        <f aca="false">CHOOSE(MOD(A95-1,5)+1,"Центр","Юг","Север","Запад","Восток")</f>
        <v>Запад</v>
      </c>
      <c r="G95" s="10" t="str">
        <f aca="false">"Округ_"&amp;(MOD(A95-1,5)+1)&amp;"_"&amp;(MOD(INT((A95-1)/5),5)+1)</f>
        <v>Округ_4_4</v>
      </c>
      <c r="H95" s="10" t="str">
        <f aca="false">"Город_"&amp;(MOD(A95-1,5)+1)&amp;"_"&amp;(MOD(INT((A95-1)/5),5)+1)&amp;"_"&amp;(MOD(INT((A95-1)/25),10)+1)</f>
        <v>Город_4_4_4</v>
      </c>
      <c r="I95" s="10" t="str">
        <f aca="false">CHOOSE(MOD(A95-1,4)+1,"Электроника","Одежда","Продукты","Мебель")</f>
        <v>Одежда</v>
      </c>
      <c r="J95" s="10" t="str">
        <f aca="false">CHOOSE(MOD(INT((A95-1)/4),4)+1,CHOOSE(MOD(A95-1,4)+1,"Смартфоны","Ноутбуки","Аксессуары","Аудио"),CHOOSE(MOD(A95-1,4)+1,"Верхняя одежда","Спортивная","Повседневная","Обувь"),CHOOSE(MOD(A95-1,4)+1,"Молочные","Мясные","Бакалея","Напитки"),CHOOSE(MOD(A95-1,4)+1,"Мягкая мебель","Корпусная","Офисная","Кухонная"))</f>
        <v>Корпусная</v>
      </c>
      <c r="K95" s="12" t="n">
        <f aca="false">1000+MOD(A95*317+A95*A95*7,49001)</f>
        <v>43649</v>
      </c>
      <c r="L95" s="12" t="n">
        <f aca="false">1+MOD(A95*131,100)</f>
        <v>15</v>
      </c>
      <c r="M95" s="12" t="n">
        <f aca="false">INT(K95*(0.6+MOD(A95*43,21)/100))</f>
        <v>30554</v>
      </c>
      <c r="N95" s="12" t="n">
        <f aca="false">K95-M95</f>
        <v>13095</v>
      </c>
    </row>
    <row r="96" customFormat="false" ht="12.8" hidden="false" customHeight="false" outlineLevel="0" collapsed="false">
      <c r="A96" s="10" t="n">
        <f aca="false">A95+1</f>
        <v>95</v>
      </c>
      <c r="B96" s="11" t="n">
        <f aca="false">B95+1</f>
        <v>45021</v>
      </c>
      <c r="C96" s="10" t="n">
        <f aca="false">YEAR(B96)</f>
        <v>2023</v>
      </c>
      <c r="D96" s="10" t="n">
        <f aca="false">INT((MONTH(B96)-1)/3)+1</f>
        <v>2</v>
      </c>
      <c r="E96" s="10" t="n">
        <f aca="false">MONTH(B96)</f>
        <v>4</v>
      </c>
      <c r="F96" s="10" t="str">
        <f aca="false">CHOOSE(MOD(A96-1,5)+1,"Центр","Юг","Север","Запад","Восток")</f>
        <v>Восток</v>
      </c>
      <c r="G96" s="10" t="str">
        <f aca="false">"Округ_"&amp;(MOD(A96-1,5)+1)&amp;"_"&amp;(MOD(INT((A96-1)/5),5)+1)</f>
        <v>Округ_5_4</v>
      </c>
      <c r="H96" s="10" t="str">
        <f aca="false">"Город_"&amp;(MOD(A96-1,5)+1)&amp;"_"&amp;(MOD(INT((A96-1)/5),5)+1)&amp;"_"&amp;(MOD(INT((A96-1)/25),10)+1)</f>
        <v>Город_5_4_4</v>
      </c>
      <c r="I96" s="10" t="str">
        <f aca="false">CHOOSE(MOD(A96-1,4)+1,"Электроника","Одежда","Продукты","Мебель")</f>
        <v>Продукты</v>
      </c>
      <c r="J96" s="10" t="str">
        <f aca="false">CHOOSE(MOD(INT((A96-1)/4),4)+1,CHOOSE(MOD(A96-1,4)+1,"Смартфоны","Ноутбуки","Аксессуары","Аудио"),CHOOSE(MOD(A96-1,4)+1,"Верхняя одежда","Спортивная","Повседневная","Обувь"),CHOOSE(MOD(A96-1,4)+1,"Молочные","Мясные","Бакалея","Напитки"),CHOOSE(MOD(A96-1,4)+1,"Мягкая мебель","Корпусная","Офисная","Кухонная"))</f>
        <v>Офисная</v>
      </c>
      <c r="K96" s="12" t="n">
        <f aca="false">1000+MOD(A96*317+A96*A96*7,49001)</f>
        <v>45289</v>
      </c>
      <c r="L96" s="12" t="n">
        <f aca="false">1+MOD(A96*131,100)</f>
        <v>46</v>
      </c>
      <c r="M96" s="12" t="n">
        <f aca="false">INT(K96*(0.6+MOD(A96*43,21)/100))</f>
        <v>32155</v>
      </c>
      <c r="N96" s="12" t="n">
        <f aca="false">K96-M96</f>
        <v>13134</v>
      </c>
    </row>
    <row r="97" customFormat="false" ht="12.8" hidden="false" customHeight="false" outlineLevel="0" collapsed="false">
      <c r="A97" s="10" t="n">
        <f aca="false">A96+1</f>
        <v>96</v>
      </c>
      <c r="B97" s="11" t="n">
        <f aca="false">B96+1</f>
        <v>45022</v>
      </c>
      <c r="C97" s="10" t="n">
        <f aca="false">YEAR(B97)</f>
        <v>2023</v>
      </c>
      <c r="D97" s="10" t="n">
        <f aca="false">INT((MONTH(B97)-1)/3)+1</f>
        <v>2</v>
      </c>
      <c r="E97" s="10" t="n">
        <f aca="false">MONTH(B97)</f>
        <v>4</v>
      </c>
      <c r="F97" s="10" t="str">
        <f aca="false">CHOOSE(MOD(A97-1,5)+1,"Центр","Юг","Север","Запад","Восток")</f>
        <v>Центр</v>
      </c>
      <c r="G97" s="10" t="str">
        <f aca="false">"Округ_"&amp;(MOD(A97-1,5)+1)&amp;"_"&amp;(MOD(INT((A97-1)/5),5)+1)</f>
        <v>Округ_1_5</v>
      </c>
      <c r="H97" s="10" t="str">
        <f aca="false">"Город_"&amp;(MOD(A97-1,5)+1)&amp;"_"&amp;(MOD(INT((A97-1)/5),5)+1)&amp;"_"&amp;(MOD(INT((A97-1)/25),10)+1)</f>
        <v>Город_1_5_4</v>
      </c>
      <c r="I97" s="10" t="str">
        <f aca="false">CHOOSE(MOD(A97-1,4)+1,"Электроника","Одежда","Продукты","Мебель")</f>
        <v>Мебель</v>
      </c>
      <c r="J97" s="10" t="str">
        <f aca="false">CHOOSE(MOD(INT((A97-1)/4),4)+1,CHOOSE(MOD(A97-1,4)+1,"Смартфоны","Ноутбуки","Аксессуары","Аудио"),CHOOSE(MOD(A97-1,4)+1,"Верхняя одежда","Спортивная","Повседневная","Обувь"),CHOOSE(MOD(A97-1,4)+1,"Молочные","Мясные","Бакалея","Напитки"),CHOOSE(MOD(A97-1,4)+1,"Мягкая мебель","Корпусная","Офисная","Кухонная"))</f>
        <v>Кухонная</v>
      </c>
      <c r="K97" s="12" t="n">
        <f aca="false">1000+MOD(A97*317+A97*A97*7,49001)</f>
        <v>46943</v>
      </c>
      <c r="L97" s="12" t="n">
        <f aca="false">1+MOD(A97*131,100)</f>
        <v>77</v>
      </c>
      <c r="M97" s="12" t="n">
        <f aca="false">INT(K97*(0.6+MOD(A97*43,21)/100))</f>
        <v>33798</v>
      </c>
      <c r="N97" s="12" t="n">
        <f aca="false">K97-M97</f>
        <v>13145</v>
      </c>
    </row>
    <row r="98" customFormat="false" ht="12.8" hidden="false" customHeight="false" outlineLevel="0" collapsed="false">
      <c r="A98" s="10" t="n">
        <f aca="false">A97+1</f>
        <v>97</v>
      </c>
      <c r="B98" s="11" t="n">
        <f aca="false">B97+1</f>
        <v>45023</v>
      </c>
      <c r="C98" s="10" t="n">
        <f aca="false">YEAR(B98)</f>
        <v>2023</v>
      </c>
      <c r="D98" s="10" t="n">
        <f aca="false">INT((MONTH(B98)-1)/3)+1</f>
        <v>2</v>
      </c>
      <c r="E98" s="10" t="n">
        <f aca="false">MONTH(B98)</f>
        <v>4</v>
      </c>
      <c r="F98" s="10" t="str">
        <f aca="false">CHOOSE(MOD(A98-1,5)+1,"Центр","Юг","Север","Запад","Восток")</f>
        <v>Юг</v>
      </c>
      <c r="G98" s="10" t="str">
        <f aca="false">"Округ_"&amp;(MOD(A98-1,5)+1)&amp;"_"&amp;(MOD(INT((A98-1)/5),5)+1)</f>
        <v>Округ_2_5</v>
      </c>
      <c r="H98" s="10" t="str">
        <f aca="false">"Город_"&amp;(MOD(A98-1,5)+1)&amp;"_"&amp;(MOD(INT((A98-1)/5),5)+1)&amp;"_"&amp;(MOD(INT((A98-1)/25),10)+1)</f>
        <v>Город_2_5_4</v>
      </c>
      <c r="I98" s="10" t="str">
        <f aca="false">CHOOSE(MOD(A98-1,4)+1,"Электроника","Одежда","Продукты","Мебель")</f>
        <v>Электроника</v>
      </c>
      <c r="J98" s="10" t="str">
        <f aca="false">CHOOSE(MOD(INT((A98-1)/4),4)+1,CHOOSE(MOD(A98-1,4)+1,"Смартфоны","Ноутбуки","Аксессуары","Аудио"),CHOOSE(MOD(A98-1,4)+1,"Верхняя одежда","Спортивная","Повседневная","Обувь"),CHOOSE(MOD(A98-1,4)+1,"Молочные","Мясные","Бакалея","Напитки"),CHOOSE(MOD(A98-1,4)+1,"Мягкая мебель","Корпусная","Офисная","Кухонная"))</f>
        <v>Смартфоны</v>
      </c>
      <c r="K98" s="12" t="n">
        <f aca="false">1000+MOD(A98*317+A98*A98*7,49001)</f>
        <v>48611</v>
      </c>
      <c r="L98" s="12" t="n">
        <f aca="false">1+MOD(A98*131,100)</f>
        <v>8</v>
      </c>
      <c r="M98" s="12" t="n">
        <f aca="false">INT(K98*(0.6+MOD(A98*43,21)/100))</f>
        <v>35486</v>
      </c>
      <c r="N98" s="12" t="n">
        <f aca="false">K98-M98</f>
        <v>13125</v>
      </c>
    </row>
    <row r="99" customFormat="false" ht="12.8" hidden="false" customHeight="false" outlineLevel="0" collapsed="false">
      <c r="A99" s="10" t="n">
        <f aca="false">A98+1</f>
        <v>98</v>
      </c>
      <c r="B99" s="11" t="n">
        <f aca="false">B98+1</f>
        <v>45024</v>
      </c>
      <c r="C99" s="10" t="n">
        <f aca="false">YEAR(B99)</f>
        <v>2023</v>
      </c>
      <c r="D99" s="10" t="n">
        <f aca="false">INT((MONTH(B99)-1)/3)+1</f>
        <v>2</v>
      </c>
      <c r="E99" s="10" t="n">
        <f aca="false">MONTH(B99)</f>
        <v>4</v>
      </c>
      <c r="F99" s="10" t="str">
        <f aca="false">CHOOSE(MOD(A99-1,5)+1,"Центр","Юг","Север","Запад","Восток")</f>
        <v>Север</v>
      </c>
      <c r="G99" s="10" t="str">
        <f aca="false">"Округ_"&amp;(MOD(A99-1,5)+1)&amp;"_"&amp;(MOD(INT((A99-1)/5),5)+1)</f>
        <v>Округ_3_5</v>
      </c>
      <c r="H99" s="10" t="str">
        <f aca="false">"Город_"&amp;(MOD(A99-1,5)+1)&amp;"_"&amp;(MOD(INT((A99-1)/5),5)+1)&amp;"_"&amp;(MOD(INT((A99-1)/25),10)+1)</f>
        <v>Город_3_5_4</v>
      </c>
      <c r="I99" s="10" t="str">
        <f aca="false">CHOOSE(MOD(A99-1,4)+1,"Электроника","Одежда","Продукты","Мебель")</f>
        <v>Одежда</v>
      </c>
      <c r="J99" s="10" t="str">
        <f aca="false">CHOOSE(MOD(INT((A99-1)/4),4)+1,CHOOSE(MOD(A99-1,4)+1,"Смартфоны","Ноутбуки","Аксессуары","Аудио"),CHOOSE(MOD(A99-1,4)+1,"Верхняя одежда","Спортивная","Повседневная","Обувь"),CHOOSE(MOD(A99-1,4)+1,"Молочные","Мясные","Бакалея","Напитки"),CHOOSE(MOD(A99-1,4)+1,"Мягкая мебель","Корпусная","Офисная","Кухонная"))</f>
        <v>Ноутбуки</v>
      </c>
      <c r="K99" s="12" t="n">
        <f aca="false">1000+MOD(A99*317+A99*A99*7,49001)</f>
        <v>1292</v>
      </c>
      <c r="L99" s="12" t="n">
        <f aca="false">1+MOD(A99*131,100)</f>
        <v>39</v>
      </c>
      <c r="M99" s="12" t="n">
        <f aca="false">INT(K99*(0.6+MOD(A99*43,21)/100))</f>
        <v>956</v>
      </c>
      <c r="N99" s="12" t="n">
        <f aca="false">K99-M99</f>
        <v>336</v>
      </c>
    </row>
    <row r="100" customFormat="false" ht="12.8" hidden="false" customHeight="false" outlineLevel="0" collapsed="false">
      <c r="A100" s="10" t="n">
        <f aca="false">A99+1</f>
        <v>99</v>
      </c>
      <c r="B100" s="11" t="n">
        <f aca="false">B99+1</f>
        <v>45025</v>
      </c>
      <c r="C100" s="10" t="n">
        <f aca="false">YEAR(B100)</f>
        <v>2023</v>
      </c>
      <c r="D100" s="10" t="n">
        <f aca="false">INT((MONTH(B100)-1)/3)+1</f>
        <v>2</v>
      </c>
      <c r="E100" s="10" t="n">
        <f aca="false">MONTH(B100)</f>
        <v>4</v>
      </c>
      <c r="F100" s="10" t="str">
        <f aca="false">CHOOSE(MOD(A100-1,5)+1,"Центр","Юг","Север","Запад","Восток")</f>
        <v>Запад</v>
      </c>
      <c r="G100" s="10" t="str">
        <f aca="false">"Округ_"&amp;(MOD(A100-1,5)+1)&amp;"_"&amp;(MOD(INT((A100-1)/5),5)+1)</f>
        <v>Округ_4_5</v>
      </c>
      <c r="H100" s="10" t="str">
        <f aca="false">"Город_"&amp;(MOD(A100-1,5)+1)&amp;"_"&amp;(MOD(INT((A100-1)/5),5)+1)&amp;"_"&amp;(MOD(INT((A100-1)/25),10)+1)</f>
        <v>Город_4_5_4</v>
      </c>
      <c r="I100" s="10" t="str">
        <f aca="false">CHOOSE(MOD(A100-1,4)+1,"Электроника","Одежда","Продукты","Мебель")</f>
        <v>Продукты</v>
      </c>
      <c r="J100" s="10" t="str">
        <f aca="false">CHOOSE(MOD(INT((A100-1)/4),4)+1,CHOOSE(MOD(A100-1,4)+1,"Смартфоны","Ноутбуки","Аксессуары","Аудио"),CHOOSE(MOD(A100-1,4)+1,"Верхняя одежда","Спортивная","Повседневная","Обувь"),CHOOSE(MOD(A100-1,4)+1,"Молочные","Мясные","Бакалея","Напитки"),CHOOSE(MOD(A100-1,4)+1,"Мягкая мебель","Корпусная","Офисная","Кухонная"))</f>
        <v>Аксессуары</v>
      </c>
      <c r="K100" s="12" t="n">
        <f aca="false">1000+MOD(A100*317+A100*A100*7,49001)</f>
        <v>2988</v>
      </c>
      <c r="L100" s="12" t="n">
        <f aca="false">1+MOD(A100*131,100)</f>
        <v>70</v>
      </c>
      <c r="M100" s="12" t="n">
        <f aca="false">INT(K100*(0.6+MOD(A100*43,21)/100))</f>
        <v>2241</v>
      </c>
      <c r="N100" s="12" t="n">
        <f aca="false">K100-M100</f>
        <v>747</v>
      </c>
    </row>
    <row r="101" customFormat="false" ht="12.8" hidden="false" customHeight="false" outlineLevel="0" collapsed="false">
      <c r="A101" s="10" t="n">
        <f aca="false">A100+1</f>
        <v>100</v>
      </c>
      <c r="B101" s="11" t="n">
        <f aca="false">B100+1</f>
        <v>45026</v>
      </c>
      <c r="C101" s="10" t="n">
        <f aca="false">YEAR(B101)</f>
        <v>2023</v>
      </c>
      <c r="D101" s="10" t="n">
        <f aca="false">INT((MONTH(B101)-1)/3)+1</f>
        <v>2</v>
      </c>
      <c r="E101" s="10" t="n">
        <f aca="false">MONTH(B101)</f>
        <v>4</v>
      </c>
      <c r="F101" s="10" t="str">
        <f aca="false">CHOOSE(MOD(A101-1,5)+1,"Центр","Юг","Север","Запад","Восток")</f>
        <v>Восток</v>
      </c>
      <c r="G101" s="10" t="str">
        <f aca="false">"Округ_"&amp;(MOD(A101-1,5)+1)&amp;"_"&amp;(MOD(INT((A101-1)/5),5)+1)</f>
        <v>Округ_5_5</v>
      </c>
      <c r="H101" s="10" t="str">
        <f aca="false">"Город_"&amp;(MOD(A101-1,5)+1)&amp;"_"&amp;(MOD(INT((A101-1)/5),5)+1)&amp;"_"&amp;(MOD(INT((A101-1)/25),10)+1)</f>
        <v>Город_5_5_4</v>
      </c>
      <c r="I101" s="10" t="str">
        <f aca="false">CHOOSE(MOD(A101-1,4)+1,"Электроника","Одежда","Продукты","Мебель")</f>
        <v>Мебель</v>
      </c>
      <c r="J101" s="10" t="str">
        <f aca="false">CHOOSE(MOD(INT((A101-1)/4),4)+1,CHOOSE(MOD(A101-1,4)+1,"Смартфоны","Ноутбуки","Аксессуары","Аудио"),CHOOSE(MOD(A101-1,4)+1,"Верхняя одежда","Спортивная","Повседневная","Обувь"),CHOOSE(MOD(A101-1,4)+1,"Молочные","Мясные","Бакалея","Напитки"),CHOOSE(MOD(A101-1,4)+1,"Мягкая мебель","Корпусная","Офисная","Кухонная"))</f>
        <v>Аудио</v>
      </c>
      <c r="K101" s="12" t="n">
        <f aca="false">1000+MOD(A101*317+A101*A101*7,49001)</f>
        <v>4698</v>
      </c>
      <c r="L101" s="12" t="n">
        <f aca="false">1+MOD(A101*131,100)</f>
        <v>1</v>
      </c>
      <c r="M101" s="12" t="n">
        <f aca="false">INT(K101*(0.6+MOD(A101*43,21)/100))</f>
        <v>3570</v>
      </c>
      <c r="N101" s="12" t="n">
        <f aca="false">K101-M101</f>
        <v>1128</v>
      </c>
    </row>
    <row r="102" customFormat="false" ht="12.8" hidden="false" customHeight="false" outlineLevel="0" collapsed="false">
      <c r="A102" s="10" t="n">
        <f aca="false">A101+1</f>
        <v>101</v>
      </c>
      <c r="B102" s="11" t="n">
        <f aca="false">B101+1</f>
        <v>45027</v>
      </c>
      <c r="C102" s="10" t="n">
        <f aca="false">YEAR(B102)</f>
        <v>2023</v>
      </c>
      <c r="D102" s="10" t="n">
        <f aca="false">INT((MONTH(B102)-1)/3)+1</f>
        <v>2</v>
      </c>
      <c r="E102" s="10" t="n">
        <f aca="false">MONTH(B102)</f>
        <v>4</v>
      </c>
      <c r="F102" s="10" t="str">
        <f aca="false">CHOOSE(MOD(A102-1,5)+1,"Центр","Юг","Север","Запад","Восток")</f>
        <v>Центр</v>
      </c>
      <c r="G102" s="10" t="str">
        <f aca="false">"Округ_"&amp;(MOD(A102-1,5)+1)&amp;"_"&amp;(MOD(INT((A102-1)/5),5)+1)</f>
        <v>Округ_1_1</v>
      </c>
      <c r="H102" s="10" t="str">
        <f aca="false">"Город_"&amp;(MOD(A102-1,5)+1)&amp;"_"&amp;(MOD(INT((A102-1)/5),5)+1)&amp;"_"&amp;(MOD(INT((A102-1)/25),10)+1)</f>
        <v>Город_1_1_5</v>
      </c>
      <c r="I102" s="10" t="str">
        <f aca="false">CHOOSE(MOD(A102-1,4)+1,"Электроника","Одежда","Продукты","Мебель")</f>
        <v>Электроника</v>
      </c>
      <c r="J102" s="10" t="str">
        <f aca="false">CHOOSE(MOD(INT((A102-1)/4),4)+1,CHOOSE(MOD(A102-1,4)+1,"Смартфоны","Ноутбуки","Аксессуары","Аудио"),CHOOSE(MOD(A102-1,4)+1,"Верхняя одежда","Спортивная","Повседневная","Обувь"),CHOOSE(MOD(A102-1,4)+1,"Молочные","Мясные","Бакалея","Напитки"),CHOOSE(MOD(A102-1,4)+1,"Мягкая мебель","Корпусная","Офисная","Кухонная"))</f>
        <v>Верхняя одежда</v>
      </c>
      <c r="K102" s="12" t="n">
        <f aca="false">1000+MOD(A102*317+A102*A102*7,49001)</f>
        <v>6422</v>
      </c>
      <c r="L102" s="12" t="n">
        <f aca="false">1+MOD(A102*131,100)</f>
        <v>32</v>
      </c>
      <c r="M102" s="12" t="n">
        <f aca="false">INT(K102*(0.6+MOD(A102*43,21)/100))</f>
        <v>4944</v>
      </c>
      <c r="N102" s="12" t="n">
        <f aca="false">K102-M102</f>
        <v>1478</v>
      </c>
    </row>
    <row r="103" customFormat="false" ht="12.8" hidden="false" customHeight="false" outlineLevel="0" collapsed="false">
      <c r="A103" s="10" t="n">
        <f aca="false">A102+1</f>
        <v>102</v>
      </c>
      <c r="B103" s="11" t="n">
        <f aca="false">B102+1</f>
        <v>45028</v>
      </c>
      <c r="C103" s="10" t="n">
        <f aca="false">YEAR(B103)</f>
        <v>2023</v>
      </c>
      <c r="D103" s="10" t="n">
        <f aca="false">INT((MONTH(B103)-1)/3)+1</f>
        <v>2</v>
      </c>
      <c r="E103" s="10" t="n">
        <f aca="false">MONTH(B103)</f>
        <v>4</v>
      </c>
      <c r="F103" s="10" t="str">
        <f aca="false">CHOOSE(MOD(A103-1,5)+1,"Центр","Юг","Север","Запад","Восток")</f>
        <v>Юг</v>
      </c>
      <c r="G103" s="10" t="str">
        <f aca="false">"Округ_"&amp;(MOD(A103-1,5)+1)&amp;"_"&amp;(MOD(INT((A103-1)/5),5)+1)</f>
        <v>Округ_2_1</v>
      </c>
      <c r="H103" s="10" t="str">
        <f aca="false">"Город_"&amp;(MOD(A103-1,5)+1)&amp;"_"&amp;(MOD(INT((A103-1)/5),5)+1)&amp;"_"&amp;(MOD(INT((A103-1)/25),10)+1)</f>
        <v>Город_2_1_5</v>
      </c>
      <c r="I103" s="10" t="str">
        <f aca="false">CHOOSE(MOD(A103-1,4)+1,"Электроника","Одежда","Продукты","Мебель")</f>
        <v>Одежда</v>
      </c>
      <c r="J103" s="10" t="str">
        <f aca="false">CHOOSE(MOD(INT((A103-1)/4),4)+1,CHOOSE(MOD(A103-1,4)+1,"Смартфоны","Ноутбуки","Аксессуары","Аудио"),CHOOSE(MOD(A103-1,4)+1,"Верхняя одежда","Спортивная","Повседневная","Обувь"),CHOOSE(MOD(A103-1,4)+1,"Молочные","Мясные","Бакалея","Напитки"),CHOOSE(MOD(A103-1,4)+1,"Мягкая мебель","Корпусная","Офисная","Кухонная"))</f>
        <v>Спортивная</v>
      </c>
      <c r="K103" s="12" t="n">
        <f aca="false">1000+MOD(A103*317+A103*A103*7,49001)</f>
        <v>8160</v>
      </c>
      <c r="L103" s="12" t="n">
        <f aca="false">1+MOD(A103*131,100)</f>
        <v>63</v>
      </c>
      <c r="M103" s="12" t="n">
        <f aca="false">INT(K103*(0.6+MOD(A103*43,21)/100))</f>
        <v>6364</v>
      </c>
      <c r="N103" s="12" t="n">
        <f aca="false">K103-M103</f>
        <v>1796</v>
      </c>
    </row>
    <row r="104" customFormat="false" ht="12.8" hidden="false" customHeight="false" outlineLevel="0" collapsed="false">
      <c r="A104" s="10" t="n">
        <f aca="false">A103+1</f>
        <v>103</v>
      </c>
      <c r="B104" s="11" t="n">
        <f aca="false">B103+1</f>
        <v>45029</v>
      </c>
      <c r="C104" s="10" t="n">
        <f aca="false">YEAR(B104)</f>
        <v>2023</v>
      </c>
      <c r="D104" s="10" t="n">
        <f aca="false">INT((MONTH(B104)-1)/3)+1</f>
        <v>2</v>
      </c>
      <c r="E104" s="10" t="n">
        <f aca="false">MONTH(B104)</f>
        <v>4</v>
      </c>
      <c r="F104" s="10" t="str">
        <f aca="false">CHOOSE(MOD(A104-1,5)+1,"Центр","Юг","Север","Запад","Восток")</f>
        <v>Север</v>
      </c>
      <c r="G104" s="10" t="str">
        <f aca="false">"Округ_"&amp;(MOD(A104-1,5)+1)&amp;"_"&amp;(MOD(INT((A104-1)/5),5)+1)</f>
        <v>Округ_3_1</v>
      </c>
      <c r="H104" s="10" t="str">
        <f aca="false">"Город_"&amp;(MOD(A104-1,5)+1)&amp;"_"&amp;(MOD(INT((A104-1)/5),5)+1)&amp;"_"&amp;(MOD(INT((A104-1)/25),10)+1)</f>
        <v>Город_3_1_5</v>
      </c>
      <c r="I104" s="10" t="str">
        <f aca="false">CHOOSE(MOD(A104-1,4)+1,"Электроника","Одежда","Продукты","Мебель")</f>
        <v>Продукты</v>
      </c>
      <c r="J104" s="10" t="str">
        <f aca="false">CHOOSE(MOD(INT((A104-1)/4),4)+1,CHOOSE(MOD(A104-1,4)+1,"Смартфоны","Ноутбуки","Аксессуары","Аудио"),CHOOSE(MOD(A104-1,4)+1,"Верхняя одежда","Спортивная","Повседневная","Обувь"),CHOOSE(MOD(A104-1,4)+1,"Молочные","Мясные","Бакалея","Напитки"),CHOOSE(MOD(A104-1,4)+1,"Мягкая мебель","Корпусная","Офисная","Кухонная"))</f>
        <v>Повседневная</v>
      </c>
      <c r="K104" s="12" t="n">
        <f aca="false">1000+MOD(A104*317+A104*A104*7,49001)</f>
        <v>9912</v>
      </c>
      <c r="L104" s="12" t="n">
        <f aca="false">1+MOD(A104*131,100)</f>
        <v>94</v>
      </c>
      <c r="M104" s="12" t="n">
        <f aca="false">INT(K104*(0.6+MOD(A104*43,21)/100))</f>
        <v>7830</v>
      </c>
      <c r="N104" s="12" t="n">
        <f aca="false">K104-M104</f>
        <v>2082</v>
      </c>
    </row>
    <row r="105" customFormat="false" ht="12.8" hidden="false" customHeight="false" outlineLevel="0" collapsed="false">
      <c r="A105" s="10" t="n">
        <f aca="false">A104+1</f>
        <v>104</v>
      </c>
      <c r="B105" s="11" t="n">
        <f aca="false">B104+1</f>
        <v>45030</v>
      </c>
      <c r="C105" s="10" t="n">
        <f aca="false">YEAR(B105)</f>
        <v>2023</v>
      </c>
      <c r="D105" s="10" t="n">
        <f aca="false">INT((MONTH(B105)-1)/3)+1</f>
        <v>2</v>
      </c>
      <c r="E105" s="10" t="n">
        <f aca="false">MONTH(B105)</f>
        <v>4</v>
      </c>
      <c r="F105" s="10" t="str">
        <f aca="false">CHOOSE(MOD(A105-1,5)+1,"Центр","Юг","Север","Запад","Восток")</f>
        <v>Запад</v>
      </c>
      <c r="G105" s="10" t="str">
        <f aca="false">"Округ_"&amp;(MOD(A105-1,5)+1)&amp;"_"&amp;(MOD(INT((A105-1)/5),5)+1)</f>
        <v>Округ_4_1</v>
      </c>
      <c r="H105" s="10" t="str">
        <f aca="false">"Город_"&amp;(MOD(A105-1,5)+1)&amp;"_"&amp;(MOD(INT((A105-1)/5),5)+1)&amp;"_"&amp;(MOD(INT((A105-1)/25),10)+1)</f>
        <v>Город_4_1_5</v>
      </c>
      <c r="I105" s="10" t="str">
        <f aca="false">CHOOSE(MOD(A105-1,4)+1,"Электроника","Одежда","Продукты","Мебель")</f>
        <v>Мебель</v>
      </c>
      <c r="J105" s="10" t="str">
        <f aca="false">CHOOSE(MOD(INT((A105-1)/4),4)+1,CHOOSE(MOD(A105-1,4)+1,"Смартфоны","Ноутбуки","Аксессуары","Аудио"),CHOOSE(MOD(A105-1,4)+1,"Верхняя одежда","Спортивная","Повседневная","Обувь"),CHOOSE(MOD(A105-1,4)+1,"Молочные","Мясные","Бакалея","Напитки"),CHOOSE(MOD(A105-1,4)+1,"Мягкая мебель","Корпусная","Офисная","Кухонная"))</f>
        <v>Обувь</v>
      </c>
      <c r="K105" s="12" t="n">
        <f aca="false">1000+MOD(A105*317+A105*A105*7,49001)</f>
        <v>11678</v>
      </c>
      <c r="L105" s="12" t="n">
        <f aca="false">1+MOD(A105*131,100)</f>
        <v>25</v>
      </c>
      <c r="M105" s="12" t="n">
        <f aca="false">INT(K105*(0.6+MOD(A105*43,21)/100))</f>
        <v>9342</v>
      </c>
      <c r="N105" s="12" t="n">
        <f aca="false">K105-M105</f>
        <v>2336</v>
      </c>
    </row>
    <row r="106" customFormat="false" ht="12.8" hidden="false" customHeight="false" outlineLevel="0" collapsed="false">
      <c r="A106" s="10" t="n">
        <f aca="false">A105+1</f>
        <v>105</v>
      </c>
      <c r="B106" s="11" t="n">
        <f aca="false">B105+1</f>
        <v>45031</v>
      </c>
      <c r="C106" s="10" t="n">
        <f aca="false">YEAR(B106)</f>
        <v>2023</v>
      </c>
      <c r="D106" s="10" t="n">
        <f aca="false">INT((MONTH(B106)-1)/3)+1</f>
        <v>2</v>
      </c>
      <c r="E106" s="10" t="n">
        <f aca="false">MONTH(B106)</f>
        <v>4</v>
      </c>
      <c r="F106" s="10" t="str">
        <f aca="false">CHOOSE(MOD(A106-1,5)+1,"Центр","Юг","Север","Запад","Восток")</f>
        <v>Восток</v>
      </c>
      <c r="G106" s="10" t="str">
        <f aca="false">"Округ_"&amp;(MOD(A106-1,5)+1)&amp;"_"&amp;(MOD(INT((A106-1)/5),5)+1)</f>
        <v>Округ_5_1</v>
      </c>
      <c r="H106" s="10" t="str">
        <f aca="false">"Город_"&amp;(MOD(A106-1,5)+1)&amp;"_"&amp;(MOD(INT((A106-1)/5),5)+1)&amp;"_"&amp;(MOD(INT((A106-1)/25),10)+1)</f>
        <v>Город_5_1_5</v>
      </c>
      <c r="I106" s="10" t="str">
        <f aca="false">CHOOSE(MOD(A106-1,4)+1,"Электроника","Одежда","Продукты","Мебель")</f>
        <v>Электроника</v>
      </c>
      <c r="J106" s="10" t="str">
        <f aca="false">CHOOSE(MOD(INT((A106-1)/4),4)+1,CHOOSE(MOD(A106-1,4)+1,"Смартфоны","Ноутбуки","Аксессуары","Аудио"),CHOOSE(MOD(A106-1,4)+1,"Верхняя одежда","Спортивная","Повседневная","Обувь"),CHOOSE(MOD(A106-1,4)+1,"Молочные","Мясные","Бакалея","Напитки"),CHOOSE(MOD(A106-1,4)+1,"Мягкая мебель","Корпусная","Офисная","Кухонная"))</f>
        <v>Молочные</v>
      </c>
      <c r="K106" s="12" t="n">
        <f aca="false">1000+MOD(A106*317+A106*A106*7,49001)</f>
        <v>13458</v>
      </c>
      <c r="L106" s="12" t="n">
        <f aca="false">1+MOD(A106*131,100)</f>
        <v>56</v>
      </c>
      <c r="M106" s="12" t="n">
        <f aca="false">INT(K106*(0.6+MOD(A106*43,21)/100))</f>
        <v>8074</v>
      </c>
      <c r="N106" s="12" t="n">
        <f aca="false">K106-M106</f>
        <v>5384</v>
      </c>
    </row>
    <row r="107" customFormat="false" ht="12.8" hidden="false" customHeight="false" outlineLevel="0" collapsed="false">
      <c r="A107" s="10" t="n">
        <f aca="false">A106+1</f>
        <v>106</v>
      </c>
      <c r="B107" s="11" t="n">
        <f aca="false">B106+1</f>
        <v>45032</v>
      </c>
      <c r="C107" s="10" t="n">
        <f aca="false">YEAR(B107)</f>
        <v>2023</v>
      </c>
      <c r="D107" s="10" t="n">
        <f aca="false">INT((MONTH(B107)-1)/3)+1</f>
        <v>2</v>
      </c>
      <c r="E107" s="10" t="n">
        <f aca="false">MONTH(B107)</f>
        <v>4</v>
      </c>
      <c r="F107" s="10" t="str">
        <f aca="false">CHOOSE(MOD(A107-1,5)+1,"Центр","Юг","Север","Запад","Восток")</f>
        <v>Центр</v>
      </c>
      <c r="G107" s="10" t="str">
        <f aca="false">"Округ_"&amp;(MOD(A107-1,5)+1)&amp;"_"&amp;(MOD(INT((A107-1)/5),5)+1)</f>
        <v>Округ_1_2</v>
      </c>
      <c r="H107" s="10" t="str">
        <f aca="false">"Город_"&amp;(MOD(A107-1,5)+1)&amp;"_"&amp;(MOD(INT((A107-1)/5),5)+1)&amp;"_"&amp;(MOD(INT((A107-1)/25),10)+1)</f>
        <v>Город_1_2_5</v>
      </c>
      <c r="I107" s="10" t="str">
        <f aca="false">CHOOSE(MOD(A107-1,4)+1,"Электроника","Одежда","Продукты","Мебель")</f>
        <v>Одежда</v>
      </c>
      <c r="J107" s="10" t="str">
        <f aca="false">CHOOSE(MOD(INT((A107-1)/4),4)+1,CHOOSE(MOD(A107-1,4)+1,"Смартфоны","Ноутбуки","Аксессуары","Аудио"),CHOOSE(MOD(A107-1,4)+1,"Верхняя одежда","Спортивная","Повседневная","Обувь"),CHOOSE(MOD(A107-1,4)+1,"Молочные","Мясные","Бакалея","Напитки"),CHOOSE(MOD(A107-1,4)+1,"Мягкая мебель","Корпусная","Офисная","Кухонная"))</f>
        <v>Мясные</v>
      </c>
      <c r="K107" s="12" t="n">
        <f aca="false">1000+MOD(A107*317+A107*A107*7,49001)</f>
        <v>15252</v>
      </c>
      <c r="L107" s="12" t="n">
        <f aca="false">1+MOD(A107*131,100)</f>
        <v>87</v>
      </c>
      <c r="M107" s="12" t="n">
        <f aca="false">INT(K107*(0.6+MOD(A107*43,21)/100))</f>
        <v>9303</v>
      </c>
      <c r="N107" s="12" t="n">
        <f aca="false">K107-M107</f>
        <v>5949</v>
      </c>
    </row>
    <row r="108" customFormat="false" ht="12.8" hidden="false" customHeight="false" outlineLevel="0" collapsed="false">
      <c r="A108" s="10" t="n">
        <f aca="false">A107+1</f>
        <v>107</v>
      </c>
      <c r="B108" s="11" t="n">
        <f aca="false">B107+1</f>
        <v>45033</v>
      </c>
      <c r="C108" s="10" t="n">
        <f aca="false">YEAR(B108)</f>
        <v>2023</v>
      </c>
      <c r="D108" s="10" t="n">
        <f aca="false">INT((MONTH(B108)-1)/3)+1</f>
        <v>2</v>
      </c>
      <c r="E108" s="10" t="n">
        <f aca="false">MONTH(B108)</f>
        <v>4</v>
      </c>
      <c r="F108" s="10" t="str">
        <f aca="false">CHOOSE(MOD(A108-1,5)+1,"Центр","Юг","Север","Запад","Восток")</f>
        <v>Юг</v>
      </c>
      <c r="G108" s="10" t="str">
        <f aca="false">"Округ_"&amp;(MOD(A108-1,5)+1)&amp;"_"&amp;(MOD(INT((A108-1)/5),5)+1)</f>
        <v>Округ_2_2</v>
      </c>
      <c r="H108" s="10" t="str">
        <f aca="false">"Город_"&amp;(MOD(A108-1,5)+1)&amp;"_"&amp;(MOD(INT((A108-1)/5),5)+1)&amp;"_"&amp;(MOD(INT((A108-1)/25),10)+1)</f>
        <v>Город_2_2_5</v>
      </c>
      <c r="I108" s="10" t="str">
        <f aca="false">CHOOSE(MOD(A108-1,4)+1,"Электроника","Одежда","Продукты","Мебель")</f>
        <v>Продукты</v>
      </c>
      <c r="J108" s="10" t="str">
        <f aca="false">CHOOSE(MOD(INT((A108-1)/4),4)+1,CHOOSE(MOD(A108-1,4)+1,"Смартфоны","Ноутбуки","Аксессуары","Аудио"),CHOOSE(MOD(A108-1,4)+1,"Верхняя одежда","Спортивная","Повседневная","Обувь"),CHOOSE(MOD(A108-1,4)+1,"Молочные","Мясные","Бакалея","Напитки"),CHOOSE(MOD(A108-1,4)+1,"Мягкая мебель","Корпусная","Офисная","Кухонная"))</f>
        <v>Бакалея</v>
      </c>
      <c r="K108" s="12" t="n">
        <f aca="false">1000+MOD(A108*317+A108*A108*7,49001)</f>
        <v>17060</v>
      </c>
      <c r="L108" s="12" t="n">
        <f aca="false">1+MOD(A108*131,100)</f>
        <v>18</v>
      </c>
      <c r="M108" s="12" t="n">
        <f aca="false">INT(K108*(0.6+MOD(A108*43,21)/100))</f>
        <v>10577</v>
      </c>
      <c r="N108" s="12" t="n">
        <f aca="false">K108-M108</f>
        <v>6483</v>
      </c>
    </row>
    <row r="109" customFormat="false" ht="12.8" hidden="false" customHeight="false" outlineLevel="0" collapsed="false">
      <c r="A109" s="10" t="n">
        <f aca="false">A108+1</f>
        <v>108</v>
      </c>
      <c r="B109" s="11" t="n">
        <f aca="false">B108+1</f>
        <v>45034</v>
      </c>
      <c r="C109" s="10" t="n">
        <f aca="false">YEAR(B109)</f>
        <v>2023</v>
      </c>
      <c r="D109" s="10" t="n">
        <f aca="false">INT((MONTH(B109)-1)/3)+1</f>
        <v>2</v>
      </c>
      <c r="E109" s="10" t="n">
        <f aca="false">MONTH(B109)</f>
        <v>4</v>
      </c>
      <c r="F109" s="10" t="str">
        <f aca="false">CHOOSE(MOD(A109-1,5)+1,"Центр","Юг","Север","Запад","Восток")</f>
        <v>Север</v>
      </c>
      <c r="G109" s="10" t="str">
        <f aca="false">"Округ_"&amp;(MOD(A109-1,5)+1)&amp;"_"&amp;(MOD(INT((A109-1)/5),5)+1)</f>
        <v>Округ_3_2</v>
      </c>
      <c r="H109" s="10" t="str">
        <f aca="false">"Город_"&amp;(MOD(A109-1,5)+1)&amp;"_"&amp;(MOD(INT((A109-1)/5),5)+1)&amp;"_"&amp;(MOD(INT((A109-1)/25),10)+1)</f>
        <v>Город_3_2_5</v>
      </c>
      <c r="I109" s="10" t="str">
        <f aca="false">CHOOSE(MOD(A109-1,4)+1,"Электроника","Одежда","Продукты","Мебель")</f>
        <v>Мебель</v>
      </c>
      <c r="J109" s="10" t="str">
        <f aca="false">CHOOSE(MOD(INT((A109-1)/4),4)+1,CHOOSE(MOD(A109-1,4)+1,"Смартфоны","Ноутбуки","Аксессуары","Аудио"),CHOOSE(MOD(A109-1,4)+1,"Верхняя одежда","Спортивная","Повседневная","Обувь"),CHOOSE(MOD(A109-1,4)+1,"Молочные","Мясные","Бакалея","Напитки"),CHOOSE(MOD(A109-1,4)+1,"Мягкая мебель","Корпусная","Офисная","Кухонная"))</f>
        <v>Напитки</v>
      </c>
      <c r="K109" s="12" t="n">
        <f aca="false">1000+MOD(A109*317+A109*A109*7,49001)</f>
        <v>18882</v>
      </c>
      <c r="L109" s="12" t="n">
        <f aca="false">1+MOD(A109*131,100)</f>
        <v>49</v>
      </c>
      <c r="M109" s="12" t="n">
        <f aca="false">INT(K109*(0.6+MOD(A109*43,21)/100))</f>
        <v>11895</v>
      </c>
      <c r="N109" s="12" t="n">
        <f aca="false">K109-M109</f>
        <v>6987</v>
      </c>
    </row>
    <row r="110" customFormat="false" ht="12.8" hidden="false" customHeight="false" outlineLevel="0" collapsed="false">
      <c r="A110" s="10" t="n">
        <f aca="false">A109+1</f>
        <v>109</v>
      </c>
      <c r="B110" s="11" t="n">
        <f aca="false">B109+1</f>
        <v>45035</v>
      </c>
      <c r="C110" s="10" t="n">
        <f aca="false">YEAR(B110)</f>
        <v>2023</v>
      </c>
      <c r="D110" s="10" t="n">
        <f aca="false">INT((MONTH(B110)-1)/3)+1</f>
        <v>2</v>
      </c>
      <c r="E110" s="10" t="n">
        <f aca="false">MONTH(B110)</f>
        <v>4</v>
      </c>
      <c r="F110" s="10" t="str">
        <f aca="false">CHOOSE(MOD(A110-1,5)+1,"Центр","Юг","Север","Запад","Восток")</f>
        <v>Запад</v>
      </c>
      <c r="G110" s="10" t="str">
        <f aca="false">"Округ_"&amp;(MOD(A110-1,5)+1)&amp;"_"&amp;(MOD(INT((A110-1)/5),5)+1)</f>
        <v>Округ_4_2</v>
      </c>
      <c r="H110" s="10" t="str">
        <f aca="false">"Город_"&amp;(MOD(A110-1,5)+1)&amp;"_"&amp;(MOD(INT((A110-1)/5),5)+1)&amp;"_"&amp;(MOD(INT((A110-1)/25),10)+1)</f>
        <v>Город_4_2_5</v>
      </c>
      <c r="I110" s="10" t="str">
        <f aca="false">CHOOSE(MOD(A110-1,4)+1,"Электроника","Одежда","Продукты","Мебель")</f>
        <v>Электроника</v>
      </c>
      <c r="J110" s="10" t="str">
        <f aca="false">CHOOSE(MOD(INT((A110-1)/4),4)+1,CHOOSE(MOD(A110-1,4)+1,"Смартфоны","Ноутбуки","Аксессуары","Аудио"),CHOOSE(MOD(A110-1,4)+1,"Верхняя одежда","Спортивная","Повседневная","Обувь"),CHOOSE(MOD(A110-1,4)+1,"Молочные","Мясные","Бакалея","Напитки"),CHOOSE(MOD(A110-1,4)+1,"Мягкая мебель","Корпусная","Офисная","Кухонная"))</f>
        <v>Мягкая мебель</v>
      </c>
      <c r="K110" s="12" t="n">
        <f aca="false">1000+MOD(A110*317+A110*A110*7,49001)</f>
        <v>20718</v>
      </c>
      <c r="L110" s="12" t="n">
        <f aca="false">1+MOD(A110*131,100)</f>
        <v>80</v>
      </c>
      <c r="M110" s="12" t="n">
        <f aca="false">INT(K110*(0.6+MOD(A110*43,21)/100))</f>
        <v>13259</v>
      </c>
      <c r="N110" s="12" t="n">
        <f aca="false">K110-M110</f>
        <v>7459</v>
      </c>
    </row>
    <row r="111" customFormat="false" ht="12.8" hidden="false" customHeight="false" outlineLevel="0" collapsed="false">
      <c r="A111" s="10" t="n">
        <f aca="false">A110+1</f>
        <v>110</v>
      </c>
      <c r="B111" s="11" t="n">
        <f aca="false">B110+1</f>
        <v>45036</v>
      </c>
      <c r="C111" s="10" t="n">
        <f aca="false">YEAR(B111)</f>
        <v>2023</v>
      </c>
      <c r="D111" s="10" t="n">
        <f aca="false">INT((MONTH(B111)-1)/3)+1</f>
        <v>2</v>
      </c>
      <c r="E111" s="10" t="n">
        <f aca="false">MONTH(B111)</f>
        <v>4</v>
      </c>
      <c r="F111" s="10" t="str">
        <f aca="false">CHOOSE(MOD(A111-1,5)+1,"Центр","Юг","Север","Запад","Восток")</f>
        <v>Восток</v>
      </c>
      <c r="G111" s="10" t="str">
        <f aca="false">"Округ_"&amp;(MOD(A111-1,5)+1)&amp;"_"&amp;(MOD(INT((A111-1)/5),5)+1)</f>
        <v>Округ_5_2</v>
      </c>
      <c r="H111" s="10" t="str">
        <f aca="false">"Город_"&amp;(MOD(A111-1,5)+1)&amp;"_"&amp;(MOD(INT((A111-1)/5),5)+1)&amp;"_"&amp;(MOD(INT((A111-1)/25),10)+1)</f>
        <v>Город_5_2_5</v>
      </c>
      <c r="I111" s="10" t="str">
        <f aca="false">CHOOSE(MOD(A111-1,4)+1,"Электроника","Одежда","Продукты","Мебель")</f>
        <v>Одежда</v>
      </c>
      <c r="J111" s="10" t="str">
        <f aca="false">CHOOSE(MOD(INT((A111-1)/4),4)+1,CHOOSE(MOD(A111-1,4)+1,"Смартфоны","Ноутбуки","Аксессуары","Аудио"),CHOOSE(MOD(A111-1,4)+1,"Верхняя одежда","Спортивная","Повседневная","Обувь"),CHOOSE(MOD(A111-1,4)+1,"Молочные","Мясные","Бакалея","Напитки"),CHOOSE(MOD(A111-1,4)+1,"Мягкая мебель","Корпусная","Офисная","Кухонная"))</f>
        <v>Корпусная</v>
      </c>
      <c r="K111" s="12" t="n">
        <f aca="false">1000+MOD(A111*317+A111*A111*7,49001)</f>
        <v>22568</v>
      </c>
      <c r="L111" s="12" t="n">
        <f aca="false">1+MOD(A111*131,100)</f>
        <v>11</v>
      </c>
      <c r="M111" s="12" t="n">
        <f aca="false">INT(K111*(0.6+MOD(A111*43,21)/100))</f>
        <v>14669</v>
      </c>
      <c r="N111" s="12" t="n">
        <f aca="false">K111-M111</f>
        <v>7899</v>
      </c>
    </row>
    <row r="112" customFormat="false" ht="12.8" hidden="false" customHeight="false" outlineLevel="0" collapsed="false">
      <c r="A112" s="10" t="n">
        <f aca="false">A111+1</f>
        <v>111</v>
      </c>
      <c r="B112" s="11" t="n">
        <f aca="false">B111+1</f>
        <v>45037</v>
      </c>
      <c r="C112" s="10" t="n">
        <f aca="false">YEAR(B112)</f>
        <v>2023</v>
      </c>
      <c r="D112" s="10" t="n">
        <f aca="false">INT((MONTH(B112)-1)/3)+1</f>
        <v>2</v>
      </c>
      <c r="E112" s="10" t="n">
        <f aca="false">MONTH(B112)</f>
        <v>4</v>
      </c>
      <c r="F112" s="10" t="str">
        <f aca="false">CHOOSE(MOD(A112-1,5)+1,"Центр","Юг","Север","Запад","Восток")</f>
        <v>Центр</v>
      </c>
      <c r="G112" s="10" t="str">
        <f aca="false">"Округ_"&amp;(MOD(A112-1,5)+1)&amp;"_"&amp;(MOD(INT((A112-1)/5),5)+1)</f>
        <v>Округ_1_3</v>
      </c>
      <c r="H112" s="10" t="str">
        <f aca="false">"Город_"&amp;(MOD(A112-1,5)+1)&amp;"_"&amp;(MOD(INT((A112-1)/5),5)+1)&amp;"_"&amp;(MOD(INT((A112-1)/25),10)+1)</f>
        <v>Город_1_3_5</v>
      </c>
      <c r="I112" s="10" t="str">
        <f aca="false">CHOOSE(MOD(A112-1,4)+1,"Электроника","Одежда","Продукты","Мебель")</f>
        <v>Продукты</v>
      </c>
      <c r="J112" s="10" t="str">
        <f aca="false">CHOOSE(MOD(INT((A112-1)/4),4)+1,CHOOSE(MOD(A112-1,4)+1,"Смартфоны","Ноутбуки","Аксессуары","Аудио"),CHOOSE(MOD(A112-1,4)+1,"Верхняя одежда","Спортивная","Повседневная","Обувь"),CHOOSE(MOD(A112-1,4)+1,"Молочные","Мясные","Бакалея","Напитки"),CHOOSE(MOD(A112-1,4)+1,"Мягкая мебель","Корпусная","Офисная","Кухонная"))</f>
        <v>Офисная</v>
      </c>
      <c r="K112" s="12" t="n">
        <f aca="false">1000+MOD(A112*317+A112*A112*7,49001)</f>
        <v>24432</v>
      </c>
      <c r="L112" s="12" t="n">
        <f aca="false">1+MOD(A112*131,100)</f>
        <v>42</v>
      </c>
      <c r="M112" s="12" t="n">
        <f aca="false">INT(K112*(0.6+MOD(A112*43,21)/100))</f>
        <v>16125</v>
      </c>
      <c r="N112" s="12" t="n">
        <f aca="false">K112-M112</f>
        <v>8307</v>
      </c>
    </row>
    <row r="113" customFormat="false" ht="12.8" hidden="false" customHeight="false" outlineLevel="0" collapsed="false">
      <c r="A113" s="10" t="n">
        <f aca="false">A112+1</f>
        <v>112</v>
      </c>
      <c r="B113" s="11" t="n">
        <f aca="false">B112+1</f>
        <v>45038</v>
      </c>
      <c r="C113" s="10" t="n">
        <f aca="false">YEAR(B113)</f>
        <v>2023</v>
      </c>
      <c r="D113" s="10" t="n">
        <f aca="false">INT((MONTH(B113)-1)/3)+1</f>
        <v>2</v>
      </c>
      <c r="E113" s="10" t="n">
        <f aca="false">MONTH(B113)</f>
        <v>4</v>
      </c>
      <c r="F113" s="10" t="str">
        <f aca="false">CHOOSE(MOD(A113-1,5)+1,"Центр","Юг","Север","Запад","Восток")</f>
        <v>Юг</v>
      </c>
      <c r="G113" s="10" t="str">
        <f aca="false">"Округ_"&amp;(MOD(A113-1,5)+1)&amp;"_"&amp;(MOD(INT((A113-1)/5),5)+1)</f>
        <v>Округ_2_3</v>
      </c>
      <c r="H113" s="10" t="str">
        <f aca="false">"Город_"&amp;(MOD(A113-1,5)+1)&amp;"_"&amp;(MOD(INT((A113-1)/5),5)+1)&amp;"_"&amp;(MOD(INT((A113-1)/25),10)+1)</f>
        <v>Город_2_3_5</v>
      </c>
      <c r="I113" s="10" t="str">
        <f aca="false">CHOOSE(MOD(A113-1,4)+1,"Электроника","Одежда","Продукты","Мебель")</f>
        <v>Мебель</v>
      </c>
      <c r="J113" s="10" t="str">
        <f aca="false">CHOOSE(MOD(INT((A113-1)/4),4)+1,CHOOSE(MOD(A113-1,4)+1,"Смартфоны","Ноутбуки","Аксессуары","Аудио"),CHOOSE(MOD(A113-1,4)+1,"Верхняя одежда","Спортивная","Повседневная","Обувь"),CHOOSE(MOD(A113-1,4)+1,"Молочные","Мясные","Бакалея","Напитки"),CHOOSE(MOD(A113-1,4)+1,"Мягкая мебель","Корпусная","Офисная","Кухонная"))</f>
        <v>Кухонная</v>
      </c>
      <c r="K113" s="12" t="n">
        <f aca="false">1000+MOD(A113*317+A113*A113*7,49001)</f>
        <v>26310</v>
      </c>
      <c r="L113" s="12" t="n">
        <f aca="false">1+MOD(A113*131,100)</f>
        <v>73</v>
      </c>
      <c r="M113" s="12" t="n">
        <f aca="false">INT(K113*(0.6+MOD(A113*43,21)/100))</f>
        <v>17627</v>
      </c>
      <c r="N113" s="12" t="n">
        <f aca="false">K113-M113</f>
        <v>8683</v>
      </c>
    </row>
    <row r="114" customFormat="false" ht="12.8" hidden="false" customHeight="false" outlineLevel="0" collapsed="false">
      <c r="A114" s="10" t="n">
        <f aca="false">A113+1</f>
        <v>113</v>
      </c>
      <c r="B114" s="11" t="n">
        <f aca="false">B113+1</f>
        <v>45039</v>
      </c>
      <c r="C114" s="10" t="n">
        <f aca="false">YEAR(B114)</f>
        <v>2023</v>
      </c>
      <c r="D114" s="10" t="n">
        <f aca="false">INT((MONTH(B114)-1)/3)+1</f>
        <v>2</v>
      </c>
      <c r="E114" s="10" t="n">
        <f aca="false">MONTH(B114)</f>
        <v>4</v>
      </c>
      <c r="F114" s="10" t="str">
        <f aca="false">CHOOSE(MOD(A114-1,5)+1,"Центр","Юг","Север","Запад","Восток")</f>
        <v>Север</v>
      </c>
      <c r="G114" s="10" t="str">
        <f aca="false">"Округ_"&amp;(MOD(A114-1,5)+1)&amp;"_"&amp;(MOD(INT((A114-1)/5),5)+1)</f>
        <v>Округ_3_3</v>
      </c>
      <c r="H114" s="10" t="str">
        <f aca="false">"Город_"&amp;(MOD(A114-1,5)+1)&amp;"_"&amp;(MOD(INT((A114-1)/5),5)+1)&amp;"_"&amp;(MOD(INT((A114-1)/25),10)+1)</f>
        <v>Город_3_3_5</v>
      </c>
      <c r="I114" s="10" t="str">
        <f aca="false">CHOOSE(MOD(A114-1,4)+1,"Электроника","Одежда","Продукты","Мебель")</f>
        <v>Электроника</v>
      </c>
      <c r="J114" s="10" t="str">
        <f aca="false">CHOOSE(MOD(INT((A114-1)/4),4)+1,CHOOSE(MOD(A114-1,4)+1,"Смартфоны","Ноутбуки","Аксессуары","Аудио"),CHOOSE(MOD(A114-1,4)+1,"Верхняя одежда","Спортивная","Повседневная","Обувь"),CHOOSE(MOD(A114-1,4)+1,"Молочные","Мясные","Бакалея","Напитки"),CHOOSE(MOD(A114-1,4)+1,"Мягкая мебель","Корпусная","Офисная","Кухонная"))</f>
        <v>Смартфоны</v>
      </c>
      <c r="K114" s="12" t="n">
        <f aca="false">1000+MOD(A114*317+A114*A114*7,49001)</f>
        <v>28202</v>
      </c>
      <c r="L114" s="12" t="n">
        <f aca="false">1+MOD(A114*131,100)</f>
        <v>4</v>
      </c>
      <c r="M114" s="12" t="n">
        <f aca="false">INT(K114*(0.6+MOD(A114*43,21)/100))</f>
        <v>19177</v>
      </c>
      <c r="N114" s="12" t="n">
        <f aca="false">K114-M114</f>
        <v>9025</v>
      </c>
    </row>
    <row r="115" customFormat="false" ht="12.8" hidden="false" customHeight="false" outlineLevel="0" collapsed="false">
      <c r="A115" s="10" t="n">
        <f aca="false">A114+1</f>
        <v>114</v>
      </c>
      <c r="B115" s="11" t="n">
        <f aca="false">B114+1</f>
        <v>45040</v>
      </c>
      <c r="C115" s="10" t="n">
        <f aca="false">YEAR(B115)</f>
        <v>2023</v>
      </c>
      <c r="D115" s="10" t="n">
        <f aca="false">INT((MONTH(B115)-1)/3)+1</f>
        <v>2</v>
      </c>
      <c r="E115" s="10" t="n">
        <f aca="false">MONTH(B115)</f>
        <v>4</v>
      </c>
      <c r="F115" s="10" t="str">
        <f aca="false">CHOOSE(MOD(A115-1,5)+1,"Центр","Юг","Север","Запад","Восток")</f>
        <v>Запад</v>
      </c>
      <c r="G115" s="10" t="str">
        <f aca="false">"Округ_"&amp;(MOD(A115-1,5)+1)&amp;"_"&amp;(MOD(INT((A115-1)/5),5)+1)</f>
        <v>Округ_4_3</v>
      </c>
      <c r="H115" s="10" t="str">
        <f aca="false">"Город_"&amp;(MOD(A115-1,5)+1)&amp;"_"&amp;(MOD(INT((A115-1)/5),5)+1)&amp;"_"&amp;(MOD(INT((A115-1)/25),10)+1)</f>
        <v>Город_4_3_5</v>
      </c>
      <c r="I115" s="10" t="str">
        <f aca="false">CHOOSE(MOD(A115-1,4)+1,"Электроника","Одежда","Продукты","Мебель")</f>
        <v>Одежда</v>
      </c>
      <c r="J115" s="10" t="str">
        <f aca="false">CHOOSE(MOD(INT((A115-1)/4),4)+1,CHOOSE(MOD(A115-1,4)+1,"Смартфоны","Ноутбуки","Аксессуары","Аудио"),CHOOSE(MOD(A115-1,4)+1,"Верхняя одежда","Спортивная","Повседневная","Обувь"),CHOOSE(MOD(A115-1,4)+1,"Молочные","Мясные","Бакалея","Напитки"),CHOOSE(MOD(A115-1,4)+1,"Мягкая мебель","Корпусная","Офисная","Кухонная"))</f>
        <v>Ноутбуки</v>
      </c>
      <c r="K115" s="12" t="n">
        <f aca="false">1000+MOD(A115*317+A115*A115*7,49001)</f>
        <v>30108</v>
      </c>
      <c r="L115" s="12" t="n">
        <f aca="false">1+MOD(A115*131,100)</f>
        <v>35</v>
      </c>
      <c r="M115" s="12" t="n">
        <f aca="false">INT(K115*(0.6+MOD(A115*43,21)/100))</f>
        <v>20774</v>
      </c>
      <c r="N115" s="12" t="n">
        <f aca="false">K115-M115</f>
        <v>9334</v>
      </c>
    </row>
    <row r="116" customFormat="false" ht="12.8" hidden="false" customHeight="false" outlineLevel="0" collapsed="false">
      <c r="A116" s="10" t="n">
        <f aca="false">A115+1</f>
        <v>115</v>
      </c>
      <c r="B116" s="11" t="n">
        <f aca="false">B115+1</f>
        <v>45041</v>
      </c>
      <c r="C116" s="10" t="n">
        <f aca="false">YEAR(B116)</f>
        <v>2023</v>
      </c>
      <c r="D116" s="10" t="n">
        <f aca="false">INT((MONTH(B116)-1)/3)+1</f>
        <v>2</v>
      </c>
      <c r="E116" s="10" t="n">
        <f aca="false">MONTH(B116)</f>
        <v>4</v>
      </c>
      <c r="F116" s="10" t="str">
        <f aca="false">CHOOSE(MOD(A116-1,5)+1,"Центр","Юг","Север","Запад","Восток")</f>
        <v>Восток</v>
      </c>
      <c r="G116" s="10" t="str">
        <f aca="false">"Округ_"&amp;(MOD(A116-1,5)+1)&amp;"_"&amp;(MOD(INT((A116-1)/5),5)+1)</f>
        <v>Округ_5_3</v>
      </c>
      <c r="H116" s="10" t="str">
        <f aca="false">"Город_"&amp;(MOD(A116-1,5)+1)&amp;"_"&amp;(MOD(INT((A116-1)/5),5)+1)&amp;"_"&amp;(MOD(INT((A116-1)/25),10)+1)</f>
        <v>Город_5_3_5</v>
      </c>
      <c r="I116" s="10" t="str">
        <f aca="false">CHOOSE(MOD(A116-1,4)+1,"Электроника","Одежда","Продукты","Мебель")</f>
        <v>Продукты</v>
      </c>
      <c r="J116" s="10" t="str">
        <f aca="false">CHOOSE(MOD(INT((A116-1)/4),4)+1,CHOOSE(MOD(A116-1,4)+1,"Смартфоны","Ноутбуки","Аксессуары","Аудио"),CHOOSE(MOD(A116-1,4)+1,"Верхняя одежда","Спортивная","Повседневная","Обувь"),CHOOSE(MOD(A116-1,4)+1,"Молочные","Мясные","Бакалея","Напитки"),CHOOSE(MOD(A116-1,4)+1,"Мягкая мебель","Корпусная","Офисная","Кухонная"))</f>
        <v>Аксессуары</v>
      </c>
      <c r="K116" s="12" t="n">
        <f aca="false">1000+MOD(A116*317+A116*A116*7,49001)</f>
        <v>32028</v>
      </c>
      <c r="L116" s="12" t="n">
        <f aca="false">1+MOD(A116*131,100)</f>
        <v>66</v>
      </c>
      <c r="M116" s="12" t="n">
        <f aca="false">INT(K116*(0.6+MOD(A116*43,21)/100))</f>
        <v>22419</v>
      </c>
      <c r="N116" s="12" t="n">
        <f aca="false">K116-M116</f>
        <v>9609</v>
      </c>
    </row>
    <row r="117" customFormat="false" ht="12.8" hidden="false" customHeight="false" outlineLevel="0" collapsed="false">
      <c r="A117" s="10" t="n">
        <f aca="false">A116+1</f>
        <v>116</v>
      </c>
      <c r="B117" s="11" t="n">
        <f aca="false">B116+1</f>
        <v>45042</v>
      </c>
      <c r="C117" s="10" t="n">
        <f aca="false">YEAR(B117)</f>
        <v>2023</v>
      </c>
      <c r="D117" s="10" t="n">
        <f aca="false">INT((MONTH(B117)-1)/3)+1</f>
        <v>2</v>
      </c>
      <c r="E117" s="10" t="n">
        <f aca="false">MONTH(B117)</f>
        <v>4</v>
      </c>
      <c r="F117" s="10" t="str">
        <f aca="false">CHOOSE(MOD(A117-1,5)+1,"Центр","Юг","Север","Запад","Восток")</f>
        <v>Центр</v>
      </c>
      <c r="G117" s="10" t="str">
        <f aca="false">"Округ_"&amp;(MOD(A117-1,5)+1)&amp;"_"&amp;(MOD(INT((A117-1)/5),5)+1)</f>
        <v>Округ_1_4</v>
      </c>
      <c r="H117" s="10" t="str">
        <f aca="false">"Город_"&amp;(MOD(A117-1,5)+1)&amp;"_"&amp;(MOD(INT((A117-1)/5),5)+1)&amp;"_"&amp;(MOD(INT((A117-1)/25),10)+1)</f>
        <v>Город_1_4_5</v>
      </c>
      <c r="I117" s="10" t="str">
        <f aca="false">CHOOSE(MOD(A117-1,4)+1,"Электроника","Одежда","Продукты","Мебель")</f>
        <v>Мебель</v>
      </c>
      <c r="J117" s="10" t="str">
        <f aca="false">CHOOSE(MOD(INT((A117-1)/4),4)+1,CHOOSE(MOD(A117-1,4)+1,"Смартфоны","Ноутбуки","Аксессуары","Аудио"),CHOOSE(MOD(A117-1,4)+1,"Верхняя одежда","Спортивная","Повседневная","Обувь"),CHOOSE(MOD(A117-1,4)+1,"Молочные","Мясные","Бакалея","Напитки"),CHOOSE(MOD(A117-1,4)+1,"Мягкая мебель","Корпусная","Офисная","Кухонная"))</f>
        <v>Аудио</v>
      </c>
      <c r="K117" s="12" t="n">
        <f aca="false">1000+MOD(A117*317+A117*A117*7,49001)</f>
        <v>33962</v>
      </c>
      <c r="L117" s="12" t="n">
        <f aca="false">1+MOD(A117*131,100)</f>
        <v>97</v>
      </c>
      <c r="M117" s="12" t="n">
        <f aca="false">INT(K117*(0.6+MOD(A117*43,21)/100))</f>
        <v>24113</v>
      </c>
      <c r="N117" s="12" t="n">
        <f aca="false">K117-M117</f>
        <v>9849</v>
      </c>
    </row>
    <row r="118" customFormat="false" ht="12.8" hidden="false" customHeight="false" outlineLevel="0" collapsed="false">
      <c r="A118" s="10" t="n">
        <f aca="false">A117+1</f>
        <v>117</v>
      </c>
      <c r="B118" s="11" t="n">
        <f aca="false">B117+1</f>
        <v>45043</v>
      </c>
      <c r="C118" s="10" t="n">
        <f aca="false">YEAR(B118)</f>
        <v>2023</v>
      </c>
      <c r="D118" s="10" t="n">
        <f aca="false">INT((MONTH(B118)-1)/3)+1</f>
        <v>2</v>
      </c>
      <c r="E118" s="10" t="n">
        <f aca="false">MONTH(B118)</f>
        <v>4</v>
      </c>
      <c r="F118" s="10" t="str">
        <f aca="false">CHOOSE(MOD(A118-1,5)+1,"Центр","Юг","Север","Запад","Восток")</f>
        <v>Юг</v>
      </c>
      <c r="G118" s="10" t="str">
        <f aca="false">"Округ_"&amp;(MOD(A118-1,5)+1)&amp;"_"&amp;(MOD(INT((A118-1)/5),5)+1)</f>
        <v>Округ_2_4</v>
      </c>
      <c r="H118" s="10" t="str">
        <f aca="false">"Город_"&amp;(MOD(A118-1,5)+1)&amp;"_"&amp;(MOD(INT((A118-1)/5),5)+1)&amp;"_"&amp;(MOD(INT((A118-1)/25),10)+1)</f>
        <v>Город_2_4_5</v>
      </c>
      <c r="I118" s="10" t="str">
        <f aca="false">CHOOSE(MOD(A118-1,4)+1,"Электроника","Одежда","Продукты","Мебель")</f>
        <v>Электроника</v>
      </c>
      <c r="J118" s="10" t="str">
        <f aca="false">CHOOSE(MOD(INT((A118-1)/4),4)+1,CHOOSE(MOD(A118-1,4)+1,"Смартфоны","Ноутбуки","Аксессуары","Аудио"),CHOOSE(MOD(A118-1,4)+1,"Верхняя одежда","Спортивная","Повседневная","Обувь"),CHOOSE(MOD(A118-1,4)+1,"Молочные","Мясные","Бакалея","Напитки"),CHOOSE(MOD(A118-1,4)+1,"Мягкая мебель","Корпусная","Офисная","Кухонная"))</f>
        <v>Верхняя одежда</v>
      </c>
      <c r="K118" s="12" t="n">
        <f aca="false">1000+MOD(A118*317+A118*A118*7,49001)</f>
        <v>35910</v>
      </c>
      <c r="L118" s="12" t="n">
        <f aca="false">1+MOD(A118*131,100)</f>
        <v>28</v>
      </c>
      <c r="M118" s="12" t="n">
        <f aca="false">INT(K118*(0.6+MOD(A118*43,21)/100))</f>
        <v>25855</v>
      </c>
      <c r="N118" s="12" t="n">
        <f aca="false">K118-M118</f>
        <v>10055</v>
      </c>
    </row>
    <row r="119" customFormat="false" ht="12.8" hidden="false" customHeight="false" outlineLevel="0" collapsed="false">
      <c r="A119" s="10" t="n">
        <f aca="false">A118+1</f>
        <v>118</v>
      </c>
      <c r="B119" s="11" t="n">
        <f aca="false">B118+1</f>
        <v>45044</v>
      </c>
      <c r="C119" s="10" t="n">
        <f aca="false">YEAR(B119)</f>
        <v>2023</v>
      </c>
      <c r="D119" s="10" t="n">
        <f aca="false">INT((MONTH(B119)-1)/3)+1</f>
        <v>2</v>
      </c>
      <c r="E119" s="10" t="n">
        <f aca="false">MONTH(B119)</f>
        <v>4</v>
      </c>
      <c r="F119" s="10" t="str">
        <f aca="false">CHOOSE(MOD(A119-1,5)+1,"Центр","Юг","Север","Запад","Восток")</f>
        <v>Север</v>
      </c>
      <c r="G119" s="10" t="str">
        <f aca="false">"Округ_"&amp;(MOD(A119-1,5)+1)&amp;"_"&amp;(MOD(INT((A119-1)/5),5)+1)</f>
        <v>Округ_3_4</v>
      </c>
      <c r="H119" s="10" t="str">
        <f aca="false">"Город_"&amp;(MOD(A119-1,5)+1)&amp;"_"&amp;(MOD(INT((A119-1)/5),5)+1)&amp;"_"&amp;(MOD(INT((A119-1)/25),10)+1)</f>
        <v>Город_3_4_5</v>
      </c>
      <c r="I119" s="10" t="str">
        <f aca="false">CHOOSE(MOD(A119-1,4)+1,"Электроника","Одежда","Продукты","Мебель")</f>
        <v>Одежда</v>
      </c>
      <c r="J119" s="10" t="str">
        <f aca="false">CHOOSE(MOD(INT((A119-1)/4),4)+1,CHOOSE(MOD(A119-1,4)+1,"Смартфоны","Ноутбуки","Аксессуары","Аудио"),CHOOSE(MOD(A119-1,4)+1,"Верхняя одежда","Спортивная","Повседневная","Обувь"),CHOOSE(MOD(A119-1,4)+1,"Молочные","Мясные","Бакалея","Напитки"),CHOOSE(MOD(A119-1,4)+1,"Мягкая мебель","Корпусная","Офисная","Кухонная"))</f>
        <v>Спортивная</v>
      </c>
      <c r="K119" s="12" t="n">
        <f aca="false">1000+MOD(A119*317+A119*A119*7,49001)</f>
        <v>37872</v>
      </c>
      <c r="L119" s="12" t="n">
        <f aca="false">1+MOD(A119*131,100)</f>
        <v>59</v>
      </c>
      <c r="M119" s="12" t="n">
        <f aca="false">INT(K119*(0.6+MOD(A119*43,21)/100))</f>
        <v>27646</v>
      </c>
      <c r="N119" s="12" t="n">
        <f aca="false">K119-M119</f>
        <v>10226</v>
      </c>
    </row>
    <row r="120" customFormat="false" ht="12.8" hidden="false" customHeight="false" outlineLevel="0" collapsed="false">
      <c r="A120" s="10" t="n">
        <f aca="false">A119+1</f>
        <v>119</v>
      </c>
      <c r="B120" s="11" t="n">
        <f aca="false">B119+1</f>
        <v>45045</v>
      </c>
      <c r="C120" s="10" t="n">
        <f aca="false">YEAR(B120)</f>
        <v>2023</v>
      </c>
      <c r="D120" s="10" t="n">
        <f aca="false">INT((MONTH(B120)-1)/3)+1</f>
        <v>2</v>
      </c>
      <c r="E120" s="10" t="n">
        <f aca="false">MONTH(B120)</f>
        <v>4</v>
      </c>
      <c r="F120" s="10" t="str">
        <f aca="false">CHOOSE(MOD(A120-1,5)+1,"Центр","Юг","Север","Запад","Восток")</f>
        <v>Запад</v>
      </c>
      <c r="G120" s="10" t="str">
        <f aca="false">"Округ_"&amp;(MOD(A120-1,5)+1)&amp;"_"&amp;(MOD(INT((A120-1)/5),5)+1)</f>
        <v>Округ_4_4</v>
      </c>
      <c r="H120" s="10" t="str">
        <f aca="false">"Город_"&amp;(MOD(A120-1,5)+1)&amp;"_"&amp;(MOD(INT((A120-1)/5),5)+1)&amp;"_"&amp;(MOD(INT((A120-1)/25),10)+1)</f>
        <v>Город_4_4_5</v>
      </c>
      <c r="I120" s="10" t="str">
        <f aca="false">CHOOSE(MOD(A120-1,4)+1,"Электроника","Одежда","Продукты","Мебель")</f>
        <v>Продукты</v>
      </c>
      <c r="J120" s="10" t="str">
        <f aca="false">CHOOSE(MOD(INT((A120-1)/4),4)+1,CHOOSE(MOD(A120-1,4)+1,"Смартфоны","Ноутбуки","Аксессуары","Аудио"),CHOOSE(MOD(A120-1,4)+1,"Верхняя одежда","Спортивная","Повседневная","Обувь"),CHOOSE(MOD(A120-1,4)+1,"Молочные","Мясные","Бакалея","Напитки"),CHOOSE(MOD(A120-1,4)+1,"Мягкая мебель","Корпусная","Офисная","Кухонная"))</f>
        <v>Повседневная</v>
      </c>
      <c r="K120" s="12" t="n">
        <f aca="false">1000+MOD(A120*317+A120*A120*7,49001)</f>
        <v>39848</v>
      </c>
      <c r="L120" s="12" t="n">
        <f aca="false">1+MOD(A120*131,100)</f>
        <v>90</v>
      </c>
      <c r="M120" s="12" t="n">
        <f aca="false">INT(K120*(0.6+MOD(A120*43,21)/100))</f>
        <v>29487</v>
      </c>
      <c r="N120" s="12" t="n">
        <f aca="false">K120-M120</f>
        <v>10361</v>
      </c>
    </row>
    <row r="121" customFormat="false" ht="12.8" hidden="false" customHeight="false" outlineLevel="0" collapsed="false">
      <c r="A121" s="10" t="n">
        <f aca="false">A120+1</f>
        <v>120</v>
      </c>
      <c r="B121" s="11" t="n">
        <f aca="false">B120+1</f>
        <v>45046</v>
      </c>
      <c r="C121" s="10" t="n">
        <f aca="false">YEAR(B121)</f>
        <v>2023</v>
      </c>
      <c r="D121" s="10" t="n">
        <f aca="false">INT((MONTH(B121)-1)/3)+1</f>
        <v>2</v>
      </c>
      <c r="E121" s="10" t="n">
        <f aca="false">MONTH(B121)</f>
        <v>4</v>
      </c>
      <c r="F121" s="10" t="str">
        <f aca="false">CHOOSE(MOD(A121-1,5)+1,"Центр","Юг","Север","Запад","Восток")</f>
        <v>Восток</v>
      </c>
      <c r="G121" s="10" t="str">
        <f aca="false">"Округ_"&amp;(MOD(A121-1,5)+1)&amp;"_"&amp;(MOD(INT((A121-1)/5),5)+1)</f>
        <v>Округ_5_4</v>
      </c>
      <c r="H121" s="10" t="str">
        <f aca="false">"Город_"&amp;(MOD(A121-1,5)+1)&amp;"_"&amp;(MOD(INT((A121-1)/5),5)+1)&amp;"_"&amp;(MOD(INT((A121-1)/25),10)+1)</f>
        <v>Город_5_4_5</v>
      </c>
      <c r="I121" s="10" t="str">
        <f aca="false">CHOOSE(MOD(A121-1,4)+1,"Электроника","Одежда","Продукты","Мебель")</f>
        <v>Мебель</v>
      </c>
      <c r="J121" s="10" t="str">
        <f aca="false">CHOOSE(MOD(INT((A121-1)/4),4)+1,CHOOSE(MOD(A121-1,4)+1,"Смартфоны","Ноутбуки","Аксессуары","Аудио"),CHOOSE(MOD(A121-1,4)+1,"Верхняя одежда","Спортивная","Повседневная","Обувь"),CHOOSE(MOD(A121-1,4)+1,"Молочные","Мясные","Бакалея","Напитки"),CHOOSE(MOD(A121-1,4)+1,"Мягкая мебель","Корпусная","Офисная","Кухонная"))</f>
        <v>Обувь</v>
      </c>
      <c r="K121" s="12" t="n">
        <f aca="false">1000+MOD(A121*317+A121*A121*7,49001)</f>
        <v>41838</v>
      </c>
      <c r="L121" s="12" t="n">
        <f aca="false">1+MOD(A121*131,100)</f>
        <v>21</v>
      </c>
      <c r="M121" s="12" t="n">
        <f aca="false">INT(K121*(0.6+MOD(A121*43,21)/100))</f>
        <v>31378</v>
      </c>
      <c r="N121" s="12" t="n">
        <f aca="false">K121-M121</f>
        <v>10460</v>
      </c>
    </row>
    <row r="122" customFormat="false" ht="12.8" hidden="false" customHeight="false" outlineLevel="0" collapsed="false">
      <c r="A122" s="10" t="n">
        <f aca="false">A121+1</f>
        <v>121</v>
      </c>
      <c r="B122" s="11" t="n">
        <f aca="false">B121+1</f>
        <v>45047</v>
      </c>
      <c r="C122" s="10" t="n">
        <f aca="false">YEAR(B122)</f>
        <v>2023</v>
      </c>
      <c r="D122" s="10" t="n">
        <f aca="false">INT((MONTH(B122)-1)/3)+1</f>
        <v>2</v>
      </c>
      <c r="E122" s="10" t="n">
        <f aca="false">MONTH(B122)</f>
        <v>5</v>
      </c>
      <c r="F122" s="10" t="str">
        <f aca="false">CHOOSE(MOD(A122-1,5)+1,"Центр","Юг","Север","Запад","Восток")</f>
        <v>Центр</v>
      </c>
      <c r="G122" s="10" t="str">
        <f aca="false">"Округ_"&amp;(MOD(A122-1,5)+1)&amp;"_"&amp;(MOD(INT((A122-1)/5),5)+1)</f>
        <v>Округ_1_5</v>
      </c>
      <c r="H122" s="10" t="str">
        <f aca="false">"Город_"&amp;(MOD(A122-1,5)+1)&amp;"_"&amp;(MOD(INT((A122-1)/5),5)+1)&amp;"_"&amp;(MOD(INT((A122-1)/25),10)+1)</f>
        <v>Город_1_5_5</v>
      </c>
      <c r="I122" s="10" t="str">
        <f aca="false">CHOOSE(MOD(A122-1,4)+1,"Электроника","Одежда","Продукты","Мебель")</f>
        <v>Электроника</v>
      </c>
      <c r="J122" s="10" t="str">
        <f aca="false">CHOOSE(MOD(INT((A122-1)/4),4)+1,CHOOSE(MOD(A122-1,4)+1,"Смартфоны","Ноутбуки","Аксессуары","Аудио"),CHOOSE(MOD(A122-1,4)+1,"Верхняя одежда","Спортивная","Повседневная","Обувь"),CHOOSE(MOD(A122-1,4)+1,"Молочные","Мясные","Бакалея","Напитки"),CHOOSE(MOD(A122-1,4)+1,"Мягкая мебель","Корпусная","Офисная","Кухонная"))</f>
        <v>Молочные</v>
      </c>
      <c r="K122" s="12" t="n">
        <f aca="false">1000+MOD(A122*317+A122*A122*7,49001)</f>
        <v>43842</v>
      </c>
      <c r="L122" s="12" t="n">
        <f aca="false">1+MOD(A122*131,100)</f>
        <v>52</v>
      </c>
      <c r="M122" s="12" t="n">
        <f aca="false">INT(K122*(0.6+MOD(A122*43,21)/100))</f>
        <v>33319</v>
      </c>
      <c r="N122" s="12" t="n">
        <f aca="false">K122-M122</f>
        <v>10523</v>
      </c>
    </row>
    <row r="123" customFormat="false" ht="12.8" hidden="false" customHeight="false" outlineLevel="0" collapsed="false">
      <c r="A123" s="10" t="n">
        <f aca="false">A122+1</f>
        <v>122</v>
      </c>
      <c r="B123" s="11" t="n">
        <f aca="false">B122+1</f>
        <v>45048</v>
      </c>
      <c r="C123" s="10" t="n">
        <f aca="false">YEAR(B123)</f>
        <v>2023</v>
      </c>
      <c r="D123" s="10" t="n">
        <f aca="false">INT((MONTH(B123)-1)/3)+1</f>
        <v>2</v>
      </c>
      <c r="E123" s="10" t="n">
        <f aca="false">MONTH(B123)</f>
        <v>5</v>
      </c>
      <c r="F123" s="10" t="str">
        <f aca="false">CHOOSE(MOD(A123-1,5)+1,"Центр","Юг","Север","Запад","Восток")</f>
        <v>Юг</v>
      </c>
      <c r="G123" s="10" t="str">
        <f aca="false">"Округ_"&amp;(MOD(A123-1,5)+1)&amp;"_"&amp;(MOD(INT((A123-1)/5),5)+1)</f>
        <v>Округ_2_5</v>
      </c>
      <c r="H123" s="10" t="str">
        <f aca="false">"Город_"&amp;(MOD(A123-1,5)+1)&amp;"_"&amp;(MOD(INT((A123-1)/5),5)+1)&amp;"_"&amp;(MOD(INT((A123-1)/25),10)+1)</f>
        <v>Город_2_5_5</v>
      </c>
      <c r="I123" s="10" t="str">
        <f aca="false">CHOOSE(MOD(A123-1,4)+1,"Электроника","Одежда","Продукты","Мебель")</f>
        <v>Одежда</v>
      </c>
      <c r="J123" s="10" t="str">
        <f aca="false">CHOOSE(MOD(INT((A123-1)/4),4)+1,CHOOSE(MOD(A123-1,4)+1,"Смартфоны","Ноутбуки","Аксессуары","Аудио"),CHOOSE(MOD(A123-1,4)+1,"Верхняя одежда","Спортивная","Повседневная","Обувь"),CHOOSE(MOD(A123-1,4)+1,"Молочные","Мясные","Бакалея","Напитки"),CHOOSE(MOD(A123-1,4)+1,"Мягкая мебель","Корпусная","Офисная","Кухонная"))</f>
        <v>Мясные</v>
      </c>
      <c r="K123" s="12" t="n">
        <f aca="false">1000+MOD(A123*317+A123*A123*7,49001)</f>
        <v>45860</v>
      </c>
      <c r="L123" s="12" t="n">
        <f aca="false">1+MOD(A123*131,100)</f>
        <v>83</v>
      </c>
      <c r="M123" s="12" t="n">
        <f aca="false">INT(K123*(0.6+MOD(A123*43,21)/100))</f>
        <v>35312</v>
      </c>
      <c r="N123" s="12" t="n">
        <f aca="false">K123-M123</f>
        <v>10548</v>
      </c>
    </row>
    <row r="124" customFormat="false" ht="12.8" hidden="false" customHeight="false" outlineLevel="0" collapsed="false">
      <c r="A124" s="10" t="n">
        <f aca="false">A123+1</f>
        <v>123</v>
      </c>
      <c r="B124" s="11" t="n">
        <f aca="false">B123+1</f>
        <v>45049</v>
      </c>
      <c r="C124" s="10" t="n">
        <f aca="false">YEAR(B124)</f>
        <v>2023</v>
      </c>
      <c r="D124" s="10" t="n">
        <f aca="false">INT((MONTH(B124)-1)/3)+1</f>
        <v>2</v>
      </c>
      <c r="E124" s="10" t="n">
        <f aca="false">MONTH(B124)</f>
        <v>5</v>
      </c>
      <c r="F124" s="10" t="str">
        <f aca="false">CHOOSE(MOD(A124-1,5)+1,"Центр","Юг","Север","Запад","Восток")</f>
        <v>Север</v>
      </c>
      <c r="G124" s="10" t="str">
        <f aca="false">"Округ_"&amp;(MOD(A124-1,5)+1)&amp;"_"&amp;(MOD(INT((A124-1)/5),5)+1)</f>
        <v>Округ_3_5</v>
      </c>
      <c r="H124" s="10" t="str">
        <f aca="false">"Город_"&amp;(MOD(A124-1,5)+1)&amp;"_"&amp;(MOD(INT((A124-1)/5),5)+1)&amp;"_"&amp;(MOD(INT((A124-1)/25),10)+1)</f>
        <v>Город_3_5_5</v>
      </c>
      <c r="I124" s="10" t="str">
        <f aca="false">CHOOSE(MOD(A124-1,4)+1,"Электроника","Одежда","Продукты","Мебель")</f>
        <v>Продукты</v>
      </c>
      <c r="J124" s="10" t="str">
        <f aca="false">CHOOSE(MOD(INT((A124-1)/4),4)+1,CHOOSE(MOD(A124-1,4)+1,"Смартфоны","Ноутбуки","Аксессуары","Аудио"),CHOOSE(MOD(A124-1,4)+1,"Верхняя одежда","Спортивная","Повседневная","Обувь"),CHOOSE(MOD(A124-1,4)+1,"Молочные","Мясные","Бакалея","Напитки"),CHOOSE(MOD(A124-1,4)+1,"Мягкая мебель","Корпусная","Офисная","Кухонная"))</f>
        <v>Бакалея</v>
      </c>
      <c r="K124" s="12" t="n">
        <f aca="false">1000+MOD(A124*317+A124*A124*7,49001)</f>
        <v>47892</v>
      </c>
      <c r="L124" s="12" t="n">
        <f aca="false">1+MOD(A124*131,100)</f>
        <v>14</v>
      </c>
      <c r="M124" s="12" t="n">
        <f aca="false">INT(K124*(0.6+MOD(A124*43,21)/100))</f>
        <v>37355</v>
      </c>
      <c r="N124" s="12" t="n">
        <f aca="false">K124-M124</f>
        <v>10537</v>
      </c>
    </row>
    <row r="125" customFormat="false" ht="12.8" hidden="false" customHeight="false" outlineLevel="0" collapsed="false">
      <c r="A125" s="10" t="n">
        <f aca="false">A124+1</f>
        <v>124</v>
      </c>
      <c r="B125" s="11" t="n">
        <f aca="false">B124+1</f>
        <v>45050</v>
      </c>
      <c r="C125" s="10" t="n">
        <f aca="false">YEAR(B125)</f>
        <v>2023</v>
      </c>
      <c r="D125" s="10" t="n">
        <f aca="false">INT((MONTH(B125)-1)/3)+1</f>
        <v>2</v>
      </c>
      <c r="E125" s="10" t="n">
        <f aca="false">MONTH(B125)</f>
        <v>5</v>
      </c>
      <c r="F125" s="10" t="str">
        <f aca="false">CHOOSE(MOD(A125-1,5)+1,"Центр","Юг","Север","Запад","Восток")</f>
        <v>Запад</v>
      </c>
      <c r="G125" s="10" t="str">
        <f aca="false">"Округ_"&amp;(MOD(A125-1,5)+1)&amp;"_"&amp;(MOD(INT((A125-1)/5),5)+1)</f>
        <v>Округ_4_5</v>
      </c>
      <c r="H125" s="10" t="str">
        <f aca="false">"Город_"&amp;(MOD(A125-1,5)+1)&amp;"_"&amp;(MOD(INT((A125-1)/5),5)+1)&amp;"_"&amp;(MOD(INT((A125-1)/25),10)+1)</f>
        <v>Город_4_5_5</v>
      </c>
      <c r="I125" s="10" t="str">
        <f aca="false">CHOOSE(MOD(A125-1,4)+1,"Электроника","Одежда","Продукты","Мебель")</f>
        <v>Мебель</v>
      </c>
      <c r="J125" s="10" t="str">
        <f aca="false">CHOOSE(MOD(INT((A125-1)/4),4)+1,CHOOSE(MOD(A125-1,4)+1,"Смартфоны","Ноутбуки","Аксессуары","Аудио"),CHOOSE(MOD(A125-1,4)+1,"Верхняя одежда","Спортивная","Повседневная","Обувь"),CHOOSE(MOD(A125-1,4)+1,"Молочные","Мясные","Бакалея","Напитки"),CHOOSE(MOD(A125-1,4)+1,"Мягкая мебель","Корпусная","Офисная","Кухонная"))</f>
        <v>Напитки</v>
      </c>
      <c r="K125" s="12" t="n">
        <f aca="false">1000+MOD(A125*317+A125*A125*7,49001)</f>
        <v>49938</v>
      </c>
      <c r="L125" s="12" t="n">
        <f aca="false">1+MOD(A125*131,100)</f>
        <v>45</v>
      </c>
      <c r="M125" s="12" t="n">
        <f aca="false">INT(K125*(0.6+MOD(A125*43,21)/100))</f>
        <v>39451</v>
      </c>
      <c r="N125" s="12" t="n">
        <f aca="false">K125-M125</f>
        <v>10487</v>
      </c>
    </row>
    <row r="126" customFormat="false" ht="12.8" hidden="false" customHeight="false" outlineLevel="0" collapsed="false">
      <c r="A126" s="10" t="n">
        <f aca="false">A125+1</f>
        <v>125</v>
      </c>
      <c r="B126" s="11" t="n">
        <f aca="false">B125+1</f>
        <v>45051</v>
      </c>
      <c r="C126" s="10" t="n">
        <f aca="false">YEAR(B126)</f>
        <v>2023</v>
      </c>
      <c r="D126" s="10" t="n">
        <f aca="false">INT((MONTH(B126)-1)/3)+1</f>
        <v>2</v>
      </c>
      <c r="E126" s="10" t="n">
        <f aca="false">MONTH(B126)</f>
        <v>5</v>
      </c>
      <c r="F126" s="10" t="str">
        <f aca="false">CHOOSE(MOD(A126-1,5)+1,"Центр","Юг","Север","Запад","Восток")</f>
        <v>Восток</v>
      </c>
      <c r="G126" s="10" t="str">
        <f aca="false">"Округ_"&amp;(MOD(A126-1,5)+1)&amp;"_"&amp;(MOD(INT((A126-1)/5),5)+1)</f>
        <v>Округ_5_5</v>
      </c>
      <c r="H126" s="10" t="str">
        <f aca="false">"Город_"&amp;(MOD(A126-1,5)+1)&amp;"_"&amp;(MOD(INT((A126-1)/5),5)+1)&amp;"_"&amp;(MOD(INT((A126-1)/25),10)+1)</f>
        <v>Город_5_5_5</v>
      </c>
      <c r="I126" s="10" t="str">
        <f aca="false">CHOOSE(MOD(A126-1,4)+1,"Электроника","Одежда","Продукты","Мебель")</f>
        <v>Электроника</v>
      </c>
      <c r="J126" s="10" t="str">
        <f aca="false">CHOOSE(MOD(INT((A126-1)/4),4)+1,CHOOSE(MOD(A126-1,4)+1,"Смартфоны","Ноутбуки","Аксессуары","Аудио"),CHOOSE(MOD(A126-1,4)+1,"Верхняя одежда","Спортивная","Повседневная","Обувь"),CHOOSE(MOD(A126-1,4)+1,"Молочные","Мясные","Бакалея","Напитки"),CHOOSE(MOD(A126-1,4)+1,"Мягкая мебель","Корпусная","Офисная","Кухонная"))</f>
        <v>Мягкая мебель</v>
      </c>
      <c r="K126" s="12" t="n">
        <f aca="false">1000+MOD(A126*317+A126*A126*7,49001)</f>
        <v>2997</v>
      </c>
      <c r="L126" s="12" t="n">
        <f aca="false">1+MOD(A126*131,100)</f>
        <v>76</v>
      </c>
      <c r="M126" s="12" t="n">
        <f aca="false">INT(K126*(0.6+MOD(A126*43,21)/100))</f>
        <v>2397</v>
      </c>
      <c r="N126" s="12" t="n">
        <f aca="false">K126-M126</f>
        <v>600</v>
      </c>
    </row>
    <row r="127" customFormat="false" ht="12.8" hidden="false" customHeight="false" outlineLevel="0" collapsed="false">
      <c r="A127" s="10" t="n">
        <f aca="false">A126+1</f>
        <v>126</v>
      </c>
      <c r="B127" s="11" t="n">
        <f aca="false">B126+1</f>
        <v>45052</v>
      </c>
      <c r="C127" s="10" t="n">
        <f aca="false">YEAR(B127)</f>
        <v>2023</v>
      </c>
      <c r="D127" s="10" t="n">
        <f aca="false">INT((MONTH(B127)-1)/3)+1</f>
        <v>2</v>
      </c>
      <c r="E127" s="10" t="n">
        <f aca="false">MONTH(B127)</f>
        <v>5</v>
      </c>
      <c r="F127" s="10" t="str">
        <f aca="false">CHOOSE(MOD(A127-1,5)+1,"Центр","Юг","Север","Запад","Восток")</f>
        <v>Центр</v>
      </c>
      <c r="G127" s="10" t="str">
        <f aca="false">"Округ_"&amp;(MOD(A127-1,5)+1)&amp;"_"&amp;(MOD(INT((A127-1)/5),5)+1)</f>
        <v>Округ_1_1</v>
      </c>
      <c r="H127" s="10" t="str">
        <f aca="false">"Город_"&amp;(MOD(A127-1,5)+1)&amp;"_"&amp;(MOD(INT((A127-1)/5),5)+1)&amp;"_"&amp;(MOD(INT((A127-1)/25),10)+1)</f>
        <v>Город_1_1_6</v>
      </c>
      <c r="I127" s="10" t="str">
        <f aca="false">CHOOSE(MOD(A127-1,4)+1,"Электроника","Одежда","Продукты","Мебель")</f>
        <v>Одежда</v>
      </c>
      <c r="J127" s="10" t="str">
        <f aca="false">CHOOSE(MOD(INT((A127-1)/4),4)+1,CHOOSE(MOD(A127-1,4)+1,"Смартфоны","Ноутбуки","Аксессуары","Аудио"),CHOOSE(MOD(A127-1,4)+1,"Верхняя одежда","Спортивная","Повседневная","Обувь"),CHOOSE(MOD(A127-1,4)+1,"Молочные","Мясные","Бакалея","Напитки"),CHOOSE(MOD(A127-1,4)+1,"Мягкая мебель","Корпусная","Офисная","Кухонная"))</f>
        <v>Корпусная</v>
      </c>
      <c r="K127" s="12" t="n">
        <f aca="false">1000+MOD(A127*317+A127*A127*7,49001)</f>
        <v>5071</v>
      </c>
      <c r="L127" s="12" t="n">
        <f aca="false">1+MOD(A127*131,100)</f>
        <v>7</v>
      </c>
      <c r="M127" s="12" t="n">
        <f aca="false">INT(K127*(0.6+MOD(A127*43,21)/100))</f>
        <v>3042</v>
      </c>
      <c r="N127" s="12" t="n">
        <f aca="false">K127-M127</f>
        <v>2029</v>
      </c>
    </row>
    <row r="128" customFormat="false" ht="12.8" hidden="false" customHeight="false" outlineLevel="0" collapsed="false">
      <c r="A128" s="10" t="n">
        <f aca="false">A127+1</f>
        <v>127</v>
      </c>
      <c r="B128" s="11" t="n">
        <f aca="false">B127+1</f>
        <v>45053</v>
      </c>
      <c r="C128" s="10" t="n">
        <f aca="false">YEAR(B128)</f>
        <v>2023</v>
      </c>
      <c r="D128" s="10" t="n">
        <f aca="false">INT((MONTH(B128)-1)/3)+1</f>
        <v>2</v>
      </c>
      <c r="E128" s="10" t="n">
        <f aca="false">MONTH(B128)</f>
        <v>5</v>
      </c>
      <c r="F128" s="10" t="str">
        <f aca="false">CHOOSE(MOD(A128-1,5)+1,"Центр","Юг","Север","Запад","Восток")</f>
        <v>Юг</v>
      </c>
      <c r="G128" s="10" t="str">
        <f aca="false">"Округ_"&amp;(MOD(A128-1,5)+1)&amp;"_"&amp;(MOD(INT((A128-1)/5),5)+1)</f>
        <v>Округ_2_1</v>
      </c>
      <c r="H128" s="10" t="str">
        <f aca="false">"Город_"&amp;(MOD(A128-1,5)+1)&amp;"_"&amp;(MOD(INT((A128-1)/5),5)+1)&amp;"_"&amp;(MOD(INT((A128-1)/25),10)+1)</f>
        <v>Город_2_1_6</v>
      </c>
      <c r="I128" s="10" t="str">
        <f aca="false">CHOOSE(MOD(A128-1,4)+1,"Электроника","Одежда","Продукты","Мебель")</f>
        <v>Продукты</v>
      </c>
      <c r="J128" s="10" t="str">
        <f aca="false">CHOOSE(MOD(INT((A128-1)/4),4)+1,CHOOSE(MOD(A128-1,4)+1,"Смартфоны","Ноутбуки","Аксессуары","Аудио"),CHOOSE(MOD(A128-1,4)+1,"Верхняя одежда","Спортивная","Повседневная","Обувь"),CHOOSE(MOD(A128-1,4)+1,"Молочные","Мясные","Бакалея","Напитки"),CHOOSE(MOD(A128-1,4)+1,"Мягкая мебель","Корпусная","Офисная","Кухонная"))</f>
        <v>Офисная</v>
      </c>
      <c r="K128" s="12" t="n">
        <f aca="false">1000+MOD(A128*317+A128*A128*7,49001)</f>
        <v>7159</v>
      </c>
      <c r="L128" s="12" t="n">
        <f aca="false">1+MOD(A128*131,100)</f>
        <v>38</v>
      </c>
      <c r="M128" s="12" t="n">
        <f aca="false">INT(K128*(0.6+MOD(A128*43,21)/100))</f>
        <v>4366</v>
      </c>
      <c r="N128" s="12" t="n">
        <f aca="false">K128-M128</f>
        <v>2793</v>
      </c>
    </row>
    <row r="129" customFormat="false" ht="12.8" hidden="false" customHeight="false" outlineLevel="0" collapsed="false">
      <c r="A129" s="10" t="n">
        <f aca="false">A128+1</f>
        <v>128</v>
      </c>
      <c r="B129" s="11" t="n">
        <f aca="false">B128+1</f>
        <v>45054</v>
      </c>
      <c r="C129" s="10" t="n">
        <f aca="false">YEAR(B129)</f>
        <v>2023</v>
      </c>
      <c r="D129" s="10" t="n">
        <f aca="false">INT((MONTH(B129)-1)/3)+1</f>
        <v>2</v>
      </c>
      <c r="E129" s="10" t="n">
        <f aca="false">MONTH(B129)</f>
        <v>5</v>
      </c>
      <c r="F129" s="10" t="str">
        <f aca="false">CHOOSE(MOD(A129-1,5)+1,"Центр","Юг","Север","Запад","Восток")</f>
        <v>Север</v>
      </c>
      <c r="G129" s="10" t="str">
        <f aca="false">"Округ_"&amp;(MOD(A129-1,5)+1)&amp;"_"&amp;(MOD(INT((A129-1)/5),5)+1)</f>
        <v>Округ_3_1</v>
      </c>
      <c r="H129" s="10" t="str">
        <f aca="false">"Город_"&amp;(MOD(A129-1,5)+1)&amp;"_"&amp;(MOD(INT((A129-1)/5),5)+1)&amp;"_"&amp;(MOD(INT((A129-1)/25),10)+1)</f>
        <v>Город_3_1_6</v>
      </c>
      <c r="I129" s="10" t="str">
        <f aca="false">CHOOSE(MOD(A129-1,4)+1,"Электроника","Одежда","Продукты","Мебель")</f>
        <v>Мебель</v>
      </c>
      <c r="J129" s="10" t="str">
        <f aca="false">CHOOSE(MOD(INT((A129-1)/4),4)+1,CHOOSE(MOD(A129-1,4)+1,"Смартфоны","Ноутбуки","Аксессуары","Аудио"),CHOOSE(MOD(A129-1,4)+1,"Верхняя одежда","Спортивная","Повседневная","Обувь"),CHOOSE(MOD(A129-1,4)+1,"Молочные","Мясные","Бакалея","Напитки"),CHOOSE(MOD(A129-1,4)+1,"Мягкая мебель","Корпусная","Офисная","Кухонная"))</f>
        <v>Кухонная</v>
      </c>
      <c r="K129" s="12" t="n">
        <f aca="false">1000+MOD(A129*317+A129*A129*7,49001)</f>
        <v>9261</v>
      </c>
      <c r="L129" s="12" t="n">
        <f aca="false">1+MOD(A129*131,100)</f>
        <v>69</v>
      </c>
      <c r="M129" s="12" t="n">
        <f aca="false">INT(K129*(0.6+MOD(A129*43,21)/100))</f>
        <v>5741</v>
      </c>
      <c r="N129" s="12" t="n">
        <f aca="false">K129-M129</f>
        <v>3520</v>
      </c>
    </row>
    <row r="130" customFormat="false" ht="12.8" hidden="false" customHeight="false" outlineLevel="0" collapsed="false">
      <c r="A130" s="10" t="n">
        <f aca="false">A129+1</f>
        <v>129</v>
      </c>
      <c r="B130" s="11" t="n">
        <f aca="false">B129+1</f>
        <v>45055</v>
      </c>
      <c r="C130" s="10" t="n">
        <f aca="false">YEAR(B130)</f>
        <v>2023</v>
      </c>
      <c r="D130" s="10" t="n">
        <f aca="false">INT((MONTH(B130)-1)/3)+1</f>
        <v>2</v>
      </c>
      <c r="E130" s="10" t="n">
        <f aca="false">MONTH(B130)</f>
        <v>5</v>
      </c>
      <c r="F130" s="10" t="str">
        <f aca="false">CHOOSE(MOD(A130-1,5)+1,"Центр","Юг","Север","Запад","Восток")</f>
        <v>Запад</v>
      </c>
      <c r="G130" s="10" t="str">
        <f aca="false">"Округ_"&amp;(MOD(A130-1,5)+1)&amp;"_"&amp;(MOD(INT((A130-1)/5),5)+1)</f>
        <v>Округ_4_1</v>
      </c>
      <c r="H130" s="10" t="str">
        <f aca="false">"Город_"&amp;(MOD(A130-1,5)+1)&amp;"_"&amp;(MOD(INT((A130-1)/5),5)+1)&amp;"_"&amp;(MOD(INT((A130-1)/25),10)+1)</f>
        <v>Город_4_1_6</v>
      </c>
      <c r="I130" s="10" t="str">
        <f aca="false">CHOOSE(MOD(A130-1,4)+1,"Электроника","Одежда","Продукты","Мебель")</f>
        <v>Электроника</v>
      </c>
      <c r="J130" s="10" t="str">
        <f aca="false">CHOOSE(MOD(INT((A130-1)/4),4)+1,CHOOSE(MOD(A130-1,4)+1,"Смартфоны","Ноутбуки","Аксессуары","Аудио"),CHOOSE(MOD(A130-1,4)+1,"Верхняя одежда","Спортивная","Повседневная","Обувь"),CHOOSE(MOD(A130-1,4)+1,"Молочные","Мясные","Бакалея","Напитки"),CHOOSE(MOD(A130-1,4)+1,"Мягкая мебель","Корпусная","Офисная","Кухонная"))</f>
        <v>Смартфоны</v>
      </c>
      <c r="K130" s="12" t="n">
        <f aca="false">1000+MOD(A130*317+A130*A130*7,49001)</f>
        <v>11377</v>
      </c>
      <c r="L130" s="12" t="n">
        <f aca="false">1+MOD(A130*131,100)</f>
        <v>100</v>
      </c>
      <c r="M130" s="12" t="n">
        <f aca="false">INT(K130*(0.6+MOD(A130*43,21)/100))</f>
        <v>7167</v>
      </c>
      <c r="N130" s="12" t="n">
        <f aca="false">K130-M130</f>
        <v>4210</v>
      </c>
    </row>
    <row r="131" customFormat="false" ht="12.8" hidden="false" customHeight="false" outlineLevel="0" collapsed="false">
      <c r="A131" s="10" t="n">
        <f aca="false">A130+1</f>
        <v>130</v>
      </c>
      <c r="B131" s="11" t="n">
        <f aca="false">B130+1</f>
        <v>45056</v>
      </c>
      <c r="C131" s="10" t="n">
        <f aca="false">YEAR(B131)</f>
        <v>2023</v>
      </c>
      <c r="D131" s="10" t="n">
        <f aca="false">INT((MONTH(B131)-1)/3)+1</f>
        <v>2</v>
      </c>
      <c r="E131" s="10" t="n">
        <f aca="false">MONTH(B131)</f>
        <v>5</v>
      </c>
      <c r="F131" s="10" t="str">
        <f aca="false">CHOOSE(MOD(A131-1,5)+1,"Центр","Юг","Север","Запад","Восток")</f>
        <v>Восток</v>
      </c>
      <c r="G131" s="10" t="str">
        <f aca="false">"Округ_"&amp;(MOD(A131-1,5)+1)&amp;"_"&amp;(MOD(INT((A131-1)/5),5)+1)</f>
        <v>Округ_5_1</v>
      </c>
      <c r="H131" s="10" t="str">
        <f aca="false">"Город_"&amp;(MOD(A131-1,5)+1)&amp;"_"&amp;(MOD(INT((A131-1)/5),5)+1)&amp;"_"&amp;(MOD(INT((A131-1)/25),10)+1)</f>
        <v>Город_5_1_6</v>
      </c>
      <c r="I131" s="10" t="str">
        <f aca="false">CHOOSE(MOD(A131-1,4)+1,"Электроника","Одежда","Продукты","Мебель")</f>
        <v>Одежда</v>
      </c>
      <c r="J131" s="10" t="str">
        <f aca="false">CHOOSE(MOD(INT((A131-1)/4),4)+1,CHOOSE(MOD(A131-1,4)+1,"Смартфоны","Ноутбуки","Аксессуары","Аудио"),CHOOSE(MOD(A131-1,4)+1,"Верхняя одежда","Спортивная","Повседневная","Обувь"),CHOOSE(MOD(A131-1,4)+1,"Молочные","Мясные","Бакалея","Напитки"),CHOOSE(MOD(A131-1,4)+1,"Мягкая мебель","Корпусная","Офисная","Кухонная"))</f>
        <v>Ноутбуки</v>
      </c>
      <c r="K131" s="12" t="n">
        <f aca="false">1000+MOD(A131*317+A131*A131*7,49001)</f>
        <v>13507</v>
      </c>
      <c r="L131" s="12" t="n">
        <f aca="false">1+MOD(A131*131,100)</f>
        <v>31</v>
      </c>
      <c r="M131" s="12" t="n">
        <f aca="false">INT(K131*(0.6+MOD(A131*43,21)/100))</f>
        <v>8644</v>
      </c>
      <c r="N131" s="12" t="n">
        <f aca="false">K131-M131</f>
        <v>4863</v>
      </c>
    </row>
    <row r="132" customFormat="false" ht="12.8" hidden="false" customHeight="false" outlineLevel="0" collapsed="false">
      <c r="A132" s="10" t="n">
        <f aca="false">A131+1</f>
        <v>131</v>
      </c>
      <c r="B132" s="11" t="n">
        <f aca="false">B131+1</f>
        <v>45057</v>
      </c>
      <c r="C132" s="10" t="n">
        <f aca="false">YEAR(B132)</f>
        <v>2023</v>
      </c>
      <c r="D132" s="10" t="n">
        <f aca="false">INT((MONTH(B132)-1)/3)+1</f>
        <v>2</v>
      </c>
      <c r="E132" s="10" t="n">
        <f aca="false">MONTH(B132)</f>
        <v>5</v>
      </c>
      <c r="F132" s="10" t="str">
        <f aca="false">CHOOSE(MOD(A132-1,5)+1,"Центр","Юг","Север","Запад","Восток")</f>
        <v>Центр</v>
      </c>
      <c r="G132" s="10" t="str">
        <f aca="false">"Округ_"&amp;(MOD(A132-1,5)+1)&amp;"_"&amp;(MOD(INT((A132-1)/5),5)+1)</f>
        <v>Округ_1_2</v>
      </c>
      <c r="H132" s="10" t="str">
        <f aca="false">"Город_"&amp;(MOD(A132-1,5)+1)&amp;"_"&amp;(MOD(INT((A132-1)/5),5)+1)&amp;"_"&amp;(MOD(INT((A132-1)/25),10)+1)</f>
        <v>Город_1_2_6</v>
      </c>
      <c r="I132" s="10" t="str">
        <f aca="false">CHOOSE(MOD(A132-1,4)+1,"Электроника","Одежда","Продукты","Мебель")</f>
        <v>Продукты</v>
      </c>
      <c r="J132" s="10" t="str">
        <f aca="false">CHOOSE(MOD(INT((A132-1)/4),4)+1,CHOOSE(MOD(A132-1,4)+1,"Смартфоны","Ноутбуки","Аксессуары","Аудио"),CHOOSE(MOD(A132-1,4)+1,"Верхняя одежда","Спортивная","Повседневная","Обувь"),CHOOSE(MOD(A132-1,4)+1,"Молочные","Мясные","Бакалея","Напитки"),CHOOSE(MOD(A132-1,4)+1,"Мягкая мебель","Корпусная","Офисная","Кухонная"))</f>
        <v>Аксессуары</v>
      </c>
      <c r="K132" s="12" t="n">
        <f aca="false">1000+MOD(A132*317+A132*A132*7,49001)</f>
        <v>15651</v>
      </c>
      <c r="L132" s="12" t="n">
        <f aca="false">1+MOD(A132*131,100)</f>
        <v>62</v>
      </c>
      <c r="M132" s="12" t="n">
        <f aca="false">INT(K132*(0.6+MOD(A132*43,21)/100))</f>
        <v>10173</v>
      </c>
      <c r="N132" s="12" t="n">
        <f aca="false">K132-M132</f>
        <v>5478</v>
      </c>
    </row>
    <row r="133" customFormat="false" ht="12.8" hidden="false" customHeight="false" outlineLevel="0" collapsed="false">
      <c r="A133" s="10" t="n">
        <f aca="false">A132+1</f>
        <v>132</v>
      </c>
      <c r="B133" s="11" t="n">
        <f aca="false">B132+1</f>
        <v>45058</v>
      </c>
      <c r="C133" s="10" t="n">
        <f aca="false">YEAR(B133)</f>
        <v>2023</v>
      </c>
      <c r="D133" s="10" t="n">
        <f aca="false">INT((MONTH(B133)-1)/3)+1</f>
        <v>2</v>
      </c>
      <c r="E133" s="10" t="n">
        <f aca="false">MONTH(B133)</f>
        <v>5</v>
      </c>
      <c r="F133" s="10" t="str">
        <f aca="false">CHOOSE(MOD(A133-1,5)+1,"Центр","Юг","Север","Запад","Восток")</f>
        <v>Юг</v>
      </c>
      <c r="G133" s="10" t="str">
        <f aca="false">"Округ_"&amp;(MOD(A133-1,5)+1)&amp;"_"&amp;(MOD(INT((A133-1)/5),5)+1)</f>
        <v>Округ_2_2</v>
      </c>
      <c r="H133" s="10" t="str">
        <f aca="false">"Город_"&amp;(MOD(A133-1,5)+1)&amp;"_"&amp;(MOD(INT((A133-1)/5),5)+1)&amp;"_"&amp;(MOD(INT((A133-1)/25),10)+1)</f>
        <v>Город_2_2_6</v>
      </c>
      <c r="I133" s="10" t="str">
        <f aca="false">CHOOSE(MOD(A133-1,4)+1,"Электроника","Одежда","Продукты","Мебель")</f>
        <v>Мебель</v>
      </c>
      <c r="J133" s="10" t="str">
        <f aca="false">CHOOSE(MOD(INT((A133-1)/4),4)+1,CHOOSE(MOD(A133-1,4)+1,"Смартфоны","Ноутбуки","Аксессуары","Аудио"),CHOOSE(MOD(A133-1,4)+1,"Верхняя одежда","Спортивная","Повседневная","Обувь"),CHOOSE(MOD(A133-1,4)+1,"Молочные","Мясные","Бакалея","Напитки"),CHOOSE(MOD(A133-1,4)+1,"Мягкая мебель","Корпусная","Офисная","Кухонная"))</f>
        <v>Аудио</v>
      </c>
      <c r="K133" s="12" t="n">
        <f aca="false">1000+MOD(A133*317+A133*A133*7,49001)</f>
        <v>17809</v>
      </c>
      <c r="L133" s="12" t="n">
        <f aca="false">1+MOD(A133*131,100)</f>
        <v>93</v>
      </c>
      <c r="M133" s="12" t="n">
        <f aca="false">INT(K133*(0.6+MOD(A133*43,21)/100))</f>
        <v>11753</v>
      </c>
      <c r="N133" s="12" t="n">
        <f aca="false">K133-M133</f>
        <v>6056</v>
      </c>
    </row>
    <row r="134" customFormat="false" ht="12.8" hidden="false" customHeight="false" outlineLevel="0" collapsed="false">
      <c r="A134" s="10" t="n">
        <f aca="false">A133+1</f>
        <v>133</v>
      </c>
      <c r="B134" s="11" t="n">
        <f aca="false">B133+1</f>
        <v>45059</v>
      </c>
      <c r="C134" s="10" t="n">
        <f aca="false">YEAR(B134)</f>
        <v>2023</v>
      </c>
      <c r="D134" s="10" t="n">
        <f aca="false">INT((MONTH(B134)-1)/3)+1</f>
        <v>2</v>
      </c>
      <c r="E134" s="10" t="n">
        <f aca="false">MONTH(B134)</f>
        <v>5</v>
      </c>
      <c r="F134" s="10" t="str">
        <f aca="false">CHOOSE(MOD(A134-1,5)+1,"Центр","Юг","Север","Запад","Восток")</f>
        <v>Север</v>
      </c>
      <c r="G134" s="10" t="str">
        <f aca="false">"Округ_"&amp;(MOD(A134-1,5)+1)&amp;"_"&amp;(MOD(INT((A134-1)/5),5)+1)</f>
        <v>Округ_3_2</v>
      </c>
      <c r="H134" s="10" t="str">
        <f aca="false">"Город_"&amp;(MOD(A134-1,5)+1)&amp;"_"&amp;(MOD(INT((A134-1)/5),5)+1)&amp;"_"&amp;(MOD(INT((A134-1)/25),10)+1)</f>
        <v>Город_3_2_6</v>
      </c>
      <c r="I134" s="10" t="str">
        <f aca="false">CHOOSE(MOD(A134-1,4)+1,"Электроника","Одежда","Продукты","Мебель")</f>
        <v>Электроника</v>
      </c>
      <c r="J134" s="10" t="str">
        <f aca="false">CHOOSE(MOD(INT((A134-1)/4),4)+1,CHOOSE(MOD(A134-1,4)+1,"Смартфоны","Ноутбуки","Аксессуары","Аудио"),CHOOSE(MOD(A134-1,4)+1,"Верхняя одежда","Спортивная","Повседневная","Обувь"),CHOOSE(MOD(A134-1,4)+1,"Молочные","Мясные","Бакалея","Напитки"),CHOOSE(MOD(A134-1,4)+1,"Мягкая мебель","Корпусная","Офисная","Кухонная"))</f>
        <v>Верхняя одежда</v>
      </c>
      <c r="K134" s="12" t="n">
        <f aca="false">1000+MOD(A134*317+A134*A134*7,49001)</f>
        <v>19981</v>
      </c>
      <c r="L134" s="12" t="n">
        <f aca="false">1+MOD(A134*131,100)</f>
        <v>24</v>
      </c>
      <c r="M134" s="12" t="n">
        <f aca="false">INT(K134*(0.6+MOD(A134*43,21)/100))</f>
        <v>13387</v>
      </c>
      <c r="N134" s="12" t="n">
        <f aca="false">K134-M134</f>
        <v>6594</v>
      </c>
    </row>
    <row r="135" customFormat="false" ht="12.8" hidden="false" customHeight="false" outlineLevel="0" collapsed="false">
      <c r="A135" s="10" t="n">
        <f aca="false">A134+1</f>
        <v>134</v>
      </c>
      <c r="B135" s="11" t="n">
        <f aca="false">B134+1</f>
        <v>45060</v>
      </c>
      <c r="C135" s="10" t="n">
        <f aca="false">YEAR(B135)</f>
        <v>2023</v>
      </c>
      <c r="D135" s="10" t="n">
        <f aca="false">INT((MONTH(B135)-1)/3)+1</f>
        <v>2</v>
      </c>
      <c r="E135" s="10" t="n">
        <f aca="false">MONTH(B135)</f>
        <v>5</v>
      </c>
      <c r="F135" s="10" t="str">
        <f aca="false">CHOOSE(MOD(A135-1,5)+1,"Центр","Юг","Север","Запад","Восток")</f>
        <v>Запад</v>
      </c>
      <c r="G135" s="10" t="str">
        <f aca="false">"Округ_"&amp;(MOD(A135-1,5)+1)&amp;"_"&amp;(MOD(INT((A135-1)/5),5)+1)</f>
        <v>Округ_4_2</v>
      </c>
      <c r="H135" s="10" t="str">
        <f aca="false">"Город_"&amp;(MOD(A135-1,5)+1)&amp;"_"&amp;(MOD(INT((A135-1)/5),5)+1)&amp;"_"&amp;(MOD(INT((A135-1)/25),10)+1)</f>
        <v>Город_4_2_6</v>
      </c>
      <c r="I135" s="10" t="str">
        <f aca="false">CHOOSE(MOD(A135-1,4)+1,"Электроника","Одежда","Продукты","Мебель")</f>
        <v>Одежда</v>
      </c>
      <c r="J135" s="10" t="str">
        <f aca="false">CHOOSE(MOD(INT((A135-1)/4),4)+1,CHOOSE(MOD(A135-1,4)+1,"Смартфоны","Ноутбуки","Аксессуары","Аудио"),CHOOSE(MOD(A135-1,4)+1,"Верхняя одежда","Спортивная","Повседневная","Обувь"),CHOOSE(MOD(A135-1,4)+1,"Молочные","Мясные","Бакалея","Напитки"),CHOOSE(MOD(A135-1,4)+1,"Мягкая мебель","Корпусная","Офисная","Кухонная"))</f>
        <v>Спортивная</v>
      </c>
      <c r="K135" s="12" t="n">
        <f aca="false">1000+MOD(A135*317+A135*A135*7,49001)</f>
        <v>22167</v>
      </c>
      <c r="L135" s="12" t="n">
        <f aca="false">1+MOD(A135*131,100)</f>
        <v>55</v>
      </c>
      <c r="M135" s="12" t="n">
        <f aca="false">INT(K135*(0.6+MOD(A135*43,21)/100))</f>
        <v>15073</v>
      </c>
      <c r="N135" s="12" t="n">
        <f aca="false">K135-M135</f>
        <v>7094</v>
      </c>
    </row>
    <row r="136" customFormat="false" ht="12.8" hidden="false" customHeight="false" outlineLevel="0" collapsed="false">
      <c r="A136" s="10" t="n">
        <f aca="false">A135+1</f>
        <v>135</v>
      </c>
      <c r="B136" s="11" t="n">
        <f aca="false">B135+1</f>
        <v>45061</v>
      </c>
      <c r="C136" s="10" t="n">
        <f aca="false">YEAR(B136)</f>
        <v>2023</v>
      </c>
      <c r="D136" s="10" t="n">
        <f aca="false">INT((MONTH(B136)-1)/3)+1</f>
        <v>2</v>
      </c>
      <c r="E136" s="10" t="n">
        <f aca="false">MONTH(B136)</f>
        <v>5</v>
      </c>
      <c r="F136" s="10" t="str">
        <f aca="false">CHOOSE(MOD(A136-1,5)+1,"Центр","Юг","Север","Запад","Восток")</f>
        <v>Восток</v>
      </c>
      <c r="G136" s="10" t="str">
        <f aca="false">"Округ_"&amp;(MOD(A136-1,5)+1)&amp;"_"&amp;(MOD(INT((A136-1)/5),5)+1)</f>
        <v>Округ_5_2</v>
      </c>
      <c r="H136" s="10" t="str">
        <f aca="false">"Город_"&amp;(MOD(A136-1,5)+1)&amp;"_"&amp;(MOD(INT((A136-1)/5),5)+1)&amp;"_"&amp;(MOD(INT((A136-1)/25),10)+1)</f>
        <v>Город_5_2_6</v>
      </c>
      <c r="I136" s="10" t="str">
        <f aca="false">CHOOSE(MOD(A136-1,4)+1,"Электроника","Одежда","Продукты","Мебель")</f>
        <v>Продукты</v>
      </c>
      <c r="J136" s="10" t="str">
        <f aca="false">CHOOSE(MOD(INT((A136-1)/4),4)+1,CHOOSE(MOD(A136-1,4)+1,"Смартфоны","Ноутбуки","Аксессуары","Аудио"),CHOOSE(MOD(A136-1,4)+1,"Верхняя одежда","Спортивная","Повседневная","Обувь"),CHOOSE(MOD(A136-1,4)+1,"Молочные","Мясные","Бакалея","Напитки"),CHOOSE(MOD(A136-1,4)+1,"Мягкая мебель","Корпусная","Офисная","Кухонная"))</f>
        <v>Повседневная</v>
      </c>
      <c r="K136" s="12" t="n">
        <f aca="false">1000+MOD(A136*317+A136*A136*7,49001)</f>
        <v>24367</v>
      </c>
      <c r="L136" s="12" t="n">
        <f aca="false">1+MOD(A136*131,100)</f>
        <v>86</v>
      </c>
      <c r="M136" s="12" t="n">
        <f aca="false">INT(K136*(0.6+MOD(A136*43,21)/100))</f>
        <v>16813</v>
      </c>
      <c r="N136" s="12" t="n">
        <f aca="false">K136-M136</f>
        <v>7554</v>
      </c>
    </row>
    <row r="137" customFormat="false" ht="12.8" hidden="false" customHeight="false" outlineLevel="0" collapsed="false">
      <c r="A137" s="10" t="n">
        <f aca="false">A136+1</f>
        <v>136</v>
      </c>
      <c r="B137" s="11" t="n">
        <f aca="false">B136+1</f>
        <v>45062</v>
      </c>
      <c r="C137" s="10" t="n">
        <f aca="false">YEAR(B137)</f>
        <v>2023</v>
      </c>
      <c r="D137" s="10" t="n">
        <f aca="false">INT((MONTH(B137)-1)/3)+1</f>
        <v>2</v>
      </c>
      <c r="E137" s="10" t="n">
        <f aca="false">MONTH(B137)</f>
        <v>5</v>
      </c>
      <c r="F137" s="10" t="str">
        <f aca="false">CHOOSE(MOD(A137-1,5)+1,"Центр","Юг","Север","Запад","Восток")</f>
        <v>Центр</v>
      </c>
      <c r="G137" s="10" t="str">
        <f aca="false">"Округ_"&amp;(MOD(A137-1,5)+1)&amp;"_"&amp;(MOD(INT((A137-1)/5),5)+1)</f>
        <v>Округ_1_3</v>
      </c>
      <c r="H137" s="10" t="str">
        <f aca="false">"Город_"&amp;(MOD(A137-1,5)+1)&amp;"_"&amp;(MOD(INT((A137-1)/5),5)+1)&amp;"_"&amp;(MOD(INT((A137-1)/25),10)+1)</f>
        <v>Город_1_3_6</v>
      </c>
      <c r="I137" s="10" t="str">
        <f aca="false">CHOOSE(MOD(A137-1,4)+1,"Электроника","Одежда","Продукты","Мебель")</f>
        <v>Мебель</v>
      </c>
      <c r="J137" s="10" t="str">
        <f aca="false">CHOOSE(MOD(INT((A137-1)/4),4)+1,CHOOSE(MOD(A137-1,4)+1,"Смартфоны","Ноутбуки","Аксессуары","Аудио"),CHOOSE(MOD(A137-1,4)+1,"Верхняя одежда","Спортивная","Повседневная","Обувь"),CHOOSE(MOD(A137-1,4)+1,"Молочные","Мясные","Бакалея","Напитки"),CHOOSE(MOD(A137-1,4)+1,"Мягкая мебель","Корпусная","Офисная","Кухонная"))</f>
        <v>Обувь</v>
      </c>
      <c r="K137" s="12" t="n">
        <f aca="false">1000+MOD(A137*317+A137*A137*7,49001)</f>
        <v>26581</v>
      </c>
      <c r="L137" s="12" t="n">
        <f aca="false">1+MOD(A137*131,100)</f>
        <v>17</v>
      </c>
      <c r="M137" s="12" t="n">
        <f aca="false">INT(K137*(0.6+MOD(A137*43,21)/100))</f>
        <v>18606</v>
      </c>
      <c r="N137" s="12" t="n">
        <f aca="false">K137-M137</f>
        <v>7975</v>
      </c>
    </row>
    <row r="138" customFormat="false" ht="12.8" hidden="false" customHeight="false" outlineLevel="0" collapsed="false">
      <c r="A138" s="10" t="n">
        <f aca="false">A137+1</f>
        <v>137</v>
      </c>
      <c r="B138" s="11" t="n">
        <f aca="false">B137+1</f>
        <v>45063</v>
      </c>
      <c r="C138" s="10" t="n">
        <f aca="false">YEAR(B138)</f>
        <v>2023</v>
      </c>
      <c r="D138" s="10" t="n">
        <f aca="false">INT((MONTH(B138)-1)/3)+1</f>
        <v>2</v>
      </c>
      <c r="E138" s="10" t="n">
        <f aca="false">MONTH(B138)</f>
        <v>5</v>
      </c>
      <c r="F138" s="10" t="str">
        <f aca="false">CHOOSE(MOD(A138-1,5)+1,"Центр","Юг","Север","Запад","Восток")</f>
        <v>Юг</v>
      </c>
      <c r="G138" s="10" t="str">
        <f aca="false">"Округ_"&amp;(MOD(A138-1,5)+1)&amp;"_"&amp;(MOD(INT((A138-1)/5),5)+1)</f>
        <v>Округ_2_3</v>
      </c>
      <c r="H138" s="10" t="str">
        <f aca="false">"Город_"&amp;(MOD(A138-1,5)+1)&amp;"_"&amp;(MOD(INT((A138-1)/5),5)+1)&amp;"_"&amp;(MOD(INT((A138-1)/25),10)+1)</f>
        <v>Город_2_3_6</v>
      </c>
      <c r="I138" s="10" t="str">
        <f aca="false">CHOOSE(MOD(A138-1,4)+1,"Электроника","Одежда","Продукты","Мебель")</f>
        <v>Электроника</v>
      </c>
      <c r="J138" s="10" t="str">
        <f aca="false">CHOOSE(MOD(INT((A138-1)/4),4)+1,CHOOSE(MOD(A138-1,4)+1,"Смартфоны","Ноутбуки","Аксессуары","Аудио"),CHOOSE(MOD(A138-1,4)+1,"Верхняя одежда","Спортивная","Повседневная","Обувь"),CHOOSE(MOD(A138-1,4)+1,"Молочные","Мясные","Бакалея","Напитки"),CHOOSE(MOD(A138-1,4)+1,"Мягкая мебель","Корпусная","Офисная","Кухонная"))</f>
        <v>Молочные</v>
      </c>
      <c r="K138" s="12" t="n">
        <f aca="false">1000+MOD(A138*317+A138*A138*7,49001)</f>
        <v>28809</v>
      </c>
      <c r="L138" s="12" t="n">
        <f aca="false">1+MOD(A138*131,100)</f>
        <v>48</v>
      </c>
      <c r="M138" s="12" t="n">
        <f aca="false">INT(K138*(0.6+MOD(A138*43,21)/100))</f>
        <v>20454</v>
      </c>
      <c r="N138" s="12" t="n">
        <f aca="false">K138-M138</f>
        <v>8355</v>
      </c>
    </row>
    <row r="139" customFormat="false" ht="12.8" hidden="false" customHeight="false" outlineLevel="0" collapsed="false">
      <c r="A139" s="10" t="n">
        <f aca="false">A138+1</f>
        <v>138</v>
      </c>
      <c r="B139" s="11" t="n">
        <f aca="false">B138+1</f>
        <v>45064</v>
      </c>
      <c r="C139" s="10" t="n">
        <f aca="false">YEAR(B139)</f>
        <v>2023</v>
      </c>
      <c r="D139" s="10" t="n">
        <f aca="false">INT((MONTH(B139)-1)/3)+1</f>
        <v>2</v>
      </c>
      <c r="E139" s="10" t="n">
        <f aca="false">MONTH(B139)</f>
        <v>5</v>
      </c>
      <c r="F139" s="10" t="str">
        <f aca="false">CHOOSE(MOD(A139-1,5)+1,"Центр","Юг","Север","Запад","Восток")</f>
        <v>Север</v>
      </c>
      <c r="G139" s="10" t="str">
        <f aca="false">"Округ_"&amp;(MOD(A139-1,5)+1)&amp;"_"&amp;(MOD(INT((A139-1)/5),5)+1)</f>
        <v>Округ_3_3</v>
      </c>
      <c r="H139" s="10" t="str">
        <f aca="false">"Город_"&amp;(MOD(A139-1,5)+1)&amp;"_"&amp;(MOD(INT((A139-1)/5),5)+1)&amp;"_"&amp;(MOD(INT((A139-1)/25),10)+1)</f>
        <v>Город_3_3_6</v>
      </c>
      <c r="I139" s="10" t="str">
        <f aca="false">CHOOSE(MOD(A139-1,4)+1,"Электроника","Одежда","Продукты","Мебель")</f>
        <v>Одежда</v>
      </c>
      <c r="J139" s="10" t="str">
        <f aca="false">CHOOSE(MOD(INT((A139-1)/4),4)+1,CHOOSE(MOD(A139-1,4)+1,"Смартфоны","Ноутбуки","Аксессуары","Аудио"),CHOOSE(MOD(A139-1,4)+1,"Верхняя одежда","Спортивная","Повседневная","Обувь"),CHOOSE(MOD(A139-1,4)+1,"Молочные","Мясные","Бакалея","Напитки"),CHOOSE(MOD(A139-1,4)+1,"Мягкая мебель","Корпусная","Офисная","Кухонная"))</f>
        <v>Мясные</v>
      </c>
      <c r="K139" s="12" t="n">
        <f aca="false">1000+MOD(A139*317+A139*A139*7,49001)</f>
        <v>31051</v>
      </c>
      <c r="L139" s="12" t="n">
        <f aca="false">1+MOD(A139*131,100)</f>
        <v>79</v>
      </c>
      <c r="M139" s="12" t="n">
        <f aca="false">INT(K139*(0.6+MOD(A139*43,21)/100))</f>
        <v>22356</v>
      </c>
      <c r="N139" s="12" t="n">
        <f aca="false">K139-M139</f>
        <v>8695</v>
      </c>
    </row>
    <row r="140" customFormat="false" ht="12.8" hidden="false" customHeight="false" outlineLevel="0" collapsed="false">
      <c r="A140" s="10" t="n">
        <f aca="false">A139+1</f>
        <v>139</v>
      </c>
      <c r="B140" s="11" t="n">
        <f aca="false">B139+1</f>
        <v>45065</v>
      </c>
      <c r="C140" s="10" t="n">
        <f aca="false">YEAR(B140)</f>
        <v>2023</v>
      </c>
      <c r="D140" s="10" t="n">
        <f aca="false">INT((MONTH(B140)-1)/3)+1</f>
        <v>2</v>
      </c>
      <c r="E140" s="10" t="n">
        <f aca="false">MONTH(B140)</f>
        <v>5</v>
      </c>
      <c r="F140" s="10" t="str">
        <f aca="false">CHOOSE(MOD(A140-1,5)+1,"Центр","Юг","Север","Запад","Восток")</f>
        <v>Запад</v>
      </c>
      <c r="G140" s="10" t="str">
        <f aca="false">"Округ_"&amp;(MOD(A140-1,5)+1)&amp;"_"&amp;(MOD(INT((A140-1)/5),5)+1)</f>
        <v>Округ_4_3</v>
      </c>
      <c r="H140" s="10" t="str">
        <f aca="false">"Город_"&amp;(MOD(A140-1,5)+1)&amp;"_"&amp;(MOD(INT((A140-1)/5),5)+1)&amp;"_"&amp;(MOD(INT((A140-1)/25),10)+1)</f>
        <v>Город_4_3_6</v>
      </c>
      <c r="I140" s="10" t="str">
        <f aca="false">CHOOSE(MOD(A140-1,4)+1,"Электроника","Одежда","Продукты","Мебель")</f>
        <v>Продукты</v>
      </c>
      <c r="J140" s="10" t="str">
        <f aca="false">CHOOSE(MOD(INT((A140-1)/4),4)+1,CHOOSE(MOD(A140-1,4)+1,"Смартфоны","Ноутбуки","Аксессуары","Аудио"),CHOOSE(MOD(A140-1,4)+1,"Верхняя одежда","Спортивная","Повседневная","Обувь"),CHOOSE(MOD(A140-1,4)+1,"Молочные","Мясные","Бакалея","Напитки"),CHOOSE(MOD(A140-1,4)+1,"Мягкая мебель","Корпусная","Офисная","Кухонная"))</f>
        <v>Бакалея</v>
      </c>
      <c r="K140" s="12" t="n">
        <f aca="false">1000+MOD(A140*317+A140*A140*7,49001)</f>
        <v>33307</v>
      </c>
      <c r="L140" s="12" t="n">
        <f aca="false">1+MOD(A140*131,100)</f>
        <v>10</v>
      </c>
      <c r="M140" s="12" t="n">
        <f aca="false">INT(K140*(0.6+MOD(A140*43,21)/100))</f>
        <v>24314</v>
      </c>
      <c r="N140" s="12" t="n">
        <f aca="false">K140-M140</f>
        <v>8993</v>
      </c>
    </row>
    <row r="141" customFormat="false" ht="12.8" hidden="false" customHeight="false" outlineLevel="0" collapsed="false">
      <c r="A141" s="10" t="n">
        <f aca="false">A140+1</f>
        <v>140</v>
      </c>
      <c r="B141" s="11" t="n">
        <f aca="false">B140+1</f>
        <v>45066</v>
      </c>
      <c r="C141" s="10" t="n">
        <f aca="false">YEAR(B141)</f>
        <v>2023</v>
      </c>
      <c r="D141" s="10" t="n">
        <f aca="false">INT((MONTH(B141)-1)/3)+1</f>
        <v>2</v>
      </c>
      <c r="E141" s="10" t="n">
        <f aca="false">MONTH(B141)</f>
        <v>5</v>
      </c>
      <c r="F141" s="10" t="str">
        <f aca="false">CHOOSE(MOD(A141-1,5)+1,"Центр","Юг","Север","Запад","Восток")</f>
        <v>Восток</v>
      </c>
      <c r="G141" s="10" t="str">
        <f aca="false">"Округ_"&amp;(MOD(A141-1,5)+1)&amp;"_"&amp;(MOD(INT((A141-1)/5),5)+1)</f>
        <v>Округ_5_3</v>
      </c>
      <c r="H141" s="10" t="str">
        <f aca="false">"Город_"&amp;(MOD(A141-1,5)+1)&amp;"_"&amp;(MOD(INT((A141-1)/5),5)+1)&amp;"_"&amp;(MOD(INT((A141-1)/25),10)+1)</f>
        <v>Город_5_3_6</v>
      </c>
      <c r="I141" s="10" t="str">
        <f aca="false">CHOOSE(MOD(A141-1,4)+1,"Электроника","Одежда","Продукты","Мебель")</f>
        <v>Мебель</v>
      </c>
      <c r="J141" s="10" t="str">
        <f aca="false">CHOOSE(MOD(INT((A141-1)/4),4)+1,CHOOSE(MOD(A141-1,4)+1,"Смартфоны","Ноутбуки","Аксессуары","Аудио"),CHOOSE(MOD(A141-1,4)+1,"Верхняя одежда","Спортивная","Повседневная","Обувь"),CHOOSE(MOD(A141-1,4)+1,"Молочные","Мясные","Бакалея","Напитки"),CHOOSE(MOD(A141-1,4)+1,"Мягкая мебель","Корпусная","Офисная","Кухонная"))</f>
        <v>Напитки</v>
      </c>
      <c r="K141" s="12" t="n">
        <f aca="false">1000+MOD(A141*317+A141*A141*7,49001)</f>
        <v>35577</v>
      </c>
      <c r="L141" s="12" t="n">
        <f aca="false">1+MOD(A141*131,100)</f>
        <v>41</v>
      </c>
      <c r="M141" s="12" t="n">
        <f aca="false">INT(K141*(0.6+MOD(A141*43,21)/100))</f>
        <v>26326</v>
      </c>
      <c r="N141" s="12" t="n">
        <f aca="false">K141-M141</f>
        <v>9251</v>
      </c>
    </row>
    <row r="142" customFormat="false" ht="12.8" hidden="false" customHeight="false" outlineLevel="0" collapsed="false">
      <c r="A142" s="10" t="n">
        <f aca="false">A141+1</f>
        <v>141</v>
      </c>
      <c r="B142" s="11" t="n">
        <f aca="false">B141+1</f>
        <v>45067</v>
      </c>
      <c r="C142" s="10" t="n">
        <f aca="false">YEAR(B142)</f>
        <v>2023</v>
      </c>
      <c r="D142" s="10" t="n">
        <f aca="false">INT((MONTH(B142)-1)/3)+1</f>
        <v>2</v>
      </c>
      <c r="E142" s="10" t="n">
        <f aca="false">MONTH(B142)</f>
        <v>5</v>
      </c>
      <c r="F142" s="10" t="str">
        <f aca="false">CHOOSE(MOD(A142-1,5)+1,"Центр","Юг","Север","Запад","Восток")</f>
        <v>Центр</v>
      </c>
      <c r="G142" s="10" t="str">
        <f aca="false">"Округ_"&amp;(MOD(A142-1,5)+1)&amp;"_"&amp;(MOD(INT((A142-1)/5),5)+1)</f>
        <v>Округ_1_4</v>
      </c>
      <c r="H142" s="10" t="str">
        <f aca="false">"Город_"&amp;(MOD(A142-1,5)+1)&amp;"_"&amp;(MOD(INT((A142-1)/5),5)+1)&amp;"_"&amp;(MOD(INT((A142-1)/25),10)+1)</f>
        <v>Город_1_4_6</v>
      </c>
      <c r="I142" s="10" t="str">
        <f aca="false">CHOOSE(MOD(A142-1,4)+1,"Электроника","Одежда","Продукты","Мебель")</f>
        <v>Электроника</v>
      </c>
      <c r="J142" s="10" t="str">
        <f aca="false">CHOOSE(MOD(INT((A142-1)/4),4)+1,CHOOSE(MOD(A142-1,4)+1,"Смартфоны","Ноутбуки","Аксессуары","Аудио"),CHOOSE(MOD(A142-1,4)+1,"Верхняя одежда","Спортивная","Повседневная","Обувь"),CHOOSE(MOD(A142-1,4)+1,"Молочные","Мясные","Бакалея","Напитки"),CHOOSE(MOD(A142-1,4)+1,"Мягкая мебель","Корпусная","Офисная","Кухонная"))</f>
        <v>Мягкая мебель</v>
      </c>
      <c r="K142" s="12" t="n">
        <f aca="false">1000+MOD(A142*317+A142*A142*7,49001)</f>
        <v>37861</v>
      </c>
      <c r="L142" s="12" t="n">
        <f aca="false">1+MOD(A142*131,100)</f>
        <v>72</v>
      </c>
      <c r="M142" s="12" t="n">
        <f aca="false">INT(K142*(0.6+MOD(A142*43,21)/100))</f>
        <v>28395</v>
      </c>
      <c r="N142" s="12" t="n">
        <f aca="false">K142-M142</f>
        <v>9466</v>
      </c>
    </row>
    <row r="143" customFormat="false" ht="12.8" hidden="false" customHeight="false" outlineLevel="0" collapsed="false">
      <c r="A143" s="10" t="n">
        <f aca="false">A142+1</f>
        <v>142</v>
      </c>
      <c r="B143" s="11" t="n">
        <f aca="false">B142+1</f>
        <v>45068</v>
      </c>
      <c r="C143" s="10" t="n">
        <f aca="false">YEAR(B143)</f>
        <v>2023</v>
      </c>
      <c r="D143" s="10" t="n">
        <f aca="false">INT((MONTH(B143)-1)/3)+1</f>
        <v>2</v>
      </c>
      <c r="E143" s="10" t="n">
        <f aca="false">MONTH(B143)</f>
        <v>5</v>
      </c>
      <c r="F143" s="10" t="str">
        <f aca="false">CHOOSE(MOD(A143-1,5)+1,"Центр","Юг","Север","Запад","Восток")</f>
        <v>Юг</v>
      </c>
      <c r="G143" s="10" t="str">
        <f aca="false">"Округ_"&amp;(MOD(A143-1,5)+1)&amp;"_"&amp;(MOD(INT((A143-1)/5),5)+1)</f>
        <v>Округ_2_4</v>
      </c>
      <c r="H143" s="10" t="str">
        <f aca="false">"Город_"&amp;(MOD(A143-1,5)+1)&amp;"_"&amp;(MOD(INT((A143-1)/5),5)+1)&amp;"_"&amp;(MOD(INT((A143-1)/25),10)+1)</f>
        <v>Город_2_4_6</v>
      </c>
      <c r="I143" s="10" t="str">
        <f aca="false">CHOOSE(MOD(A143-1,4)+1,"Электроника","Одежда","Продукты","Мебель")</f>
        <v>Одежда</v>
      </c>
      <c r="J143" s="10" t="str">
        <f aca="false">CHOOSE(MOD(INT((A143-1)/4),4)+1,CHOOSE(MOD(A143-1,4)+1,"Смартфоны","Ноутбуки","Аксессуары","Аудио"),CHOOSE(MOD(A143-1,4)+1,"Верхняя одежда","Спортивная","Повседневная","Обувь"),CHOOSE(MOD(A143-1,4)+1,"Молочные","Мясные","Бакалея","Напитки"),CHOOSE(MOD(A143-1,4)+1,"Мягкая мебель","Корпусная","Офисная","Кухонная"))</f>
        <v>Корпусная</v>
      </c>
      <c r="K143" s="12" t="n">
        <f aca="false">1000+MOD(A143*317+A143*A143*7,49001)</f>
        <v>40159</v>
      </c>
      <c r="L143" s="12" t="n">
        <f aca="false">1+MOD(A143*131,100)</f>
        <v>3</v>
      </c>
      <c r="M143" s="12" t="n">
        <f aca="false">INT(K143*(0.6+MOD(A143*43,21)/100))</f>
        <v>30520</v>
      </c>
      <c r="N143" s="12" t="n">
        <f aca="false">K143-M143</f>
        <v>9639</v>
      </c>
    </row>
    <row r="144" customFormat="false" ht="12.8" hidden="false" customHeight="false" outlineLevel="0" collapsed="false">
      <c r="A144" s="10" t="n">
        <f aca="false">A143+1</f>
        <v>143</v>
      </c>
      <c r="B144" s="11" t="n">
        <f aca="false">B143+1</f>
        <v>45069</v>
      </c>
      <c r="C144" s="10" t="n">
        <f aca="false">YEAR(B144)</f>
        <v>2023</v>
      </c>
      <c r="D144" s="10" t="n">
        <f aca="false">INT((MONTH(B144)-1)/3)+1</f>
        <v>2</v>
      </c>
      <c r="E144" s="10" t="n">
        <f aca="false">MONTH(B144)</f>
        <v>5</v>
      </c>
      <c r="F144" s="10" t="str">
        <f aca="false">CHOOSE(MOD(A144-1,5)+1,"Центр","Юг","Север","Запад","Восток")</f>
        <v>Север</v>
      </c>
      <c r="G144" s="10" t="str">
        <f aca="false">"Округ_"&amp;(MOD(A144-1,5)+1)&amp;"_"&amp;(MOD(INT((A144-1)/5),5)+1)</f>
        <v>Округ_3_4</v>
      </c>
      <c r="H144" s="10" t="str">
        <f aca="false">"Город_"&amp;(MOD(A144-1,5)+1)&amp;"_"&amp;(MOD(INT((A144-1)/5),5)+1)&amp;"_"&amp;(MOD(INT((A144-1)/25),10)+1)</f>
        <v>Город_3_4_6</v>
      </c>
      <c r="I144" s="10" t="str">
        <f aca="false">CHOOSE(MOD(A144-1,4)+1,"Электроника","Одежда","Продукты","Мебель")</f>
        <v>Продукты</v>
      </c>
      <c r="J144" s="10" t="str">
        <f aca="false">CHOOSE(MOD(INT((A144-1)/4),4)+1,CHOOSE(MOD(A144-1,4)+1,"Смартфоны","Ноутбуки","Аксессуары","Аудио"),CHOOSE(MOD(A144-1,4)+1,"Верхняя одежда","Спортивная","Повседневная","Обувь"),CHOOSE(MOD(A144-1,4)+1,"Молочные","Мясные","Бакалея","Напитки"),CHOOSE(MOD(A144-1,4)+1,"Мягкая мебель","Корпусная","Офисная","Кухонная"))</f>
        <v>Офисная</v>
      </c>
      <c r="K144" s="12" t="n">
        <f aca="false">1000+MOD(A144*317+A144*A144*7,49001)</f>
        <v>42471</v>
      </c>
      <c r="L144" s="12" t="n">
        <f aca="false">1+MOD(A144*131,100)</f>
        <v>34</v>
      </c>
      <c r="M144" s="12" t="n">
        <f aca="false">INT(K144*(0.6+MOD(A144*43,21)/100))</f>
        <v>32702</v>
      </c>
      <c r="N144" s="12" t="n">
        <f aca="false">K144-M144</f>
        <v>9769</v>
      </c>
    </row>
    <row r="145" customFormat="false" ht="12.8" hidden="false" customHeight="false" outlineLevel="0" collapsed="false">
      <c r="A145" s="10" t="n">
        <f aca="false">A144+1</f>
        <v>144</v>
      </c>
      <c r="B145" s="11" t="n">
        <f aca="false">B144+1</f>
        <v>45070</v>
      </c>
      <c r="C145" s="10" t="n">
        <f aca="false">YEAR(B145)</f>
        <v>2023</v>
      </c>
      <c r="D145" s="10" t="n">
        <f aca="false">INT((MONTH(B145)-1)/3)+1</f>
        <v>2</v>
      </c>
      <c r="E145" s="10" t="n">
        <f aca="false">MONTH(B145)</f>
        <v>5</v>
      </c>
      <c r="F145" s="10" t="str">
        <f aca="false">CHOOSE(MOD(A145-1,5)+1,"Центр","Юг","Север","Запад","Восток")</f>
        <v>Запад</v>
      </c>
      <c r="G145" s="10" t="str">
        <f aca="false">"Округ_"&amp;(MOD(A145-1,5)+1)&amp;"_"&amp;(MOD(INT((A145-1)/5),5)+1)</f>
        <v>Округ_4_4</v>
      </c>
      <c r="H145" s="10" t="str">
        <f aca="false">"Город_"&amp;(MOD(A145-1,5)+1)&amp;"_"&amp;(MOD(INT((A145-1)/5),5)+1)&amp;"_"&amp;(MOD(INT((A145-1)/25),10)+1)</f>
        <v>Город_4_4_6</v>
      </c>
      <c r="I145" s="10" t="str">
        <f aca="false">CHOOSE(MOD(A145-1,4)+1,"Электроника","Одежда","Продукты","Мебель")</f>
        <v>Мебель</v>
      </c>
      <c r="J145" s="10" t="str">
        <f aca="false">CHOOSE(MOD(INT((A145-1)/4),4)+1,CHOOSE(MOD(A145-1,4)+1,"Смартфоны","Ноутбуки","Аксессуары","Аудио"),CHOOSE(MOD(A145-1,4)+1,"Верхняя одежда","Спортивная","Повседневная","Обувь"),CHOOSE(MOD(A145-1,4)+1,"Молочные","Мясные","Бакалея","Напитки"),CHOOSE(MOD(A145-1,4)+1,"Мягкая мебель","Корпусная","Офисная","Кухонная"))</f>
        <v>Кухонная</v>
      </c>
      <c r="K145" s="12" t="n">
        <f aca="false">1000+MOD(A145*317+A145*A145*7,49001)</f>
        <v>44797</v>
      </c>
      <c r="L145" s="12" t="n">
        <f aca="false">1+MOD(A145*131,100)</f>
        <v>65</v>
      </c>
      <c r="M145" s="12" t="n">
        <f aca="false">INT(K145*(0.6+MOD(A145*43,21)/100))</f>
        <v>34941</v>
      </c>
      <c r="N145" s="12" t="n">
        <f aca="false">K145-M145</f>
        <v>9856</v>
      </c>
    </row>
    <row r="146" customFormat="false" ht="12.8" hidden="false" customHeight="false" outlineLevel="0" collapsed="false">
      <c r="A146" s="10" t="n">
        <f aca="false">A145+1</f>
        <v>145</v>
      </c>
      <c r="B146" s="11" t="n">
        <f aca="false">B145+1</f>
        <v>45071</v>
      </c>
      <c r="C146" s="10" t="n">
        <f aca="false">YEAR(B146)</f>
        <v>2023</v>
      </c>
      <c r="D146" s="10" t="n">
        <f aca="false">INT((MONTH(B146)-1)/3)+1</f>
        <v>2</v>
      </c>
      <c r="E146" s="10" t="n">
        <f aca="false">MONTH(B146)</f>
        <v>5</v>
      </c>
      <c r="F146" s="10" t="str">
        <f aca="false">CHOOSE(MOD(A146-1,5)+1,"Центр","Юг","Север","Запад","Восток")</f>
        <v>Восток</v>
      </c>
      <c r="G146" s="10" t="str">
        <f aca="false">"Округ_"&amp;(MOD(A146-1,5)+1)&amp;"_"&amp;(MOD(INT((A146-1)/5),5)+1)</f>
        <v>Округ_5_4</v>
      </c>
      <c r="H146" s="10" t="str">
        <f aca="false">"Город_"&amp;(MOD(A146-1,5)+1)&amp;"_"&amp;(MOD(INT((A146-1)/5),5)+1)&amp;"_"&amp;(MOD(INT((A146-1)/25),10)+1)</f>
        <v>Город_5_4_6</v>
      </c>
      <c r="I146" s="10" t="str">
        <f aca="false">CHOOSE(MOD(A146-1,4)+1,"Электроника","Одежда","Продукты","Мебель")</f>
        <v>Электроника</v>
      </c>
      <c r="J146" s="10" t="str">
        <f aca="false">CHOOSE(MOD(INT((A146-1)/4),4)+1,CHOOSE(MOD(A146-1,4)+1,"Смартфоны","Ноутбуки","Аксессуары","Аудио"),CHOOSE(MOD(A146-1,4)+1,"Верхняя одежда","Спортивная","Повседневная","Обувь"),CHOOSE(MOD(A146-1,4)+1,"Молочные","Мясные","Бакалея","Напитки"),CHOOSE(MOD(A146-1,4)+1,"Мягкая мебель","Корпусная","Офисная","Кухонная"))</f>
        <v>Смартфоны</v>
      </c>
      <c r="K146" s="12" t="n">
        <f aca="false">1000+MOD(A146*317+A146*A146*7,49001)</f>
        <v>47137</v>
      </c>
      <c r="L146" s="12" t="n">
        <f aca="false">1+MOD(A146*131,100)</f>
        <v>96</v>
      </c>
      <c r="M146" s="12" t="n">
        <f aca="false">INT(K146*(0.6+MOD(A146*43,21)/100))</f>
        <v>37238</v>
      </c>
      <c r="N146" s="12" t="n">
        <f aca="false">K146-M146</f>
        <v>9899</v>
      </c>
    </row>
    <row r="147" customFormat="false" ht="12.8" hidden="false" customHeight="false" outlineLevel="0" collapsed="false">
      <c r="A147" s="10" t="n">
        <f aca="false">A146+1</f>
        <v>146</v>
      </c>
      <c r="B147" s="11" t="n">
        <f aca="false">B146+1</f>
        <v>45072</v>
      </c>
      <c r="C147" s="10" t="n">
        <f aca="false">YEAR(B147)</f>
        <v>2023</v>
      </c>
      <c r="D147" s="10" t="n">
        <f aca="false">INT((MONTH(B147)-1)/3)+1</f>
        <v>2</v>
      </c>
      <c r="E147" s="10" t="n">
        <f aca="false">MONTH(B147)</f>
        <v>5</v>
      </c>
      <c r="F147" s="10" t="str">
        <f aca="false">CHOOSE(MOD(A147-1,5)+1,"Центр","Юг","Север","Запад","Восток")</f>
        <v>Центр</v>
      </c>
      <c r="G147" s="10" t="str">
        <f aca="false">"Округ_"&amp;(MOD(A147-1,5)+1)&amp;"_"&amp;(MOD(INT((A147-1)/5),5)+1)</f>
        <v>Округ_1_5</v>
      </c>
      <c r="H147" s="10" t="str">
        <f aca="false">"Город_"&amp;(MOD(A147-1,5)+1)&amp;"_"&amp;(MOD(INT((A147-1)/5),5)+1)&amp;"_"&amp;(MOD(INT((A147-1)/25),10)+1)</f>
        <v>Город_1_5_6</v>
      </c>
      <c r="I147" s="10" t="str">
        <f aca="false">CHOOSE(MOD(A147-1,4)+1,"Электроника","Одежда","Продукты","Мебель")</f>
        <v>Одежда</v>
      </c>
      <c r="J147" s="10" t="str">
        <f aca="false">CHOOSE(MOD(INT((A147-1)/4),4)+1,CHOOSE(MOD(A147-1,4)+1,"Смартфоны","Ноутбуки","Аксессуары","Аудио"),CHOOSE(MOD(A147-1,4)+1,"Верхняя одежда","Спортивная","Повседневная","Обувь"),CHOOSE(MOD(A147-1,4)+1,"Молочные","Мясные","Бакалея","Напитки"),CHOOSE(MOD(A147-1,4)+1,"Мягкая мебель","Корпусная","Офисная","Кухонная"))</f>
        <v>Ноутбуки</v>
      </c>
      <c r="K147" s="12" t="n">
        <f aca="false">1000+MOD(A147*317+A147*A147*7,49001)</f>
        <v>49491</v>
      </c>
      <c r="L147" s="12" t="n">
        <f aca="false">1+MOD(A147*131,100)</f>
        <v>27</v>
      </c>
      <c r="M147" s="12" t="n">
        <f aca="false">INT(K147*(0.6+MOD(A147*43,21)/100))</f>
        <v>39592</v>
      </c>
      <c r="N147" s="12" t="n">
        <f aca="false">K147-M147</f>
        <v>9899</v>
      </c>
    </row>
    <row r="148" customFormat="false" ht="12.8" hidden="false" customHeight="false" outlineLevel="0" collapsed="false">
      <c r="A148" s="10" t="n">
        <f aca="false">A147+1</f>
        <v>147</v>
      </c>
      <c r="B148" s="11" t="n">
        <f aca="false">B147+1</f>
        <v>45073</v>
      </c>
      <c r="C148" s="10" t="n">
        <f aca="false">YEAR(B148)</f>
        <v>2023</v>
      </c>
      <c r="D148" s="10" t="n">
        <f aca="false">INT((MONTH(B148)-1)/3)+1</f>
        <v>2</v>
      </c>
      <c r="E148" s="10" t="n">
        <f aca="false">MONTH(B148)</f>
        <v>5</v>
      </c>
      <c r="F148" s="10" t="str">
        <f aca="false">CHOOSE(MOD(A148-1,5)+1,"Центр","Юг","Север","Запад","Восток")</f>
        <v>Юг</v>
      </c>
      <c r="G148" s="10" t="str">
        <f aca="false">"Округ_"&amp;(MOD(A148-1,5)+1)&amp;"_"&amp;(MOD(INT((A148-1)/5),5)+1)</f>
        <v>Округ_2_5</v>
      </c>
      <c r="H148" s="10" t="str">
        <f aca="false">"Город_"&amp;(MOD(A148-1,5)+1)&amp;"_"&amp;(MOD(INT((A148-1)/5),5)+1)&amp;"_"&amp;(MOD(INT((A148-1)/25),10)+1)</f>
        <v>Город_2_5_6</v>
      </c>
      <c r="I148" s="10" t="str">
        <f aca="false">CHOOSE(MOD(A148-1,4)+1,"Электроника","Одежда","Продукты","Мебель")</f>
        <v>Продукты</v>
      </c>
      <c r="J148" s="10" t="str">
        <f aca="false">CHOOSE(MOD(INT((A148-1)/4),4)+1,CHOOSE(MOD(A148-1,4)+1,"Смартфоны","Ноутбуки","Аксессуары","Аудио"),CHOOSE(MOD(A148-1,4)+1,"Верхняя одежда","Спортивная","Повседневная","Обувь"),CHOOSE(MOD(A148-1,4)+1,"Молочные","Мясные","Бакалея","Напитки"),CHOOSE(MOD(A148-1,4)+1,"Мягкая мебель","Корпусная","Офисная","Кухонная"))</f>
        <v>Аксессуары</v>
      </c>
      <c r="K148" s="12" t="n">
        <f aca="false">1000+MOD(A148*317+A148*A148*7,49001)</f>
        <v>2858</v>
      </c>
      <c r="L148" s="12" t="n">
        <f aca="false">1+MOD(A148*131,100)</f>
        <v>58</v>
      </c>
      <c r="M148" s="12" t="n">
        <f aca="false">INT(K148*(0.6+MOD(A148*43,21)/100))</f>
        <v>1714</v>
      </c>
      <c r="N148" s="12" t="n">
        <f aca="false">K148-M148</f>
        <v>1144</v>
      </c>
    </row>
    <row r="149" customFormat="false" ht="12.8" hidden="false" customHeight="false" outlineLevel="0" collapsed="false">
      <c r="A149" s="10" t="n">
        <f aca="false">A148+1</f>
        <v>148</v>
      </c>
      <c r="B149" s="11" t="n">
        <f aca="false">B148+1</f>
        <v>45074</v>
      </c>
      <c r="C149" s="10" t="n">
        <f aca="false">YEAR(B149)</f>
        <v>2023</v>
      </c>
      <c r="D149" s="10" t="n">
        <f aca="false">INT((MONTH(B149)-1)/3)+1</f>
        <v>2</v>
      </c>
      <c r="E149" s="10" t="n">
        <f aca="false">MONTH(B149)</f>
        <v>5</v>
      </c>
      <c r="F149" s="10" t="str">
        <f aca="false">CHOOSE(MOD(A149-1,5)+1,"Центр","Юг","Север","Запад","Восток")</f>
        <v>Север</v>
      </c>
      <c r="G149" s="10" t="str">
        <f aca="false">"Округ_"&amp;(MOD(A149-1,5)+1)&amp;"_"&amp;(MOD(INT((A149-1)/5),5)+1)</f>
        <v>Округ_3_5</v>
      </c>
      <c r="H149" s="10" t="str">
        <f aca="false">"Город_"&amp;(MOD(A149-1,5)+1)&amp;"_"&amp;(MOD(INT((A149-1)/5),5)+1)&amp;"_"&amp;(MOD(INT((A149-1)/25),10)+1)</f>
        <v>Город_3_5_6</v>
      </c>
      <c r="I149" s="10" t="str">
        <f aca="false">CHOOSE(MOD(A149-1,4)+1,"Электроника","Одежда","Продукты","Мебель")</f>
        <v>Мебель</v>
      </c>
      <c r="J149" s="10" t="str">
        <f aca="false">CHOOSE(MOD(INT((A149-1)/4),4)+1,CHOOSE(MOD(A149-1,4)+1,"Смартфоны","Ноутбуки","Аксессуары","Аудио"),CHOOSE(MOD(A149-1,4)+1,"Верхняя одежда","Спортивная","Повседневная","Обувь"),CHOOSE(MOD(A149-1,4)+1,"Молочные","Мясные","Бакалея","Напитки"),CHOOSE(MOD(A149-1,4)+1,"Мягкая мебель","Корпусная","Офисная","Кухонная"))</f>
        <v>Аудио</v>
      </c>
      <c r="K149" s="12" t="n">
        <f aca="false">1000+MOD(A149*317+A149*A149*7,49001)</f>
        <v>5240</v>
      </c>
      <c r="L149" s="12" t="n">
        <f aca="false">1+MOD(A149*131,100)</f>
        <v>89</v>
      </c>
      <c r="M149" s="12" t="n">
        <f aca="false">INT(K149*(0.6+MOD(A149*43,21)/100))</f>
        <v>3196</v>
      </c>
      <c r="N149" s="12" t="n">
        <f aca="false">K149-M149</f>
        <v>2044</v>
      </c>
    </row>
    <row r="150" customFormat="false" ht="12.8" hidden="false" customHeight="false" outlineLevel="0" collapsed="false">
      <c r="A150" s="10" t="n">
        <f aca="false">A149+1</f>
        <v>149</v>
      </c>
      <c r="B150" s="11" t="n">
        <f aca="false">B149+1</f>
        <v>45075</v>
      </c>
      <c r="C150" s="10" t="n">
        <f aca="false">YEAR(B150)</f>
        <v>2023</v>
      </c>
      <c r="D150" s="10" t="n">
        <f aca="false">INT((MONTH(B150)-1)/3)+1</f>
        <v>2</v>
      </c>
      <c r="E150" s="10" t="n">
        <f aca="false">MONTH(B150)</f>
        <v>5</v>
      </c>
      <c r="F150" s="10" t="str">
        <f aca="false">CHOOSE(MOD(A150-1,5)+1,"Центр","Юг","Север","Запад","Восток")</f>
        <v>Запад</v>
      </c>
      <c r="G150" s="10" t="str">
        <f aca="false">"Округ_"&amp;(MOD(A150-1,5)+1)&amp;"_"&amp;(MOD(INT((A150-1)/5),5)+1)</f>
        <v>Округ_4_5</v>
      </c>
      <c r="H150" s="10" t="str">
        <f aca="false">"Город_"&amp;(MOD(A150-1,5)+1)&amp;"_"&amp;(MOD(INT((A150-1)/5),5)+1)&amp;"_"&amp;(MOD(INT((A150-1)/25),10)+1)</f>
        <v>Город_4_5_6</v>
      </c>
      <c r="I150" s="10" t="str">
        <f aca="false">CHOOSE(MOD(A150-1,4)+1,"Электроника","Одежда","Продукты","Мебель")</f>
        <v>Электроника</v>
      </c>
      <c r="J150" s="10" t="str">
        <f aca="false">CHOOSE(MOD(INT((A150-1)/4),4)+1,CHOOSE(MOD(A150-1,4)+1,"Смартфоны","Ноутбуки","Аксессуары","Аудио"),CHOOSE(MOD(A150-1,4)+1,"Верхняя одежда","Спортивная","Повседневная","Обувь"),CHOOSE(MOD(A150-1,4)+1,"Молочные","Мясные","Бакалея","Напитки"),CHOOSE(MOD(A150-1,4)+1,"Мягкая мебель","Корпусная","Офисная","Кухонная"))</f>
        <v>Верхняя одежда</v>
      </c>
      <c r="K150" s="12" t="n">
        <f aca="false">1000+MOD(A150*317+A150*A150*7,49001)</f>
        <v>7636</v>
      </c>
      <c r="L150" s="12" t="n">
        <f aca="false">1+MOD(A150*131,100)</f>
        <v>20</v>
      </c>
      <c r="M150" s="12" t="n">
        <f aca="false">INT(K150*(0.6+MOD(A150*43,21)/100))</f>
        <v>4734</v>
      </c>
      <c r="N150" s="12" t="n">
        <f aca="false">K150-M150</f>
        <v>2902</v>
      </c>
    </row>
    <row r="151" customFormat="false" ht="12.8" hidden="false" customHeight="false" outlineLevel="0" collapsed="false">
      <c r="A151" s="10" t="n">
        <f aca="false">A150+1</f>
        <v>150</v>
      </c>
      <c r="B151" s="11" t="n">
        <f aca="false">B150+1</f>
        <v>45076</v>
      </c>
      <c r="C151" s="10" t="n">
        <f aca="false">YEAR(B151)</f>
        <v>2023</v>
      </c>
      <c r="D151" s="10" t="n">
        <f aca="false">INT((MONTH(B151)-1)/3)+1</f>
        <v>2</v>
      </c>
      <c r="E151" s="10" t="n">
        <f aca="false">MONTH(B151)</f>
        <v>5</v>
      </c>
      <c r="F151" s="10" t="str">
        <f aca="false">CHOOSE(MOD(A151-1,5)+1,"Центр","Юг","Север","Запад","Восток")</f>
        <v>Восток</v>
      </c>
      <c r="G151" s="10" t="str">
        <f aca="false">"Округ_"&amp;(MOD(A151-1,5)+1)&amp;"_"&amp;(MOD(INT((A151-1)/5),5)+1)</f>
        <v>Округ_5_5</v>
      </c>
      <c r="H151" s="10" t="str">
        <f aca="false">"Город_"&amp;(MOD(A151-1,5)+1)&amp;"_"&amp;(MOD(INT((A151-1)/5),5)+1)&amp;"_"&amp;(MOD(INT((A151-1)/25),10)+1)</f>
        <v>Город_5_5_6</v>
      </c>
      <c r="I151" s="10" t="str">
        <f aca="false">CHOOSE(MOD(A151-1,4)+1,"Электроника","Одежда","Продукты","Мебель")</f>
        <v>Одежда</v>
      </c>
      <c r="J151" s="10" t="str">
        <f aca="false">CHOOSE(MOD(INT((A151-1)/4),4)+1,CHOOSE(MOD(A151-1,4)+1,"Смартфоны","Ноутбуки","Аксессуары","Аудио"),CHOOSE(MOD(A151-1,4)+1,"Верхняя одежда","Спортивная","Повседневная","Обувь"),CHOOSE(MOD(A151-1,4)+1,"Молочные","Мясные","Бакалея","Напитки"),CHOOSE(MOD(A151-1,4)+1,"Мягкая мебель","Корпусная","Офисная","Кухонная"))</f>
        <v>Спортивная</v>
      </c>
      <c r="K151" s="12" t="n">
        <f aca="false">1000+MOD(A151*317+A151*A151*7,49001)</f>
        <v>10046</v>
      </c>
      <c r="L151" s="12" t="n">
        <f aca="false">1+MOD(A151*131,100)</f>
        <v>51</v>
      </c>
      <c r="M151" s="12" t="n">
        <f aca="false">INT(K151*(0.6+MOD(A151*43,21)/100))</f>
        <v>6328</v>
      </c>
      <c r="N151" s="12" t="n">
        <f aca="false">K151-M151</f>
        <v>3718</v>
      </c>
    </row>
    <row r="152" customFormat="false" ht="12.8" hidden="false" customHeight="false" outlineLevel="0" collapsed="false">
      <c r="A152" s="10" t="n">
        <f aca="false">A151+1</f>
        <v>151</v>
      </c>
      <c r="B152" s="11" t="n">
        <f aca="false">B151+1</f>
        <v>45077</v>
      </c>
      <c r="C152" s="10" t="n">
        <f aca="false">YEAR(B152)</f>
        <v>2023</v>
      </c>
      <c r="D152" s="10" t="n">
        <f aca="false">INT((MONTH(B152)-1)/3)+1</f>
        <v>2</v>
      </c>
      <c r="E152" s="10" t="n">
        <f aca="false">MONTH(B152)</f>
        <v>5</v>
      </c>
      <c r="F152" s="10" t="str">
        <f aca="false">CHOOSE(MOD(A152-1,5)+1,"Центр","Юг","Север","Запад","Восток")</f>
        <v>Центр</v>
      </c>
      <c r="G152" s="10" t="str">
        <f aca="false">"Округ_"&amp;(MOD(A152-1,5)+1)&amp;"_"&amp;(MOD(INT((A152-1)/5),5)+1)</f>
        <v>Округ_1_1</v>
      </c>
      <c r="H152" s="10" t="str">
        <f aca="false">"Город_"&amp;(MOD(A152-1,5)+1)&amp;"_"&amp;(MOD(INT((A152-1)/5),5)+1)&amp;"_"&amp;(MOD(INT((A152-1)/25),10)+1)</f>
        <v>Город_1_1_7</v>
      </c>
      <c r="I152" s="10" t="str">
        <f aca="false">CHOOSE(MOD(A152-1,4)+1,"Электроника","Одежда","Продукты","Мебель")</f>
        <v>Продукты</v>
      </c>
      <c r="J152" s="10" t="str">
        <f aca="false">CHOOSE(MOD(INT((A152-1)/4),4)+1,CHOOSE(MOD(A152-1,4)+1,"Смартфоны","Ноутбуки","Аксессуары","Аудио"),CHOOSE(MOD(A152-1,4)+1,"Верхняя одежда","Спортивная","Повседневная","Обувь"),CHOOSE(MOD(A152-1,4)+1,"Молочные","Мясные","Бакалея","Напитки"),CHOOSE(MOD(A152-1,4)+1,"Мягкая мебель","Корпусная","Офисная","Кухонная"))</f>
        <v>Повседневная</v>
      </c>
      <c r="K152" s="12" t="n">
        <f aca="false">1000+MOD(A152*317+A152*A152*7,49001)</f>
        <v>12470</v>
      </c>
      <c r="L152" s="12" t="n">
        <f aca="false">1+MOD(A152*131,100)</f>
        <v>82</v>
      </c>
      <c r="M152" s="12" t="n">
        <f aca="false">INT(K152*(0.6+MOD(A152*43,21)/100))</f>
        <v>7980</v>
      </c>
      <c r="N152" s="12" t="n">
        <f aca="false">K152-M152</f>
        <v>4490</v>
      </c>
    </row>
    <row r="153" customFormat="false" ht="12.8" hidden="false" customHeight="false" outlineLevel="0" collapsed="false">
      <c r="A153" s="10" t="n">
        <f aca="false">A152+1</f>
        <v>152</v>
      </c>
      <c r="B153" s="11" t="n">
        <f aca="false">B152+1</f>
        <v>45078</v>
      </c>
      <c r="C153" s="10" t="n">
        <f aca="false">YEAR(B153)</f>
        <v>2023</v>
      </c>
      <c r="D153" s="10" t="n">
        <f aca="false">INT((MONTH(B153)-1)/3)+1</f>
        <v>2</v>
      </c>
      <c r="E153" s="10" t="n">
        <f aca="false">MONTH(B153)</f>
        <v>6</v>
      </c>
      <c r="F153" s="10" t="str">
        <f aca="false">CHOOSE(MOD(A153-1,5)+1,"Центр","Юг","Север","Запад","Восток")</f>
        <v>Юг</v>
      </c>
      <c r="G153" s="10" t="str">
        <f aca="false">"Округ_"&amp;(MOD(A153-1,5)+1)&amp;"_"&amp;(MOD(INT((A153-1)/5),5)+1)</f>
        <v>Округ_2_1</v>
      </c>
      <c r="H153" s="10" t="str">
        <f aca="false">"Город_"&amp;(MOD(A153-1,5)+1)&amp;"_"&amp;(MOD(INT((A153-1)/5),5)+1)&amp;"_"&amp;(MOD(INT((A153-1)/25),10)+1)</f>
        <v>Город_2_1_7</v>
      </c>
      <c r="I153" s="10" t="str">
        <f aca="false">CHOOSE(MOD(A153-1,4)+1,"Электроника","Одежда","Продукты","Мебель")</f>
        <v>Мебель</v>
      </c>
      <c r="J153" s="10" t="str">
        <f aca="false">CHOOSE(MOD(INT((A153-1)/4),4)+1,CHOOSE(MOD(A153-1,4)+1,"Смартфоны","Ноутбуки","Аксессуары","Аудио"),CHOOSE(MOD(A153-1,4)+1,"Верхняя одежда","Спортивная","Повседневная","Обувь"),CHOOSE(MOD(A153-1,4)+1,"Молочные","Мясные","Бакалея","Напитки"),CHOOSE(MOD(A153-1,4)+1,"Мягкая мебель","Корпусная","Офисная","Кухонная"))</f>
        <v>Обувь</v>
      </c>
      <c r="K153" s="12" t="n">
        <f aca="false">1000+MOD(A153*317+A153*A153*7,49001)</f>
        <v>14908</v>
      </c>
      <c r="L153" s="12" t="n">
        <f aca="false">1+MOD(A153*131,100)</f>
        <v>13</v>
      </c>
      <c r="M153" s="12" t="n">
        <f aca="false">INT(K153*(0.6+MOD(A153*43,21)/100))</f>
        <v>9690</v>
      </c>
      <c r="N153" s="12" t="n">
        <f aca="false">K153-M153</f>
        <v>5218</v>
      </c>
    </row>
    <row r="154" customFormat="false" ht="12.8" hidden="false" customHeight="false" outlineLevel="0" collapsed="false">
      <c r="A154" s="10" t="n">
        <f aca="false">A153+1</f>
        <v>153</v>
      </c>
      <c r="B154" s="11" t="n">
        <f aca="false">B153+1</f>
        <v>45079</v>
      </c>
      <c r="C154" s="10" t="n">
        <f aca="false">YEAR(B154)</f>
        <v>2023</v>
      </c>
      <c r="D154" s="10" t="n">
        <f aca="false">INT((MONTH(B154)-1)/3)+1</f>
        <v>2</v>
      </c>
      <c r="E154" s="10" t="n">
        <f aca="false">MONTH(B154)</f>
        <v>6</v>
      </c>
      <c r="F154" s="10" t="str">
        <f aca="false">CHOOSE(MOD(A154-1,5)+1,"Центр","Юг","Север","Запад","Восток")</f>
        <v>Север</v>
      </c>
      <c r="G154" s="10" t="str">
        <f aca="false">"Округ_"&amp;(MOD(A154-1,5)+1)&amp;"_"&amp;(MOD(INT((A154-1)/5),5)+1)</f>
        <v>Округ_3_1</v>
      </c>
      <c r="H154" s="10" t="str">
        <f aca="false">"Город_"&amp;(MOD(A154-1,5)+1)&amp;"_"&amp;(MOD(INT((A154-1)/5),5)+1)&amp;"_"&amp;(MOD(INT((A154-1)/25),10)+1)</f>
        <v>Город_3_1_7</v>
      </c>
      <c r="I154" s="10" t="str">
        <f aca="false">CHOOSE(MOD(A154-1,4)+1,"Электроника","Одежда","Продукты","Мебель")</f>
        <v>Электроника</v>
      </c>
      <c r="J154" s="10" t="str">
        <f aca="false">CHOOSE(MOD(INT((A154-1)/4),4)+1,CHOOSE(MOD(A154-1,4)+1,"Смартфоны","Ноутбуки","Аксессуары","Аудио"),CHOOSE(MOD(A154-1,4)+1,"Верхняя одежда","Спортивная","Повседневная","Обувь"),CHOOSE(MOD(A154-1,4)+1,"Молочные","Мясные","Бакалея","Напитки"),CHOOSE(MOD(A154-1,4)+1,"Мягкая мебель","Корпусная","Офисная","Кухонная"))</f>
        <v>Молочные</v>
      </c>
      <c r="K154" s="12" t="n">
        <f aca="false">1000+MOD(A154*317+A154*A154*7,49001)</f>
        <v>17360</v>
      </c>
      <c r="L154" s="12" t="n">
        <f aca="false">1+MOD(A154*131,100)</f>
        <v>44</v>
      </c>
      <c r="M154" s="12" t="n">
        <f aca="false">INT(K154*(0.6+MOD(A154*43,21)/100))</f>
        <v>11457</v>
      </c>
      <c r="N154" s="12" t="n">
        <f aca="false">K154-M154</f>
        <v>5903</v>
      </c>
    </row>
    <row r="155" customFormat="false" ht="12.8" hidden="false" customHeight="false" outlineLevel="0" collapsed="false">
      <c r="A155" s="10" t="n">
        <f aca="false">A154+1</f>
        <v>154</v>
      </c>
      <c r="B155" s="11" t="n">
        <f aca="false">B154+1</f>
        <v>45080</v>
      </c>
      <c r="C155" s="10" t="n">
        <f aca="false">YEAR(B155)</f>
        <v>2023</v>
      </c>
      <c r="D155" s="10" t="n">
        <f aca="false">INT((MONTH(B155)-1)/3)+1</f>
        <v>2</v>
      </c>
      <c r="E155" s="10" t="n">
        <f aca="false">MONTH(B155)</f>
        <v>6</v>
      </c>
      <c r="F155" s="10" t="str">
        <f aca="false">CHOOSE(MOD(A155-1,5)+1,"Центр","Юг","Север","Запад","Восток")</f>
        <v>Запад</v>
      </c>
      <c r="G155" s="10" t="str">
        <f aca="false">"Округ_"&amp;(MOD(A155-1,5)+1)&amp;"_"&amp;(MOD(INT((A155-1)/5),5)+1)</f>
        <v>Округ_4_1</v>
      </c>
      <c r="H155" s="10" t="str">
        <f aca="false">"Город_"&amp;(MOD(A155-1,5)+1)&amp;"_"&amp;(MOD(INT((A155-1)/5),5)+1)&amp;"_"&amp;(MOD(INT((A155-1)/25),10)+1)</f>
        <v>Город_4_1_7</v>
      </c>
      <c r="I155" s="10" t="str">
        <f aca="false">CHOOSE(MOD(A155-1,4)+1,"Электроника","Одежда","Продукты","Мебель")</f>
        <v>Одежда</v>
      </c>
      <c r="J155" s="10" t="str">
        <f aca="false">CHOOSE(MOD(INT((A155-1)/4),4)+1,CHOOSE(MOD(A155-1,4)+1,"Смартфоны","Ноутбуки","Аксессуары","Аудио"),CHOOSE(MOD(A155-1,4)+1,"Верхняя одежда","Спортивная","Повседневная","Обувь"),CHOOSE(MOD(A155-1,4)+1,"Молочные","Мясные","Бакалея","Напитки"),CHOOSE(MOD(A155-1,4)+1,"Мягкая мебель","Корпусная","Офисная","Кухонная"))</f>
        <v>Мясные</v>
      </c>
      <c r="K155" s="12" t="n">
        <f aca="false">1000+MOD(A155*317+A155*A155*7,49001)</f>
        <v>19826</v>
      </c>
      <c r="L155" s="12" t="n">
        <f aca="false">1+MOD(A155*131,100)</f>
        <v>75</v>
      </c>
      <c r="M155" s="12" t="n">
        <f aca="false">INT(K155*(0.6+MOD(A155*43,21)/100))</f>
        <v>13283</v>
      </c>
      <c r="N155" s="12" t="n">
        <f aca="false">K155-M155</f>
        <v>6543</v>
      </c>
    </row>
    <row r="156" customFormat="false" ht="12.8" hidden="false" customHeight="false" outlineLevel="0" collapsed="false">
      <c r="A156" s="10" t="n">
        <f aca="false">A155+1</f>
        <v>155</v>
      </c>
      <c r="B156" s="11" t="n">
        <f aca="false">B155+1</f>
        <v>45081</v>
      </c>
      <c r="C156" s="10" t="n">
        <f aca="false">YEAR(B156)</f>
        <v>2023</v>
      </c>
      <c r="D156" s="10" t="n">
        <f aca="false">INT((MONTH(B156)-1)/3)+1</f>
        <v>2</v>
      </c>
      <c r="E156" s="10" t="n">
        <f aca="false">MONTH(B156)</f>
        <v>6</v>
      </c>
      <c r="F156" s="10" t="str">
        <f aca="false">CHOOSE(MOD(A156-1,5)+1,"Центр","Юг","Север","Запад","Восток")</f>
        <v>Восток</v>
      </c>
      <c r="G156" s="10" t="str">
        <f aca="false">"Округ_"&amp;(MOD(A156-1,5)+1)&amp;"_"&amp;(MOD(INT((A156-1)/5),5)+1)</f>
        <v>Округ_5_1</v>
      </c>
      <c r="H156" s="10" t="str">
        <f aca="false">"Город_"&amp;(MOD(A156-1,5)+1)&amp;"_"&amp;(MOD(INT((A156-1)/5),5)+1)&amp;"_"&amp;(MOD(INT((A156-1)/25),10)+1)</f>
        <v>Город_5_1_7</v>
      </c>
      <c r="I156" s="10" t="str">
        <f aca="false">CHOOSE(MOD(A156-1,4)+1,"Электроника","Одежда","Продукты","Мебель")</f>
        <v>Продукты</v>
      </c>
      <c r="J156" s="10" t="str">
        <f aca="false">CHOOSE(MOD(INT((A156-1)/4),4)+1,CHOOSE(MOD(A156-1,4)+1,"Смартфоны","Ноутбуки","Аксессуары","Аудио"),CHOOSE(MOD(A156-1,4)+1,"Верхняя одежда","Спортивная","Повседневная","Обувь"),CHOOSE(MOD(A156-1,4)+1,"Молочные","Мясные","Бакалея","Напитки"),CHOOSE(MOD(A156-1,4)+1,"Мягкая мебель","Корпусная","Офисная","Кухонная"))</f>
        <v>Бакалея</v>
      </c>
      <c r="K156" s="12" t="n">
        <f aca="false">1000+MOD(A156*317+A156*A156*7,49001)</f>
        <v>22306</v>
      </c>
      <c r="L156" s="12" t="n">
        <f aca="false">1+MOD(A156*131,100)</f>
        <v>6</v>
      </c>
      <c r="M156" s="12" t="n">
        <f aca="false">INT(K156*(0.6+MOD(A156*43,21)/100))</f>
        <v>15168</v>
      </c>
      <c r="N156" s="12" t="n">
        <f aca="false">K156-M156</f>
        <v>7138</v>
      </c>
    </row>
    <row r="157" customFormat="false" ht="12.8" hidden="false" customHeight="false" outlineLevel="0" collapsed="false">
      <c r="A157" s="10" t="n">
        <f aca="false">A156+1</f>
        <v>156</v>
      </c>
      <c r="B157" s="11" t="n">
        <f aca="false">B156+1</f>
        <v>45082</v>
      </c>
      <c r="C157" s="10" t="n">
        <f aca="false">YEAR(B157)</f>
        <v>2023</v>
      </c>
      <c r="D157" s="10" t="n">
        <f aca="false">INT((MONTH(B157)-1)/3)+1</f>
        <v>2</v>
      </c>
      <c r="E157" s="10" t="n">
        <f aca="false">MONTH(B157)</f>
        <v>6</v>
      </c>
      <c r="F157" s="10" t="str">
        <f aca="false">CHOOSE(MOD(A157-1,5)+1,"Центр","Юг","Север","Запад","Восток")</f>
        <v>Центр</v>
      </c>
      <c r="G157" s="10" t="str">
        <f aca="false">"Округ_"&amp;(MOD(A157-1,5)+1)&amp;"_"&amp;(MOD(INT((A157-1)/5),5)+1)</f>
        <v>Округ_1_2</v>
      </c>
      <c r="H157" s="10" t="str">
        <f aca="false">"Город_"&amp;(MOD(A157-1,5)+1)&amp;"_"&amp;(MOD(INT((A157-1)/5),5)+1)&amp;"_"&amp;(MOD(INT((A157-1)/25),10)+1)</f>
        <v>Город_1_2_7</v>
      </c>
      <c r="I157" s="10" t="str">
        <f aca="false">CHOOSE(MOD(A157-1,4)+1,"Электроника","Одежда","Продукты","Мебель")</f>
        <v>Мебель</v>
      </c>
      <c r="J157" s="10" t="str">
        <f aca="false">CHOOSE(MOD(INT((A157-1)/4),4)+1,CHOOSE(MOD(A157-1,4)+1,"Смартфоны","Ноутбуки","Аксессуары","Аудио"),CHOOSE(MOD(A157-1,4)+1,"Верхняя одежда","Спортивная","Повседневная","Обувь"),CHOOSE(MOD(A157-1,4)+1,"Молочные","Мясные","Бакалея","Напитки"),CHOOSE(MOD(A157-1,4)+1,"Мягкая мебель","Корпусная","Офисная","Кухонная"))</f>
        <v>Напитки</v>
      </c>
      <c r="K157" s="12" t="n">
        <f aca="false">1000+MOD(A157*317+A157*A157*7,49001)</f>
        <v>24800</v>
      </c>
      <c r="L157" s="12" t="n">
        <f aca="false">1+MOD(A157*131,100)</f>
        <v>37</v>
      </c>
      <c r="M157" s="12" t="n">
        <f aca="false">INT(K157*(0.6+MOD(A157*43,21)/100))</f>
        <v>17112</v>
      </c>
      <c r="N157" s="12" t="n">
        <f aca="false">K157-M157</f>
        <v>7688</v>
      </c>
    </row>
    <row r="158" customFormat="false" ht="12.8" hidden="false" customHeight="false" outlineLevel="0" collapsed="false">
      <c r="A158" s="10" t="n">
        <f aca="false">A157+1</f>
        <v>157</v>
      </c>
      <c r="B158" s="11" t="n">
        <f aca="false">B157+1</f>
        <v>45083</v>
      </c>
      <c r="C158" s="10" t="n">
        <f aca="false">YEAR(B158)</f>
        <v>2023</v>
      </c>
      <c r="D158" s="10" t="n">
        <f aca="false">INT((MONTH(B158)-1)/3)+1</f>
        <v>2</v>
      </c>
      <c r="E158" s="10" t="n">
        <f aca="false">MONTH(B158)</f>
        <v>6</v>
      </c>
      <c r="F158" s="10" t="str">
        <f aca="false">CHOOSE(MOD(A158-1,5)+1,"Центр","Юг","Север","Запад","Восток")</f>
        <v>Юг</v>
      </c>
      <c r="G158" s="10" t="str">
        <f aca="false">"Округ_"&amp;(MOD(A158-1,5)+1)&amp;"_"&amp;(MOD(INT((A158-1)/5),5)+1)</f>
        <v>Округ_2_2</v>
      </c>
      <c r="H158" s="10" t="str">
        <f aca="false">"Город_"&amp;(MOD(A158-1,5)+1)&amp;"_"&amp;(MOD(INT((A158-1)/5),5)+1)&amp;"_"&amp;(MOD(INT((A158-1)/25),10)+1)</f>
        <v>Город_2_2_7</v>
      </c>
      <c r="I158" s="10" t="str">
        <f aca="false">CHOOSE(MOD(A158-1,4)+1,"Электроника","Одежда","Продукты","Мебель")</f>
        <v>Электроника</v>
      </c>
      <c r="J158" s="10" t="str">
        <f aca="false">CHOOSE(MOD(INT((A158-1)/4),4)+1,CHOOSE(MOD(A158-1,4)+1,"Смартфоны","Ноутбуки","Аксессуары","Аудио"),CHOOSE(MOD(A158-1,4)+1,"Верхняя одежда","Спортивная","Повседневная","Обувь"),CHOOSE(MOD(A158-1,4)+1,"Молочные","Мясные","Бакалея","Напитки"),CHOOSE(MOD(A158-1,4)+1,"Мягкая мебель","Корпусная","Офисная","Кухонная"))</f>
        <v>Мягкая мебель</v>
      </c>
      <c r="K158" s="12" t="n">
        <f aca="false">1000+MOD(A158*317+A158*A158*7,49001)</f>
        <v>27308</v>
      </c>
      <c r="L158" s="12" t="n">
        <f aca="false">1+MOD(A158*131,100)</f>
        <v>68</v>
      </c>
      <c r="M158" s="12" t="n">
        <f aca="false">INT(K158*(0.6+MOD(A158*43,21)/100))</f>
        <v>19115</v>
      </c>
      <c r="N158" s="12" t="n">
        <f aca="false">K158-M158</f>
        <v>8193</v>
      </c>
    </row>
    <row r="159" customFormat="false" ht="12.8" hidden="false" customHeight="false" outlineLevel="0" collapsed="false">
      <c r="A159" s="10" t="n">
        <f aca="false">A158+1</f>
        <v>158</v>
      </c>
      <c r="B159" s="11" t="n">
        <f aca="false">B158+1</f>
        <v>45084</v>
      </c>
      <c r="C159" s="10" t="n">
        <f aca="false">YEAR(B159)</f>
        <v>2023</v>
      </c>
      <c r="D159" s="10" t="n">
        <f aca="false">INT((MONTH(B159)-1)/3)+1</f>
        <v>2</v>
      </c>
      <c r="E159" s="10" t="n">
        <f aca="false">MONTH(B159)</f>
        <v>6</v>
      </c>
      <c r="F159" s="10" t="str">
        <f aca="false">CHOOSE(MOD(A159-1,5)+1,"Центр","Юг","Север","Запад","Восток")</f>
        <v>Север</v>
      </c>
      <c r="G159" s="10" t="str">
        <f aca="false">"Округ_"&amp;(MOD(A159-1,5)+1)&amp;"_"&amp;(MOD(INT((A159-1)/5),5)+1)</f>
        <v>Округ_3_2</v>
      </c>
      <c r="H159" s="10" t="str">
        <f aca="false">"Город_"&amp;(MOD(A159-1,5)+1)&amp;"_"&amp;(MOD(INT((A159-1)/5),5)+1)&amp;"_"&amp;(MOD(INT((A159-1)/25),10)+1)</f>
        <v>Город_3_2_7</v>
      </c>
      <c r="I159" s="10" t="str">
        <f aca="false">CHOOSE(MOD(A159-1,4)+1,"Электроника","Одежда","Продукты","Мебель")</f>
        <v>Одежда</v>
      </c>
      <c r="J159" s="10" t="str">
        <f aca="false">CHOOSE(MOD(INT((A159-1)/4),4)+1,CHOOSE(MOD(A159-1,4)+1,"Смартфоны","Ноутбуки","Аксессуары","Аудио"),CHOOSE(MOD(A159-1,4)+1,"Верхняя одежда","Спортивная","Повседневная","Обувь"),CHOOSE(MOD(A159-1,4)+1,"Молочные","Мясные","Бакалея","Напитки"),CHOOSE(MOD(A159-1,4)+1,"Мягкая мебель","Корпусная","Офисная","Кухонная"))</f>
        <v>Корпусная</v>
      </c>
      <c r="K159" s="12" t="n">
        <f aca="false">1000+MOD(A159*317+A159*A159*7,49001)</f>
        <v>29830</v>
      </c>
      <c r="L159" s="12" t="n">
        <f aca="false">1+MOD(A159*131,100)</f>
        <v>99</v>
      </c>
      <c r="M159" s="12" t="n">
        <f aca="false">INT(K159*(0.6+MOD(A159*43,21)/100))</f>
        <v>21179</v>
      </c>
      <c r="N159" s="12" t="n">
        <f aca="false">K159-M159</f>
        <v>8651</v>
      </c>
    </row>
    <row r="160" customFormat="false" ht="12.8" hidden="false" customHeight="false" outlineLevel="0" collapsed="false">
      <c r="A160" s="10" t="n">
        <f aca="false">A159+1</f>
        <v>159</v>
      </c>
      <c r="B160" s="11" t="n">
        <f aca="false">B159+1</f>
        <v>45085</v>
      </c>
      <c r="C160" s="10" t="n">
        <f aca="false">YEAR(B160)</f>
        <v>2023</v>
      </c>
      <c r="D160" s="10" t="n">
        <f aca="false">INT((MONTH(B160)-1)/3)+1</f>
        <v>2</v>
      </c>
      <c r="E160" s="10" t="n">
        <f aca="false">MONTH(B160)</f>
        <v>6</v>
      </c>
      <c r="F160" s="10" t="str">
        <f aca="false">CHOOSE(MOD(A160-1,5)+1,"Центр","Юг","Север","Запад","Восток")</f>
        <v>Запад</v>
      </c>
      <c r="G160" s="10" t="str">
        <f aca="false">"Округ_"&amp;(MOD(A160-1,5)+1)&amp;"_"&amp;(MOD(INT((A160-1)/5),5)+1)</f>
        <v>Округ_4_2</v>
      </c>
      <c r="H160" s="10" t="str">
        <f aca="false">"Город_"&amp;(MOD(A160-1,5)+1)&amp;"_"&amp;(MOD(INT((A160-1)/5),5)+1)&amp;"_"&amp;(MOD(INT((A160-1)/25),10)+1)</f>
        <v>Город_4_2_7</v>
      </c>
      <c r="I160" s="10" t="str">
        <f aca="false">CHOOSE(MOD(A160-1,4)+1,"Электроника","Одежда","Продукты","Мебель")</f>
        <v>Продукты</v>
      </c>
      <c r="J160" s="10" t="str">
        <f aca="false">CHOOSE(MOD(INT((A160-1)/4),4)+1,CHOOSE(MOD(A160-1,4)+1,"Смартфоны","Ноутбуки","Аксессуары","Аудио"),CHOOSE(MOD(A160-1,4)+1,"Верхняя одежда","Спортивная","Повседневная","Обувь"),CHOOSE(MOD(A160-1,4)+1,"Молочные","Мясные","Бакалея","Напитки"),CHOOSE(MOD(A160-1,4)+1,"Мягкая мебель","Корпусная","Офисная","Кухонная"))</f>
        <v>Офисная</v>
      </c>
      <c r="K160" s="12" t="n">
        <f aca="false">1000+MOD(A160*317+A160*A160*7,49001)</f>
        <v>32366</v>
      </c>
      <c r="L160" s="12" t="n">
        <f aca="false">1+MOD(A160*131,100)</f>
        <v>30</v>
      </c>
      <c r="M160" s="12" t="n">
        <f aca="false">INT(K160*(0.6+MOD(A160*43,21)/100))</f>
        <v>23303</v>
      </c>
      <c r="N160" s="12" t="n">
        <f aca="false">K160-M160</f>
        <v>9063</v>
      </c>
    </row>
    <row r="161" customFormat="false" ht="12.8" hidden="false" customHeight="false" outlineLevel="0" collapsed="false">
      <c r="A161" s="10" t="n">
        <f aca="false">A160+1</f>
        <v>160</v>
      </c>
      <c r="B161" s="11" t="n">
        <f aca="false">B160+1</f>
        <v>45086</v>
      </c>
      <c r="C161" s="10" t="n">
        <f aca="false">YEAR(B161)</f>
        <v>2023</v>
      </c>
      <c r="D161" s="10" t="n">
        <f aca="false">INT((MONTH(B161)-1)/3)+1</f>
        <v>2</v>
      </c>
      <c r="E161" s="10" t="n">
        <f aca="false">MONTH(B161)</f>
        <v>6</v>
      </c>
      <c r="F161" s="10" t="str">
        <f aca="false">CHOOSE(MOD(A161-1,5)+1,"Центр","Юг","Север","Запад","Восток")</f>
        <v>Восток</v>
      </c>
      <c r="G161" s="10" t="str">
        <f aca="false">"Округ_"&amp;(MOD(A161-1,5)+1)&amp;"_"&amp;(MOD(INT((A161-1)/5),5)+1)</f>
        <v>Округ_5_2</v>
      </c>
      <c r="H161" s="10" t="str">
        <f aca="false">"Город_"&amp;(MOD(A161-1,5)+1)&amp;"_"&amp;(MOD(INT((A161-1)/5),5)+1)&amp;"_"&amp;(MOD(INT((A161-1)/25),10)+1)</f>
        <v>Город_5_2_7</v>
      </c>
      <c r="I161" s="10" t="str">
        <f aca="false">CHOOSE(MOD(A161-1,4)+1,"Электроника","Одежда","Продукты","Мебель")</f>
        <v>Мебель</v>
      </c>
      <c r="J161" s="10" t="str">
        <f aca="false">CHOOSE(MOD(INT((A161-1)/4),4)+1,CHOOSE(MOD(A161-1,4)+1,"Смартфоны","Ноутбуки","Аксессуары","Аудио"),CHOOSE(MOD(A161-1,4)+1,"Верхняя одежда","Спортивная","Повседневная","Обувь"),CHOOSE(MOD(A161-1,4)+1,"Молочные","Мясные","Бакалея","Напитки"),CHOOSE(MOD(A161-1,4)+1,"Мягкая мебель","Корпусная","Офисная","Кухонная"))</f>
        <v>Кухонная</v>
      </c>
      <c r="K161" s="12" t="n">
        <f aca="false">1000+MOD(A161*317+A161*A161*7,49001)</f>
        <v>34916</v>
      </c>
      <c r="L161" s="12" t="n">
        <f aca="false">1+MOD(A161*131,100)</f>
        <v>61</v>
      </c>
      <c r="M161" s="12" t="n">
        <f aca="false">INT(K161*(0.6+MOD(A161*43,21)/100))</f>
        <v>25488</v>
      </c>
      <c r="N161" s="12" t="n">
        <f aca="false">K161-M161</f>
        <v>9428</v>
      </c>
    </row>
    <row r="162" customFormat="false" ht="12.8" hidden="false" customHeight="false" outlineLevel="0" collapsed="false">
      <c r="A162" s="10" t="n">
        <f aca="false">A161+1</f>
        <v>161</v>
      </c>
      <c r="B162" s="11" t="n">
        <f aca="false">B161+1</f>
        <v>45087</v>
      </c>
      <c r="C162" s="10" t="n">
        <f aca="false">YEAR(B162)</f>
        <v>2023</v>
      </c>
      <c r="D162" s="10" t="n">
        <f aca="false">INT((MONTH(B162)-1)/3)+1</f>
        <v>2</v>
      </c>
      <c r="E162" s="10" t="n">
        <f aca="false">MONTH(B162)</f>
        <v>6</v>
      </c>
      <c r="F162" s="10" t="str">
        <f aca="false">CHOOSE(MOD(A162-1,5)+1,"Центр","Юг","Север","Запад","Восток")</f>
        <v>Центр</v>
      </c>
      <c r="G162" s="10" t="str">
        <f aca="false">"Округ_"&amp;(MOD(A162-1,5)+1)&amp;"_"&amp;(MOD(INT((A162-1)/5),5)+1)</f>
        <v>Округ_1_3</v>
      </c>
      <c r="H162" s="10" t="str">
        <f aca="false">"Город_"&amp;(MOD(A162-1,5)+1)&amp;"_"&amp;(MOD(INT((A162-1)/5),5)+1)&amp;"_"&amp;(MOD(INT((A162-1)/25),10)+1)</f>
        <v>Город_1_3_7</v>
      </c>
      <c r="I162" s="10" t="str">
        <f aca="false">CHOOSE(MOD(A162-1,4)+1,"Электроника","Одежда","Продукты","Мебель")</f>
        <v>Электроника</v>
      </c>
      <c r="J162" s="10" t="str">
        <f aca="false">CHOOSE(MOD(INT((A162-1)/4),4)+1,CHOOSE(MOD(A162-1,4)+1,"Смартфоны","Ноутбуки","Аксессуары","Аудио"),CHOOSE(MOD(A162-1,4)+1,"Верхняя одежда","Спортивная","Повседневная","Обувь"),CHOOSE(MOD(A162-1,4)+1,"Молочные","Мясные","Бакалея","Напитки"),CHOOSE(MOD(A162-1,4)+1,"Мягкая мебель","Корпусная","Офисная","Кухонная"))</f>
        <v>Смартфоны</v>
      </c>
      <c r="K162" s="12" t="n">
        <f aca="false">1000+MOD(A162*317+A162*A162*7,49001)</f>
        <v>37480</v>
      </c>
      <c r="L162" s="12" t="n">
        <f aca="false">1+MOD(A162*131,100)</f>
        <v>92</v>
      </c>
      <c r="M162" s="12" t="n">
        <f aca="false">INT(K162*(0.6+MOD(A162*43,21)/100))</f>
        <v>27735</v>
      </c>
      <c r="N162" s="12" t="n">
        <f aca="false">K162-M162</f>
        <v>9745</v>
      </c>
    </row>
    <row r="163" customFormat="false" ht="12.8" hidden="false" customHeight="false" outlineLevel="0" collapsed="false">
      <c r="A163" s="10" t="n">
        <f aca="false">A162+1</f>
        <v>162</v>
      </c>
      <c r="B163" s="11" t="n">
        <f aca="false">B162+1</f>
        <v>45088</v>
      </c>
      <c r="C163" s="10" t="n">
        <f aca="false">YEAR(B163)</f>
        <v>2023</v>
      </c>
      <c r="D163" s="10" t="n">
        <f aca="false">INT((MONTH(B163)-1)/3)+1</f>
        <v>2</v>
      </c>
      <c r="E163" s="10" t="n">
        <f aca="false">MONTH(B163)</f>
        <v>6</v>
      </c>
      <c r="F163" s="10" t="str">
        <f aca="false">CHOOSE(MOD(A163-1,5)+1,"Центр","Юг","Север","Запад","Восток")</f>
        <v>Юг</v>
      </c>
      <c r="G163" s="10" t="str">
        <f aca="false">"Округ_"&amp;(MOD(A163-1,5)+1)&amp;"_"&amp;(MOD(INT((A163-1)/5),5)+1)</f>
        <v>Округ_2_3</v>
      </c>
      <c r="H163" s="10" t="str">
        <f aca="false">"Город_"&amp;(MOD(A163-1,5)+1)&amp;"_"&amp;(MOD(INT((A163-1)/5),5)+1)&amp;"_"&amp;(MOD(INT((A163-1)/25),10)+1)</f>
        <v>Город_2_3_7</v>
      </c>
      <c r="I163" s="10" t="str">
        <f aca="false">CHOOSE(MOD(A163-1,4)+1,"Электроника","Одежда","Продукты","Мебель")</f>
        <v>Одежда</v>
      </c>
      <c r="J163" s="10" t="str">
        <f aca="false">CHOOSE(MOD(INT((A163-1)/4),4)+1,CHOOSE(MOD(A163-1,4)+1,"Смартфоны","Ноутбуки","Аксессуары","Аудио"),CHOOSE(MOD(A163-1,4)+1,"Верхняя одежда","Спортивная","Повседневная","Обувь"),CHOOSE(MOD(A163-1,4)+1,"Молочные","Мясные","Бакалея","Напитки"),CHOOSE(MOD(A163-1,4)+1,"Мягкая мебель","Корпусная","Офисная","Кухонная"))</f>
        <v>Ноутбуки</v>
      </c>
      <c r="K163" s="12" t="n">
        <f aca="false">1000+MOD(A163*317+A163*A163*7,49001)</f>
        <v>40058</v>
      </c>
      <c r="L163" s="12" t="n">
        <f aca="false">1+MOD(A163*131,100)</f>
        <v>23</v>
      </c>
      <c r="M163" s="12" t="n">
        <f aca="false">INT(K163*(0.6+MOD(A163*43,21)/100))</f>
        <v>30043</v>
      </c>
      <c r="N163" s="12" t="n">
        <f aca="false">K163-M163</f>
        <v>10015</v>
      </c>
    </row>
    <row r="164" customFormat="false" ht="12.8" hidden="false" customHeight="false" outlineLevel="0" collapsed="false">
      <c r="A164" s="10" t="n">
        <f aca="false">A163+1</f>
        <v>163</v>
      </c>
      <c r="B164" s="11" t="n">
        <f aca="false">B163+1</f>
        <v>45089</v>
      </c>
      <c r="C164" s="10" t="n">
        <f aca="false">YEAR(B164)</f>
        <v>2023</v>
      </c>
      <c r="D164" s="10" t="n">
        <f aca="false">INT((MONTH(B164)-1)/3)+1</f>
        <v>2</v>
      </c>
      <c r="E164" s="10" t="n">
        <f aca="false">MONTH(B164)</f>
        <v>6</v>
      </c>
      <c r="F164" s="10" t="str">
        <f aca="false">CHOOSE(MOD(A164-1,5)+1,"Центр","Юг","Север","Запад","Восток")</f>
        <v>Север</v>
      </c>
      <c r="G164" s="10" t="str">
        <f aca="false">"Округ_"&amp;(MOD(A164-1,5)+1)&amp;"_"&amp;(MOD(INT((A164-1)/5),5)+1)</f>
        <v>Округ_3_3</v>
      </c>
      <c r="H164" s="10" t="str">
        <f aca="false">"Город_"&amp;(MOD(A164-1,5)+1)&amp;"_"&amp;(MOD(INT((A164-1)/5),5)+1)&amp;"_"&amp;(MOD(INT((A164-1)/25),10)+1)</f>
        <v>Город_3_3_7</v>
      </c>
      <c r="I164" s="10" t="str">
        <f aca="false">CHOOSE(MOD(A164-1,4)+1,"Электроника","Одежда","Продукты","Мебель")</f>
        <v>Продукты</v>
      </c>
      <c r="J164" s="10" t="str">
        <f aca="false">CHOOSE(MOD(INT((A164-1)/4),4)+1,CHOOSE(MOD(A164-1,4)+1,"Смартфоны","Ноутбуки","Аксессуары","Аудио"),CHOOSE(MOD(A164-1,4)+1,"Верхняя одежда","Спортивная","Повседневная","Обувь"),CHOOSE(MOD(A164-1,4)+1,"Молочные","Мясные","Бакалея","Напитки"),CHOOSE(MOD(A164-1,4)+1,"Мягкая мебель","Корпусная","Офисная","Кухонная"))</f>
        <v>Аксессуары</v>
      </c>
      <c r="K164" s="12" t="n">
        <f aca="false">1000+MOD(A164*317+A164*A164*7,49001)</f>
        <v>42650</v>
      </c>
      <c r="L164" s="12" t="n">
        <f aca="false">1+MOD(A164*131,100)</f>
        <v>54</v>
      </c>
      <c r="M164" s="12" t="n">
        <f aca="false">INT(K164*(0.6+MOD(A164*43,21)/100))</f>
        <v>32414</v>
      </c>
      <c r="N164" s="12" t="n">
        <f aca="false">K164-M164</f>
        <v>10236</v>
      </c>
    </row>
    <row r="165" customFormat="false" ht="12.8" hidden="false" customHeight="false" outlineLevel="0" collapsed="false">
      <c r="A165" s="10" t="n">
        <f aca="false">A164+1</f>
        <v>164</v>
      </c>
      <c r="B165" s="11" t="n">
        <f aca="false">B164+1</f>
        <v>45090</v>
      </c>
      <c r="C165" s="10" t="n">
        <f aca="false">YEAR(B165)</f>
        <v>2023</v>
      </c>
      <c r="D165" s="10" t="n">
        <f aca="false">INT((MONTH(B165)-1)/3)+1</f>
        <v>2</v>
      </c>
      <c r="E165" s="10" t="n">
        <f aca="false">MONTH(B165)</f>
        <v>6</v>
      </c>
      <c r="F165" s="10" t="str">
        <f aca="false">CHOOSE(MOD(A165-1,5)+1,"Центр","Юг","Север","Запад","Восток")</f>
        <v>Запад</v>
      </c>
      <c r="G165" s="10" t="str">
        <f aca="false">"Округ_"&amp;(MOD(A165-1,5)+1)&amp;"_"&amp;(MOD(INT((A165-1)/5),5)+1)</f>
        <v>Округ_4_3</v>
      </c>
      <c r="H165" s="10" t="str">
        <f aca="false">"Город_"&amp;(MOD(A165-1,5)+1)&amp;"_"&amp;(MOD(INT((A165-1)/5),5)+1)&amp;"_"&amp;(MOD(INT((A165-1)/25),10)+1)</f>
        <v>Город_4_3_7</v>
      </c>
      <c r="I165" s="10" t="str">
        <f aca="false">CHOOSE(MOD(A165-1,4)+1,"Электроника","Одежда","Продукты","Мебель")</f>
        <v>Мебель</v>
      </c>
      <c r="J165" s="10" t="str">
        <f aca="false">CHOOSE(MOD(INT((A165-1)/4),4)+1,CHOOSE(MOD(A165-1,4)+1,"Смартфоны","Ноутбуки","Аксессуары","Аудио"),CHOOSE(MOD(A165-1,4)+1,"Верхняя одежда","Спортивная","Повседневная","Обувь"),CHOOSE(MOD(A165-1,4)+1,"Молочные","Мясные","Бакалея","Напитки"),CHOOSE(MOD(A165-1,4)+1,"Мягкая мебель","Корпусная","Офисная","Кухонная"))</f>
        <v>Аудио</v>
      </c>
      <c r="K165" s="12" t="n">
        <f aca="false">1000+MOD(A165*317+A165*A165*7,49001)</f>
        <v>45256</v>
      </c>
      <c r="L165" s="12" t="n">
        <f aca="false">1+MOD(A165*131,100)</f>
        <v>85</v>
      </c>
      <c r="M165" s="12" t="n">
        <f aca="false">INT(K165*(0.6+MOD(A165*43,21)/100))</f>
        <v>34847</v>
      </c>
      <c r="N165" s="12" t="n">
        <f aca="false">K165-M165</f>
        <v>10409</v>
      </c>
    </row>
    <row r="166" customFormat="false" ht="12.8" hidden="false" customHeight="false" outlineLevel="0" collapsed="false">
      <c r="A166" s="10" t="n">
        <f aca="false">A165+1</f>
        <v>165</v>
      </c>
      <c r="B166" s="11" t="n">
        <f aca="false">B165+1</f>
        <v>45091</v>
      </c>
      <c r="C166" s="10" t="n">
        <f aca="false">YEAR(B166)</f>
        <v>2023</v>
      </c>
      <c r="D166" s="10" t="n">
        <f aca="false">INT((MONTH(B166)-1)/3)+1</f>
        <v>2</v>
      </c>
      <c r="E166" s="10" t="n">
        <f aca="false">MONTH(B166)</f>
        <v>6</v>
      </c>
      <c r="F166" s="10" t="str">
        <f aca="false">CHOOSE(MOD(A166-1,5)+1,"Центр","Юг","Север","Запад","Восток")</f>
        <v>Восток</v>
      </c>
      <c r="G166" s="10" t="str">
        <f aca="false">"Округ_"&amp;(MOD(A166-1,5)+1)&amp;"_"&amp;(MOD(INT((A166-1)/5),5)+1)</f>
        <v>Округ_5_3</v>
      </c>
      <c r="H166" s="10" t="str">
        <f aca="false">"Город_"&amp;(MOD(A166-1,5)+1)&amp;"_"&amp;(MOD(INT((A166-1)/5),5)+1)&amp;"_"&amp;(MOD(INT((A166-1)/25),10)+1)</f>
        <v>Город_5_3_7</v>
      </c>
      <c r="I166" s="10" t="str">
        <f aca="false">CHOOSE(MOD(A166-1,4)+1,"Электроника","Одежда","Продукты","Мебель")</f>
        <v>Электроника</v>
      </c>
      <c r="J166" s="10" t="str">
        <f aca="false">CHOOSE(MOD(INT((A166-1)/4),4)+1,CHOOSE(MOD(A166-1,4)+1,"Смартфоны","Ноутбуки","Аксессуары","Аудио"),CHOOSE(MOD(A166-1,4)+1,"Верхняя одежда","Спортивная","Повседневная","Обувь"),CHOOSE(MOD(A166-1,4)+1,"Молочные","Мясные","Бакалея","Напитки"),CHOOSE(MOD(A166-1,4)+1,"Мягкая мебель","Корпусная","Офисная","Кухонная"))</f>
        <v>Верхняя одежда</v>
      </c>
      <c r="K166" s="12" t="n">
        <f aca="false">1000+MOD(A166*317+A166*A166*7,49001)</f>
        <v>47876</v>
      </c>
      <c r="L166" s="12" t="n">
        <f aca="false">1+MOD(A166*131,100)</f>
        <v>16</v>
      </c>
      <c r="M166" s="12" t="n">
        <f aca="false">INT(K166*(0.6+MOD(A166*43,21)/100))</f>
        <v>37343</v>
      </c>
      <c r="N166" s="12" t="n">
        <f aca="false">K166-M166</f>
        <v>10533</v>
      </c>
    </row>
    <row r="167" customFormat="false" ht="12.8" hidden="false" customHeight="false" outlineLevel="0" collapsed="false">
      <c r="A167" s="10" t="n">
        <f aca="false">A166+1</f>
        <v>166</v>
      </c>
      <c r="B167" s="11" t="n">
        <f aca="false">B166+1</f>
        <v>45092</v>
      </c>
      <c r="C167" s="10" t="n">
        <f aca="false">YEAR(B167)</f>
        <v>2023</v>
      </c>
      <c r="D167" s="10" t="n">
        <f aca="false">INT((MONTH(B167)-1)/3)+1</f>
        <v>2</v>
      </c>
      <c r="E167" s="10" t="n">
        <f aca="false">MONTH(B167)</f>
        <v>6</v>
      </c>
      <c r="F167" s="10" t="str">
        <f aca="false">CHOOSE(MOD(A167-1,5)+1,"Центр","Юг","Север","Запад","Восток")</f>
        <v>Центр</v>
      </c>
      <c r="G167" s="10" t="str">
        <f aca="false">"Округ_"&amp;(MOD(A167-1,5)+1)&amp;"_"&amp;(MOD(INT((A167-1)/5),5)+1)</f>
        <v>Округ_1_4</v>
      </c>
      <c r="H167" s="10" t="str">
        <f aca="false">"Город_"&amp;(MOD(A167-1,5)+1)&amp;"_"&amp;(MOD(INT((A167-1)/5),5)+1)&amp;"_"&amp;(MOD(INT((A167-1)/25),10)+1)</f>
        <v>Город_1_4_7</v>
      </c>
      <c r="I167" s="10" t="str">
        <f aca="false">CHOOSE(MOD(A167-1,4)+1,"Электроника","Одежда","Продукты","Мебель")</f>
        <v>Одежда</v>
      </c>
      <c r="J167" s="10" t="str">
        <f aca="false">CHOOSE(MOD(INT((A167-1)/4),4)+1,CHOOSE(MOD(A167-1,4)+1,"Смартфоны","Ноутбуки","Аксессуары","Аудио"),CHOOSE(MOD(A167-1,4)+1,"Верхняя одежда","Спортивная","Повседневная","Обувь"),CHOOSE(MOD(A167-1,4)+1,"Молочные","Мясные","Бакалея","Напитки"),CHOOSE(MOD(A167-1,4)+1,"Мягкая мебель","Корпусная","Офисная","Кухонная"))</f>
        <v>Спортивная</v>
      </c>
      <c r="K167" s="12" t="n">
        <f aca="false">1000+MOD(A167*317+A167*A167*7,49001)</f>
        <v>1509</v>
      </c>
      <c r="L167" s="12" t="n">
        <f aca="false">1+MOD(A167*131,100)</f>
        <v>47</v>
      </c>
      <c r="M167" s="12" t="n">
        <f aca="false">INT(K167*(0.6+MOD(A167*43,21)/100))</f>
        <v>1192</v>
      </c>
      <c r="N167" s="12" t="n">
        <f aca="false">K167-M167</f>
        <v>317</v>
      </c>
    </row>
    <row r="168" customFormat="false" ht="12.8" hidden="false" customHeight="false" outlineLevel="0" collapsed="false">
      <c r="A168" s="10" t="n">
        <f aca="false">A167+1</f>
        <v>167</v>
      </c>
      <c r="B168" s="11" t="n">
        <f aca="false">B167+1</f>
        <v>45093</v>
      </c>
      <c r="C168" s="10" t="n">
        <f aca="false">YEAR(B168)</f>
        <v>2023</v>
      </c>
      <c r="D168" s="10" t="n">
        <f aca="false">INT((MONTH(B168)-1)/3)+1</f>
        <v>2</v>
      </c>
      <c r="E168" s="10" t="n">
        <f aca="false">MONTH(B168)</f>
        <v>6</v>
      </c>
      <c r="F168" s="10" t="str">
        <f aca="false">CHOOSE(MOD(A168-1,5)+1,"Центр","Юг","Север","Запад","Восток")</f>
        <v>Юг</v>
      </c>
      <c r="G168" s="10" t="str">
        <f aca="false">"Округ_"&amp;(MOD(A168-1,5)+1)&amp;"_"&amp;(MOD(INT((A168-1)/5),5)+1)</f>
        <v>Округ_2_4</v>
      </c>
      <c r="H168" s="10" t="str">
        <f aca="false">"Город_"&amp;(MOD(A168-1,5)+1)&amp;"_"&amp;(MOD(INT((A168-1)/5),5)+1)&amp;"_"&amp;(MOD(INT((A168-1)/25),10)+1)</f>
        <v>Город_2_4_7</v>
      </c>
      <c r="I168" s="10" t="str">
        <f aca="false">CHOOSE(MOD(A168-1,4)+1,"Электроника","Одежда","Продукты","Мебель")</f>
        <v>Продукты</v>
      </c>
      <c r="J168" s="10" t="str">
        <f aca="false">CHOOSE(MOD(INT((A168-1)/4),4)+1,CHOOSE(MOD(A168-1,4)+1,"Смартфоны","Ноутбуки","Аксессуары","Аудио"),CHOOSE(MOD(A168-1,4)+1,"Верхняя одежда","Спортивная","Повседневная","Обувь"),CHOOSE(MOD(A168-1,4)+1,"Молочные","Мясные","Бакалея","Напитки"),CHOOSE(MOD(A168-1,4)+1,"Мягкая мебель","Корпусная","Офисная","Кухонная"))</f>
        <v>Повседневная</v>
      </c>
      <c r="K168" s="12" t="n">
        <f aca="false">1000+MOD(A168*317+A168*A168*7,49001)</f>
        <v>4157</v>
      </c>
      <c r="L168" s="12" t="n">
        <f aca="false">1+MOD(A168*131,100)</f>
        <v>78</v>
      </c>
      <c r="M168" s="12" t="n">
        <f aca="false">INT(K168*(0.6+MOD(A168*43,21)/100))</f>
        <v>3325</v>
      </c>
      <c r="N168" s="12" t="n">
        <f aca="false">K168-M168</f>
        <v>832</v>
      </c>
    </row>
    <row r="169" customFormat="false" ht="12.8" hidden="false" customHeight="false" outlineLevel="0" collapsed="false">
      <c r="A169" s="10" t="n">
        <f aca="false">A168+1</f>
        <v>168</v>
      </c>
      <c r="B169" s="11" t="n">
        <f aca="false">B168+1</f>
        <v>45094</v>
      </c>
      <c r="C169" s="10" t="n">
        <f aca="false">YEAR(B169)</f>
        <v>2023</v>
      </c>
      <c r="D169" s="10" t="n">
        <f aca="false">INT((MONTH(B169)-1)/3)+1</f>
        <v>2</v>
      </c>
      <c r="E169" s="10" t="n">
        <f aca="false">MONTH(B169)</f>
        <v>6</v>
      </c>
      <c r="F169" s="10" t="str">
        <f aca="false">CHOOSE(MOD(A169-1,5)+1,"Центр","Юг","Север","Запад","Восток")</f>
        <v>Север</v>
      </c>
      <c r="G169" s="10" t="str">
        <f aca="false">"Округ_"&amp;(MOD(A169-1,5)+1)&amp;"_"&amp;(MOD(INT((A169-1)/5),5)+1)</f>
        <v>Округ_3_4</v>
      </c>
      <c r="H169" s="10" t="str">
        <f aca="false">"Город_"&amp;(MOD(A169-1,5)+1)&amp;"_"&amp;(MOD(INT((A169-1)/5),5)+1)&amp;"_"&amp;(MOD(INT((A169-1)/25),10)+1)</f>
        <v>Город_3_4_7</v>
      </c>
      <c r="I169" s="10" t="str">
        <f aca="false">CHOOSE(MOD(A169-1,4)+1,"Электроника","Одежда","Продукты","Мебель")</f>
        <v>Мебель</v>
      </c>
      <c r="J169" s="10" t="str">
        <f aca="false">CHOOSE(MOD(INT((A169-1)/4),4)+1,CHOOSE(MOD(A169-1,4)+1,"Смартфоны","Ноутбуки","Аксессуары","Аудио"),CHOOSE(MOD(A169-1,4)+1,"Верхняя одежда","Спортивная","Повседневная","Обувь"),CHOOSE(MOD(A169-1,4)+1,"Молочные","Мясные","Бакалея","Напитки"),CHOOSE(MOD(A169-1,4)+1,"Мягкая мебель","Корпусная","Офисная","Кухонная"))</f>
        <v>Обувь</v>
      </c>
      <c r="K169" s="12" t="n">
        <f aca="false">1000+MOD(A169*317+A169*A169*7,49001)</f>
        <v>6819</v>
      </c>
      <c r="L169" s="12" t="n">
        <f aca="false">1+MOD(A169*131,100)</f>
        <v>9</v>
      </c>
      <c r="M169" s="12" t="n">
        <f aca="false">INT(K169*(0.6+MOD(A169*43,21)/100))</f>
        <v>4091</v>
      </c>
      <c r="N169" s="12" t="n">
        <f aca="false">K169-M169</f>
        <v>2728</v>
      </c>
    </row>
    <row r="170" customFormat="false" ht="12.8" hidden="false" customHeight="false" outlineLevel="0" collapsed="false">
      <c r="A170" s="10" t="n">
        <f aca="false">A169+1</f>
        <v>169</v>
      </c>
      <c r="B170" s="11" t="n">
        <f aca="false">B169+1</f>
        <v>45095</v>
      </c>
      <c r="C170" s="10" t="n">
        <f aca="false">YEAR(B170)</f>
        <v>2023</v>
      </c>
      <c r="D170" s="10" t="n">
        <f aca="false">INT((MONTH(B170)-1)/3)+1</f>
        <v>2</v>
      </c>
      <c r="E170" s="10" t="n">
        <f aca="false">MONTH(B170)</f>
        <v>6</v>
      </c>
      <c r="F170" s="10" t="str">
        <f aca="false">CHOOSE(MOD(A170-1,5)+1,"Центр","Юг","Север","Запад","Восток")</f>
        <v>Запад</v>
      </c>
      <c r="G170" s="10" t="str">
        <f aca="false">"Округ_"&amp;(MOD(A170-1,5)+1)&amp;"_"&amp;(MOD(INT((A170-1)/5),5)+1)</f>
        <v>Округ_4_4</v>
      </c>
      <c r="H170" s="10" t="str">
        <f aca="false">"Город_"&amp;(MOD(A170-1,5)+1)&amp;"_"&amp;(MOD(INT((A170-1)/5),5)+1)&amp;"_"&amp;(MOD(INT((A170-1)/25),10)+1)</f>
        <v>Город_4_4_7</v>
      </c>
      <c r="I170" s="10" t="str">
        <f aca="false">CHOOSE(MOD(A170-1,4)+1,"Электроника","Одежда","Продукты","Мебель")</f>
        <v>Электроника</v>
      </c>
      <c r="J170" s="10" t="str">
        <f aca="false">CHOOSE(MOD(INT((A170-1)/4),4)+1,CHOOSE(MOD(A170-1,4)+1,"Смартфоны","Ноутбуки","Аксессуары","Аудио"),CHOOSE(MOD(A170-1,4)+1,"Верхняя одежда","Спортивная","Повседневная","Обувь"),CHOOSE(MOD(A170-1,4)+1,"Молочные","Мясные","Бакалея","Напитки"),CHOOSE(MOD(A170-1,4)+1,"Мягкая мебель","Корпусная","Офисная","Кухонная"))</f>
        <v>Молочные</v>
      </c>
      <c r="K170" s="12" t="n">
        <f aca="false">1000+MOD(A170*317+A170*A170*7,49001)</f>
        <v>9495</v>
      </c>
      <c r="L170" s="12" t="n">
        <f aca="false">1+MOD(A170*131,100)</f>
        <v>40</v>
      </c>
      <c r="M170" s="12" t="n">
        <f aca="false">INT(K170*(0.6+MOD(A170*43,21)/100))</f>
        <v>5791</v>
      </c>
      <c r="N170" s="12" t="n">
        <f aca="false">K170-M170</f>
        <v>3704</v>
      </c>
    </row>
    <row r="171" customFormat="false" ht="12.8" hidden="false" customHeight="false" outlineLevel="0" collapsed="false">
      <c r="A171" s="10" t="n">
        <f aca="false">A170+1</f>
        <v>170</v>
      </c>
      <c r="B171" s="11" t="n">
        <f aca="false">B170+1</f>
        <v>45096</v>
      </c>
      <c r="C171" s="10" t="n">
        <f aca="false">YEAR(B171)</f>
        <v>2023</v>
      </c>
      <c r="D171" s="10" t="n">
        <f aca="false">INT((MONTH(B171)-1)/3)+1</f>
        <v>2</v>
      </c>
      <c r="E171" s="10" t="n">
        <f aca="false">MONTH(B171)</f>
        <v>6</v>
      </c>
      <c r="F171" s="10" t="str">
        <f aca="false">CHOOSE(MOD(A171-1,5)+1,"Центр","Юг","Север","Запад","Восток")</f>
        <v>Восток</v>
      </c>
      <c r="G171" s="10" t="str">
        <f aca="false">"Округ_"&amp;(MOD(A171-1,5)+1)&amp;"_"&amp;(MOD(INT((A171-1)/5),5)+1)</f>
        <v>Округ_5_4</v>
      </c>
      <c r="H171" s="10" t="str">
        <f aca="false">"Город_"&amp;(MOD(A171-1,5)+1)&amp;"_"&amp;(MOD(INT((A171-1)/5),5)+1)&amp;"_"&amp;(MOD(INT((A171-1)/25),10)+1)</f>
        <v>Город_5_4_7</v>
      </c>
      <c r="I171" s="10" t="str">
        <f aca="false">CHOOSE(MOD(A171-1,4)+1,"Электроника","Одежда","Продукты","Мебель")</f>
        <v>Одежда</v>
      </c>
      <c r="J171" s="10" t="str">
        <f aca="false">CHOOSE(MOD(INT((A171-1)/4),4)+1,CHOOSE(MOD(A171-1,4)+1,"Смартфоны","Ноутбуки","Аксессуары","Аудио"),CHOOSE(MOD(A171-1,4)+1,"Верхняя одежда","Спортивная","Повседневная","Обувь"),CHOOSE(MOD(A171-1,4)+1,"Молочные","Мясные","Бакалея","Напитки"),CHOOSE(MOD(A171-1,4)+1,"Мягкая мебель","Корпусная","Офисная","Кухонная"))</f>
        <v>Мясные</v>
      </c>
      <c r="K171" s="12" t="n">
        <f aca="false">1000+MOD(A171*317+A171*A171*7,49001)</f>
        <v>12185</v>
      </c>
      <c r="L171" s="12" t="n">
        <f aca="false">1+MOD(A171*131,100)</f>
        <v>71</v>
      </c>
      <c r="M171" s="12" t="n">
        <f aca="false">INT(K171*(0.6+MOD(A171*43,21)/100))</f>
        <v>7554</v>
      </c>
      <c r="N171" s="12" t="n">
        <f aca="false">K171-M171</f>
        <v>4631</v>
      </c>
    </row>
    <row r="172" customFormat="false" ht="12.8" hidden="false" customHeight="false" outlineLevel="0" collapsed="false">
      <c r="A172" s="10" t="n">
        <f aca="false">A171+1</f>
        <v>171</v>
      </c>
      <c r="B172" s="11" t="n">
        <f aca="false">B171+1</f>
        <v>45097</v>
      </c>
      <c r="C172" s="10" t="n">
        <f aca="false">YEAR(B172)</f>
        <v>2023</v>
      </c>
      <c r="D172" s="10" t="n">
        <f aca="false">INT((MONTH(B172)-1)/3)+1</f>
        <v>2</v>
      </c>
      <c r="E172" s="10" t="n">
        <f aca="false">MONTH(B172)</f>
        <v>6</v>
      </c>
      <c r="F172" s="10" t="str">
        <f aca="false">CHOOSE(MOD(A172-1,5)+1,"Центр","Юг","Север","Запад","Восток")</f>
        <v>Центр</v>
      </c>
      <c r="G172" s="10" t="str">
        <f aca="false">"Округ_"&amp;(MOD(A172-1,5)+1)&amp;"_"&amp;(MOD(INT((A172-1)/5),5)+1)</f>
        <v>Округ_1_5</v>
      </c>
      <c r="H172" s="10" t="str">
        <f aca="false">"Город_"&amp;(MOD(A172-1,5)+1)&amp;"_"&amp;(MOD(INT((A172-1)/5),5)+1)&amp;"_"&amp;(MOD(INT((A172-1)/25),10)+1)</f>
        <v>Город_1_5_7</v>
      </c>
      <c r="I172" s="10" t="str">
        <f aca="false">CHOOSE(MOD(A172-1,4)+1,"Электроника","Одежда","Продукты","Мебель")</f>
        <v>Продукты</v>
      </c>
      <c r="J172" s="10" t="str">
        <f aca="false">CHOOSE(MOD(INT((A172-1)/4),4)+1,CHOOSE(MOD(A172-1,4)+1,"Смартфоны","Ноутбуки","Аксессуары","Аудио"),CHOOSE(MOD(A172-1,4)+1,"Верхняя одежда","Спортивная","Повседневная","Обувь"),CHOOSE(MOD(A172-1,4)+1,"Молочные","Мясные","Бакалея","Напитки"),CHOOSE(MOD(A172-1,4)+1,"Мягкая мебель","Корпусная","Офисная","Кухонная"))</f>
        <v>Бакалея</v>
      </c>
      <c r="K172" s="12" t="n">
        <f aca="false">1000+MOD(A172*317+A172*A172*7,49001)</f>
        <v>14889</v>
      </c>
      <c r="L172" s="12" t="n">
        <f aca="false">1+MOD(A172*131,100)</f>
        <v>2</v>
      </c>
      <c r="M172" s="12" t="n">
        <f aca="false">INT(K172*(0.6+MOD(A172*43,21)/100))</f>
        <v>9380</v>
      </c>
      <c r="N172" s="12" t="n">
        <f aca="false">K172-M172</f>
        <v>5509</v>
      </c>
    </row>
    <row r="173" customFormat="false" ht="12.8" hidden="false" customHeight="false" outlineLevel="0" collapsed="false">
      <c r="A173" s="10" t="n">
        <f aca="false">A172+1</f>
        <v>172</v>
      </c>
      <c r="B173" s="11" t="n">
        <f aca="false">B172+1</f>
        <v>45098</v>
      </c>
      <c r="C173" s="10" t="n">
        <f aca="false">YEAR(B173)</f>
        <v>2023</v>
      </c>
      <c r="D173" s="10" t="n">
        <f aca="false">INT((MONTH(B173)-1)/3)+1</f>
        <v>2</v>
      </c>
      <c r="E173" s="10" t="n">
        <f aca="false">MONTH(B173)</f>
        <v>6</v>
      </c>
      <c r="F173" s="10" t="str">
        <f aca="false">CHOOSE(MOD(A173-1,5)+1,"Центр","Юг","Север","Запад","Восток")</f>
        <v>Юг</v>
      </c>
      <c r="G173" s="10" t="str">
        <f aca="false">"Округ_"&amp;(MOD(A173-1,5)+1)&amp;"_"&amp;(MOD(INT((A173-1)/5),5)+1)</f>
        <v>Округ_2_5</v>
      </c>
      <c r="H173" s="10" t="str">
        <f aca="false">"Город_"&amp;(MOD(A173-1,5)+1)&amp;"_"&amp;(MOD(INT((A173-1)/5),5)+1)&amp;"_"&amp;(MOD(INT((A173-1)/25),10)+1)</f>
        <v>Город_2_5_7</v>
      </c>
      <c r="I173" s="10" t="str">
        <f aca="false">CHOOSE(MOD(A173-1,4)+1,"Электроника","Одежда","Продукты","Мебель")</f>
        <v>Мебель</v>
      </c>
      <c r="J173" s="10" t="str">
        <f aca="false">CHOOSE(MOD(INT((A173-1)/4),4)+1,CHOOSE(MOD(A173-1,4)+1,"Смартфоны","Ноутбуки","Аксессуары","Аудио"),CHOOSE(MOD(A173-1,4)+1,"Верхняя одежда","Спортивная","Повседневная","Обувь"),CHOOSE(MOD(A173-1,4)+1,"Молочные","Мясные","Бакалея","Напитки"),CHOOSE(MOD(A173-1,4)+1,"Мягкая мебель","Корпусная","Офисная","Кухонная"))</f>
        <v>Напитки</v>
      </c>
      <c r="K173" s="12" t="n">
        <f aca="false">1000+MOD(A173*317+A173*A173*7,49001)</f>
        <v>17607</v>
      </c>
      <c r="L173" s="12" t="n">
        <f aca="false">1+MOD(A173*131,100)</f>
        <v>33</v>
      </c>
      <c r="M173" s="12" t="n">
        <f aca="false">INT(K173*(0.6+MOD(A173*43,21)/100))</f>
        <v>11268</v>
      </c>
      <c r="N173" s="12" t="n">
        <f aca="false">K173-M173</f>
        <v>6339</v>
      </c>
    </row>
    <row r="174" customFormat="false" ht="12.8" hidden="false" customHeight="false" outlineLevel="0" collapsed="false">
      <c r="A174" s="10" t="n">
        <f aca="false">A173+1</f>
        <v>173</v>
      </c>
      <c r="B174" s="11" t="n">
        <f aca="false">B173+1</f>
        <v>45099</v>
      </c>
      <c r="C174" s="10" t="n">
        <f aca="false">YEAR(B174)</f>
        <v>2023</v>
      </c>
      <c r="D174" s="10" t="n">
        <f aca="false">INT((MONTH(B174)-1)/3)+1</f>
        <v>2</v>
      </c>
      <c r="E174" s="10" t="n">
        <f aca="false">MONTH(B174)</f>
        <v>6</v>
      </c>
      <c r="F174" s="10" t="str">
        <f aca="false">CHOOSE(MOD(A174-1,5)+1,"Центр","Юг","Север","Запад","Восток")</f>
        <v>Север</v>
      </c>
      <c r="G174" s="10" t="str">
        <f aca="false">"Округ_"&amp;(MOD(A174-1,5)+1)&amp;"_"&amp;(MOD(INT((A174-1)/5),5)+1)</f>
        <v>Округ_3_5</v>
      </c>
      <c r="H174" s="10" t="str">
        <f aca="false">"Город_"&amp;(MOD(A174-1,5)+1)&amp;"_"&amp;(MOD(INT((A174-1)/5),5)+1)&amp;"_"&amp;(MOD(INT((A174-1)/25),10)+1)</f>
        <v>Город_3_5_7</v>
      </c>
      <c r="I174" s="10" t="str">
        <f aca="false">CHOOSE(MOD(A174-1,4)+1,"Электроника","Одежда","Продукты","Мебель")</f>
        <v>Электроника</v>
      </c>
      <c r="J174" s="10" t="str">
        <f aca="false">CHOOSE(MOD(INT((A174-1)/4),4)+1,CHOOSE(MOD(A174-1,4)+1,"Смартфоны","Ноутбуки","Аксессуары","Аудио"),CHOOSE(MOD(A174-1,4)+1,"Верхняя одежда","Спортивная","Повседневная","Обувь"),CHOOSE(MOD(A174-1,4)+1,"Молочные","Мясные","Бакалея","Напитки"),CHOOSE(MOD(A174-1,4)+1,"Мягкая мебель","Корпусная","Офисная","Кухонная"))</f>
        <v>Мягкая мебель</v>
      </c>
      <c r="K174" s="12" t="n">
        <f aca="false">1000+MOD(A174*317+A174*A174*7,49001)</f>
        <v>20339</v>
      </c>
      <c r="L174" s="12" t="n">
        <f aca="false">1+MOD(A174*131,100)</f>
        <v>64</v>
      </c>
      <c r="M174" s="12" t="n">
        <f aca="false">INT(K174*(0.6+MOD(A174*43,21)/100))</f>
        <v>13220</v>
      </c>
      <c r="N174" s="12" t="n">
        <f aca="false">K174-M174</f>
        <v>7119</v>
      </c>
    </row>
    <row r="175" customFormat="false" ht="12.8" hidden="false" customHeight="false" outlineLevel="0" collapsed="false">
      <c r="A175" s="10" t="n">
        <f aca="false">A174+1</f>
        <v>174</v>
      </c>
      <c r="B175" s="11" t="n">
        <f aca="false">B174+1</f>
        <v>45100</v>
      </c>
      <c r="C175" s="10" t="n">
        <f aca="false">YEAR(B175)</f>
        <v>2023</v>
      </c>
      <c r="D175" s="10" t="n">
        <f aca="false">INT((MONTH(B175)-1)/3)+1</f>
        <v>2</v>
      </c>
      <c r="E175" s="10" t="n">
        <f aca="false">MONTH(B175)</f>
        <v>6</v>
      </c>
      <c r="F175" s="10" t="str">
        <f aca="false">CHOOSE(MOD(A175-1,5)+1,"Центр","Юг","Север","Запад","Восток")</f>
        <v>Запад</v>
      </c>
      <c r="G175" s="10" t="str">
        <f aca="false">"Округ_"&amp;(MOD(A175-1,5)+1)&amp;"_"&amp;(MOD(INT((A175-1)/5),5)+1)</f>
        <v>Округ_4_5</v>
      </c>
      <c r="H175" s="10" t="str">
        <f aca="false">"Город_"&amp;(MOD(A175-1,5)+1)&amp;"_"&amp;(MOD(INT((A175-1)/5),5)+1)&amp;"_"&amp;(MOD(INT((A175-1)/25),10)+1)</f>
        <v>Город_4_5_7</v>
      </c>
      <c r="I175" s="10" t="str">
        <f aca="false">CHOOSE(MOD(A175-1,4)+1,"Электроника","Одежда","Продукты","Мебель")</f>
        <v>Одежда</v>
      </c>
      <c r="J175" s="10" t="str">
        <f aca="false">CHOOSE(MOD(INT((A175-1)/4),4)+1,CHOOSE(MOD(A175-1,4)+1,"Смартфоны","Ноутбуки","Аксессуары","Аудио"),CHOOSE(MOD(A175-1,4)+1,"Верхняя одежда","Спортивная","Повседневная","Обувь"),CHOOSE(MOD(A175-1,4)+1,"Молочные","Мясные","Бакалея","Напитки"),CHOOSE(MOD(A175-1,4)+1,"Мягкая мебель","Корпусная","Офисная","Кухонная"))</f>
        <v>Корпусная</v>
      </c>
      <c r="K175" s="12" t="n">
        <f aca="false">1000+MOD(A175*317+A175*A175*7,49001)</f>
        <v>23085</v>
      </c>
      <c r="L175" s="12" t="n">
        <f aca="false">1+MOD(A175*131,100)</f>
        <v>95</v>
      </c>
      <c r="M175" s="12" t="n">
        <f aca="false">INT(K175*(0.6+MOD(A175*43,21)/100))</f>
        <v>15236</v>
      </c>
      <c r="N175" s="12" t="n">
        <f aca="false">K175-M175</f>
        <v>7849</v>
      </c>
    </row>
    <row r="176" customFormat="false" ht="12.8" hidden="false" customHeight="false" outlineLevel="0" collapsed="false">
      <c r="A176" s="10" t="n">
        <f aca="false">A175+1</f>
        <v>175</v>
      </c>
      <c r="B176" s="11" t="n">
        <f aca="false">B175+1</f>
        <v>45101</v>
      </c>
      <c r="C176" s="10" t="n">
        <f aca="false">YEAR(B176)</f>
        <v>2023</v>
      </c>
      <c r="D176" s="10" t="n">
        <f aca="false">INT((MONTH(B176)-1)/3)+1</f>
        <v>2</v>
      </c>
      <c r="E176" s="10" t="n">
        <f aca="false">MONTH(B176)</f>
        <v>6</v>
      </c>
      <c r="F176" s="10" t="str">
        <f aca="false">CHOOSE(MOD(A176-1,5)+1,"Центр","Юг","Север","Запад","Восток")</f>
        <v>Восток</v>
      </c>
      <c r="G176" s="10" t="str">
        <f aca="false">"Округ_"&amp;(MOD(A176-1,5)+1)&amp;"_"&amp;(MOD(INT((A176-1)/5),5)+1)</f>
        <v>Округ_5_5</v>
      </c>
      <c r="H176" s="10" t="str">
        <f aca="false">"Город_"&amp;(MOD(A176-1,5)+1)&amp;"_"&amp;(MOD(INT((A176-1)/5),5)+1)&amp;"_"&amp;(MOD(INT((A176-1)/25),10)+1)</f>
        <v>Город_5_5_7</v>
      </c>
      <c r="I176" s="10" t="str">
        <f aca="false">CHOOSE(MOD(A176-1,4)+1,"Электроника","Одежда","Продукты","Мебель")</f>
        <v>Продукты</v>
      </c>
      <c r="J176" s="10" t="str">
        <f aca="false">CHOOSE(MOD(INT((A176-1)/4),4)+1,CHOOSE(MOD(A176-1,4)+1,"Смартфоны","Ноутбуки","Аксессуары","Аудио"),CHOOSE(MOD(A176-1,4)+1,"Верхняя одежда","Спортивная","Повседневная","Обувь"),CHOOSE(MOD(A176-1,4)+1,"Молочные","Мясные","Бакалея","Напитки"),CHOOSE(MOD(A176-1,4)+1,"Мягкая мебель","Корпусная","Офисная","Кухонная"))</f>
        <v>Офисная</v>
      </c>
      <c r="K176" s="12" t="n">
        <f aca="false">1000+MOD(A176*317+A176*A176*7,49001)</f>
        <v>25845</v>
      </c>
      <c r="L176" s="12" t="n">
        <f aca="false">1+MOD(A176*131,100)</f>
        <v>26</v>
      </c>
      <c r="M176" s="12" t="n">
        <f aca="false">INT(K176*(0.6+MOD(A176*43,21)/100))</f>
        <v>17316</v>
      </c>
      <c r="N176" s="12" t="n">
        <f aca="false">K176-M176</f>
        <v>8529</v>
      </c>
    </row>
    <row r="177" customFormat="false" ht="12.8" hidden="false" customHeight="false" outlineLevel="0" collapsed="false">
      <c r="A177" s="10" t="n">
        <f aca="false">A176+1</f>
        <v>176</v>
      </c>
      <c r="B177" s="11" t="n">
        <f aca="false">B176+1</f>
        <v>45102</v>
      </c>
      <c r="C177" s="10" t="n">
        <f aca="false">YEAR(B177)</f>
        <v>2023</v>
      </c>
      <c r="D177" s="10" t="n">
        <f aca="false">INT((MONTH(B177)-1)/3)+1</f>
        <v>2</v>
      </c>
      <c r="E177" s="10" t="n">
        <f aca="false">MONTH(B177)</f>
        <v>6</v>
      </c>
      <c r="F177" s="10" t="str">
        <f aca="false">CHOOSE(MOD(A177-1,5)+1,"Центр","Юг","Север","Запад","Восток")</f>
        <v>Центр</v>
      </c>
      <c r="G177" s="10" t="str">
        <f aca="false">"Округ_"&amp;(MOD(A177-1,5)+1)&amp;"_"&amp;(MOD(INT((A177-1)/5),5)+1)</f>
        <v>Округ_1_1</v>
      </c>
      <c r="H177" s="10" t="str">
        <f aca="false">"Город_"&amp;(MOD(A177-1,5)+1)&amp;"_"&amp;(MOD(INT((A177-1)/5),5)+1)&amp;"_"&amp;(MOD(INT((A177-1)/25),10)+1)</f>
        <v>Город_1_1_8</v>
      </c>
      <c r="I177" s="10" t="str">
        <f aca="false">CHOOSE(MOD(A177-1,4)+1,"Электроника","Одежда","Продукты","Мебель")</f>
        <v>Мебель</v>
      </c>
      <c r="J177" s="10" t="str">
        <f aca="false">CHOOSE(MOD(INT((A177-1)/4),4)+1,CHOOSE(MOD(A177-1,4)+1,"Смартфоны","Ноутбуки","Аксессуары","Аудио"),CHOOSE(MOD(A177-1,4)+1,"Верхняя одежда","Спортивная","Повседневная","Обувь"),CHOOSE(MOD(A177-1,4)+1,"Молочные","Мясные","Бакалея","Напитки"),CHOOSE(MOD(A177-1,4)+1,"Мягкая мебель","Корпусная","Офисная","Кухонная"))</f>
        <v>Кухонная</v>
      </c>
      <c r="K177" s="12" t="n">
        <f aca="false">1000+MOD(A177*317+A177*A177*7,49001)</f>
        <v>28619</v>
      </c>
      <c r="L177" s="12" t="n">
        <f aca="false">1+MOD(A177*131,100)</f>
        <v>57</v>
      </c>
      <c r="M177" s="12" t="n">
        <f aca="false">INT(K177*(0.6+MOD(A177*43,21)/100))</f>
        <v>19460</v>
      </c>
      <c r="N177" s="12" t="n">
        <f aca="false">K177-M177</f>
        <v>9159</v>
      </c>
    </row>
    <row r="178" customFormat="false" ht="12.8" hidden="false" customHeight="false" outlineLevel="0" collapsed="false">
      <c r="A178" s="10" t="n">
        <f aca="false">A177+1</f>
        <v>177</v>
      </c>
      <c r="B178" s="11" t="n">
        <f aca="false">B177+1</f>
        <v>45103</v>
      </c>
      <c r="C178" s="10" t="n">
        <f aca="false">YEAR(B178)</f>
        <v>2023</v>
      </c>
      <c r="D178" s="10" t="n">
        <f aca="false">INT((MONTH(B178)-1)/3)+1</f>
        <v>2</v>
      </c>
      <c r="E178" s="10" t="n">
        <f aca="false">MONTH(B178)</f>
        <v>6</v>
      </c>
      <c r="F178" s="10" t="str">
        <f aca="false">CHOOSE(MOD(A178-1,5)+1,"Центр","Юг","Север","Запад","Восток")</f>
        <v>Юг</v>
      </c>
      <c r="G178" s="10" t="str">
        <f aca="false">"Округ_"&amp;(MOD(A178-1,5)+1)&amp;"_"&amp;(MOD(INT((A178-1)/5),5)+1)</f>
        <v>Округ_2_1</v>
      </c>
      <c r="H178" s="10" t="str">
        <f aca="false">"Город_"&amp;(MOD(A178-1,5)+1)&amp;"_"&amp;(MOD(INT((A178-1)/5),5)+1)&amp;"_"&amp;(MOD(INT((A178-1)/25),10)+1)</f>
        <v>Город_2_1_8</v>
      </c>
      <c r="I178" s="10" t="str">
        <f aca="false">CHOOSE(MOD(A178-1,4)+1,"Электроника","Одежда","Продукты","Мебель")</f>
        <v>Электроника</v>
      </c>
      <c r="J178" s="10" t="str">
        <f aca="false">CHOOSE(MOD(INT((A178-1)/4),4)+1,CHOOSE(MOD(A178-1,4)+1,"Смартфоны","Ноутбуки","Аксессуары","Аудио"),CHOOSE(MOD(A178-1,4)+1,"Верхняя одежда","Спортивная","Повседневная","Обувь"),CHOOSE(MOD(A178-1,4)+1,"Молочные","Мясные","Бакалея","Напитки"),CHOOSE(MOD(A178-1,4)+1,"Мягкая мебель","Корпусная","Офисная","Кухонная"))</f>
        <v>Смартфоны</v>
      </c>
      <c r="K178" s="12" t="n">
        <f aca="false">1000+MOD(A178*317+A178*A178*7,49001)</f>
        <v>31407</v>
      </c>
      <c r="L178" s="12" t="n">
        <f aca="false">1+MOD(A178*131,100)</f>
        <v>88</v>
      </c>
      <c r="M178" s="12" t="n">
        <f aca="false">INT(K178*(0.6+MOD(A178*43,21)/100))</f>
        <v>21670</v>
      </c>
      <c r="N178" s="12" t="n">
        <f aca="false">K178-M178</f>
        <v>9737</v>
      </c>
    </row>
    <row r="179" customFormat="false" ht="12.8" hidden="false" customHeight="false" outlineLevel="0" collapsed="false">
      <c r="A179" s="10" t="n">
        <f aca="false">A178+1</f>
        <v>178</v>
      </c>
      <c r="B179" s="11" t="n">
        <f aca="false">B178+1</f>
        <v>45104</v>
      </c>
      <c r="C179" s="10" t="n">
        <f aca="false">YEAR(B179)</f>
        <v>2023</v>
      </c>
      <c r="D179" s="10" t="n">
        <f aca="false">INT((MONTH(B179)-1)/3)+1</f>
        <v>2</v>
      </c>
      <c r="E179" s="10" t="n">
        <f aca="false">MONTH(B179)</f>
        <v>6</v>
      </c>
      <c r="F179" s="10" t="str">
        <f aca="false">CHOOSE(MOD(A179-1,5)+1,"Центр","Юг","Север","Запад","Восток")</f>
        <v>Север</v>
      </c>
      <c r="G179" s="10" t="str">
        <f aca="false">"Округ_"&amp;(MOD(A179-1,5)+1)&amp;"_"&amp;(MOD(INT((A179-1)/5),5)+1)</f>
        <v>Округ_3_1</v>
      </c>
      <c r="H179" s="10" t="str">
        <f aca="false">"Город_"&amp;(MOD(A179-1,5)+1)&amp;"_"&amp;(MOD(INT((A179-1)/5),5)+1)&amp;"_"&amp;(MOD(INT((A179-1)/25),10)+1)</f>
        <v>Город_3_1_8</v>
      </c>
      <c r="I179" s="10" t="str">
        <f aca="false">CHOOSE(MOD(A179-1,4)+1,"Электроника","Одежда","Продукты","Мебель")</f>
        <v>Одежда</v>
      </c>
      <c r="J179" s="10" t="str">
        <f aca="false">CHOOSE(MOD(INT((A179-1)/4),4)+1,CHOOSE(MOD(A179-1,4)+1,"Смартфоны","Ноутбуки","Аксессуары","Аудио"),CHOOSE(MOD(A179-1,4)+1,"Верхняя одежда","Спортивная","Повседневная","Обувь"),CHOOSE(MOD(A179-1,4)+1,"Молочные","Мясные","Бакалея","Напитки"),CHOOSE(MOD(A179-1,4)+1,"Мягкая мебель","Корпусная","Офисная","Кухонная"))</f>
        <v>Ноутбуки</v>
      </c>
      <c r="K179" s="12" t="n">
        <f aca="false">1000+MOD(A179*317+A179*A179*7,49001)</f>
        <v>34209</v>
      </c>
      <c r="L179" s="12" t="n">
        <f aca="false">1+MOD(A179*131,100)</f>
        <v>19</v>
      </c>
      <c r="M179" s="12" t="n">
        <f aca="false">INT(K179*(0.6+MOD(A179*43,21)/100))</f>
        <v>23946</v>
      </c>
      <c r="N179" s="12" t="n">
        <f aca="false">K179-M179</f>
        <v>10263</v>
      </c>
    </row>
    <row r="180" customFormat="false" ht="12.8" hidden="false" customHeight="false" outlineLevel="0" collapsed="false">
      <c r="A180" s="10" t="n">
        <f aca="false">A179+1</f>
        <v>179</v>
      </c>
      <c r="B180" s="11" t="n">
        <f aca="false">B179+1</f>
        <v>45105</v>
      </c>
      <c r="C180" s="10" t="n">
        <f aca="false">YEAR(B180)</f>
        <v>2023</v>
      </c>
      <c r="D180" s="10" t="n">
        <f aca="false">INT((MONTH(B180)-1)/3)+1</f>
        <v>2</v>
      </c>
      <c r="E180" s="10" t="n">
        <f aca="false">MONTH(B180)</f>
        <v>6</v>
      </c>
      <c r="F180" s="10" t="str">
        <f aca="false">CHOOSE(MOD(A180-1,5)+1,"Центр","Юг","Север","Запад","Восток")</f>
        <v>Запад</v>
      </c>
      <c r="G180" s="10" t="str">
        <f aca="false">"Округ_"&amp;(MOD(A180-1,5)+1)&amp;"_"&amp;(MOD(INT((A180-1)/5),5)+1)</f>
        <v>Округ_4_1</v>
      </c>
      <c r="H180" s="10" t="str">
        <f aca="false">"Город_"&amp;(MOD(A180-1,5)+1)&amp;"_"&amp;(MOD(INT((A180-1)/5),5)+1)&amp;"_"&amp;(MOD(INT((A180-1)/25),10)+1)</f>
        <v>Город_4_1_8</v>
      </c>
      <c r="I180" s="10" t="str">
        <f aca="false">CHOOSE(MOD(A180-1,4)+1,"Электроника","Одежда","Продукты","Мебель")</f>
        <v>Продукты</v>
      </c>
      <c r="J180" s="10" t="str">
        <f aca="false">CHOOSE(MOD(INT((A180-1)/4),4)+1,CHOOSE(MOD(A180-1,4)+1,"Смартфоны","Ноутбуки","Аксессуары","Аудио"),CHOOSE(MOD(A180-1,4)+1,"Верхняя одежда","Спортивная","Повседневная","Обувь"),CHOOSE(MOD(A180-1,4)+1,"Молочные","Мясные","Бакалея","Напитки"),CHOOSE(MOD(A180-1,4)+1,"Мягкая мебель","Корпусная","Офисная","Кухонная"))</f>
        <v>Аксессуары</v>
      </c>
      <c r="K180" s="12" t="n">
        <f aca="false">1000+MOD(A180*317+A180*A180*7,49001)</f>
        <v>37025</v>
      </c>
      <c r="L180" s="12" t="n">
        <f aca="false">1+MOD(A180*131,100)</f>
        <v>50</v>
      </c>
      <c r="M180" s="12" t="n">
        <f aca="false">INT(K180*(0.6+MOD(A180*43,21)/100))</f>
        <v>26287</v>
      </c>
      <c r="N180" s="12" t="n">
        <f aca="false">K180-M180</f>
        <v>10738</v>
      </c>
    </row>
    <row r="181" customFormat="false" ht="12.8" hidden="false" customHeight="false" outlineLevel="0" collapsed="false">
      <c r="A181" s="10" t="n">
        <f aca="false">A180+1</f>
        <v>180</v>
      </c>
      <c r="B181" s="11" t="n">
        <f aca="false">B180+1</f>
        <v>45106</v>
      </c>
      <c r="C181" s="10" t="n">
        <f aca="false">YEAR(B181)</f>
        <v>2023</v>
      </c>
      <c r="D181" s="10" t="n">
        <f aca="false">INT((MONTH(B181)-1)/3)+1</f>
        <v>2</v>
      </c>
      <c r="E181" s="10" t="n">
        <f aca="false">MONTH(B181)</f>
        <v>6</v>
      </c>
      <c r="F181" s="10" t="str">
        <f aca="false">CHOOSE(MOD(A181-1,5)+1,"Центр","Юг","Север","Запад","Восток")</f>
        <v>Восток</v>
      </c>
      <c r="G181" s="10" t="str">
        <f aca="false">"Округ_"&amp;(MOD(A181-1,5)+1)&amp;"_"&amp;(MOD(INT((A181-1)/5),5)+1)</f>
        <v>Округ_5_1</v>
      </c>
      <c r="H181" s="10" t="str">
        <f aca="false">"Город_"&amp;(MOD(A181-1,5)+1)&amp;"_"&amp;(MOD(INT((A181-1)/5),5)+1)&amp;"_"&amp;(MOD(INT((A181-1)/25),10)+1)</f>
        <v>Город_5_1_8</v>
      </c>
      <c r="I181" s="10" t="str">
        <f aca="false">CHOOSE(MOD(A181-1,4)+1,"Электроника","Одежда","Продукты","Мебель")</f>
        <v>Мебель</v>
      </c>
      <c r="J181" s="10" t="str">
        <f aca="false">CHOOSE(MOD(INT((A181-1)/4),4)+1,CHOOSE(MOD(A181-1,4)+1,"Смартфоны","Ноутбуки","Аксессуары","Аудио"),CHOOSE(MOD(A181-1,4)+1,"Верхняя одежда","Спортивная","Повседневная","Обувь"),CHOOSE(MOD(A181-1,4)+1,"Молочные","Мясные","Бакалея","Напитки"),CHOOSE(MOD(A181-1,4)+1,"Мягкая мебель","Корпусная","Офисная","Кухонная"))</f>
        <v>Аудио</v>
      </c>
      <c r="K181" s="12" t="n">
        <f aca="false">1000+MOD(A181*317+A181*A181*7,49001)</f>
        <v>39855</v>
      </c>
      <c r="L181" s="12" t="n">
        <f aca="false">1+MOD(A181*131,100)</f>
        <v>81</v>
      </c>
      <c r="M181" s="12" t="n">
        <f aca="false">INT(K181*(0.6+MOD(A181*43,21)/100))</f>
        <v>28695</v>
      </c>
      <c r="N181" s="12" t="n">
        <f aca="false">K181-M181</f>
        <v>11160</v>
      </c>
    </row>
    <row r="182" customFormat="false" ht="12.8" hidden="false" customHeight="false" outlineLevel="0" collapsed="false">
      <c r="A182" s="10" t="n">
        <f aca="false">A181+1</f>
        <v>181</v>
      </c>
      <c r="B182" s="11" t="n">
        <f aca="false">B181+1</f>
        <v>45107</v>
      </c>
      <c r="C182" s="10" t="n">
        <f aca="false">YEAR(B182)</f>
        <v>2023</v>
      </c>
      <c r="D182" s="10" t="n">
        <f aca="false">INT((MONTH(B182)-1)/3)+1</f>
        <v>2</v>
      </c>
      <c r="E182" s="10" t="n">
        <f aca="false">MONTH(B182)</f>
        <v>6</v>
      </c>
      <c r="F182" s="10" t="str">
        <f aca="false">CHOOSE(MOD(A182-1,5)+1,"Центр","Юг","Север","Запад","Восток")</f>
        <v>Центр</v>
      </c>
      <c r="G182" s="10" t="str">
        <f aca="false">"Округ_"&amp;(MOD(A182-1,5)+1)&amp;"_"&amp;(MOD(INT((A182-1)/5),5)+1)</f>
        <v>Округ_1_2</v>
      </c>
      <c r="H182" s="10" t="str">
        <f aca="false">"Город_"&amp;(MOD(A182-1,5)+1)&amp;"_"&amp;(MOD(INT((A182-1)/5),5)+1)&amp;"_"&amp;(MOD(INT((A182-1)/25),10)+1)</f>
        <v>Город_1_2_8</v>
      </c>
      <c r="I182" s="10" t="str">
        <f aca="false">CHOOSE(MOD(A182-1,4)+1,"Электроника","Одежда","Продукты","Мебель")</f>
        <v>Электроника</v>
      </c>
      <c r="J182" s="10" t="str">
        <f aca="false">CHOOSE(MOD(INT((A182-1)/4),4)+1,CHOOSE(MOD(A182-1,4)+1,"Смартфоны","Ноутбуки","Аксессуары","Аудио"),CHOOSE(MOD(A182-1,4)+1,"Верхняя одежда","Спортивная","Повседневная","Обувь"),CHOOSE(MOD(A182-1,4)+1,"Молочные","Мясные","Бакалея","Напитки"),CHOOSE(MOD(A182-1,4)+1,"Мягкая мебель","Корпусная","Офисная","Кухонная"))</f>
        <v>Верхняя одежда</v>
      </c>
      <c r="K182" s="12" t="n">
        <f aca="false">1000+MOD(A182*317+A182*A182*7,49001)</f>
        <v>42699</v>
      </c>
      <c r="L182" s="12" t="n">
        <f aca="false">1+MOD(A182*131,100)</f>
        <v>12</v>
      </c>
      <c r="M182" s="12" t="n">
        <f aca="false">INT(K182*(0.6+MOD(A182*43,21)/100))</f>
        <v>31170</v>
      </c>
      <c r="N182" s="12" t="n">
        <f aca="false">K182-M182</f>
        <v>11529</v>
      </c>
    </row>
    <row r="183" customFormat="false" ht="12.8" hidden="false" customHeight="false" outlineLevel="0" collapsed="false">
      <c r="A183" s="10" t="n">
        <f aca="false">A182+1</f>
        <v>182</v>
      </c>
      <c r="B183" s="11" t="n">
        <f aca="false">B182+1</f>
        <v>45108</v>
      </c>
      <c r="C183" s="10" t="n">
        <f aca="false">YEAR(B183)</f>
        <v>2023</v>
      </c>
      <c r="D183" s="10" t="n">
        <f aca="false">INT((MONTH(B183)-1)/3)+1</f>
        <v>3</v>
      </c>
      <c r="E183" s="10" t="n">
        <f aca="false">MONTH(B183)</f>
        <v>7</v>
      </c>
      <c r="F183" s="10" t="str">
        <f aca="false">CHOOSE(MOD(A183-1,5)+1,"Центр","Юг","Север","Запад","Восток")</f>
        <v>Юг</v>
      </c>
      <c r="G183" s="10" t="str">
        <f aca="false">"Округ_"&amp;(MOD(A183-1,5)+1)&amp;"_"&amp;(MOD(INT((A183-1)/5),5)+1)</f>
        <v>Округ_2_2</v>
      </c>
      <c r="H183" s="10" t="str">
        <f aca="false">"Город_"&amp;(MOD(A183-1,5)+1)&amp;"_"&amp;(MOD(INT((A183-1)/5),5)+1)&amp;"_"&amp;(MOD(INT((A183-1)/25),10)+1)</f>
        <v>Город_2_2_8</v>
      </c>
      <c r="I183" s="10" t="str">
        <f aca="false">CHOOSE(MOD(A183-1,4)+1,"Электроника","Одежда","Продукты","Мебель")</f>
        <v>Одежда</v>
      </c>
      <c r="J183" s="10" t="str">
        <f aca="false">CHOOSE(MOD(INT((A183-1)/4),4)+1,CHOOSE(MOD(A183-1,4)+1,"Смартфоны","Ноутбуки","Аксессуары","Аудио"),CHOOSE(MOD(A183-1,4)+1,"Верхняя одежда","Спортивная","Повседневная","Обувь"),CHOOSE(MOD(A183-1,4)+1,"Молочные","Мясные","Бакалея","Напитки"),CHOOSE(MOD(A183-1,4)+1,"Мягкая мебель","Корпусная","Офисная","Кухонная"))</f>
        <v>Спортивная</v>
      </c>
      <c r="K183" s="12" t="n">
        <f aca="false">1000+MOD(A183*317+A183*A183*7,49001)</f>
        <v>45557</v>
      </c>
      <c r="L183" s="12" t="n">
        <f aca="false">1+MOD(A183*131,100)</f>
        <v>43</v>
      </c>
      <c r="M183" s="12" t="n">
        <f aca="false">INT(K183*(0.6+MOD(A183*43,21)/100))</f>
        <v>33712</v>
      </c>
      <c r="N183" s="12" t="n">
        <f aca="false">K183-M183</f>
        <v>11845</v>
      </c>
    </row>
    <row r="184" customFormat="false" ht="12.8" hidden="false" customHeight="false" outlineLevel="0" collapsed="false">
      <c r="A184" s="10" t="n">
        <f aca="false">A183+1</f>
        <v>183</v>
      </c>
      <c r="B184" s="11" t="n">
        <f aca="false">B183+1</f>
        <v>45109</v>
      </c>
      <c r="C184" s="10" t="n">
        <f aca="false">YEAR(B184)</f>
        <v>2023</v>
      </c>
      <c r="D184" s="10" t="n">
        <f aca="false">INT((MONTH(B184)-1)/3)+1</f>
        <v>3</v>
      </c>
      <c r="E184" s="10" t="n">
        <f aca="false">MONTH(B184)</f>
        <v>7</v>
      </c>
      <c r="F184" s="10" t="str">
        <f aca="false">CHOOSE(MOD(A184-1,5)+1,"Центр","Юг","Север","Запад","Восток")</f>
        <v>Север</v>
      </c>
      <c r="G184" s="10" t="str">
        <f aca="false">"Округ_"&amp;(MOD(A184-1,5)+1)&amp;"_"&amp;(MOD(INT((A184-1)/5),5)+1)</f>
        <v>Округ_3_2</v>
      </c>
      <c r="H184" s="10" t="str">
        <f aca="false">"Город_"&amp;(MOD(A184-1,5)+1)&amp;"_"&amp;(MOD(INT((A184-1)/5),5)+1)&amp;"_"&amp;(MOD(INT((A184-1)/25),10)+1)</f>
        <v>Город_3_2_8</v>
      </c>
      <c r="I184" s="10" t="str">
        <f aca="false">CHOOSE(MOD(A184-1,4)+1,"Электроника","Одежда","Продукты","Мебель")</f>
        <v>Продукты</v>
      </c>
      <c r="J184" s="10" t="str">
        <f aca="false">CHOOSE(MOD(INT((A184-1)/4),4)+1,CHOOSE(MOD(A184-1,4)+1,"Смартфоны","Ноутбуки","Аксессуары","Аудио"),CHOOSE(MOD(A184-1,4)+1,"Верхняя одежда","Спортивная","Повседневная","Обувь"),CHOOSE(MOD(A184-1,4)+1,"Молочные","Мясные","Бакалея","Напитки"),CHOOSE(MOD(A184-1,4)+1,"Мягкая мебель","Корпусная","Офисная","Кухонная"))</f>
        <v>Повседневная</v>
      </c>
      <c r="K184" s="12" t="n">
        <f aca="false">1000+MOD(A184*317+A184*A184*7,49001)</f>
        <v>48429</v>
      </c>
      <c r="L184" s="12" t="n">
        <f aca="false">1+MOD(A184*131,100)</f>
        <v>74</v>
      </c>
      <c r="M184" s="12" t="n">
        <f aca="false">INT(K184*(0.6+MOD(A184*43,21)/100))</f>
        <v>36321</v>
      </c>
      <c r="N184" s="12" t="n">
        <f aca="false">K184-M184</f>
        <v>12108</v>
      </c>
    </row>
    <row r="185" customFormat="false" ht="12.8" hidden="false" customHeight="false" outlineLevel="0" collapsed="false">
      <c r="A185" s="10" t="n">
        <f aca="false">A184+1</f>
        <v>184</v>
      </c>
      <c r="B185" s="11" t="n">
        <f aca="false">B184+1</f>
        <v>45110</v>
      </c>
      <c r="C185" s="10" t="n">
        <f aca="false">YEAR(B185)</f>
        <v>2023</v>
      </c>
      <c r="D185" s="10" t="n">
        <f aca="false">INT((MONTH(B185)-1)/3)+1</f>
        <v>3</v>
      </c>
      <c r="E185" s="10" t="n">
        <f aca="false">MONTH(B185)</f>
        <v>7</v>
      </c>
      <c r="F185" s="10" t="str">
        <f aca="false">CHOOSE(MOD(A185-1,5)+1,"Центр","Юг","Север","Запад","Восток")</f>
        <v>Запад</v>
      </c>
      <c r="G185" s="10" t="str">
        <f aca="false">"Округ_"&amp;(MOD(A185-1,5)+1)&amp;"_"&amp;(MOD(INT((A185-1)/5),5)+1)</f>
        <v>Округ_4_2</v>
      </c>
      <c r="H185" s="10" t="str">
        <f aca="false">"Город_"&amp;(MOD(A185-1,5)+1)&amp;"_"&amp;(MOD(INT((A185-1)/5),5)+1)&amp;"_"&amp;(MOD(INT((A185-1)/25),10)+1)</f>
        <v>Город_4_2_8</v>
      </c>
      <c r="I185" s="10" t="str">
        <f aca="false">CHOOSE(MOD(A185-1,4)+1,"Электроника","Одежда","Продукты","Мебель")</f>
        <v>Мебель</v>
      </c>
      <c r="J185" s="10" t="str">
        <f aca="false">CHOOSE(MOD(INT((A185-1)/4),4)+1,CHOOSE(MOD(A185-1,4)+1,"Смартфоны","Ноутбуки","Аксессуары","Аудио"),CHOOSE(MOD(A185-1,4)+1,"Верхняя одежда","Спортивная","Повседневная","Обувь"),CHOOSE(MOD(A185-1,4)+1,"Молочные","Мясные","Бакалея","Напитки"),CHOOSE(MOD(A185-1,4)+1,"Мягкая мебель","Корпусная","Офисная","Кухонная"))</f>
        <v>Обувь</v>
      </c>
      <c r="K185" s="12" t="n">
        <f aca="false">1000+MOD(A185*317+A185*A185*7,49001)</f>
        <v>2314</v>
      </c>
      <c r="L185" s="12" t="n">
        <f aca="false">1+MOD(A185*131,100)</f>
        <v>5</v>
      </c>
      <c r="M185" s="12" t="n">
        <f aca="false">INT(K185*(0.6+MOD(A185*43,21)/100))</f>
        <v>1758</v>
      </c>
      <c r="N185" s="12" t="n">
        <f aca="false">K185-M185</f>
        <v>556</v>
      </c>
    </row>
    <row r="186" customFormat="false" ht="12.8" hidden="false" customHeight="false" outlineLevel="0" collapsed="false">
      <c r="A186" s="10" t="n">
        <f aca="false">A185+1</f>
        <v>185</v>
      </c>
      <c r="B186" s="11" t="n">
        <f aca="false">B185+1</f>
        <v>45111</v>
      </c>
      <c r="C186" s="10" t="n">
        <f aca="false">YEAR(B186)</f>
        <v>2023</v>
      </c>
      <c r="D186" s="10" t="n">
        <f aca="false">INT((MONTH(B186)-1)/3)+1</f>
        <v>3</v>
      </c>
      <c r="E186" s="10" t="n">
        <f aca="false">MONTH(B186)</f>
        <v>7</v>
      </c>
      <c r="F186" s="10" t="str">
        <f aca="false">CHOOSE(MOD(A186-1,5)+1,"Центр","Юг","Север","Запад","Восток")</f>
        <v>Восток</v>
      </c>
      <c r="G186" s="10" t="str">
        <f aca="false">"Округ_"&amp;(MOD(A186-1,5)+1)&amp;"_"&amp;(MOD(INT((A186-1)/5),5)+1)</f>
        <v>Округ_5_2</v>
      </c>
      <c r="H186" s="10" t="str">
        <f aca="false">"Город_"&amp;(MOD(A186-1,5)+1)&amp;"_"&amp;(MOD(INT((A186-1)/5),5)+1)&amp;"_"&amp;(MOD(INT((A186-1)/25),10)+1)</f>
        <v>Город_5_2_8</v>
      </c>
      <c r="I186" s="10" t="str">
        <f aca="false">CHOOSE(MOD(A186-1,4)+1,"Электроника","Одежда","Продукты","Мебель")</f>
        <v>Электроника</v>
      </c>
      <c r="J186" s="10" t="str">
        <f aca="false">CHOOSE(MOD(INT((A186-1)/4),4)+1,CHOOSE(MOD(A186-1,4)+1,"Смартфоны","Ноутбуки","Аксессуары","Аудио"),CHOOSE(MOD(A186-1,4)+1,"Верхняя одежда","Спортивная","Повседневная","Обувь"),CHOOSE(MOD(A186-1,4)+1,"Молочные","Мясные","Бакалея","Напитки"),CHOOSE(MOD(A186-1,4)+1,"Мягкая мебель","Корпусная","Офисная","Кухонная"))</f>
        <v>Молочные</v>
      </c>
      <c r="K186" s="12" t="n">
        <f aca="false">1000+MOD(A186*317+A186*A186*7,49001)</f>
        <v>5214</v>
      </c>
      <c r="L186" s="12" t="n">
        <f aca="false">1+MOD(A186*131,100)</f>
        <v>36</v>
      </c>
      <c r="M186" s="12" t="n">
        <f aca="false">INT(K186*(0.6+MOD(A186*43,21)/100))</f>
        <v>4014</v>
      </c>
      <c r="N186" s="12" t="n">
        <f aca="false">K186-M186</f>
        <v>1200</v>
      </c>
    </row>
    <row r="187" customFormat="false" ht="12.8" hidden="false" customHeight="false" outlineLevel="0" collapsed="false">
      <c r="A187" s="10" t="n">
        <f aca="false">A186+1</f>
        <v>186</v>
      </c>
      <c r="B187" s="11" t="n">
        <f aca="false">B186+1</f>
        <v>45112</v>
      </c>
      <c r="C187" s="10" t="n">
        <f aca="false">YEAR(B187)</f>
        <v>2023</v>
      </c>
      <c r="D187" s="10" t="n">
        <f aca="false">INT((MONTH(B187)-1)/3)+1</f>
        <v>3</v>
      </c>
      <c r="E187" s="10" t="n">
        <f aca="false">MONTH(B187)</f>
        <v>7</v>
      </c>
      <c r="F187" s="10" t="str">
        <f aca="false">CHOOSE(MOD(A187-1,5)+1,"Центр","Юг","Север","Запад","Восток")</f>
        <v>Центр</v>
      </c>
      <c r="G187" s="10" t="str">
        <f aca="false">"Округ_"&amp;(MOD(A187-1,5)+1)&amp;"_"&amp;(MOD(INT((A187-1)/5),5)+1)</f>
        <v>Округ_1_3</v>
      </c>
      <c r="H187" s="10" t="str">
        <f aca="false">"Город_"&amp;(MOD(A187-1,5)+1)&amp;"_"&amp;(MOD(INT((A187-1)/5),5)+1)&amp;"_"&amp;(MOD(INT((A187-1)/25),10)+1)</f>
        <v>Город_1_3_8</v>
      </c>
      <c r="I187" s="10" t="str">
        <f aca="false">CHOOSE(MOD(A187-1,4)+1,"Электроника","Одежда","Продукты","Мебель")</f>
        <v>Одежда</v>
      </c>
      <c r="J187" s="10" t="str">
        <f aca="false">CHOOSE(MOD(INT((A187-1)/4),4)+1,CHOOSE(MOD(A187-1,4)+1,"Смартфоны","Ноутбуки","Аксессуары","Аудио"),CHOOSE(MOD(A187-1,4)+1,"Верхняя одежда","Спортивная","Повседневная","Обувь"),CHOOSE(MOD(A187-1,4)+1,"Молочные","Мясные","Бакалея","Напитки"),CHOOSE(MOD(A187-1,4)+1,"Мягкая мебель","Корпусная","Офисная","Кухонная"))</f>
        <v>Мясные</v>
      </c>
      <c r="K187" s="12" t="n">
        <f aca="false">1000+MOD(A187*317+A187*A187*7,49001)</f>
        <v>8128</v>
      </c>
      <c r="L187" s="12" t="n">
        <f aca="false">1+MOD(A187*131,100)</f>
        <v>67</v>
      </c>
      <c r="M187" s="12" t="n">
        <f aca="false">INT(K187*(0.6+MOD(A187*43,21)/100))</f>
        <v>6339</v>
      </c>
      <c r="N187" s="12" t="n">
        <f aca="false">K187-M187</f>
        <v>1789</v>
      </c>
    </row>
    <row r="188" customFormat="false" ht="12.8" hidden="false" customHeight="false" outlineLevel="0" collapsed="false">
      <c r="A188" s="10" t="n">
        <f aca="false">A187+1</f>
        <v>187</v>
      </c>
      <c r="B188" s="11" t="n">
        <f aca="false">B187+1</f>
        <v>45113</v>
      </c>
      <c r="C188" s="10" t="n">
        <f aca="false">YEAR(B188)</f>
        <v>2023</v>
      </c>
      <c r="D188" s="10" t="n">
        <f aca="false">INT((MONTH(B188)-1)/3)+1</f>
        <v>3</v>
      </c>
      <c r="E188" s="10" t="n">
        <f aca="false">MONTH(B188)</f>
        <v>7</v>
      </c>
      <c r="F188" s="10" t="str">
        <f aca="false">CHOOSE(MOD(A188-1,5)+1,"Центр","Юг","Север","Запад","Восток")</f>
        <v>Юг</v>
      </c>
      <c r="G188" s="10" t="str">
        <f aca="false">"Округ_"&amp;(MOD(A188-1,5)+1)&amp;"_"&amp;(MOD(INT((A188-1)/5),5)+1)</f>
        <v>Округ_2_3</v>
      </c>
      <c r="H188" s="10" t="str">
        <f aca="false">"Город_"&amp;(MOD(A188-1,5)+1)&amp;"_"&amp;(MOD(INT((A188-1)/5),5)+1)&amp;"_"&amp;(MOD(INT((A188-1)/25),10)+1)</f>
        <v>Город_2_3_8</v>
      </c>
      <c r="I188" s="10" t="str">
        <f aca="false">CHOOSE(MOD(A188-1,4)+1,"Электроника","Одежда","Продукты","Мебель")</f>
        <v>Продукты</v>
      </c>
      <c r="J188" s="10" t="str">
        <f aca="false">CHOOSE(MOD(INT((A188-1)/4),4)+1,CHOOSE(MOD(A188-1,4)+1,"Смартфоны","Ноутбуки","Аксессуары","Аудио"),CHOOSE(MOD(A188-1,4)+1,"Верхняя одежда","Спортивная","Повседневная","Обувь"),CHOOSE(MOD(A188-1,4)+1,"Молочные","Мясные","Бакалея","Напитки"),CHOOSE(MOD(A188-1,4)+1,"Мягкая мебель","Корпусная","Офисная","Кухонная"))</f>
        <v>Бакалея</v>
      </c>
      <c r="K188" s="12" t="n">
        <f aca="false">1000+MOD(A188*317+A188*A188*7,49001)</f>
        <v>11056</v>
      </c>
      <c r="L188" s="12" t="n">
        <f aca="false">1+MOD(A188*131,100)</f>
        <v>98</v>
      </c>
      <c r="M188" s="12" t="n">
        <f aca="false">INT(K188*(0.6+MOD(A188*43,21)/100))</f>
        <v>8734</v>
      </c>
      <c r="N188" s="12" t="n">
        <f aca="false">K188-M188</f>
        <v>2322</v>
      </c>
    </row>
    <row r="189" customFormat="false" ht="12.8" hidden="false" customHeight="false" outlineLevel="0" collapsed="false">
      <c r="A189" s="10" t="n">
        <f aca="false">A188+1</f>
        <v>188</v>
      </c>
      <c r="B189" s="11" t="n">
        <f aca="false">B188+1</f>
        <v>45114</v>
      </c>
      <c r="C189" s="10" t="n">
        <f aca="false">YEAR(B189)</f>
        <v>2023</v>
      </c>
      <c r="D189" s="10" t="n">
        <f aca="false">INT((MONTH(B189)-1)/3)+1</f>
        <v>3</v>
      </c>
      <c r="E189" s="10" t="n">
        <f aca="false">MONTH(B189)</f>
        <v>7</v>
      </c>
      <c r="F189" s="10" t="str">
        <f aca="false">CHOOSE(MOD(A189-1,5)+1,"Центр","Юг","Север","Запад","Восток")</f>
        <v>Север</v>
      </c>
      <c r="G189" s="10" t="str">
        <f aca="false">"Округ_"&amp;(MOD(A189-1,5)+1)&amp;"_"&amp;(MOD(INT((A189-1)/5),5)+1)</f>
        <v>Округ_3_3</v>
      </c>
      <c r="H189" s="10" t="str">
        <f aca="false">"Город_"&amp;(MOD(A189-1,5)+1)&amp;"_"&amp;(MOD(INT((A189-1)/5),5)+1)&amp;"_"&amp;(MOD(INT((A189-1)/25),10)+1)</f>
        <v>Город_3_3_8</v>
      </c>
      <c r="I189" s="10" t="str">
        <f aca="false">CHOOSE(MOD(A189-1,4)+1,"Электроника","Одежда","Продукты","Мебель")</f>
        <v>Мебель</v>
      </c>
      <c r="J189" s="10" t="str">
        <f aca="false">CHOOSE(MOD(INT((A189-1)/4),4)+1,CHOOSE(MOD(A189-1,4)+1,"Смартфоны","Ноутбуки","Аксессуары","Аудио"),CHOOSE(MOD(A189-1,4)+1,"Верхняя одежда","Спортивная","Повседневная","Обувь"),CHOOSE(MOD(A189-1,4)+1,"Молочные","Мясные","Бакалея","Напитки"),CHOOSE(MOD(A189-1,4)+1,"Мягкая мебель","Корпусная","Офисная","Кухонная"))</f>
        <v>Напитки</v>
      </c>
      <c r="K189" s="12" t="n">
        <f aca="false">1000+MOD(A189*317+A189*A189*7,49001)</f>
        <v>13998</v>
      </c>
      <c r="L189" s="12" t="n">
        <f aca="false">1+MOD(A189*131,100)</f>
        <v>29</v>
      </c>
      <c r="M189" s="12" t="n">
        <f aca="false">INT(K189*(0.6+MOD(A189*43,21)/100))</f>
        <v>11198</v>
      </c>
      <c r="N189" s="12" t="n">
        <f aca="false">K189-M189</f>
        <v>2800</v>
      </c>
    </row>
    <row r="190" customFormat="false" ht="12.8" hidden="false" customHeight="false" outlineLevel="0" collapsed="false">
      <c r="A190" s="10" t="n">
        <f aca="false">A189+1</f>
        <v>189</v>
      </c>
      <c r="B190" s="11" t="n">
        <f aca="false">B189+1</f>
        <v>45115</v>
      </c>
      <c r="C190" s="10" t="n">
        <f aca="false">YEAR(B190)</f>
        <v>2023</v>
      </c>
      <c r="D190" s="10" t="n">
        <f aca="false">INT((MONTH(B190)-1)/3)+1</f>
        <v>3</v>
      </c>
      <c r="E190" s="10" t="n">
        <f aca="false">MONTH(B190)</f>
        <v>7</v>
      </c>
      <c r="F190" s="10" t="str">
        <f aca="false">CHOOSE(MOD(A190-1,5)+1,"Центр","Юг","Север","Запад","Восток")</f>
        <v>Запад</v>
      </c>
      <c r="G190" s="10" t="str">
        <f aca="false">"Округ_"&amp;(MOD(A190-1,5)+1)&amp;"_"&amp;(MOD(INT((A190-1)/5),5)+1)</f>
        <v>Округ_4_3</v>
      </c>
      <c r="H190" s="10" t="str">
        <f aca="false">"Город_"&amp;(MOD(A190-1,5)+1)&amp;"_"&amp;(MOD(INT((A190-1)/5),5)+1)&amp;"_"&amp;(MOD(INT((A190-1)/25),10)+1)</f>
        <v>Город_4_3_8</v>
      </c>
      <c r="I190" s="10" t="str">
        <f aca="false">CHOOSE(MOD(A190-1,4)+1,"Электроника","Одежда","Продукты","Мебель")</f>
        <v>Электроника</v>
      </c>
      <c r="J190" s="10" t="str">
        <f aca="false">CHOOSE(MOD(INT((A190-1)/4),4)+1,CHOOSE(MOD(A190-1,4)+1,"Смартфоны","Ноутбуки","Аксессуары","Аудио"),CHOOSE(MOD(A190-1,4)+1,"Верхняя одежда","Спортивная","Повседневная","Обувь"),CHOOSE(MOD(A190-1,4)+1,"Молочные","Мясные","Бакалея","Напитки"),CHOOSE(MOD(A190-1,4)+1,"Мягкая мебель","Корпусная","Офисная","Кухонная"))</f>
        <v>Мягкая мебель</v>
      </c>
      <c r="K190" s="12" t="n">
        <f aca="false">1000+MOD(A190*317+A190*A190*7,49001)</f>
        <v>16954</v>
      </c>
      <c r="L190" s="12" t="n">
        <f aca="false">1+MOD(A190*131,100)</f>
        <v>60</v>
      </c>
      <c r="M190" s="12" t="n">
        <f aca="false">INT(K190*(0.6+MOD(A190*43,21)/100))</f>
        <v>10172</v>
      </c>
      <c r="N190" s="12" t="n">
        <f aca="false">K190-M190</f>
        <v>6782</v>
      </c>
    </row>
    <row r="191" customFormat="false" ht="12.8" hidden="false" customHeight="false" outlineLevel="0" collapsed="false">
      <c r="A191" s="10" t="n">
        <f aca="false">A190+1</f>
        <v>190</v>
      </c>
      <c r="B191" s="11" t="n">
        <f aca="false">B190+1</f>
        <v>45116</v>
      </c>
      <c r="C191" s="10" t="n">
        <f aca="false">YEAR(B191)</f>
        <v>2023</v>
      </c>
      <c r="D191" s="10" t="n">
        <f aca="false">INT((MONTH(B191)-1)/3)+1</f>
        <v>3</v>
      </c>
      <c r="E191" s="10" t="n">
        <f aca="false">MONTH(B191)</f>
        <v>7</v>
      </c>
      <c r="F191" s="10" t="str">
        <f aca="false">CHOOSE(MOD(A191-1,5)+1,"Центр","Юг","Север","Запад","Восток")</f>
        <v>Восток</v>
      </c>
      <c r="G191" s="10" t="str">
        <f aca="false">"Округ_"&amp;(MOD(A191-1,5)+1)&amp;"_"&amp;(MOD(INT((A191-1)/5),5)+1)</f>
        <v>Округ_5_3</v>
      </c>
      <c r="H191" s="10" t="str">
        <f aca="false">"Город_"&amp;(MOD(A191-1,5)+1)&amp;"_"&amp;(MOD(INT((A191-1)/5),5)+1)&amp;"_"&amp;(MOD(INT((A191-1)/25),10)+1)</f>
        <v>Город_5_3_8</v>
      </c>
      <c r="I191" s="10" t="str">
        <f aca="false">CHOOSE(MOD(A191-1,4)+1,"Электроника","Одежда","Продукты","Мебель")</f>
        <v>Одежда</v>
      </c>
      <c r="J191" s="10" t="str">
        <f aca="false">CHOOSE(MOD(INT((A191-1)/4),4)+1,CHOOSE(MOD(A191-1,4)+1,"Смартфоны","Ноутбуки","Аксессуары","Аудио"),CHOOSE(MOD(A191-1,4)+1,"Верхняя одежда","Спортивная","Повседневная","Обувь"),CHOOSE(MOD(A191-1,4)+1,"Молочные","Мясные","Бакалея","Напитки"),CHOOSE(MOD(A191-1,4)+1,"Мягкая мебель","Корпусная","Офисная","Кухонная"))</f>
        <v>Корпусная</v>
      </c>
      <c r="K191" s="12" t="n">
        <f aca="false">1000+MOD(A191*317+A191*A191*7,49001)</f>
        <v>19924</v>
      </c>
      <c r="L191" s="12" t="n">
        <f aca="false">1+MOD(A191*131,100)</f>
        <v>91</v>
      </c>
      <c r="M191" s="12" t="n">
        <f aca="false">INT(K191*(0.6+MOD(A191*43,21)/100))</f>
        <v>12153</v>
      </c>
      <c r="N191" s="12" t="n">
        <f aca="false">K191-M191</f>
        <v>7771</v>
      </c>
    </row>
    <row r="192" customFormat="false" ht="12.8" hidden="false" customHeight="false" outlineLevel="0" collapsed="false">
      <c r="A192" s="10" t="n">
        <f aca="false">A191+1</f>
        <v>191</v>
      </c>
      <c r="B192" s="11" t="n">
        <f aca="false">B191+1</f>
        <v>45117</v>
      </c>
      <c r="C192" s="10" t="n">
        <f aca="false">YEAR(B192)</f>
        <v>2023</v>
      </c>
      <c r="D192" s="10" t="n">
        <f aca="false">INT((MONTH(B192)-1)/3)+1</f>
        <v>3</v>
      </c>
      <c r="E192" s="10" t="n">
        <f aca="false">MONTH(B192)</f>
        <v>7</v>
      </c>
      <c r="F192" s="10" t="str">
        <f aca="false">CHOOSE(MOD(A192-1,5)+1,"Центр","Юг","Север","Запад","Восток")</f>
        <v>Центр</v>
      </c>
      <c r="G192" s="10" t="str">
        <f aca="false">"Округ_"&amp;(MOD(A192-1,5)+1)&amp;"_"&amp;(MOD(INT((A192-1)/5),5)+1)</f>
        <v>Округ_1_4</v>
      </c>
      <c r="H192" s="10" t="str">
        <f aca="false">"Город_"&amp;(MOD(A192-1,5)+1)&amp;"_"&amp;(MOD(INT((A192-1)/5),5)+1)&amp;"_"&amp;(MOD(INT((A192-1)/25),10)+1)</f>
        <v>Город_1_4_8</v>
      </c>
      <c r="I192" s="10" t="str">
        <f aca="false">CHOOSE(MOD(A192-1,4)+1,"Электроника","Одежда","Продукты","Мебель")</f>
        <v>Продукты</v>
      </c>
      <c r="J192" s="10" t="str">
        <f aca="false">CHOOSE(MOD(INT((A192-1)/4),4)+1,CHOOSE(MOD(A192-1,4)+1,"Смартфоны","Ноутбуки","Аксессуары","Аудио"),CHOOSE(MOD(A192-1,4)+1,"Верхняя одежда","Спортивная","Повседневная","Обувь"),CHOOSE(MOD(A192-1,4)+1,"Молочные","Мясные","Бакалея","Напитки"),CHOOSE(MOD(A192-1,4)+1,"Мягкая мебель","Корпусная","Офисная","Кухонная"))</f>
        <v>Офисная</v>
      </c>
      <c r="K192" s="12" t="n">
        <f aca="false">1000+MOD(A192*317+A192*A192*7,49001)</f>
        <v>22908</v>
      </c>
      <c r="L192" s="12" t="n">
        <f aca="false">1+MOD(A192*131,100)</f>
        <v>22</v>
      </c>
      <c r="M192" s="12" t="n">
        <f aca="false">INT(K192*(0.6+MOD(A192*43,21)/100))</f>
        <v>14202</v>
      </c>
      <c r="N192" s="12" t="n">
        <f aca="false">K192-M192</f>
        <v>8706</v>
      </c>
    </row>
    <row r="193" customFormat="false" ht="12.8" hidden="false" customHeight="false" outlineLevel="0" collapsed="false">
      <c r="A193" s="10" t="n">
        <f aca="false">A192+1</f>
        <v>192</v>
      </c>
      <c r="B193" s="11" t="n">
        <f aca="false">B192+1</f>
        <v>45118</v>
      </c>
      <c r="C193" s="10" t="n">
        <f aca="false">YEAR(B193)</f>
        <v>2023</v>
      </c>
      <c r="D193" s="10" t="n">
        <f aca="false">INT((MONTH(B193)-1)/3)+1</f>
        <v>3</v>
      </c>
      <c r="E193" s="10" t="n">
        <f aca="false">MONTH(B193)</f>
        <v>7</v>
      </c>
      <c r="F193" s="10" t="str">
        <f aca="false">CHOOSE(MOD(A193-1,5)+1,"Центр","Юг","Север","Запад","Восток")</f>
        <v>Юг</v>
      </c>
      <c r="G193" s="10" t="str">
        <f aca="false">"Округ_"&amp;(MOD(A193-1,5)+1)&amp;"_"&amp;(MOD(INT((A193-1)/5),5)+1)</f>
        <v>Округ_2_4</v>
      </c>
      <c r="H193" s="10" t="str">
        <f aca="false">"Город_"&amp;(MOD(A193-1,5)+1)&amp;"_"&amp;(MOD(INT((A193-1)/5),5)+1)&amp;"_"&amp;(MOD(INT((A193-1)/25),10)+1)</f>
        <v>Город_2_4_8</v>
      </c>
      <c r="I193" s="10" t="str">
        <f aca="false">CHOOSE(MOD(A193-1,4)+1,"Электроника","Одежда","Продукты","Мебель")</f>
        <v>Мебель</v>
      </c>
      <c r="J193" s="10" t="str">
        <f aca="false">CHOOSE(MOD(INT((A193-1)/4),4)+1,CHOOSE(MOD(A193-1,4)+1,"Смартфоны","Ноутбуки","Аксессуары","Аудио"),CHOOSE(MOD(A193-1,4)+1,"Верхняя одежда","Спортивная","Повседневная","Обувь"),CHOOSE(MOD(A193-1,4)+1,"Молочные","Мясные","Бакалея","Напитки"),CHOOSE(MOD(A193-1,4)+1,"Мягкая мебель","Корпусная","Офисная","Кухонная"))</f>
        <v>Кухонная</v>
      </c>
      <c r="K193" s="12" t="n">
        <f aca="false">1000+MOD(A193*317+A193*A193*7,49001)</f>
        <v>25906</v>
      </c>
      <c r="L193" s="12" t="n">
        <f aca="false">1+MOD(A193*131,100)</f>
        <v>53</v>
      </c>
      <c r="M193" s="12" t="n">
        <f aca="false">INT(K193*(0.6+MOD(A193*43,21)/100))</f>
        <v>16320</v>
      </c>
      <c r="N193" s="12" t="n">
        <f aca="false">K193-M193</f>
        <v>9586</v>
      </c>
    </row>
    <row r="194" customFormat="false" ht="12.8" hidden="false" customHeight="false" outlineLevel="0" collapsed="false">
      <c r="A194" s="10" t="n">
        <f aca="false">A193+1</f>
        <v>193</v>
      </c>
      <c r="B194" s="11" t="n">
        <f aca="false">B193+1</f>
        <v>45119</v>
      </c>
      <c r="C194" s="10" t="n">
        <f aca="false">YEAR(B194)</f>
        <v>2023</v>
      </c>
      <c r="D194" s="10" t="n">
        <f aca="false">INT((MONTH(B194)-1)/3)+1</f>
        <v>3</v>
      </c>
      <c r="E194" s="10" t="n">
        <f aca="false">MONTH(B194)</f>
        <v>7</v>
      </c>
      <c r="F194" s="10" t="str">
        <f aca="false">CHOOSE(MOD(A194-1,5)+1,"Центр","Юг","Север","Запад","Восток")</f>
        <v>Север</v>
      </c>
      <c r="G194" s="10" t="str">
        <f aca="false">"Округ_"&amp;(MOD(A194-1,5)+1)&amp;"_"&amp;(MOD(INT((A194-1)/5),5)+1)</f>
        <v>Округ_3_4</v>
      </c>
      <c r="H194" s="10" t="str">
        <f aca="false">"Город_"&amp;(MOD(A194-1,5)+1)&amp;"_"&amp;(MOD(INT((A194-1)/5),5)+1)&amp;"_"&amp;(MOD(INT((A194-1)/25),10)+1)</f>
        <v>Город_3_4_8</v>
      </c>
      <c r="I194" s="10" t="str">
        <f aca="false">CHOOSE(MOD(A194-1,4)+1,"Электроника","Одежда","Продукты","Мебель")</f>
        <v>Электроника</v>
      </c>
      <c r="J194" s="10" t="str">
        <f aca="false">CHOOSE(MOD(INT((A194-1)/4),4)+1,CHOOSE(MOD(A194-1,4)+1,"Смартфоны","Ноутбуки","Аксессуары","Аудио"),CHOOSE(MOD(A194-1,4)+1,"Верхняя одежда","Спортивная","Повседневная","Обувь"),CHOOSE(MOD(A194-1,4)+1,"Молочные","Мясные","Бакалея","Напитки"),CHOOSE(MOD(A194-1,4)+1,"Мягкая мебель","Корпусная","Офисная","Кухонная"))</f>
        <v>Смартфоны</v>
      </c>
      <c r="K194" s="12" t="n">
        <f aca="false">1000+MOD(A194*317+A194*A194*7,49001)</f>
        <v>28918</v>
      </c>
      <c r="L194" s="12" t="n">
        <f aca="false">1+MOD(A194*131,100)</f>
        <v>84</v>
      </c>
      <c r="M194" s="12" t="n">
        <f aca="false">INT(K194*(0.6+MOD(A194*43,21)/100))</f>
        <v>18507</v>
      </c>
      <c r="N194" s="12" t="n">
        <f aca="false">K194-M194</f>
        <v>10411</v>
      </c>
    </row>
    <row r="195" customFormat="false" ht="12.8" hidden="false" customHeight="false" outlineLevel="0" collapsed="false">
      <c r="A195" s="10" t="n">
        <f aca="false">A194+1</f>
        <v>194</v>
      </c>
      <c r="B195" s="11" t="n">
        <f aca="false">B194+1</f>
        <v>45120</v>
      </c>
      <c r="C195" s="10" t="n">
        <f aca="false">YEAR(B195)</f>
        <v>2023</v>
      </c>
      <c r="D195" s="10" t="n">
        <f aca="false">INT((MONTH(B195)-1)/3)+1</f>
        <v>3</v>
      </c>
      <c r="E195" s="10" t="n">
        <f aca="false">MONTH(B195)</f>
        <v>7</v>
      </c>
      <c r="F195" s="10" t="str">
        <f aca="false">CHOOSE(MOD(A195-1,5)+1,"Центр","Юг","Север","Запад","Восток")</f>
        <v>Запад</v>
      </c>
      <c r="G195" s="10" t="str">
        <f aca="false">"Округ_"&amp;(MOD(A195-1,5)+1)&amp;"_"&amp;(MOD(INT((A195-1)/5),5)+1)</f>
        <v>Округ_4_4</v>
      </c>
      <c r="H195" s="10" t="str">
        <f aca="false">"Город_"&amp;(MOD(A195-1,5)+1)&amp;"_"&amp;(MOD(INT((A195-1)/5),5)+1)&amp;"_"&amp;(MOD(INT((A195-1)/25),10)+1)</f>
        <v>Город_4_4_8</v>
      </c>
      <c r="I195" s="10" t="str">
        <f aca="false">CHOOSE(MOD(A195-1,4)+1,"Электроника","Одежда","Продукты","Мебель")</f>
        <v>Одежда</v>
      </c>
      <c r="J195" s="10" t="str">
        <f aca="false">CHOOSE(MOD(INT((A195-1)/4),4)+1,CHOOSE(MOD(A195-1,4)+1,"Смартфоны","Ноутбуки","Аксессуары","Аудио"),CHOOSE(MOD(A195-1,4)+1,"Верхняя одежда","Спортивная","Повседневная","Обувь"),CHOOSE(MOD(A195-1,4)+1,"Молочные","Мясные","Бакалея","Напитки"),CHOOSE(MOD(A195-1,4)+1,"Мягкая мебель","Корпусная","Офисная","Кухонная"))</f>
        <v>Ноутбуки</v>
      </c>
      <c r="K195" s="12" t="n">
        <f aca="false">1000+MOD(A195*317+A195*A195*7,49001)</f>
        <v>31944</v>
      </c>
      <c r="L195" s="12" t="n">
        <f aca="false">1+MOD(A195*131,100)</f>
        <v>15</v>
      </c>
      <c r="M195" s="12" t="n">
        <f aca="false">INT(K195*(0.6+MOD(A195*43,21)/100))</f>
        <v>20763</v>
      </c>
      <c r="N195" s="12" t="n">
        <f aca="false">K195-M195</f>
        <v>11181</v>
      </c>
    </row>
    <row r="196" customFormat="false" ht="12.8" hidden="false" customHeight="false" outlineLevel="0" collapsed="false">
      <c r="A196" s="10" t="n">
        <f aca="false">A195+1</f>
        <v>195</v>
      </c>
      <c r="B196" s="11" t="n">
        <f aca="false">B195+1</f>
        <v>45121</v>
      </c>
      <c r="C196" s="10" t="n">
        <f aca="false">YEAR(B196)</f>
        <v>2023</v>
      </c>
      <c r="D196" s="10" t="n">
        <f aca="false">INT((MONTH(B196)-1)/3)+1</f>
        <v>3</v>
      </c>
      <c r="E196" s="10" t="n">
        <f aca="false">MONTH(B196)</f>
        <v>7</v>
      </c>
      <c r="F196" s="10" t="str">
        <f aca="false">CHOOSE(MOD(A196-1,5)+1,"Центр","Юг","Север","Запад","Восток")</f>
        <v>Восток</v>
      </c>
      <c r="G196" s="10" t="str">
        <f aca="false">"Округ_"&amp;(MOD(A196-1,5)+1)&amp;"_"&amp;(MOD(INT((A196-1)/5),5)+1)</f>
        <v>Округ_5_4</v>
      </c>
      <c r="H196" s="10" t="str">
        <f aca="false">"Город_"&amp;(MOD(A196-1,5)+1)&amp;"_"&amp;(MOD(INT((A196-1)/5),5)+1)&amp;"_"&amp;(MOD(INT((A196-1)/25),10)+1)</f>
        <v>Город_5_4_8</v>
      </c>
      <c r="I196" s="10" t="str">
        <f aca="false">CHOOSE(MOD(A196-1,4)+1,"Электроника","Одежда","Продукты","Мебель")</f>
        <v>Продукты</v>
      </c>
      <c r="J196" s="10" t="str">
        <f aca="false">CHOOSE(MOD(INT((A196-1)/4),4)+1,CHOOSE(MOD(A196-1,4)+1,"Смартфоны","Ноутбуки","Аксессуары","Аудио"),CHOOSE(MOD(A196-1,4)+1,"Верхняя одежда","Спортивная","Повседневная","Обувь"),CHOOSE(MOD(A196-1,4)+1,"Молочные","Мясные","Бакалея","Напитки"),CHOOSE(MOD(A196-1,4)+1,"Мягкая мебель","Корпусная","Офисная","Кухонная"))</f>
        <v>Аксессуары</v>
      </c>
      <c r="K196" s="12" t="n">
        <f aca="false">1000+MOD(A196*317+A196*A196*7,49001)</f>
        <v>34984</v>
      </c>
      <c r="L196" s="12" t="n">
        <f aca="false">1+MOD(A196*131,100)</f>
        <v>46</v>
      </c>
      <c r="M196" s="12" t="n">
        <f aca="false">INT(K196*(0.6+MOD(A196*43,21)/100))</f>
        <v>23089</v>
      </c>
      <c r="N196" s="12" t="n">
        <f aca="false">K196-M196</f>
        <v>11895</v>
      </c>
    </row>
    <row r="197" customFormat="false" ht="12.8" hidden="false" customHeight="false" outlineLevel="0" collapsed="false">
      <c r="A197" s="10" t="n">
        <f aca="false">A196+1</f>
        <v>196</v>
      </c>
      <c r="B197" s="11" t="n">
        <f aca="false">B196+1</f>
        <v>45122</v>
      </c>
      <c r="C197" s="10" t="n">
        <f aca="false">YEAR(B197)</f>
        <v>2023</v>
      </c>
      <c r="D197" s="10" t="n">
        <f aca="false">INT((MONTH(B197)-1)/3)+1</f>
        <v>3</v>
      </c>
      <c r="E197" s="10" t="n">
        <f aca="false">MONTH(B197)</f>
        <v>7</v>
      </c>
      <c r="F197" s="10" t="str">
        <f aca="false">CHOOSE(MOD(A197-1,5)+1,"Центр","Юг","Север","Запад","Восток")</f>
        <v>Центр</v>
      </c>
      <c r="G197" s="10" t="str">
        <f aca="false">"Округ_"&amp;(MOD(A197-1,5)+1)&amp;"_"&amp;(MOD(INT((A197-1)/5),5)+1)</f>
        <v>Округ_1_5</v>
      </c>
      <c r="H197" s="10" t="str">
        <f aca="false">"Город_"&amp;(MOD(A197-1,5)+1)&amp;"_"&amp;(MOD(INT((A197-1)/5),5)+1)&amp;"_"&amp;(MOD(INT((A197-1)/25),10)+1)</f>
        <v>Город_1_5_8</v>
      </c>
      <c r="I197" s="10" t="str">
        <f aca="false">CHOOSE(MOD(A197-1,4)+1,"Электроника","Одежда","Продукты","Мебель")</f>
        <v>Мебель</v>
      </c>
      <c r="J197" s="10" t="str">
        <f aca="false">CHOOSE(MOD(INT((A197-1)/4),4)+1,CHOOSE(MOD(A197-1,4)+1,"Смартфоны","Ноутбуки","Аксессуары","Аудио"),CHOOSE(MOD(A197-1,4)+1,"Верхняя одежда","Спортивная","Повседневная","Обувь"),CHOOSE(MOD(A197-1,4)+1,"Молочные","Мясные","Бакалея","Напитки"),CHOOSE(MOD(A197-1,4)+1,"Мягкая мебель","Корпусная","Офисная","Кухонная"))</f>
        <v>Аудио</v>
      </c>
      <c r="K197" s="12" t="n">
        <f aca="false">1000+MOD(A197*317+A197*A197*7,49001)</f>
        <v>38038</v>
      </c>
      <c r="L197" s="12" t="n">
        <f aca="false">1+MOD(A197*131,100)</f>
        <v>77</v>
      </c>
      <c r="M197" s="12" t="n">
        <f aca="false">INT(K197*(0.6+MOD(A197*43,21)/100))</f>
        <v>25485</v>
      </c>
      <c r="N197" s="12" t="n">
        <f aca="false">K197-M197</f>
        <v>12553</v>
      </c>
    </row>
    <row r="198" customFormat="false" ht="12.8" hidden="false" customHeight="false" outlineLevel="0" collapsed="false">
      <c r="A198" s="10" t="n">
        <f aca="false">A197+1</f>
        <v>197</v>
      </c>
      <c r="B198" s="11" t="n">
        <f aca="false">B197+1</f>
        <v>45123</v>
      </c>
      <c r="C198" s="10" t="n">
        <f aca="false">YEAR(B198)</f>
        <v>2023</v>
      </c>
      <c r="D198" s="10" t="n">
        <f aca="false">INT((MONTH(B198)-1)/3)+1</f>
        <v>3</v>
      </c>
      <c r="E198" s="10" t="n">
        <f aca="false">MONTH(B198)</f>
        <v>7</v>
      </c>
      <c r="F198" s="10" t="str">
        <f aca="false">CHOOSE(MOD(A198-1,5)+1,"Центр","Юг","Север","Запад","Восток")</f>
        <v>Юг</v>
      </c>
      <c r="G198" s="10" t="str">
        <f aca="false">"Округ_"&amp;(MOD(A198-1,5)+1)&amp;"_"&amp;(MOD(INT((A198-1)/5),5)+1)</f>
        <v>Округ_2_5</v>
      </c>
      <c r="H198" s="10" t="str">
        <f aca="false">"Город_"&amp;(MOD(A198-1,5)+1)&amp;"_"&amp;(MOD(INT((A198-1)/5),5)+1)&amp;"_"&amp;(MOD(INT((A198-1)/25),10)+1)</f>
        <v>Город_2_5_8</v>
      </c>
      <c r="I198" s="10" t="str">
        <f aca="false">CHOOSE(MOD(A198-1,4)+1,"Электроника","Одежда","Продукты","Мебель")</f>
        <v>Электроника</v>
      </c>
      <c r="J198" s="10" t="str">
        <f aca="false">CHOOSE(MOD(INT((A198-1)/4),4)+1,CHOOSE(MOD(A198-1,4)+1,"Смартфоны","Ноутбуки","Аксессуары","Аудио"),CHOOSE(MOD(A198-1,4)+1,"Верхняя одежда","Спортивная","Повседневная","Обувь"),CHOOSE(MOD(A198-1,4)+1,"Молочные","Мясные","Бакалея","Напитки"),CHOOSE(MOD(A198-1,4)+1,"Мягкая мебель","Корпусная","Офисная","Кухонная"))</f>
        <v>Верхняя одежда</v>
      </c>
      <c r="K198" s="12" t="n">
        <f aca="false">1000+MOD(A198*317+A198*A198*7,49001)</f>
        <v>41106</v>
      </c>
      <c r="L198" s="12" t="n">
        <f aca="false">1+MOD(A198*131,100)</f>
        <v>8</v>
      </c>
      <c r="M198" s="12" t="n">
        <f aca="false">INT(K198*(0.6+MOD(A198*43,21)/100))</f>
        <v>27952</v>
      </c>
      <c r="N198" s="12" t="n">
        <f aca="false">K198-M198</f>
        <v>13154</v>
      </c>
    </row>
    <row r="199" customFormat="false" ht="12.8" hidden="false" customHeight="false" outlineLevel="0" collapsed="false">
      <c r="A199" s="10" t="n">
        <f aca="false">A198+1</f>
        <v>198</v>
      </c>
      <c r="B199" s="11" t="n">
        <f aca="false">B198+1</f>
        <v>45124</v>
      </c>
      <c r="C199" s="10" t="n">
        <f aca="false">YEAR(B199)</f>
        <v>2023</v>
      </c>
      <c r="D199" s="10" t="n">
        <f aca="false">INT((MONTH(B199)-1)/3)+1</f>
        <v>3</v>
      </c>
      <c r="E199" s="10" t="n">
        <f aca="false">MONTH(B199)</f>
        <v>7</v>
      </c>
      <c r="F199" s="10" t="str">
        <f aca="false">CHOOSE(MOD(A199-1,5)+1,"Центр","Юг","Север","Запад","Восток")</f>
        <v>Север</v>
      </c>
      <c r="G199" s="10" t="str">
        <f aca="false">"Округ_"&amp;(MOD(A199-1,5)+1)&amp;"_"&amp;(MOD(INT((A199-1)/5),5)+1)</f>
        <v>Округ_3_5</v>
      </c>
      <c r="H199" s="10" t="str">
        <f aca="false">"Город_"&amp;(MOD(A199-1,5)+1)&amp;"_"&amp;(MOD(INT((A199-1)/5),5)+1)&amp;"_"&amp;(MOD(INT((A199-1)/25),10)+1)</f>
        <v>Город_3_5_8</v>
      </c>
      <c r="I199" s="10" t="str">
        <f aca="false">CHOOSE(MOD(A199-1,4)+1,"Электроника","Одежда","Продукты","Мебель")</f>
        <v>Одежда</v>
      </c>
      <c r="J199" s="10" t="str">
        <f aca="false">CHOOSE(MOD(INT((A199-1)/4),4)+1,CHOOSE(MOD(A199-1,4)+1,"Смартфоны","Ноутбуки","Аксессуары","Аудио"),CHOOSE(MOD(A199-1,4)+1,"Верхняя одежда","Спортивная","Повседневная","Обувь"),CHOOSE(MOD(A199-1,4)+1,"Молочные","Мясные","Бакалея","Напитки"),CHOOSE(MOD(A199-1,4)+1,"Мягкая мебель","Корпусная","Офисная","Кухонная"))</f>
        <v>Спортивная</v>
      </c>
      <c r="K199" s="12" t="n">
        <f aca="false">1000+MOD(A199*317+A199*A199*7,49001)</f>
        <v>44188</v>
      </c>
      <c r="L199" s="12" t="n">
        <f aca="false">1+MOD(A199*131,100)</f>
        <v>39</v>
      </c>
      <c r="M199" s="12" t="n">
        <f aca="false">INT(K199*(0.6+MOD(A199*43,21)/100))</f>
        <v>30489</v>
      </c>
      <c r="N199" s="12" t="n">
        <f aca="false">K199-M199</f>
        <v>13699</v>
      </c>
    </row>
    <row r="200" customFormat="false" ht="12.8" hidden="false" customHeight="false" outlineLevel="0" collapsed="false">
      <c r="A200" s="10" t="n">
        <f aca="false">A199+1</f>
        <v>199</v>
      </c>
      <c r="B200" s="11" t="n">
        <f aca="false">B199+1</f>
        <v>45125</v>
      </c>
      <c r="C200" s="10" t="n">
        <f aca="false">YEAR(B200)</f>
        <v>2023</v>
      </c>
      <c r="D200" s="10" t="n">
        <f aca="false">INT((MONTH(B200)-1)/3)+1</f>
        <v>3</v>
      </c>
      <c r="E200" s="10" t="n">
        <f aca="false">MONTH(B200)</f>
        <v>7</v>
      </c>
      <c r="F200" s="10" t="str">
        <f aca="false">CHOOSE(MOD(A200-1,5)+1,"Центр","Юг","Север","Запад","Восток")</f>
        <v>Запад</v>
      </c>
      <c r="G200" s="10" t="str">
        <f aca="false">"Округ_"&amp;(MOD(A200-1,5)+1)&amp;"_"&amp;(MOD(INT((A200-1)/5),5)+1)</f>
        <v>Округ_4_5</v>
      </c>
      <c r="H200" s="10" t="str">
        <f aca="false">"Город_"&amp;(MOD(A200-1,5)+1)&amp;"_"&amp;(MOD(INT((A200-1)/5),5)+1)&amp;"_"&amp;(MOD(INT((A200-1)/25),10)+1)</f>
        <v>Город_4_5_8</v>
      </c>
      <c r="I200" s="10" t="str">
        <f aca="false">CHOOSE(MOD(A200-1,4)+1,"Электроника","Одежда","Продукты","Мебель")</f>
        <v>Продукты</v>
      </c>
      <c r="J200" s="10" t="str">
        <f aca="false">CHOOSE(MOD(INT((A200-1)/4),4)+1,CHOOSE(MOD(A200-1,4)+1,"Смартфоны","Ноутбуки","Аксессуары","Аудио"),CHOOSE(MOD(A200-1,4)+1,"Верхняя одежда","Спортивная","Повседневная","Обувь"),CHOOSE(MOD(A200-1,4)+1,"Молочные","Мясные","Бакалея","Напитки"),CHOOSE(MOD(A200-1,4)+1,"Мягкая мебель","Корпусная","Офисная","Кухонная"))</f>
        <v>Повседневная</v>
      </c>
      <c r="K200" s="12" t="n">
        <f aca="false">1000+MOD(A200*317+A200*A200*7,49001)</f>
        <v>47284</v>
      </c>
      <c r="L200" s="12" t="n">
        <f aca="false">1+MOD(A200*131,100)</f>
        <v>70</v>
      </c>
      <c r="M200" s="12" t="n">
        <f aca="false">INT(K200*(0.6+MOD(A200*43,21)/100))</f>
        <v>33098</v>
      </c>
      <c r="N200" s="12" t="n">
        <f aca="false">K200-M200</f>
        <v>14186</v>
      </c>
    </row>
    <row r="201" customFormat="false" ht="12.8" hidden="false" customHeight="false" outlineLevel="0" collapsed="false">
      <c r="A201" s="10" t="n">
        <f aca="false">A200+1</f>
        <v>200</v>
      </c>
      <c r="B201" s="11" t="n">
        <f aca="false">B200+1</f>
        <v>45126</v>
      </c>
      <c r="C201" s="10" t="n">
        <f aca="false">YEAR(B201)</f>
        <v>2023</v>
      </c>
      <c r="D201" s="10" t="n">
        <f aca="false">INT((MONTH(B201)-1)/3)+1</f>
        <v>3</v>
      </c>
      <c r="E201" s="10" t="n">
        <f aca="false">MONTH(B201)</f>
        <v>7</v>
      </c>
      <c r="F201" s="10" t="str">
        <f aca="false">CHOOSE(MOD(A201-1,5)+1,"Центр","Юг","Север","Запад","Восток")</f>
        <v>Восток</v>
      </c>
      <c r="G201" s="10" t="str">
        <f aca="false">"Округ_"&amp;(MOD(A201-1,5)+1)&amp;"_"&amp;(MOD(INT((A201-1)/5),5)+1)</f>
        <v>Округ_5_5</v>
      </c>
      <c r="H201" s="10" t="str">
        <f aca="false">"Город_"&amp;(MOD(A201-1,5)+1)&amp;"_"&amp;(MOD(INT((A201-1)/5),5)+1)&amp;"_"&amp;(MOD(INT((A201-1)/25),10)+1)</f>
        <v>Город_5_5_8</v>
      </c>
      <c r="I201" s="10" t="str">
        <f aca="false">CHOOSE(MOD(A201-1,4)+1,"Электроника","Одежда","Продукты","Мебель")</f>
        <v>Мебель</v>
      </c>
      <c r="J201" s="10" t="str">
        <f aca="false">CHOOSE(MOD(INT((A201-1)/4),4)+1,CHOOSE(MOD(A201-1,4)+1,"Смартфоны","Ноутбуки","Аксессуары","Аудио"),CHOOSE(MOD(A201-1,4)+1,"Верхняя одежда","Спортивная","Повседневная","Обувь"),CHOOSE(MOD(A201-1,4)+1,"Молочные","Мясные","Бакалея","Напитки"),CHOOSE(MOD(A201-1,4)+1,"Мягкая мебель","Корпусная","Офисная","Кухонная"))</f>
        <v>Обувь</v>
      </c>
      <c r="K201" s="12" t="n">
        <f aca="false">1000+MOD(A201*317+A201*A201*7,49001)</f>
        <v>1393</v>
      </c>
      <c r="L201" s="12" t="n">
        <f aca="false">1+MOD(A201*131,100)</f>
        <v>1</v>
      </c>
      <c r="M201" s="12" t="n">
        <f aca="false">INT(K201*(0.6+MOD(A201*43,21)/100))</f>
        <v>989</v>
      </c>
      <c r="N201" s="12" t="n">
        <f aca="false">K201-M201</f>
        <v>404</v>
      </c>
    </row>
    <row r="202" customFormat="false" ht="12.8" hidden="false" customHeight="false" outlineLevel="0" collapsed="false">
      <c r="A202" s="10" t="n">
        <f aca="false">A201+1</f>
        <v>201</v>
      </c>
      <c r="B202" s="11" t="n">
        <f aca="false">B201+1</f>
        <v>45127</v>
      </c>
      <c r="C202" s="10" t="n">
        <f aca="false">YEAR(B202)</f>
        <v>2023</v>
      </c>
      <c r="D202" s="10" t="n">
        <f aca="false">INT((MONTH(B202)-1)/3)+1</f>
        <v>3</v>
      </c>
      <c r="E202" s="10" t="n">
        <f aca="false">MONTH(B202)</f>
        <v>7</v>
      </c>
      <c r="F202" s="10" t="str">
        <f aca="false">CHOOSE(MOD(A202-1,5)+1,"Центр","Юг","Север","Запад","Восток")</f>
        <v>Центр</v>
      </c>
      <c r="G202" s="10" t="str">
        <f aca="false">"Округ_"&amp;(MOD(A202-1,5)+1)&amp;"_"&amp;(MOD(INT((A202-1)/5),5)+1)</f>
        <v>Округ_1_1</v>
      </c>
      <c r="H202" s="10" t="str">
        <f aca="false">"Город_"&amp;(MOD(A202-1,5)+1)&amp;"_"&amp;(MOD(INT((A202-1)/5),5)+1)&amp;"_"&amp;(MOD(INT((A202-1)/25),10)+1)</f>
        <v>Город_1_1_9</v>
      </c>
      <c r="I202" s="10" t="str">
        <f aca="false">CHOOSE(MOD(A202-1,4)+1,"Электроника","Одежда","Продукты","Мебель")</f>
        <v>Электроника</v>
      </c>
      <c r="J202" s="10" t="str">
        <f aca="false">CHOOSE(MOD(INT((A202-1)/4),4)+1,CHOOSE(MOD(A202-1,4)+1,"Смартфоны","Ноутбуки","Аксессуары","Аудио"),CHOOSE(MOD(A202-1,4)+1,"Верхняя одежда","Спортивная","Повседневная","Обувь"),CHOOSE(MOD(A202-1,4)+1,"Молочные","Мясные","Бакалея","Напитки"),CHOOSE(MOD(A202-1,4)+1,"Мягкая мебель","Корпусная","Офисная","Кухонная"))</f>
        <v>Молочные</v>
      </c>
      <c r="K202" s="12" t="n">
        <f aca="false">1000+MOD(A202*317+A202*A202*7,49001)</f>
        <v>4517</v>
      </c>
      <c r="L202" s="12" t="n">
        <f aca="false">1+MOD(A202*131,100)</f>
        <v>32</v>
      </c>
      <c r="M202" s="12" t="n">
        <f aca="false">INT(K202*(0.6+MOD(A202*43,21)/100))</f>
        <v>3252</v>
      </c>
      <c r="N202" s="12" t="n">
        <f aca="false">K202-M202</f>
        <v>1265</v>
      </c>
    </row>
    <row r="203" customFormat="false" ht="12.8" hidden="false" customHeight="false" outlineLevel="0" collapsed="false">
      <c r="A203" s="10" t="n">
        <f aca="false">A202+1</f>
        <v>202</v>
      </c>
      <c r="B203" s="11" t="n">
        <f aca="false">B202+1</f>
        <v>45128</v>
      </c>
      <c r="C203" s="10" t="n">
        <f aca="false">YEAR(B203)</f>
        <v>2023</v>
      </c>
      <c r="D203" s="10" t="n">
        <f aca="false">INT((MONTH(B203)-1)/3)+1</f>
        <v>3</v>
      </c>
      <c r="E203" s="10" t="n">
        <f aca="false">MONTH(B203)</f>
        <v>7</v>
      </c>
      <c r="F203" s="10" t="str">
        <f aca="false">CHOOSE(MOD(A203-1,5)+1,"Центр","Юг","Север","Запад","Восток")</f>
        <v>Юг</v>
      </c>
      <c r="G203" s="10" t="str">
        <f aca="false">"Округ_"&amp;(MOD(A203-1,5)+1)&amp;"_"&amp;(MOD(INT((A203-1)/5),5)+1)</f>
        <v>Округ_2_1</v>
      </c>
      <c r="H203" s="10" t="str">
        <f aca="false">"Город_"&amp;(MOD(A203-1,5)+1)&amp;"_"&amp;(MOD(INT((A203-1)/5),5)+1)&amp;"_"&amp;(MOD(INT((A203-1)/25),10)+1)</f>
        <v>Город_2_1_9</v>
      </c>
      <c r="I203" s="10" t="str">
        <f aca="false">CHOOSE(MOD(A203-1,4)+1,"Электроника","Одежда","Продукты","Мебель")</f>
        <v>Одежда</v>
      </c>
      <c r="J203" s="10" t="str">
        <f aca="false">CHOOSE(MOD(INT((A203-1)/4),4)+1,CHOOSE(MOD(A203-1,4)+1,"Смартфоны","Ноутбуки","Аксессуары","Аудио"),CHOOSE(MOD(A203-1,4)+1,"Верхняя одежда","Спортивная","Повседневная","Обувь"),CHOOSE(MOD(A203-1,4)+1,"Молочные","Мясные","Бакалея","Напитки"),CHOOSE(MOD(A203-1,4)+1,"Мягкая мебель","Корпусная","Офисная","Кухонная"))</f>
        <v>Мясные</v>
      </c>
      <c r="K203" s="12" t="n">
        <f aca="false">1000+MOD(A203*317+A203*A203*7,49001)</f>
        <v>7655</v>
      </c>
      <c r="L203" s="12" t="n">
        <f aca="false">1+MOD(A203*131,100)</f>
        <v>63</v>
      </c>
      <c r="M203" s="12" t="n">
        <f aca="false">INT(K203*(0.6+MOD(A203*43,21)/100))</f>
        <v>5588</v>
      </c>
      <c r="N203" s="12" t="n">
        <f aca="false">K203-M203</f>
        <v>2067</v>
      </c>
    </row>
    <row r="204" customFormat="false" ht="12.8" hidden="false" customHeight="false" outlineLevel="0" collapsed="false">
      <c r="A204" s="10" t="n">
        <f aca="false">A203+1</f>
        <v>203</v>
      </c>
      <c r="B204" s="11" t="n">
        <f aca="false">B203+1</f>
        <v>45129</v>
      </c>
      <c r="C204" s="10" t="n">
        <f aca="false">YEAR(B204)</f>
        <v>2023</v>
      </c>
      <c r="D204" s="10" t="n">
        <f aca="false">INT((MONTH(B204)-1)/3)+1</f>
        <v>3</v>
      </c>
      <c r="E204" s="10" t="n">
        <f aca="false">MONTH(B204)</f>
        <v>7</v>
      </c>
      <c r="F204" s="10" t="str">
        <f aca="false">CHOOSE(MOD(A204-1,5)+1,"Центр","Юг","Север","Запад","Восток")</f>
        <v>Север</v>
      </c>
      <c r="G204" s="10" t="str">
        <f aca="false">"Округ_"&amp;(MOD(A204-1,5)+1)&amp;"_"&amp;(MOD(INT((A204-1)/5),5)+1)</f>
        <v>Округ_3_1</v>
      </c>
      <c r="H204" s="10" t="str">
        <f aca="false">"Город_"&amp;(MOD(A204-1,5)+1)&amp;"_"&amp;(MOD(INT((A204-1)/5),5)+1)&amp;"_"&amp;(MOD(INT((A204-1)/25),10)+1)</f>
        <v>Город_3_1_9</v>
      </c>
      <c r="I204" s="10" t="str">
        <f aca="false">CHOOSE(MOD(A204-1,4)+1,"Электроника","Одежда","Продукты","Мебель")</f>
        <v>Продукты</v>
      </c>
      <c r="J204" s="10" t="str">
        <f aca="false">CHOOSE(MOD(INT((A204-1)/4),4)+1,CHOOSE(MOD(A204-1,4)+1,"Смартфоны","Ноутбуки","Аксессуары","Аудио"),CHOOSE(MOD(A204-1,4)+1,"Верхняя одежда","Спортивная","Повседневная","Обувь"),CHOOSE(MOD(A204-1,4)+1,"Молочные","Мясные","Бакалея","Напитки"),CHOOSE(MOD(A204-1,4)+1,"Мягкая мебель","Корпусная","Офисная","Кухонная"))</f>
        <v>Бакалея</v>
      </c>
      <c r="K204" s="12" t="n">
        <f aca="false">1000+MOD(A204*317+A204*A204*7,49001)</f>
        <v>10807</v>
      </c>
      <c r="L204" s="12" t="n">
        <f aca="false">1+MOD(A204*131,100)</f>
        <v>94</v>
      </c>
      <c r="M204" s="12" t="n">
        <f aca="false">INT(K204*(0.6+MOD(A204*43,21)/100))</f>
        <v>7997</v>
      </c>
      <c r="N204" s="12" t="n">
        <f aca="false">K204-M204</f>
        <v>2810</v>
      </c>
    </row>
    <row r="205" customFormat="false" ht="12.8" hidden="false" customHeight="false" outlineLevel="0" collapsed="false">
      <c r="A205" s="10" t="n">
        <f aca="false">A204+1</f>
        <v>204</v>
      </c>
      <c r="B205" s="11" t="n">
        <f aca="false">B204+1</f>
        <v>45130</v>
      </c>
      <c r="C205" s="10" t="n">
        <f aca="false">YEAR(B205)</f>
        <v>2023</v>
      </c>
      <c r="D205" s="10" t="n">
        <f aca="false">INT((MONTH(B205)-1)/3)+1</f>
        <v>3</v>
      </c>
      <c r="E205" s="10" t="n">
        <f aca="false">MONTH(B205)</f>
        <v>7</v>
      </c>
      <c r="F205" s="10" t="str">
        <f aca="false">CHOOSE(MOD(A205-1,5)+1,"Центр","Юг","Север","Запад","Восток")</f>
        <v>Запад</v>
      </c>
      <c r="G205" s="10" t="str">
        <f aca="false">"Округ_"&amp;(MOD(A205-1,5)+1)&amp;"_"&amp;(MOD(INT((A205-1)/5),5)+1)</f>
        <v>Округ_4_1</v>
      </c>
      <c r="H205" s="10" t="str">
        <f aca="false">"Город_"&amp;(MOD(A205-1,5)+1)&amp;"_"&amp;(MOD(INT((A205-1)/5),5)+1)&amp;"_"&amp;(MOD(INT((A205-1)/25),10)+1)</f>
        <v>Город_4_1_9</v>
      </c>
      <c r="I205" s="10" t="str">
        <f aca="false">CHOOSE(MOD(A205-1,4)+1,"Электроника","Одежда","Продукты","Мебель")</f>
        <v>Мебель</v>
      </c>
      <c r="J205" s="10" t="str">
        <f aca="false">CHOOSE(MOD(INT((A205-1)/4),4)+1,CHOOSE(MOD(A205-1,4)+1,"Смартфоны","Ноутбуки","Аксессуары","Аудио"),CHOOSE(MOD(A205-1,4)+1,"Верхняя одежда","Спортивная","Повседневная","Обувь"),CHOOSE(MOD(A205-1,4)+1,"Молочные","Мясные","Бакалея","Напитки"),CHOOSE(MOD(A205-1,4)+1,"Мягкая мебель","Корпусная","Офисная","Кухонная"))</f>
        <v>Напитки</v>
      </c>
      <c r="K205" s="12" t="n">
        <f aca="false">1000+MOD(A205*317+A205*A205*7,49001)</f>
        <v>13973</v>
      </c>
      <c r="L205" s="12" t="n">
        <f aca="false">1+MOD(A205*131,100)</f>
        <v>25</v>
      </c>
      <c r="M205" s="12" t="n">
        <f aca="false">INT(K205*(0.6+MOD(A205*43,21)/100))</f>
        <v>10479</v>
      </c>
      <c r="N205" s="12" t="n">
        <f aca="false">K205-M205</f>
        <v>3494</v>
      </c>
    </row>
    <row r="206" customFormat="false" ht="12.8" hidden="false" customHeight="false" outlineLevel="0" collapsed="false">
      <c r="A206" s="10" t="n">
        <f aca="false">A205+1</f>
        <v>205</v>
      </c>
      <c r="B206" s="11" t="n">
        <f aca="false">B205+1</f>
        <v>45131</v>
      </c>
      <c r="C206" s="10" t="n">
        <f aca="false">YEAR(B206)</f>
        <v>2023</v>
      </c>
      <c r="D206" s="10" t="n">
        <f aca="false">INT((MONTH(B206)-1)/3)+1</f>
        <v>3</v>
      </c>
      <c r="E206" s="10" t="n">
        <f aca="false">MONTH(B206)</f>
        <v>7</v>
      </c>
      <c r="F206" s="10" t="str">
        <f aca="false">CHOOSE(MOD(A206-1,5)+1,"Центр","Юг","Север","Запад","Восток")</f>
        <v>Восток</v>
      </c>
      <c r="G206" s="10" t="str">
        <f aca="false">"Округ_"&amp;(MOD(A206-1,5)+1)&amp;"_"&amp;(MOD(INT((A206-1)/5),5)+1)</f>
        <v>Округ_5_1</v>
      </c>
      <c r="H206" s="10" t="str">
        <f aca="false">"Город_"&amp;(MOD(A206-1,5)+1)&amp;"_"&amp;(MOD(INT((A206-1)/5),5)+1)&amp;"_"&amp;(MOD(INT((A206-1)/25),10)+1)</f>
        <v>Город_5_1_9</v>
      </c>
      <c r="I206" s="10" t="str">
        <f aca="false">CHOOSE(MOD(A206-1,4)+1,"Электроника","Одежда","Продукты","Мебель")</f>
        <v>Электроника</v>
      </c>
      <c r="J206" s="10" t="str">
        <f aca="false">CHOOSE(MOD(INT((A206-1)/4),4)+1,CHOOSE(MOD(A206-1,4)+1,"Смартфоны","Ноутбуки","Аксессуары","Аудио"),CHOOSE(MOD(A206-1,4)+1,"Верхняя одежда","Спортивная","Повседневная","Обувь"),CHOOSE(MOD(A206-1,4)+1,"Молочные","Мясные","Бакалея","Напитки"),CHOOSE(MOD(A206-1,4)+1,"Мягкая мебель","Корпусная","Офисная","Кухонная"))</f>
        <v>Мягкая мебель</v>
      </c>
      <c r="K206" s="12" t="n">
        <f aca="false">1000+MOD(A206*317+A206*A206*7,49001)</f>
        <v>17153</v>
      </c>
      <c r="L206" s="12" t="n">
        <f aca="false">1+MOD(A206*131,100)</f>
        <v>56</v>
      </c>
      <c r="M206" s="12" t="n">
        <f aca="false">INT(K206*(0.6+MOD(A206*43,21)/100))</f>
        <v>13036</v>
      </c>
      <c r="N206" s="12" t="n">
        <f aca="false">K206-M206</f>
        <v>4117</v>
      </c>
    </row>
    <row r="207" customFormat="false" ht="12.8" hidden="false" customHeight="false" outlineLevel="0" collapsed="false">
      <c r="A207" s="10" t="n">
        <f aca="false">A206+1</f>
        <v>206</v>
      </c>
      <c r="B207" s="11" t="n">
        <f aca="false">B206+1</f>
        <v>45132</v>
      </c>
      <c r="C207" s="10" t="n">
        <f aca="false">YEAR(B207)</f>
        <v>2023</v>
      </c>
      <c r="D207" s="10" t="n">
        <f aca="false">INT((MONTH(B207)-1)/3)+1</f>
        <v>3</v>
      </c>
      <c r="E207" s="10" t="n">
        <f aca="false">MONTH(B207)</f>
        <v>7</v>
      </c>
      <c r="F207" s="10" t="str">
        <f aca="false">CHOOSE(MOD(A207-1,5)+1,"Центр","Юг","Север","Запад","Восток")</f>
        <v>Центр</v>
      </c>
      <c r="G207" s="10" t="str">
        <f aca="false">"Округ_"&amp;(MOD(A207-1,5)+1)&amp;"_"&amp;(MOD(INT((A207-1)/5),5)+1)</f>
        <v>Округ_1_2</v>
      </c>
      <c r="H207" s="10" t="str">
        <f aca="false">"Город_"&amp;(MOD(A207-1,5)+1)&amp;"_"&amp;(MOD(INT((A207-1)/5),5)+1)&amp;"_"&amp;(MOD(INT((A207-1)/25),10)+1)</f>
        <v>Город_1_2_9</v>
      </c>
      <c r="I207" s="10" t="str">
        <f aca="false">CHOOSE(MOD(A207-1,4)+1,"Электроника","Одежда","Продукты","Мебель")</f>
        <v>Одежда</v>
      </c>
      <c r="J207" s="10" t="str">
        <f aca="false">CHOOSE(MOD(INT((A207-1)/4),4)+1,CHOOSE(MOD(A207-1,4)+1,"Смартфоны","Ноутбуки","Аксессуары","Аудио"),CHOOSE(MOD(A207-1,4)+1,"Верхняя одежда","Спортивная","Повседневная","Обувь"),CHOOSE(MOD(A207-1,4)+1,"Молочные","Мясные","Бакалея","Напитки"),CHOOSE(MOD(A207-1,4)+1,"Мягкая мебель","Корпусная","Офисная","Кухонная"))</f>
        <v>Корпусная</v>
      </c>
      <c r="K207" s="12" t="n">
        <f aca="false">1000+MOD(A207*317+A207*A207*7,49001)</f>
        <v>20347</v>
      </c>
      <c r="L207" s="12" t="n">
        <f aca="false">1+MOD(A207*131,100)</f>
        <v>87</v>
      </c>
      <c r="M207" s="12" t="n">
        <f aca="false">INT(K207*(0.6+MOD(A207*43,21)/100))</f>
        <v>15667</v>
      </c>
      <c r="N207" s="12" t="n">
        <f aca="false">K207-M207</f>
        <v>4680</v>
      </c>
    </row>
    <row r="208" customFormat="false" ht="12.8" hidden="false" customHeight="false" outlineLevel="0" collapsed="false">
      <c r="A208" s="10" t="n">
        <f aca="false">A207+1</f>
        <v>207</v>
      </c>
      <c r="B208" s="11" t="n">
        <f aca="false">B207+1</f>
        <v>45133</v>
      </c>
      <c r="C208" s="10" t="n">
        <f aca="false">YEAR(B208)</f>
        <v>2023</v>
      </c>
      <c r="D208" s="10" t="n">
        <f aca="false">INT((MONTH(B208)-1)/3)+1</f>
        <v>3</v>
      </c>
      <c r="E208" s="10" t="n">
        <f aca="false">MONTH(B208)</f>
        <v>7</v>
      </c>
      <c r="F208" s="10" t="str">
        <f aca="false">CHOOSE(MOD(A208-1,5)+1,"Центр","Юг","Север","Запад","Восток")</f>
        <v>Юг</v>
      </c>
      <c r="G208" s="10" t="str">
        <f aca="false">"Округ_"&amp;(MOD(A208-1,5)+1)&amp;"_"&amp;(MOD(INT((A208-1)/5),5)+1)</f>
        <v>Округ_2_2</v>
      </c>
      <c r="H208" s="10" t="str">
        <f aca="false">"Город_"&amp;(MOD(A208-1,5)+1)&amp;"_"&amp;(MOD(INT((A208-1)/5),5)+1)&amp;"_"&amp;(MOD(INT((A208-1)/25),10)+1)</f>
        <v>Город_2_2_9</v>
      </c>
      <c r="I208" s="10" t="str">
        <f aca="false">CHOOSE(MOD(A208-1,4)+1,"Электроника","Одежда","Продукты","Мебель")</f>
        <v>Продукты</v>
      </c>
      <c r="J208" s="10" t="str">
        <f aca="false">CHOOSE(MOD(INT((A208-1)/4),4)+1,CHOOSE(MOD(A208-1,4)+1,"Смартфоны","Ноутбуки","Аксессуары","Аудио"),CHOOSE(MOD(A208-1,4)+1,"Верхняя одежда","Спортивная","Повседневная","Обувь"),CHOOSE(MOD(A208-1,4)+1,"Молочные","Мясные","Бакалея","Напитки"),CHOOSE(MOD(A208-1,4)+1,"Мягкая мебель","Корпусная","Офисная","Кухонная"))</f>
        <v>Офисная</v>
      </c>
      <c r="K208" s="12" t="n">
        <f aca="false">1000+MOD(A208*317+A208*A208*7,49001)</f>
        <v>23555</v>
      </c>
      <c r="L208" s="12" t="n">
        <f aca="false">1+MOD(A208*131,100)</f>
        <v>18</v>
      </c>
      <c r="M208" s="12" t="n">
        <f aca="false">INT(K208*(0.6+MOD(A208*43,21)/100))</f>
        <v>18372</v>
      </c>
      <c r="N208" s="12" t="n">
        <f aca="false">K208-M208</f>
        <v>5183</v>
      </c>
    </row>
    <row r="209" customFormat="false" ht="12.8" hidden="false" customHeight="false" outlineLevel="0" collapsed="false">
      <c r="A209" s="10" t="n">
        <f aca="false">A208+1</f>
        <v>208</v>
      </c>
      <c r="B209" s="11" t="n">
        <f aca="false">B208+1</f>
        <v>45134</v>
      </c>
      <c r="C209" s="10" t="n">
        <f aca="false">YEAR(B209)</f>
        <v>2023</v>
      </c>
      <c r="D209" s="10" t="n">
        <f aca="false">INT((MONTH(B209)-1)/3)+1</f>
        <v>3</v>
      </c>
      <c r="E209" s="10" t="n">
        <f aca="false">MONTH(B209)</f>
        <v>7</v>
      </c>
      <c r="F209" s="10" t="str">
        <f aca="false">CHOOSE(MOD(A209-1,5)+1,"Центр","Юг","Север","Запад","Восток")</f>
        <v>Север</v>
      </c>
      <c r="G209" s="10" t="str">
        <f aca="false">"Округ_"&amp;(MOD(A209-1,5)+1)&amp;"_"&amp;(MOD(INT((A209-1)/5),5)+1)</f>
        <v>Округ_3_2</v>
      </c>
      <c r="H209" s="10" t="str">
        <f aca="false">"Город_"&amp;(MOD(A209-1,5)+1)&amp;"_"&amp;(MOD(INT((A209-1)/5),5)+1)&amp;"_"&amp;(MOD(INT((A209-1)/25),10)+1)</f>
        <v>Город_3_2_9</v>
      </c>
      <c r="I209" s="10" t="str">
        <f aca="false">CHOOSE(MOD(A209-1,4)+1,"Электроника","Одежда","Продукты","Мебель")</f>
        <v>Мебель</v>
      </c>
      <c r="J209" s="10" t="str">
        <f aca="false">CHOOSE(MOD(INT((A209-1)/4),4)+1,CHOOSE(MOD(A209-1,4)+1,"Смартфоны","Ноутбуки","Аксессуары","Аудио"),CHOOSE(MOD(A209-1,4)+1,"Верхняя одежда","Спортивная","Повседневная","Обувь"),CHOOSE(MOD(A209-1,4)+1,"Молочные","Мясные","Бакалея","Напитки"),CHOOSE(MOD(A209-1,4)+1,"Мягкая мебель","Корпусная","Офисная","Кухонная"))</f>
        <v>Кухонная</v>
      </c>
      <c r="K209" s="12" t="n">
        <f aca="false">1000+MOD(A209*317+A209*A209*7,49001)</f>
        <v>26777</v>
      </c>
      <c r="L209" s="12" t="n">
        <f aca="false">1+MOD(A209*131,100)</f>
        <v>49</v>
      </c>
      <c r="M209" s="12" t="n">
        <f aca="false">INT(K209*(0.6+MOD(A209*43,21)/100))</f>
        <v>21153</v>
      </c>
      <c r="N209" s="12" t="n">
        <f aca="false">K209-M209</f>
        <v>5624</v>
      </c>
    </row>
    <row r="210" customFormat="false" ht="12.8" hidden="false" customHeight="false" outlineLevel="0" collapsed="false">
      <c r="A210" s="10" t="n">
        <f aca="false">A209+1</f>
        <v>209</v>
      </c>
      <c r="B210" s="11" t="n">
        <f aca="false">B209+1</f>
        <v>45135</v>
      </c>
      <c r="C210" s="10" t="n">
        <f aca="false">YEAR(B210)</f>
        <v>2023</v>
      </c>
      <c r="D210" s="10" t="n">
        <f aca="false">INT((MONTH(B210)-1)/3)+1</f>
        <v>3</v>
      </c>
      <c r="E210" s="10" t="n">
        <f aca="false">MONTH(B210)</f>
        <v>7</v>
      </c>
      <c r="F210" s="10" t="str">
        <f aca="false">CHOOSE(MOD(A210-1,5)+1,"Центр","Юг","Север","Запад","Восток")</f>
        <v>Запад</v>
      </c>
      <c r="G210" s="10" t="str">
        <f aca="false">"Округ_"&amp;(MOD(A210-1,5)+1)&amp;"_"&amp;(MOD(INT((A210-1)/5),5)+1)</f>
        <v>Округ_4_2</v>
      </c>
      <c r="H210" s="10" t="str">
        <f aca="false">"Город_"&amp;(MOD(A210-1,5)+1)&amp;"_"&amp;(MOD(INT((A210-1)/5),5)+1)&amp;"_"&amp;(MOD(INT((A210-1)/25),10)+1)</f>
        <v>Город_4_2_9</v>
      </c>
      <c r="I210" s="10" t="str">
        <f aca="false">CHOOSE(MOD(A210-1,4)+1,"Электроника","Одежда","Продукты","Мебель")</f>
        <v>Электроника</v>
      </c>
      <c r="J210" s="10" t="str">
        <f aca="false">CHOOSE(MOD(INT((A210-1)/4),4)+1,CHOOSE(MOD(A210-1,4)+1,"Смартфоны","Ноутбуки","Аксессуары","Аудио"),CHOOSE(MOD(A210-1,4)+1,"Верхняя одежда","Спортивная","Повседневная","Обувь"),CHOOSE(MOD(A210-1,4)+1,"Молочные","Мясные","Бакалея","Напитки"),CHOOSE(MOD(A210-1,4)+1,"Мягкая мебель","Корпусная","Офисная","Кухонная"))</f>
        <v>Смартфоны</v>
      </c>
      <c r="K210" s="12" t="n">
        <f aca="false">1000+MOD(A210*317+A210*A210*7,49001)</f>
        <v>30013</v>
      </c>
      <c r="L210" s="12" t="n">
        <f aca="false">1+MOD(A210*131,100)</f>
        <v>80</v>
      </c>
      <c r="M210" s="12" t="n">
        <f aca="false">INT(K210*(0.6+MOD(A210*43,21)/100))</f>
        <v>24010</v>
      </c>
      <c r="N210" s="12" t="n">
        <f aca="false">K210-M210</f>
        <v>6003</v>
      </c>
    </row>
    <row r="211" customFormat="false" ht="12.8" hidden="false" customHeight="false" outlineLevel="0" collapsed="false">
      <c r="A211" s="10" t="n">
        <f aca="false">A210+1</f>
        <v>210</v>
      </c>
      <c r="B211" s="11" t="n">
        <f aca="false">B210+1</f>
        <v>45136</v>
      </c>
      <c r="C211" s="10" t="n">
        <f aca="false">YEAR(B211)</f>
        <v>2023</v>
      </c>
      <c r="D211" s="10" t="n">
        <f aca="false">INT((MONTH(B211)-1)/3)+1</f>
        <v>3</v>
      </c>
      <c r="E211" s="10" t="n">
        <f aca="false">MONTH(B211)</f>
        <v>7</v>
      </c>
      <c r="F211" s="10" t="str">
        <f aca="false">CHOOSE(MOD(A211-1,5)+1,"Центр","Юг","Север","Запад","Восток")</f>
        <v>Восток</v>
      </c>
      <c r="G211" s="10" t="str">
        <f aca="false">"Округ_"&amp;(MOD(A211-1,5)+1)&amp;"_"&amp;(MOD(INT((A211-1)/5),5)+1)</f>
        <v>Округ_5_2</v>
      </c>
      <c r="H211" s="10" t="str">
        <f aca="false">"Город_"&amp;(MOD(A211-1,5)+1)&amp;"_"&amp;(MOD(INT((A211-1)/5),5)+1)&amp;"_"&amp;(MOD(INT((A211-1)/25),10)+1)</f>
        <v>Город_5_2_9</v>
      </c>
      <c r="I211" s="10" t="str">
        <f aca="false">CHOOSE(MOD(A211-1,4)+1,"Электроника","Одежда","Продукты","Мебель")</f>
        <v>Одежда</v>
      </c>
      <c r="J211" s="10" t="str">
        <f aca="false">CHOOSE(MOD(INT((A211-1)/4),4)+1,CHOOSE(MOD(A211-1,4)+1,"Смартфоны","Ноутбуки","Аксессуары","Аудио"),CHOOSE(MOD(A211-1,4)+1,"Верхняя одежда","Спортивная","Повседневная","Обувь"),CHOOSE(MOD(A211-1,4)+1,"Молочные","Мясные","Бакалея","Напитки"),CHOOSE(MOD(A211-1,4)+1,"Мягкая мебель","Корпусная","Офисная","Кухонная"))</f>
        <v>Ноутбуки</v>
      </c>
      <c r="K211" s="12" t="n">
        <f aca="false">1000+MOD(A211*317+A211*A211*7,49001)</f>
        <v>33263</v>
      </c>
      <c r="L211" s="12" t="n">
        <f aca="false">1+MOD(A211*131,100)</f>
        <v>11</v>
      </c>
      <c r="M211" s="12" t="n">
        <f aca="false">INT(K211*(0.6+MOD(A211*43,21)/100))</f>
        <v>19957</v>
      </c>
      <c r="N211" s="12" t="n">
        <f aca="false">K211-M211</f>
        <v>13306</v>
      </c>
    </row>
    <row r="212" customFormat="false" ht="12.8" hidden="false" customHeight="false" outlineLevel="0" collapsed="false">
      <c r="A212" s="10" t="n">
        <f aca="false">A211+1</f>
        <v>211</v>
      </c>
      <c r="B212" s="11" t="n">
        <f aca="false">B211+1</f>
        <v>45137</v>
      </c>
      <c r="C212" s="10" t="n">
        <f aca="false">YEAR(B212)</f>
        <v>2023</v>
      </c>
      <c r="D212" s="10" t="n">
        <f aca="false">INT((MONTH(B212)-1)/3)+1</f>
        <v>3</v>
      </c>
      <c r="E212" s="10" t="n">
        <f aca="false">MONTH(B212)</f>
        <v>7</v>
      </c>
      <c r="F212" s="10" t="str">
        <f aca="false">CHOOSE(MOD(A212-1,5)+1,"Центр","Юг","Север","Запад","Восток")</f>
        <v>Центр</v>
      </c>
      <c r="G212" s="10" t="str">
        <f aca="false">"Округ_"&amp;(MOD(A212-1,5)+1)&amp;"_"&amp;(MOD(INT((A212-1)/5),5)+1)</f>
        <v>Округ_1_3</v>
      </c>
      <c r="H212" s="10" t="str">
        <f aca="false">"Город_"&amp;(MOD(A212-1,5)+1)&amp;"_"&amp;(MOD(INT((A212-1)/5),5)+1)&amp;"_"&amp;(MOD(INT((A212-1)/25),10)+1)</f>
        <v>Город_1_3_9</v>
      </c>
      <c r="I212" s="10" t="str">
        <f aca="false">CHOOSE(MOD(A212-1,4)+1,"Электроника","Одежда","Продукты","Мебель")</f>
        <v>Продукты</v>
      </c>
      <c r="J212" s="10" t="str">
        <f aca="false">CHOOSE(MOD(INT((A212-1)/4),4)+1,CHOOSE(MOD(A212-1,4)+1,"Смартфоны","Ноутбуки","Аксессуары","Аудио"),CHOOSE(MOD(A212-1,4)+1,"Верхняя одежда","Спортивная","Повседневная","Обувь"),CHOOSE(MOD(A212-1,4)+1,"Молочные","Мясные","Бакалея","Напитки"),CHOOSE(MOD(A212-1,4)+1,"Мягкая мебель","Корпусная","Офисная","Кухонная"))</f>
        <v>Аксессуары</v>
      </c>
      <c r="K212" s="12" t="n">
        <f aca="false">1000+MOD(A212*317+A212*A212*7,49001)</f>
        <v>36527</v>
      </c>
      <c r="L212" s="12" t="n">
        <f aca="false">1+MOD(A212*131,100)</f>
        <v>42</v>
      </c>
      <c r="M212" s="12" t="n">
        <f aca="false">INT(K212*(0.6+MOD(A212*43,21)/100))</f>
        <v>22281</v>
      </c>
      <c r="N212" s="12" t="n">
        <f aca="false">K212-M212</f>
        <v>14246</v>
      </c>
    </row>
    <row r="213" customFormat="false" ht="12.8" hidden="false" customHeight="false" outlineLevel="0" collapsed="false">
      <c r="A213" s="10" t="n">
        <f aca="false">A212+1</f>
        <v>212</v>
      </c>
      <c r="B213" s="11" t="n">
        <f aca="false">B212+1</f>
        <v>45138</v>
      </c>
      <c r="C213" s="10" t="n">
        <f aca="false">YEAR(B213)</f>
        <v>2023</v>
      </c>
      <c r="D213" s="10" t="n">
        <f aca="false">INT((MONTH(B213)-1)/3)+1</f>
        <v>3</v>
      </c>
      <c r="E213" s="10" t="n">
        <f aca="false">MONTH(B213)</f>
        <v>7</v>
      </c>
      <c r="F213" s="10" t="str">
        <f aca="false">CHOOSE(MOD(A213-1,5)+1,"Центр","Юг","Север","Запад","Восток")</f>
        <v>Юг</v>
      </c>
      <c r="G213" s="10" t="str">
        <f aca="false">"Округ_"&amp;(MOD(A213-1,5)+1)&amp;"_"&amp;(MOD(INT((A213-1)/5),5)+1)</f>
        <v>Округ_2_3</v>
      </c>
      <c r="H213" s="10" t="str">
        <f aca="false">"Город_"&amp;(MOD(A213-1,5)+1)&amp;"_"&amp;(MOD(INT((A213-1)/5),5)+1)&amp;"_"&amp;(MOD(INT((A213-1)/25),10)+1)</f>
        <v>Город_2_3_9</v>
      </c>
      <c r="I213" s="10" t="str">
        <f aca="false">CHOOSE(MOD(A213-1,4)+1,"Электроника","Одежда","Продукты","Мебель")</f>
        <v>Мебель</v>
      </c>
      <c r="J213" s="10" t="str">
        <f aca="false">CHOOSE(MOD(INT((A213-1)/4),4)+1,CHOOSE(MOD(A213-1,4)+1,"Смартфоны","Ноутбуки","Аксессуары","Аудио"),CHOOSE(MOD(A213-1,4)+1,"Верхняя одежда","Спортивная","Повседневная","Обувь"),CHOOSE(MOD(A213-1,4)+1,"Молочные","Мясные","Бакалея","Напитки"),CHOOSE(MOD(A213-1,4)+1,"Мягкая мебель","Корпусная","Офисная","Кухонная"))</f>
        <v>Аудио</v>
      </c>
      <c r="K213" s="12" t="n">
        <f aca="false">1000+MOD(A213*317+A213*A213*7,49001)</f>
        <v>39805</v>
      </c>
      <c r="L213" s="12" t="n">
        <f aca="false">1+MOD(A213*131,100)</f>
        <v>73</v>
      </c>
      <c r="M213" s="12" t="n">
        <f aca="false">INT(K213*(0.6+MOD(A213*43,21)/100))</f>
        <v>24679</v>
      </c>
      <c r="N213" s="12" t="n">
        <f aca="false">K213-M213</f>
        <v>15126</v>
      </c>
    </row>
    <row r="214" customFormat="false" ht="12.8" hidden="false" customHeight="false" outlineLevel="0" collapsed="false">
      <c r="A214" s="10" t="n">
        <f aca="false">A213+1</f>
        <v>213</v>
      </c>
      <c r="B214" s="11" t="n">
        <f aca="false">B213+1</f>
        <v>45139</v>
      </c>
      <c r="C214" s="10" t="n">
        <f aca="false">YEAR(B214)</f>
        <v>2023</v>
      </c>
      <c r="D214" s="10" t="n">
        <f aca="false">INT((MONTH(B214)-1)/3)+1</f>
        <v>3</v>
      </c>
      <c r="E214" s="10" t="n">
        <f aca="false">MONTH(B214)</f>
        <v>8</v>
      </c>
      <c r="F214" s="10" t="str">
        <f aca="false">CHOOSE(MOD(A214-1,5)+1,"Центр","Юг","Север","Запад","Восток")</f>
        <v>Север</v>
      </c>
      <c r="G214" s="10" t="str">
        <f aca="false">"Округ_"&amp;(MOD(A214-1,5)+1)&amp;"_"&amp;(MOD(INT((A214-1)/5),5)+1)</f>
        <v>Округ_3_3</v>
      </c>
      <c r="H214" s="10" t="str">
        <f aca="false">"Город_"&amp;(MOD(A214-1,5)+1)&amp;"_"&amp;(MOD(INT((A214-1)/5),5)+1)&amp;"_"&amp;(MOD(INT((A214-1)/25),10)+1)</f>
        <v>Город_3_3_9</v>
      </c>
      <c r="I214" s="10" t="str">
        <f aca="false">CHOOSE(MOD(A214-1,4)+1,"Электроника","Одежда","Продукты","Мебель")</f>
        <v>Электроника</v>
      </c>
      <c r="J214" s="10" t="str">
        <f aca="false">CHOOSE(MOD(INT((A214-1)/4),4)+1,CHOOSE(MOD(A214-1,4)+1,"Смартфоны","Ноутбуки","Аксессуары","Аудио"),CHOOSE(MOD(A214-1,4)+1,"Верхняя одежда","Спортивная","Повседневная","Обувь"),CHOOSE(MOD(A214-1,4)+1,"Молочные","Мясные","Бакалея","Напитки"),CHOOSE(MOD(A214-1,4)+1,"Мягкая мебель","Корпусная","Офисная","Кухонная"))</f>
        <v>Верхняя одежда</v>
      </c>
      <c r="K214" s="12" t="n">
        <f aca="false">1000+MOD(A214*317+A214*A214*7,49001)</f>
        <v>43097</v>
      </c>
      <c r="L214" s="12" t="n">
        <f aca="false">1+MOD(A214*131,100)</f>
        <v>4</v>
      </c>
      <c r="M214" s="12" t="n">
        <f aca="false">INT(K214*(0.6+MOD(A214*43,21)/100))</f>
        <v>27151</v>
      </c>
      <c r="N214" s="12" t="n">
        <f aca="false">K214-M214</f>
        <v>15946</v>
      </c>
    </row>
    <row r="215" customFormat="false" ht="12.8" hidden="false" customHeight="false" outlineLevel="0" collapsed="false">
      <c r="A215" s="10" t="n">
        <f aca="false">A214+1</f>
        <v>214</v>
      </c>
      <c r="B215" s="11" t="n">
        <f aca="false">B214+1</f>
        <v>45140</v>
      </c>
      <c r="C215" s="10" t="n">
        <f aca="false">YEAR(B215)</f>
        <v>2023</v>
      </c>
      <c r="D215" s="10" t="n">
        <f aca="false">INT((MONTH(B215)-1)/3)+1</f>
        <v>3</v>
      </c>
      <c r="E215" s="10" t="n">
        <f aca="false">MONTH(B215)</f>
        <v>8</v>
      </c>
      <c r="F215" s="10" t="str">
        <f aca="false">CHOOSE(MOD(A215-1,5)+1,"Центр","Юг","Север","Запад","Восток")</f>
        <v>Запад</v>
      </c>
      <c r="G215" s="10" t="str">
        <f aca="false">"Округ_"&amp;(MOD(A215-1,5)+1)&amp;"_"&amp;(MOD(INT((A215-1)/5),5)+1)</f>
        <v>Округ_4_3</v>
      </c>
      <c r="H215" s="10" t="str">
        <f aca="false">"Город_"&amp;(MOD(A215-1,5)+1)&amp;"_"&amp;(MOD(INT((A215-1)/5),5)+1)&amp;"_"&amp;(MOD(INT((A215-1)/25),10)+1)</f>
        <v>Город_4_3_9</v>
      </c>
      <c r="I215" s="10" t="str">
        <f aca="false">CHOOSE(MOD(A215-1,4)+1,"Электроника","Одежда","Продукты","Мебель")</f>
        <v>Одежда</v>
      </c>
      <c r="J215" s="10" t="str">
        <f aca="false">CHOOSE(MOD(INT((A215-1)/4),4)+1,CHOOSE(MOD(A215-1,4)+1,"Смартфоны","Ноутбуки","Аксессуары","Аудио"),CHOOSE(MOD(A215-1,4)+1,"Верхняя одежда","Спортивная","Повседневная","Обувь"),CHOOSE(MOD(A215-1,4)+1,"Молочные","Мясные","Бакалея","Напитки"),CHOOSE(MOD(A215-1,4)+1,"Мягкая мебель","Корпусная","Офисная","Кухонная"))</f>
        <v>Спортивная</v>
      </c>
      <c r="K215" s="12" t="n">
        <f aca="false">1000+MOD(A215*317+A215*A215*7,49001)</f>
        <v>46403</v>
      </c>
      <c r="L215" s="12" t="n">
        <f aca="false">1+MOD(A215*131,100)</f>
        <v>35</v>
      </c>
      <c r="M215" s="12" t="n">
        <f aca="false">INT(K215*(0.6+MOD(A215*43,21)/100))</f>
        <v>29697</v>
      </c>
      <c r="N215" s="12" t="n">
        <f aca="false">K215-M215</f>
        <v>16706</v>
      </c>
    </row>
    <row r="216" customFormat="false" ht="12.8" hidden="false" customHeight="false" outlineLevel="0" collapsed="false">
      <c r="A216" s="10" t="n">
        <f aca="false">A215+1</f>
        <v>215</v>
      </c>
      <c r="B216" s="11" t="n">
        <f aca="false">B215+1</f>
        <v>45141</v>
      </c>
      <c r="C216" s="10" t="n">
        <f aca="false">YEAR(B216)</f>
        <v>2023</v>
      </c>
      <c r="D216" s="10" t="n">
        <f aca="false">INT((MONTH(B216)-1)/3)+1</f>
        <v>3</v>
      </c>
      <c r="E216" s="10" t="n">
        <f aca="false">MONTH(B216)</f>
        <v>8</v>
      </c>
      <c r="F216" s="10" t="str">
        <f aca="false">CHOOSE(MOD(A216-1,5)+1,"Центр","Юг","Север","Запад","Восток")</f>
        <v>Восток</v>
      </c>
      <c r="G216" s="10" t="str">
        <f aca="false">"Округ_"&amp;(MOD(A216-1,5)+1)&amp;"_"&amp;(MOD(INT((A216-1)/5),5)+1)</f>
        <v>Округ_5_3</v>
      </c>
      <c r="H216" s="10" t="str">
        <f aca="false">"Город_"&amp;(MOD(A216-1,5)+1)&amp;"_"&amp;(MOD(INT((A216-1)/5),5)+1)&amp;"_"&amp;(MOD(INT((A216-1)/25),10)+1)</f>
        <v>Город_5_3_9</v>
      </c>
      <c r="I216" s="10" t="str">
        <f aca="false">CHOOSE(MOD(A216-1,4)+1,"Электроника","Одежда","Продукты","Мебель")</f>
        <v>Продукты</v>
      </c>
      <c r="J216" s="10" t="str">
        <f aca="false">CHOOSE(MOD(INT((A216-1)/4),4)+1,CHOOSE(MOD(A216-1,4)+1,"Смартфоны","Ноутбуки","Аксессуары","Аудио"),CHOOSE(MOD(A216-1,4)+1,"Верхняя одежда","Спортивная","Повседневная","Обувь"),CHOOSE(MOD(A216-1,4)+1,"Молочные","Мясные","Бакалея","Напитки"),CHOOSE(MOD(A216-1,4)+1,"Мягкая мебель","Корпусная","Офисная","Кухонная"))</f>
        <v>Повседневная</v>
      </c>
      <c r="K216" s="12" t="n">
        <f aca="false">1000+MOD(A216*317+A216*A216*7,49001)</f>
        <v>49723</v>
      </c>
      <c r="L216" s="12" t="n">
        <f aca="false">1+MOD(A216*131,100)</f>
        <v>66</v>
      </c>
      <c r="M216" s="12" t="n">
        <f aca="false">INT(K216*(0.6+MOD(A216*43,21)/100))</f>
        <v>32319</v>
      </c>
      <c r="N216" s="12" t="n">
        <f aca="false">K216-M216</f>
        <v>17404</v>
      </c>
    </row>
    <row r="217" customFormat="false" ht="12.8" hidden="false" customHeight="false" outlineLevel="0" collapsed="false">
      <c r="A217" s="10" t="n">
        <f aca="false">A216+1</f>
        <v>216</v>
      </c>
      <c r="B217" s="11" t="n">
        <f aca="false">B216+1</f>
        <v>45142</v>
      </c>
      <c r="C217" s="10" t="n">
        <f aca="false">YEAR(B217)</f>
        <v>2023</v>
      </c>
      <c r="D217" s="10" t="n">
        <f aca="false">INT((MONTH(B217)-1)/3)+1</f>
        <v>3</v>
      </c>
      <c r="E217" s="10" t="n">
        <f aca="false">MONTH(B217)</f>
        <v>8</v>
      </c>
      <c r="F217" s="10" t="str">
        <f aca="false">CHOOSE(MOD(A217-1,5)+1,"Центр","Юг","Север","Запад","Восток")</f>
        <v>Центр</v>
      </c>
      <c r="G217" s="10" t="str">
        <f aca="false">"Округ_"&amp;(MOD(A217-1,5)+1)&amp;"_"&amp;(MOD(INT((A217-1)/5),5)+1)</f>
        <v>Округ_1_4</v>
      </c>
      <c r="H217" s="10" t="str">
        <f aca="false">"Город_"&amp;(MOD(A217-1,5)+1)&amp;"_"&amp;(MOD(INT((A217-1)/5),5)+1)&amp;"_"&amp;(MOD(INT((A217-1)/25),10)+1)</f>
        <v>Город_1_4_9</v>
      </c>
      <c r="I217" s="10" t="str">
        <f aca="false">CHOOSE(MOD(A217-1,4)+1,"Электроника","Одежда","Продукты","Мебель")</f>
        <v>Мебель</v>
      </c>
      <c r="J217" s="10" t="str">
        <f aca="false">CHOOSE(MOD(INT((A217-1)/4),4)+1,CHOOSE(MOD(A217-1,4)+1,"Смартфоны","Ноутбуки","Аксессуары","Аудио"),CHOOSE(MOD(A217-1,4)+1,"Верхняя одежда","Спортивная","Повседневная","Обувь"),CHOOSE(MOD(A217-1,4)+1,"Молочные","Мясные","Бакалея","Напитки"),CHOOSE(MOD(A217-1,4)+1,"Мягкая мебель","Корпусная","Офисная","Кухонная"))</f>
        <v>Обувь</v>
      </c>
      <c r="K217" s="12" t="n">
        <f aca="false">1000+MOD(A217*317+A217*A217*7,49001)</f>
        <v>4056</v>
      </c>
      <c r="L217" s="12" t="n">
        <f aca="false">1+MOD(A217*131,100)</f>
        <v>97</v>
      </c>
      <c r="M217" s="12" t="n">
        <f aca="false">INT(K217*(0.6+MOD(A217*43,21)/100))</f>
        <v>2676</v>
      </c>
      <c r="N217" s="12" t="n">
        <f aca="false">K217-M217</f>
        <v>1380</v>
      </c>
    </row>
    <row r="218" customFormat="false" ht="12.8" hidden="false" customHeight="false" outlineLevel="0" collapsed="false">
      <c r="A218" s="10" t="n">
        <f aca="false">A217+1</f>
        <v>217</v>
      </c>
      <c r="B218" s="11" t="n">
        <f aca="false">B217+1</f>
        <v>45143</v>
      </c>
      <c r="C218" s="10" t="n">
        <f aca="false">YEAR(B218)</f>
        <v>2023</v>
      </c>
      <c r="D218" s="10" t="n">
        <f aca="false">INT((MONTH(B218)-1)/3)+1</f>
        <v>3</v>
      </c>
      <c r="E218" s="10" t="n">
        <f aca="false">MONTH(B218)</f>
        <v>8</v>
      </c>
      <c r="F218" s="10" t="str">
        <f aca="false">CHOOSE(MOD(A218-1,5)+1,"Центр","Юг","Север","Запад","Восток")</f>
        <v>Юг</v>
      </c>
      <c r="G218" s="10" t="str">
        <f aca="false">"Округ_"&amp;(MOD(A218-1,5)+1)&amp;"_"&amp;(MOD(INT((A218-1)/5),5)+1)</f>
        <v>Округ_2_4</v>
      </c>
      <c r="H218" s="10" t="str">
        <f aca="false">"Город_"&amp;(MOD(A218-1,5)+1)&amp;"_"&amp;(MOD(INT((A218-1)/5),5)+1)&amp;"_"&amp;(MOD(INT((A218-1)/25),10)+1)</f>
        <v>Город_2_4_9</v>
      </c>
      <c r="I218" s="10" t="str">
        <f aca="false">CHOOSE(MOD(A218-1,4)+1,"Электроника","Одежда","Продукты","Мебель")</f>
        <v>Электроника</v>
      </c>
      <c r="J218" s="10" t="str">
        <f aca="false">CHOOSE(MOD(INT((A218-1)/4),4)+1,CHOOSE(MOD(A218-1,4)+1,"Смартфоны","Ноутбуки","Аксессуары","Аудио"),CHOOSE(MOD(A218-1,4)+1,"Верхняя одежда","Спортивная","Повседневная","Обувь"),CHOOSE(MOD(A218-1,4)+1,"Молочные","Мясные","Бакалея","Напитки"),CHOOSE(MOD(A218-1,4)+1,"Мягкая мебель","Корпусная","Офисная","Кухонная"))</f>
        <v>Молочные</v>
      </c>
      <c r="K218" s="12" t="n">
        <f aca="false">1000+MOD(A218*317+A218*A218*7,49001)</f>
        <v>7404</v>
      </c>
      <c r="L218" s="12" t="n">
        <f aca="false">1+MOD(A218*131,100)</f>
        <v>28</v>
      </c>
      <c r="M218" s="12" t="n">
        <f aca="false">INT(K218*(0.6+MOD(A218*43,21)/100))</f>
        <v>4960</v>
      </c>
      <c r="N218" s="12" t="n">
        <f aca="false">K218-M218</f>
        <v>2444</v>
      </c>
    </row>
    <row r="219" customFormat="false" ht="12.8" hidden="false" customHeight="false" outlineLevel="0" collapsed="false">
      <c r="A219" s="10" t="n">
        <f aca="false">A218+1</f>
        <v>218</v>
      </c>
      <c r="B219" s="11" t="n">
        <f aca="false">B218+1</f>
        <v>45144</v>
      </c>
      <c r="C219" s="10" t="n">
        <f aca="false">YEAR(B219)</f>
        <v>2023</v>
      </c>
      <c r="D219" s="10" t="n">
        <f aca="false">INT((MONTH(B219)-1)/3)+1</f>
        <v>3</v>
      </c>
      <c r="E219" s="10" t="n">
        <f aca="false">MONTH(B219)</f>
        <v>8</v>
      </c>
      <c r="F219" s="10" t="str">
        <f aca="false">CHOOSE(MOD(A219-1,5)+1,"Центр","Юг","Север","Запад","Восток")</f>
        <v>Север</v>
      </c>
      <c r="G219" s="10" t="str">
        <f aca="false">"Округ_"&amp;(MOD(A219-1,5)+1)&amp;"_"&amp;(MOD(INT((A219-1)/5),5)+1)</f>
        <v>Округ_3_4</v>
      </c>
      <c r="H219" s="10" t="str">
        <f aca="false">"Город_"&amp;(MOD(A219-1,5)+1)&amp;"_"&amp;(MOD(INT((A219-1)/5),5)+1)&amp;"_"&amp;(MOD(INT((A219-1)/25),10)+1)</f>
        <v>Город_3_4_9</v>
      </c>
      <c r="I219" s="10" t="str">
        <f aca="false">CHOOSE(MOD(A219-1,4)+1,"Электроника","Одежда","Продукты","Мебель")</f>
        <v>Одежда</v>
      </c>
      <c r="J219" s="10" t="str">
        <f aca="false">CHOOSE(MOD(INT((A219-1)/4),4)+1,CHOOSE(MOD(A219-1,4)+1,"Смартфоны","Ноутбуки","Аксессуары","Аудио"),CHOOSE(MOD(A219-1,4)+1,"Верхняя одежда","Спортивная","Повседневная","Обувь"),CHOOSE(MOD(A219-1,4)+1,"Молочные","Мясные","Бакалея","Напитки"),CHOOSE(MOD(A219-1,4)+1,"Мягкая мебель","Корпусная","Офисная","Кухонная"))</f>
        <v>Мясные</v>
      </c>
      <c r="K219" s="12" t="n">
        <f aca="false">1000+MOD(A219*317+A219*A219*7,49001)</f>
        <v>10766</v>
      </c>
      <c r="L219" s="12" t="n">
        <f aca="false">1+MOD(A219*131,100)</f>
        <v>59</v>
      </c>
      <c r="M219" s="12" t="n">
        <f aca="false">INT(K219*(0.6+MOD(A219*43,21)/100))</f>
        <v>7320</v>
      </c>
      <c r="N219" s="12" t="n">
        <f aca="false">K219-M219</f>
        <v>3446</v>
      </c>
    </row>
    <row r="220" customFormat="false" ht="12.8" hidden="false" customHeight="false" outlineLevel="0" collapsed="false">
      <c r="A220" s="10" t="n">
        <f aca="false">A219+1</f>
        <v>219</v>
      </c>
      <c r="B220" s="11" t="n">
        <f aca="false">B219+1</f>
        <v>45145</v>
      </c>
      <c r="C220" s="10" t="n">
        <f aca="false">YEAR(B220)</f>
        <v>2023</v>
      </c>
      <c r="D220" s="10" t="n">
        <f aca="false">INT((MONTH(B220)-1)/3)+1</f>
        <v>3</v>
      </c>
      <c r="E220" s="10" t="n">
        <f aca="false">MONTH(B220)</f>
        <v>8</v>
      </c>
      <c r="F220" s="10" t="str">
        <f aca="false">CHOOSE(MOD(A220-1,5)+1,"Центр","Юг","Север","Запад","Восток")</f>
        <v>Запад</v>
      </c>
      <c r="G220" s="10" t="str">
        <f aca="false">"Округ_"&amp;(MOD(A220-1,5)+1)&amp;"_"&amp;(MOD(INT((A220-1)/5),5)+1)</f>
        <v>Округ_4_4</v>
      </c>
      <c r="H220" s="10" t="str">
        <f aca="false">"Город_"&amp;(MOD(A220-1,5)+1)&amp;"_"&amp;(MOD(INT((A220-1)/5),5)+1)&amp;"_"&amp;(MOD(INT((A220-1)/25),10)+1)</f>
        <v>Город_4_4_9</v>
      </c>
      <c r="I220" s="10" t="str">
        <f aca="false">CHOOSE(MOD(A220-1,4)+1,"Электроника","Одежда","Продукты","Мебель")</f>
        <v>Продукты</v>
      </c>
      <c r="J220" s="10" t="str">
        <f aca="false">CHOOSE(MOD(INT((A220-1)/4),4)+1,CHOOSE(MOD(A220-1,4)+1,"Смартфоны","Ноутбуки","Аксессуары","Аудио"),CHOOSE(MOD(A220-1,4)+1,"Верхняя одежда","Спортивная","Повседневная","Обувь"),CHOOSE(MOD(A220-1,4)+1,"Молочные","Мясные","Бакалея","Напитки"),CHOOSE(MOD(A220-1,4)+1,"Мягкая мебель","Корпусная","Офисная","Кухонная"))</f>
        <v>Бакалея</v>
      </c>
      <c r="K220" s="12" t="n">
        <f aca="false">1000+MOD(A220*317+A220*A220*7,49001)</f>
        <v>14142</v>
      </c>
      <c r="L220" s="12" t="n">
        <f aca="false">1+MOD(A220*131,100)</f>
        <v>90</v>
      </c>
      <c r="M220" s="12" t="n">
        <f aca="false">INT(K220*(0.6+MOD(A220*43,21)/100))</f>
        <v>9757</v>
      </c>
      <c r="N220" s="12" t="n">
        <f aca="false">K220-M220</f>
        <v>4385</v>
      </c>
    </row>
    <row r="221" customFormat="false" ht="12.8" hidden="false" customHeight="false" outlineLevel="0" collapsed="false">
      <c r="A221" s="10" t="n">
        <f aca="false">A220+1</f>
        <v>220</v>
      </c>
      <c r="B221" s="11" t="n">
        <f aca="false">B220+1</f>
        <v>45146</v>
      </c>
      <c r="C221" s="10" t="n">
        <f aca="false">YEAR(B221)</f>
        <v>2023</v>
      </c>
      <c r="D221" s="10" t="n">
        <f aca="false">INT((MONTH(B221)-1)/3)+1</f>
        <v>3</v>
      </c>
      <c r="E221" s="10" t="n">
        <f aca="false">MONTH(B221)</f>
        <v>8</v>
      </c>
      <c r="F221" s="10" t="str">
        <f aca="false">CHOOSE(MOD(A221-1,5)+1,"Центр","Юг","Север","Запад","Восток")</f>
        <v>Восток</v>
      </c>
      <c r="G221" s="10" t="str">
        <f aca="false">"Округ_"&amp;(MOD(A221-1,5)+1)&amp;"_"&amp;(MOD(INT((A221-1)/5),5)+1)</f>
        <v>Округ_5_4</v>
      </c>
      <c r="H221" s="10" t="str">
        <f aca="false">"Город_"&amp;(MOD(A221-1,5)+1)&amp;"_"&amp;(MOD(INT((A221-1)/5),5)+1)&amp;"_"&amp;(MOD(INT((A221-1)/25),10)+1)</f>
        <v>Город_5_4_9</v>
      </c>
      <c r="I221" s="10" t="str">
        <f aca="false">CHOOSE(MOD(A221-1,4)+1,"Электроника","Одежда","Продукты","Мебель")</f>
        <v>Мебель</v>
      </c>
      <c r="J221" s="10" t="str">
        <f aca="false">CHOOSE(MOD(INT((A221-1)/4),4)+1,CHOOSE(MOD(A221-1,4)+1,"Смартфоны","Ноутбуки","Аксессуары","Аудио"),CHOOSE(MOD(A221-1,4)+1,"Верхняя одежда","Спортивная","Повседневная","Обувь"),CHOOSE(MOD(A221-1,4)+1,"Молочные","Мясные","Бакалея","Напитки"),CHOOSE(MOD(A221-1,4)+1,"Мягкая мебель","Корпусная","Офисная","Кухонная"))</f>
        <v>Напитки</v>
      </c>
      <c r="K221" s="12" t="n">
        <f aca="false">1000+MOD(A221*317+A221*A221*7,49001)</f>
        <v>17532</v>
      </c>
      <c r="L221" s="12" t="n">
        <f aca="false">1+MOD(A221*131,100)</f>
        <v>21</v>
      </c>
      <c r="M221" s="12" t="n">
        <f aca="false">INT(K221*(0.6+MOD(A221*43,21)/100))</f>
        <v>12272</v>
      </c>
      <c r="N221" s="12" t="n">
        <f aca="false">K221-M221</f>
        <v>5260</v>
      </c>
    </row>
    <row r="222" customFormat="false" ht="12.8" hidden="false" customHeight="false" outlineLevel="0" collapsed="false">
      <c r="A222" s="10" t="n">
        <f aca="false">A221+1</f>
        <v>221</v>
      </c>
      <c r="B222" s="11" t="n">
        <f aca="false">B221+1</f>
        <v>45147</v>
      </c>
      <c r="C222" s="10" t="n">
        <f aca="false">YEAR(B222)</f>
        <v>2023</v>
      </c>
      <c r="D222" s="10" t="n">
        <f aca="false">INT((MONTH(B222)-1)/3)+1</f>
        <v>3</v>
      </c>
      <c r="E222" s="10" t="n">
        <f aca="false">MONTH(B222)</f>
        <v>8</v>
      </c>
      <c r="F222" s="10" t="str">
        <f aca="false">CHOOSE(MOD(A222-1,5)+1,"Центр","Юг","Север","Запад","Восток")</f>
        <v>Центр</v>
      </c>
      <c r="G222" s="10" t="str">
        <f aca="false">"Округ_"&amp;(MOD(A222-1,5)+1)&amp;"_"&amp;(MOD(INT((A222-1)/5),5)+1)</f>
        <v>Округ_1_5</v>
      </c>
      <c r="H222" s="10" t="str">
        <f aca="false">"Город_"&amp;(MOD(A222-1,5)+1)&amp;"_"&amp;(MOD(INT((A222-1)/5),5)+1)&amp;"_"&amp;(MOD(INT((A222-1)/25),10)+1)</f>
        <v>Город_1_5_9</v>
      </c>
      <c r="I222" s="10" t="str">
        <f aca="false">CHOOSE(MOD(A222-1,4)+1,"Электроника","Одежда","Продукты","Мебель")</f>
        <v>Электроника</v>
      </c>
      <c r="J222" s="10" t="str">
        <f aca="false">CHOOSE(MOD(INT((A222-1)/4),4)+1,CHOOSE(MOD(A222-1,4)+1,"Смартфоны","Ноутбуки","Аксессуары","Аудио"),CHOOSE(MOD(A222-1,4)+1,"Верхняя одежда","Спортивная","Повседневная","Обувь"),CHOOSE(MOD(A222-1,4)+1,"Молочные","Мясные","Бакалея","Напитки"),CHOOSE(MOD(A222-1,4)+1,"Мягкая мебель","Корпусная","Офисная","Кухонная"))</f>
        <v>Мягкая мебель</v>
      </c>
      <c r="K222" s="12" t="n">
        <f aca="false">1000+MOD(A222*317+A222*A222*7,49001)</f>
        <v>20936</v>
      </c>
      <c r="L222" s="12" t="n">
        <f aca="false">1+MOD(A222*131,100)</f>
        <v>52</v>
      </c>
      <c r="M222" s="12" t="n">
        <f aca="false">INT(K222*(0.6+MOD(A222*43,21)/100))</f>
        <v>14864</v>
      </c>
      <c r="N222" s="12" t="n">
        <f aca="false">K222-M222</f>
        <v>6072</v>
      </c>
    </row>
    <row r="223" customFormat="false" ht="12.8" hidden="false" customHeight="false" outlineLevel="0" collapsed="false">
      <c r="A223" s="10" t="n">
        <f aca="false">A222+1</f>
        <v>222</v>
      </c>
      <c r="B223" s="11" t="n">
        <f aca="false">B222+1</f>
        <v>45148</v>
      </c>
      <c r="C223" s="10" t="n">
        <f aca="false">YEAR(B223)</f>
        <v>2023</v>
      </c>
      <c r="D223" s="10" t="n">
        <f aca="false">INT((MONTH(B223)-1)/3)+1</f>
        <v>3</v>
      </c>
      <c r="E223" s="10" t="n">
        <f aca="false">MONTH(B223)</f>
        <v>8</v>
      </c>
      <c r="F223" s="10" t="str">
        <f aca="false">CHOOSE(MOD(A223-1,5)+1,"Центр","Юг","Север","Запад","Восток")</f>
        <v>Юг</v>
      </c>
      <c r="G223" s="10" t="str">
        <f aca="false">"Округ_"&amp;(MOD(A223-1,5)+1)&amp;"_"&amp;(MOD(INT((A223-1)/5),5)+1)</f>
        <v>Округ_2_5</v>
      </c>
      <c r="H223" s="10" t="str">
        <f aca="false">"Город_"&amp;(MOD(A223-1,5)+1)&amp;"_"&amp;(MOD(INT((A223-1)/5),5)+1)&amp;"_"&amp;(MOD(INT((A223-1)/25),10)+1)</f>
        <v>Город_2_5_9</v>
      </c>
      <c r="I223" s="10" t="str">
        <f aca="false">CHOOSE(MOD(A223-1,4)+1,"Электроника","Одежда","Продукты","Мебель")</f>
        <v>Одежда</v>
      </c>
      <c r="J223" s="10" t="str">
        <f aca="false">CHOOSE(MOD(INT((A223-1)/4),4)+1,CHOOSE(MOD(A223-1,4)+1,"Смартфоны","Ноутбуки","Аксессуары","Аудио"),CHOOSE(MOD(A223-1,4)+1,"Верхняя одежда","Спортивная","Повседневная","Обувь"),CHOOSE(MOD(A223-1,4)+1,"Молочные","Мясные","Бакалея","Напитки"),CHOOSE(MOD(A223-1,4)+1,"Мягкая мебель","Корпусная","Офисная","Кухонная"))</f>
        <v>Корпусная</v>
      </c>
      <c r="K223" s="12" t="n">
        <f aca="false">1000+MOD(A223*317+A223*A223*7,49001)</f>
        <v>24354</v>
      </c>
      <c r="L223" s="12" t="n">
        <f aca="false">1+MOD(A223*131,100)</f>
        <v>83</v>
      </c>
      <c r="M223" s="12" t="n">
        <f aca="false">INT(K223*(0.6+MOD(A223*43,21)/100))</f>
        <v>17534</v>
      </c>
      <c r="N223" s="12" t="n">
        <f aca="false">K223-M223</f>
        <v>6820</v>
      </c>
    </row>
    <row r="224" customFormat="false" ht="12.8" hidden="false" customHeight="false" outlineLevel="0" collapsed="false">
      <c r="A224" s="10" t="n">
        <f aca="false">A223+1</f>
        <v>223</v>
      </c>
      <c r="B224" s="11" t="n">
        <f aca="false">B223+1</f>
        <v>45149</v>
      </c>
      <c r="C224" s="10" t="n">
        <f aca="false">YEAR(B224)</f>
        <v>2023</v>
      </c>
      <c r="D224" s="10" t="n">
        <f aca="false">INT((MONTH(B224)-1)/3)+1</f>
        <v>3</v>
      </c>
      <c r="E224" s="10" t="n">
        <f aca="false">MONTH(B224)</f>
        <v>8</v>
      </c>
      <c r="F224" s="10" t="str">
        <f aca="false">CHOOSE(MOD(A224-1,5)+1,"Центр","Юг","Север","Запад","Восток")</f>
        <v>Север</v>
      </c>
      <c r="G224" s="10" t="str">
        <f aca="false">"Округ_"&amp;(MOD(A224-1,5)+1)&amp;"_"&amp;(MOD(INT((A224-1)/5),5)+1)</f>
        <v>Округ_3_5</v>
      </c>
      <c r="H224" s="10" t="str">
        <f aca="false">"Город_"&amp;(MOD(A224-1,5)+1)&amp;"_"&amp;(MOD(INT((A224-1)/5),5)+1)&amp;"_"&amp;(MOD(INT((A224-1)/25),10)+1)</f>
        <v>Город_3_5_9</v>
      </c>
      <c r="I224" s="10" t="str">
        <f aca="false">CHOOSE(MOD(A224-1,4)+1,"Электроника","Одежда","Продукты","Мебель")</f>
        <v>Продукты</v>
      </c>
      <c r="J224" s="10" t="str">
        <f aca="false">CHOOSE(MOD(INT((A224-1)/4),4)+1,CHOOSE(MOD(A224-1,4)+1,"Смартфоны","Ноутбуки","Аксессуары","Аудио"),CHOOSE(MOD(A224-1,4)+1,"Верхняя одежда","Спортивная","Повседневная","Обувь"),CHOOSE(MOD(A224-1,4)+1,"Молочные","Мясные","Бакалея","Напитки"),CHOOSE(MOD(A224-1,4)+1,"Мягкая мебель","Корпусная","Офисная","Кухонная"))</f>
        <v>Офисная</v>
      </c>
      <c r="K224" s="12" t="n">
        <f aca="false">1000+MOD(A224*317+A224*A224*7,49001)</f>
        <v>27786</v>
      </c>
      <c r="L224" s="12" t="n">
        <f aca="false">1+MOD(A224*131,100)</f>
        <v>14</v>
      </c>
      <c r="M224" s="12" t="n">
        <f aca="false">INT(K224*(0.6+MOD(A224*43,21)/100))</f>
        <v>20283</v>
      </c>
      <c r="N224" s="12" t="n">
        <f aca="false">K224-M224</f>
        <v>7503</v>
      </c>
    </row>
    <row r="225" customFormat="false" ht="12.8" hidden="false" customHeight="false" outlineLevel="0" collapsed="false">
      <c r="A225" s="10" t="n">
        <f aca="false">A224+1</f>
        <v>224</v>
      </c>
      <c r="B225" s="11" t="n">
        <f aca="false">B224+1</f>
        <v>45150</v>
      </c>
      <c r="C225" s="10" t="n">
        <f aca="false">YEAR(B225)</f>
        <v>2023</v>
      </c>
      <c r="D225" s="10" t="n">
        <f aca="false">INT((MONTH(B225)-1)/3)+1</f>
        <v>3</v>
      </c>
      <c r="E225" s="10" t="n">
        <f aca="false">MONTH(B225)</f>
        <v>8</v>
      </c>
      <c r="F225" s="10" t="str">
        <f aca="false">CHOOSE(MOD(A225-1,5)+1,"Центр","Юг","Север","Запад","Восток")</f>
        <v>Запад</v>
      </c>
      <c r="G225" s="10" t="str">
        <f aca="false">"Округ_"&amp;(MOD(A225-1,5)+1)&amp;"_"&amp;(MOD(INT((A225-1)/5),5)+1)</f>
        <v>Округ_4_5</v>
      </c>
      <c r="H225" s="10" t="str">
        <f aca="false">"Город_"&amp;(MOD(A225-1,5)+1)&amp;"_"&amp;(MOD(INT((A225-1)/5),5)+1)&amp;"_"&amp;(MOD(INT((A225-1)/25),10)+1)</f>
        <v>Город_4_5_9</v>
      </c>
      <c r="I225" s="10" t="str">
        <f aca="false">CHOOSE(MOD(A225-1,4)+1,"Электроника","Одежда","Продукты","Мебель")</f>
        <v>Мебель</v>
      </c>
      <c r="J225" s="10" t="str">
        <f aca="false">CHOOSE(MOD(INT((A225-1)/4),4)+1,CHOOSE(MOD(A225-1,4)+1,"Смартфоны","Ноутбуки","Аксессуары","Аудио"),CHOOSE(MOD(A225-1,4)+1,"Верхняя одежда","Спортивная","Повседневная","Обувь"),CHOOSE(MOD(A225-1,4)+1,"Молочные","Мясные","Бакалея","Напитки"),CHOOSE(MOD(A225-1,4)+1,"Мягкая мебель","Корпусная","Офисная","Кухонная"))</f>
        <v>Кухонная</v>
      </c>
      <c r="K225" s="12" t="n">
        <f aca="false">1000+MOD(A225*317+A225*A225*7,49001)</f>
        <v>31232</v>
      </c>
      <c r="L225" s="12" t="n">
        <f aca="false">1+MOD(A225*131,100)</f>
        <v>45</v>
      </c>
      <c r="M225" s="12" t="n">
        <f aca="false">INT(K225*(0.6+MOD(A225*43,21)/100))</f>
        <v>23111</v>
      </c>
      <c r="N225" s="12" t="n">
        <f aca="false">K225-M225</f>
        <v>8121</v>
      </c>
    </row>
    <row r="226" customFormat="false" ht="12.8" hidden="false" customHeight="false" outlineLevel="0" collapsed="false">
      <c r="A226" s="10" t="n">
        <f aca="false">A225+1</f>
        <v>225</v>
      </c>
      <c r="B226" s="11" t="n">
        <f aca="false">B225+1</f>
        <v>45151</v>
      </c>
      <c r="C226" s="10" t="n">
        <f aca="false">YEAR(B226)</f>
        <v>2023</v>
      </c>
      <c r="D226" s="10" t="n">
        <f aca="false">INT((MONTH(B226)-1)/3)+1</f>
        <v>3</v>
      </c>
      <c r="E226" s="10" t="n">
        <f aca="false">MONTH(B226)</f>
        <v>8</v>
      </c>
      <c r="F226" s="10" t="str">
        <f aca="false">CHOOSE(MOD(A226-1,5)+1,"Центр","Юг","Север","Запад","Восток")</f>
        <v>Восток</v>
      </c>
      <c r="G226" s="10" t="str">
        <f aca="false">"Округ_"&amp;(MOD(A226-1,5)+1)&amp;"_"&amp;(MOD(INT((A226-1)/5),5)+1)</f>
        <v>Округ_5_5</v>
      </c>
      <c r="H226" s="10" t="str">
        <f aca="false">"Город_"&amp;(MOD(A226-1,5)+1)&amp;"_"&amp;(MOD(INT((A226-1)/5),5)+1)&amp;"_"&amp;(MOD(INT((A226-1)/25),10)+1)</f>
        <v>Город_5_5_9</v>
      </c>
      <c r="I226" s="10" t="str">
        <f aca="false">CHOOSE(MOD(A226-1,4)+1,"Электроника","Одежда","Продукты","Мебель")</f>
        <v>Электроника</v>
      </c>
      <c r="J226" s="10" t="str">
        <f aca="false">CHOOSE(MOD(INT((A226-1)/4),4)+1,CHOOSE(MOD(A226-1,4)+1,"Смартфоны","Ноутбуки","Аксессуары","Аудио"),CHOOSE(MOD(A226-1,4)+1,"Верхняя одежда","Спортивная","Повседневная","Обувь"),CHOOSE(MOD(A226-1,4)+1,"Молочные","Мясные","Бакалея","Напитки"),CHOOSE(MOD(A226-1,4)+1,"Мягкая мебель","Корпусная","Офисная","Кухонная"))</f>
        <v>Смартфоны</v>
      </c>
      <c r="K226" s="12" t="n">
        <f aca="false">1000+MOD(A226*317+A226*A226*7,49001)</f>
        <v>34692</v>
      </c>
      <c r="L226" s="12" t="n">
        <f aca="false">1+MOD(A226*131,100)</f>
        <v>76</v>
      </c>
      <c r="M226" s="12" t="n">
        <f aca="false">INT(K226*(0.6+MOD(A226*43,21)/100))</f>
        <v>26019</v>
      </c>
      <c r="N226" s="12" t="n">
        <f aca="false">K226-M226</f>
        <v>8673</v>
      </c>
    </row>
    <row r="227" customFormat="false" ht="12.8" hidden="false" customHeight="false" outlineLevel="0" collapsed="false">
      <c r="A227" s="10" t="n">
        <f aca="false">A226+1</f>
        <v>226</v>
      </c>
      <c r="B227" s="11" t="n">
        <f aca="false">B226+1</f>
        <v>45152</v>
      </c>
      <c r="C227" s="10" t="n">
        <f aca="false">YEAR(B227)</f>
        <v>2023</v>
      </c>
      <c r="D227" s="10" t="n">
        <f aca="false">INT((MONTH(B227)-1)/3)+1</f>
        <v>3</v>
      </c>
      <c r="E227" s="10" t="n">
        <f aca="false">MONTH(B227)</f>
        <v>8</v>
      </c>
      <c r="F227" s="10" t="str">
        <f aca="false">CHOOSE(MOD(A227-1,5)+1,"Центр","Юг","Север","Запад","Восток")</f>
        <v>Центр</v>
      </c>
      <c r="G227" s="10" t="str">
        <f aca="false">"Округ_"&amp;(MOD(A227-1,5)+1)&amp;"_"&amp;(MOD(INT((A227-1)/5),5)+1)</f>
        <v>Округ_1_1</v>
      </c>
      <c r="H227" s="10" t="str">
        <f aca="false">"Город_"&amp;(MOD(A227-1,5)+1)&amp;"_"&amp;(MOD(INT((A227-1)/5),5)+1)&amp;"_"&amp;(MOD(INT((A227-1)/25),10)+1)</f>
        <v>Город_1_1_10</v>
      </c>
      <c r="I227" s="10" t="str">
        <f aca="false">CHOOSE(MOD(A227-1,4)+1,"Электроника","Одежда","Продукты","Мебель")</f>
        <v>Одежда</v>
      </c>
      <c r="J227" s="10" t="str">
        <f aca="false">CHOOSE(MOD(INT((A227-1)/4),4)+1,CHOOSE(MOD(A227-1,4)+1,"Смартфоны","Ноутбуки","Аксессуары","Аудио"),CHOOSE(MOD(A227-1,4)+1,"Верхняя одежда","Спортивная","Повседневная","Обувь"),CHOOSE(MOD(A227-1,4)+1,"Молочные","Мясные","Бакалея","Напитки"),CHOOSE(MOD(A227-1,4)+1,"Мягкая мебель","Корпусная","Офисная","Кухонная"))</f>
        <v>Ноутбуки</v>
      </c>
      <c r="K227" s="12" t="n">
        <f aca="false">1000+MOD(A227*317+A227*A227*7,49001)</f>
        <v>38166</v>
      </c>
      <c r="L227" s="12" t="n">
        <f aca="false">1+MOD(A227*131,100)</f>
        <v>7</v>
      </c>
      <c r="M227" s="12" t="n">
        <f aca="false">INT(K227*(0.6+MOD(A227*43,21)/100))</f>
        <v>29006</v>
      </c>
      <c r="N227" s="12" t="n">
        <f aca="false">K227-M227</f>
        <v>9160</v>
      </c>
    </row>
    <row r="228" customFormat="false" ht="12.8" hidden="false" customHeight="false" outlineLevel="0" collapsed="false">
      <c r="A228" s="10" t="n">
        <f aca="false">A227+1</f>
        <v>227</v>
      </c>
      <c r="B228" s="11" t="n">
        <f aca="false">B227+1</f>
        <v>45153</v>
      </c>
      <c r="C228" s="10" t="n">
        <f aca="false">YEAR(B228)</f>
        <v>2023</v>
      </c>
      <c r="D228" s="10" t="n">
        <f aca="false">INT((MONTH(B228)-1)/3)+1</f>
        <v>3</v>
      </c>
      <c r="E228" s="10" t="n">
        <f aca="false">MONTH(B228)</f>
        <v>8</v>
      </c>
      <c r="F228" s="10" t="str">
        <f aca="false">CHOOSE(MOD(A228-1,5)+1,"Центр","Юг","Север","Запад","Восток")</f>
        <v>Юг</v>
      </c>
      <c r="G228" s="10" t="str">
        <f aca="false">"Округ_"&amp;(MOD(A228-1,5)+1)&amp;"_"&amp;(MOD(INT((A228-1)/5),5)+1)</f>
        <v>Округ_2_1</v>
      </c>
      <c r="H228" s="10" t="str">
        <f aca="false">"Город_"&amp;(MOD(A228-1,5)+1)&amp;"_"&amp;(MOD(INT((A228-1)/5),5)+1)&amp;"_"&amp;(MOD(INT((A228-1)/25),10)+1)</f>
        <v>Город_2_1_10</v>
      </c>
      <c r="I228" s="10" t="str">
        <f aca="false">CHOOSE(MOD(A228-1,4)+1,"Электроника","Одежда","Продукты","Мебель")</f>
        <v>Продукты</v>
      </c>
      <c r="J228" s="10" t="str">
        <f aca="false">CHOOSE(MOD(INT((A228-1)/4),4)+1,CHOOSE(MOD(A228-1,4)+1,"Смартфоны","Ноутбуки","Аксессуары","Аудио"),CHOOSE(MOD(A228-1,4)+1,"Верхняя одежда","Спортивная","Повседневная","Обувь"),CHOOSE(MOD(A228-1,4)+1,"Молочные","Мясные","Бакалея","Напитки"),CHOOSE(MOD(A228-1,4)+1,"Мягкая мебель","Корпусная","Офисная","Кухонная"))</f>
        <v>Аксессуары</v>
      </c>
      <c r="K228" s="12" t="n">
        <f aca="false">1000+MOD(A228*317+A228*A228*7,49001)</f>
        <v>41654</v>
      </c>
      <c r="L228" s="12" t="n">
        <f aca="false">1+MOD(A228*131,100)</f>
        <v>38</v>
      </c>
      <c r="M228" s="12" t="n">
        <f aca="false">INT(K228*(0.6+MOD(A228*43,21)/100))</f>
        <v>32073</v>
      </c>
      <c r="N228" s="12" t="n">
        <f aca="false">K228-M228</f>
        <v>9581</v>
      </c>
    </row>
    <row r="229" customFormat="false" ht="12.8" hidden="false" customHeight="false" outlineLevel="0" collapsed="false">
      <c r="A229" s="10" t="n">
        <f aca="false">A228+1</f>
        <v>228</v>
      </c>
      <c r="B229" s="11" t="n">
        <f aca="false">B228+1</f>
        <v>45154</v>
      </c>
      <c r="C229" s="10" t="n">
        <f aca="false">YEAR(B229)</f>
        <v>2023</v>
      </c>
      <c r="D229" s="10" t="n">
        <f aca="false">INT((MONTH(B229)-1)/3)+1</f>
        <v>3</v>
      </c>
      <c r="E229" s="10" t="n">
        <f aca="false">MONTH(B229)</f>
        <v>8</v>
      </c>
      <c r="F229" s="10" t="str">
        <f aca="false">CHOOSE(MOD(A229-1,5)+1,"Центр","Юг","Север","Запад","Восток")</f>
        <v>Север</v>
      </c>
      <c r="G229" s="10" t="str">
        <f aca="false">"Округ_"&amp;(MOD(A229-1,5)+1)&amp;"_"&amp;(MOD(INT((A229-1)/5),5)+1)</f>
        <v>Округ_3_1</v>
      </c>
      <c r="H229" s="10" t="str">
        <f aca="false">"Город_"&amp;(MOD(A229-1,5)+1)&amp;"_"&amp;(MOD(INT((A229-1)/5),5)+1)&amp;"_"&amp;(MOD(INT((A229-1)/25),10)+1)</f>
        <v>Город_3_1_10</v>
      </c>
      <c r="I229" s="10" t="str">
        <f aca="false">CHOOSE(MOD(A229-1,4)+1,"Электроника","Одежда","Продукты","Мебель")</f>
        <v>Мебель</v>
      </c>
      <c r="J229" s="10" t="str">
        <f aca="false">CHOOSE(MOD(INT((A229-1)/4),4)+1,CHOOSE(MOD(A229-1,4)+1,"Смартфоны","Ноутбуки","Аксессуары","Аудио"),CHOOSE(MOD(A229-1,4)+1,"Верхняя одежда","Спортивная","Повседневная","Обувь"),CHOOSE(MOD(A229-1,4)+1,"Молочные","Мясные","Бакалея","Напитки"),CHOOSE(MOD(A229-1,4)+1,"Мягкая мебель","Корпусная","Офисная","Кухонная"))</f>
        <v>Аудио</v>
      </c>
      <c r="K229" s="12" t="n">
        <f aca="false">1000+MOD(A229*317+A229*A229*7,49001)</f>
        <v>45156</v>
      </c>
      <c r="L229" s="12" t="n">
        <f aca="false">1+MOD(A229*131,100)</f>
        <v>69</v>
      </c>
      <c r="M229" s="12" t="n">
        <f aca="false">INT(K229*(0.6+MOD(A229*43,21)/100))</f>
        <v>35221</v>
      </c>
      <c r="N229" s="12" t="n">
        <f aca="false">K229-M229</f>
        <v>9935</v>
      </c>
    </row>
    <row r="230" customFormat="false" ht="12.8" hidden="false" customHeight="false" outlineLevel="0" collapsed="false">
      <c r="A230" s="10" t="n">
        <f aca="false">A229+1</f>
        <v>229</v>
      </c>
      <c r="B230" s="11" t="n">
        <f aca="false">B229+1</f>
        <v>45155</v>
      </c>
      <c r="C230" s="10" t="n">
        <f aca="false">YEAR(B230)</f>
        <v>2023</v>
      </c>
      <c r="D230" s="10" t="n">
        <f aca="false">INT((MONTH(B230)-1)/3)+1</f>
        <v>3</v>
      </c>
      <c r="E230" s="10" t="n">
        <f aca="false">MONTH(B230)</f>
        <v>8</v>
      </c>
      <c r="F230" s="10" t="str">
        <f aca="false">CHOOSE(MOD(A230-1,5)+1,"Центр","Юг","Север","Запад","Восток")</f>
        <v>Запад</v>
      </c>
      <c r="G230" s="10" t="str">
        <f aca="false">"Округ_"&amp;(MOD(A230-1,5)+1)&amp;"_"&amp;(MOD(INT((A230-1)/5),5)+1)</f>
        <v>Округ_4_1</v>
      </c>
      <c r="H230" s="10" t="str">
        <f aca="false">"Город_"&amp;(MOD(A230-1,5)+1)&amp;"_"&amp;(MOD(INT((A230-1)/5),5)+1)&amp;"_"&amp;(MOD(INT((A230-1)/25),10)+1)</f>
        <v>Город_4_1_10</v>
      </c>
      <c r="I230" s="10" t="str">
        <f aca="false">CHOOSE(MOD(A230-1,4)+1,"Электроника","Одежда","Продукты","Мебель")</f>
        <v>Электроника</v>
      </c>
      <c r="J230" s="10" t="str">
        <f aca="false">CHOOSE(MOD(INT((A230-1)/4),4)+1,CHOOSE(MOD(A230-1,4)+1,"Смартфоны","Ноутбуки","Аксессуары","Аудио"),CHOOSE(MOD(A230-1,4)+1,"Верхняя одежда","Спортивная","Повседневная","Обувь"),CHOOSE(MOD(A230-1,4)+1,"Молочные","Мясные","Бакалея","Напитки"),CHOOSE(MOD(A230-1,4)+1,"Мягкая мебель","Корпусная","Офисная","Кухонная"))</f>
        <v>Верхняя одежда</v>
      </c>
      <c r="K230" s="12" t="n">
        <f aca="false">1000+MOD(A230*317+A230*A230*7,49001)</f>
        <v>48672</v>
      </c>
      <c r="L230" s="12" t="n">
        <f aca="false">1+MOD(A230*131,100)</f>
        <v>100</v>
      </c>
      <c r="M230" s="12" t="n">
        <f aca="false">INT(K230*(0.6+MOD(A230*43,21)/100))</f>
        <v>38450</v>
      </c>
      <c r="N230" s="12" t="n">
        <f aca="false">K230-M230</f>
        <v>10222</v>
      </c>
    </row>
    <row r="231" customFormat="false" ht="12.8" hidden="false" customHeight="false" outlineLevel="0" collapsed="false">
      <c r="A231" s="10" t="n">
        <f aca="false">A230+1</f>
        <v>230</v>
      </c>
      <c r="B231" s="11" t="n">
        <f aca="false">B230+1</f>
        <v>45156</v>
      </c>
      <c r="C231" s="10" t="n">
        <f aca="false">YEAR(B231)</f>
        <v>2023</v>
      </c>
      <c r="D231" s="10" t="n">
        <f aca="false">INT((MONTH(B231)-1)/3)+1</f>
        <v>3</v>
      </c>
      <c r="E231" s="10" t="n">
        <f aca="false">MONTH(B231)</f>
        <v>8</v>
      </c>
      <c r="F231" s="10" t="str">
        <f aca="false">CHOOSE(MOD(A231-1,5)+1,"Центр","Юг","Север","Запад","Восток")</f>
        <v>Восток</v>
      </c>
      <c r="G231" s="10" t="str">
        <f aca="false">"Округ_"&amp;(MOD(A231-1,5)+1)&amp;"_"&amp;(MOD(INT((A231-1)/5),5)+1)</f>
        <v>Округ_5_1</v>
      </c>
      <c r="H231" s="10" t="str">
        <f aca="false">"Город_"&amp;(MOD(A231-1,5)+1)&amp;"_"&amp;(MOD(INT((A231-1)/5),5)+1)&amp;"_"&amp;(MOD(INT((A231-1)/25),10)+1)</f>
        <v>Город_5_1_10</v>
      </c>
      <c r="I231" s="10" t="str">
        <f aca="false">CHOOSE(MOD(A231-1,4)+1,"Электроника","Одежда","Продукты","Мебель")</f>
        <v>Одежда</v>
      </c>
      <c r="J231" s="10" t="str">
        <f aca="false">CHOOSE(MOD(INT((A231-1)/4),4)+1,CHOOSE(MOD(A231-1,4)+1,"Смартфоны","Ноутбуки","Аксессуары","Аудио"),CHOOSE(MOD(A231-1,4)+1,"Верхняя одежда","Спортивная","Повседневная","Обувь"),CHOOSE(MOD(A231-1,4)+1,"Молочные","Мясные","Бакалея","Напитки"),CHOOSE(MOD(A231-1,4)+1,"Мягкая мебель","Корпусная","Офисная","Кухонная"))</f>
        <v>Спортивная</v>
      </c>
      <c r="K231" s="12" t="n">
        <f aca="false">1000+MOD(A231*317+A231*A231*7,49001)</f>
        <v>3201</v>
      </c>
      <c r="L231" s="12" t="n">
        <f aca="false">1+MOD(A231*131,100)</f>
        <v>31</v>
      </c>
      <c r="M231" s="12" t="n">
        <f aca="false">INT(K231*(0.6+MOD(A231*43,21)/100))</f>
        <v>2560</v>
      </c>
      <c r="N231" s="12" t="n">
        <f aca="false">K231-M231</f>
        <v>641</v>
      </c>
    </row>
    <row r="232" customFormat="false" ht="12.8" hidden="false" customHeight="false" outlineLevel="0" collapsed="false">
      <c r="A232" s="10" t="n">
        <f aca="false">A231+1</f>
        <v>231</v>
      </c>
      <c r="B232" s="11" t="n">
        <f aca="false">B231+1</f>
        <v>45157</v>
      </c>
      <c r="C232" s="10" t="n">
        <f aca="false">YEAR(B232)</f>
        <v>2023</v>
      </c>
      <c r="D232" s="10" t="n">
        <f aca="false">INT((MONTH(B232)-1)/3)+1</f>
        <v>3</v>
      </c>
      <c r="E232" s="10" t="n">
        <f aca="false">MONTH(B232)</f>
        <v>8</v>
      </c>
      <c r="F232" s="10" t="str">
        <f aca="false">CHOOSE(MOD(A232-1,5)+1,"Центр","Юг","Север","Запад","Восток")</f>
        <v>Центр</v>
      </c>
      <c r="G232" s="10" t="str">
        <f aca="false">"Округ_"&amp;(MOD(A232-1,5)+1)&amp;"_"&amp;(MOD(INT((A232-1)/5),5)+1)</f>
        <v>Округ_1_2</v>
      </c>
      <c r="H232" s="10" t="str">
        <f aca="false">"Город_"&amp;(MOD(A232-1,5)+1)&amp;"_"&amp;(MOD(INT((A232-1)/5),5)+1)&amp;"_"&amp;(MOD(INT((A232-1)/25),10)+1)</f>
        <v>Город_1_2_10</v>
      </c>
      <c r="I232" s="10" t="str">
        <f aca="false">CHOOSE(MOD(A232-1,4)+1,"Электроника","Одежда","Продукты","Мебель")</f>
        <v>Продукты</v>
      </c>
      <c r="J232" s="10" t="str">
        <f aca="false">CHOOSE(MOD(INT((A232-1)/4),4)+1,CHOOSE(MOD(A232-1,4)+1,"Смартфоны","Ноутбуки","Аксессуары","Аудио"),CHOOSE(MOD(A232-1,4)+1,"Верхняя одежда","Спортивная","Повседневная","Обувь"),CHOOSE(MOD(A232-1,4)+1,"Молочные","Мясные","Бакалея","Напитки"),CHOOSE(MOD(A232-1,4)+1,"Мягкая мебель","Корпусная","Офисная","Кухонная"))</f>
        <v>Повседневная</v>
      </c>
      <c r="K232" s="12" t="n">
        <f aca="false">1000+MOD(A232*317+A232*A232*7,49001)</f>
        <v>6745</v>
      </c>
      <c r="L232" s="12" t="n">
        <f aca="false">1+MOD(A232*131,100)</f>
        <v>62</v>
      </c>
      <c r="M232" s="12" t="n">
        <f aca="false">INT(K232*(0.6+MOD(A232*43,21)/100))</f>
        <v>4047</v>
      </c>
      <c r="N232" s="12" t="n">
        <f aca="false">K232-M232</f>
        <v>2698</v>
      </c>
    </row>
    <row r="233" customFormat="false" ht="12.8" hidden="false" customHeight="false" outlineLevel="0" collapsed="false">
      <c r="A233" s="10" t="n">
        <f aca="false">A232+1</f>
        <v>232</v>
      </c>
      <c r="B233" s="11" t="n">
        <f aca="false">B232+1</f>
        <v>45158</v>
      </c>
      <c r="C233" s="10" t="n">
        <f aca="false">YEAR(B233)</f>
        <v>2023</v>
      </c>
      <c r="D233" s="10" t="n">
        <f aca="false">INT((MONTH(B233)-1)/3)+1</f>
        <v>3</v>
      </c>
      <c r="E233" s="10" t="n">
        <f aca="false">MONTH(B233)</f>
        <v>8</v>
      </c>
      <c r="F233" s="10" t="str">
        <f aca="false">CHOOSE(MOD(A233-1,5)+1,"Центр","Юг","Север","Запад","Восток")</f>
        <v>Юг</v>
      </c>
      <c r="G233" s="10" t="str">
        <f aca="false">"Округ_"&amp;(MOD(A233-1,5)+1)&amp;"_"&amp;(MOD(INT((A233-1)/5),5)+1)</f>
        <v>Округ_2_2</v>
      </c>
      <c r="H233" s="10" t="str">
        <f aca="false">"Город_"&amp;(MOD(A233-1,5)+1)&amp;"_"&amp;(MOD(INT((A233-1)/5),5)+1)&amp;"_"&amp;(MOD(INT((A233-1)/25),10)+1)</f>
        <v>Город_2_2_10</v>
      </c>
      <c r="I233" s="10" t="str">
        <f aca="false">CHOOSE(MOD(A233-1,4)+1,"Электроника","Одежда","Продукты","Мебель")</f>
        <v>Мебель</v>
      </c>
      <c r="J233" s="10" t="str">
        <f aca="false">CHOOSE(MOD(INT((A233-1)/4),4)+1,CHOOSE(MOD(A233-1,4)+1,"Смартфоны","Ноутбуки","Аксессуары","Аудио"),CHOOSE(MOD(A233-1,4)+1,"Верхняя одежда","Спортивная","Повседневная","Обувь"),CHOOSE(MOD(A233-1,4)+1,"Молочные","Мясные","Бакалея","Напитки"),CHOOSE(MOD(A233-1,4)+1,"Мягкая мебель","Корпусная","Офисная","Кухонная"))</f>
        <v>Обувь</v>
      </c>
      <c r="K233" s="12" t="n">
        <f aca="false">1000+MOD(A233*317+A233*A233*7,49001)</f>
        <v>10303</v>
      </c>
      <c r="L233" s="12" t="n">
        <f aca="false">1+MOD(A233*131,100)</f>
        <v>93</v>
      </c>
      <c r="M233" s="12" t="n">
        <f aca="false">INT(K233*(0.6+MOD(A233*43,21)/100))</f>
        <v>6284</v>
      </c>
      <c r="N233" s="12" t="n">
        <f aca="false">K233-M233</f>
        <v>4019</v>
      </c>
    </row>
    <row r="234" customFormat="false" ht="12.8" hidden="false" customHeight="false" outlineLevel="0" collapsed="false">
      <c r="A234" s="10" t="n">
        <f aca="false">A233+1</f>
        <v>233</v>
      </c>
      <c r="B234" s="11" t="n">
        <f aca="false">B233+1</f>
        <v>45159</v>
      </c>
      <c r="C234" s="10" t="n">
        <f aca="false">YEAR(B234)</f>
        <v>2023</v>
      </c>
      <c r="D234" s="10" t="n">
        <f aca="false">INT((MONTH(B234)-1)/3)+1</f>
        <v>3</v>
      </c>
      <c r="E234" s="10" t="n">
        <f aca="false">MONTH(B234)</f>
        <v>8</v>
      </c>
      <c r="F234" s="10" t="str">
        <f aca="false">CHOOSE(MOD(A234-1,5)+1,"Центр","Юг","Север","Запад","Восток")</f>
        <v>Север</v>
      </c>
      <c r="G234" s="10" t="str">
        <f aca="false">"Округ_"&amp;(MOD(A234-1,5)+1)&amp;"_"&amp;(MOD(INT((A234-1)/5),5)+1)</f>
        <v>Округ_3_2</v>
      </c>
      <c r="H234" s="10" t="str">
        <f aca="false">"Город_"&amp;(MOD(A234-1,5)+1)&amp;"_"&amp;(MOD(INT((A234-1)/5),5)+1)&amp;"_"&amp;(MOD(INT((A234-1)/25),10)+1)</f>
        <v>Город_3_2_10</v>
      </c>
      <c r="I234" s="10" t="str">
        <f aca="false">CHOOSE(MOD(A234-1,4)+1,"Электроника","Одежда","Продукты","Мебель")</f>
        <v>Электроника</v>
      </c>
      <c r="J234" s="10" t="str">
        <f aca="false">CHOOSE(MOD(INT((A234-1)/4),4)+1,CHOOSE(MOD(A234-1,4)+1,"Смартфоны","Ноутбуки","Аксессуары","Аудио"),CHOOSE(MOD(A234-1,4)+1,"Верхняя одежда","Спортивная","Повседневная","Обувь"),CHOOSE(MOD(A234-1,4)+1,"Молочные","Мясные","Бакалея","Напитки"),CHOOSE(MOD(A234-1,4)+1,"Мягкая мебель","Корпусная","Офисная","Кухонная"))</f>
        <v>Молочные</v>
      </c>
      <c r="K234" s="12" t="n">
        <f aca="false">1000+MOD(A234*317+A234*A234*7,49001)</f>
        <v>13875</v>
      </c>
      <c r="L234" s="12" t="n">
        <f aca="false">1+MOD(A234*131,100)</f>
        <v>24</v>
      </c>
      <c r="M234" s="12" t="n">
        <f aca="false">INT(K234*(0.6+MOD(A234*43,21)/100))</f>
        <v>8602</v>
      </c>
      <c r="N234" s="12" t="n">
        <f aca="false">K234-M234</f>
        <v>5273</v>
      </c>
    </row>
    <row r="235" customFormat="false" ht="12.8" hidden="false" customHeight="false" outlineLevel="0" collapsed="false">
      <c r="A235" s="10" t="n">
        <f aca="false">A234+1</f>
        <v>234</v>
      </c>
      <c r="B235" s="11" t="n">
        <f aca="false">B234+1</f>
        <v>45160</v>
      </c>
      <c r="C235" s="10" t="n">
        <f aca="false">YEAR(B235)</f>
        <v>2023</v>
      </c>
      <c r="D235" s="10" t="n">
        <f aca="false">INT((MONTH(B235)-1)/3)+1</f>
        <v>3</v>
      </c>
      <c r="E235" s="10" t="n">
        <f aca="false">MONTH(B235)</f>
        <v>8</v>
      </c>
      <c r="F235" s="10" t="str">
        <f aca="false">CHOOSE(MOD(A235-1,5)+1,"Центр","Юг","Север","Запад","Восток")</f>
        <v>Запад</v>
      </c>
      <c r="G235" s="10" t="str">
        <f aca="false">"Округ_"&amp;(MOD(A235-1,5)+1)&amp;"_"&amp;(MOD(INT((A235-1)/5),5)+1)</f>
        <v>Округ_4_2</v>
      </c>
      <c r="H235" s="10" t="str">
        <f aca="false">"Город_"&amp;(MOD(A235-1,5)+1)&amp;"_"&amp;(MOD(INT((A235-1)/5),5)+1)&amp;"_"&amp;(MOD(INT((A235-1)/25),10)+1)</f>
        <v>Город_4_2_10</v>
      </c>
      <c r="I235" s="10" t="str">
        <f aca="false">CHOOSE(MOD(A235-1,4)+1,"Электроника","Одежда","Продукты","Мебель")</f>
        <v>Одежда</v>
      </c>
      <c r="J235" s="10" t="str">
        <f aca="false">CHOOSE(MOD(INT((A235-1)/4),4)+1,CHOOSE(MOD(A235-1,4)+1,"Смартфоны","Ноутбуки","Аксессуары","Аудио"),CHOOSE(MOD(A235-1,4)+1,"Верхняя одежда","Спортивная","Повседневная","Обувь"),CHOOSE(MOD(A235-1,4)+1,"Молочные","Мясные","Бакалея","Напитки"),CHOOSE(MOD(A235-1,4)+1,"Мягкая мебель","Корпусная","Офисная","Кухонная"))</f>
        <v>Мясные</v>
      </c>
      <c r="K235" s="12" t="n">
        <f aca="false">1000+MOD(A235*317+A235*A235*7,49001)</f>
        <v>17461</v>
      </c>
      <c r="L235" s="12" t="n">
        <f aca="false">1+MOD(A235*131,100)</f>
        <v>55</v>
      </c>
      <c r="M235" s="12" t="n">
        <f aca="false">INT(K235*(0.6+MOD(A235*43,21)/100))</f>
        <v>11000</v>
      </c>
      <c r="N235" s="12" t="n">
        <f aca="false">K235-M235</f>
        <v>6461</v>
      </c>
    </row>
    <row r="236" customFormat="false" ht="12.8" hidden="false" customHeight="false" outlineLevel="0" collapsed="false">
      <c r="A236" s="10" t="n">
        <f aca="false">A235+1</f>
        <v>235</v>
      </c>
      <c r="B236" s="11" t="n">
        <f aca="false">B235+1</f>
        <v>45161</v>
      </c>
      <c r="C236" s="10" t="n">
        <f aca="false">YEAR(B236)</f>
        <v>2023</v>
      </c>
      <c r="D236" s="10" t="n">
        <f aca="false">INT((MONTH(B236)-1)/3)+1</f>
        <v>3</v>
      </c>
      <c r="E236" s="10" t="n">
        <f aca="false">MONTH(B236)</f>
        <v>8</v>
      </c>
      <c r="F236" s="10" t="str">
        <f aca="false">CHOOSE(MOD(A236-1,5)+1,"Центр","Юг","Север","Запад","Восток")</f>
        <v>Восток</v>
      </c>
      <c r="G236" s="10" t="str">
        <f aca="false">"Округ_"&amp;(MOD(A236-1,5)+1)&amp;"_"&amp;(MOD(INT((A236-1)/5),5)+1)</f>
        <v>Округ_5_2</v>
      </c>
      <c r="H236" s="10" t="str">
        <f aca="false">"Город_"&amp;(MOD(A236-1,5)+1)&amp;"_"&amp;(MOD(INT((A236-1)/5),5)+1)&amp;"_"&amp;(MOD(INT((A236-1)/25),10)+1)</f>
        <v>Город_5_2_10</v>
      </c>
      <c r="I236" s="10" t="str">
        <f aca="false">CHOOSE(MOD(A236-1,4)+1,"Электроника","Одежда","Продукты","Мебель")</f>
        <v>Продукты</v>
      </c>
      <c r="J236" s="10" t="str">
        <f aca="false">CHOOSE(MOD(INT((A236-1)/4),4)+1,CHOOSE(MOD(A236-1,4)+1,"Смартфоны","Ноутбуки","Аксессуары","Аудио"),CHOOSE(MOD(A236-1,4)+1,"Верхняя одежда","Спортивная","Повседневная","Обувь"),CHOOSE(MOD(A236-1,4)+1,"Молочные","Мясные","Бакалея","Напитки"),CHOOSE(MOD(A236-1,4)+1,"Мягкая мебель","Корпусная","Офисная","Кухонная"))</f>
        <v>Бакалея</v>
      </c>
      <c r="K236" s="12" t="n">
        <f aca="false">1000+MOD(A236*317+A236*A236*7,49001)</f>
        <v>21061</v>
      </c>
      <c r="L236" s="12" t="n">
        <f aca="false">1+MOD(A236*131,100)</f>
        <v>86</v>
      </c>
      <c r="M236" s="12" t="n">
        <f aca="false">INT(K236*(0.6+MOD(A236*43,21)/100))</f>
        <v>13479</v>
      </c>
      <c r="N236" s="12" t="n">
        <f aca="false">K236-M236</f>
        <v>7582</v>
      </c>
    </row>
    <row r="237" customFormat="false" ht="12.8" hidden="false" customHeight="false" outlineLevel="0" collapsed="false">
      <c r="A237" s="10" t="n">
        <f aca="false">A236+1</f>
        <v>236</v>
      </c>
      <c r="B237" s="11" t="n">
        <f aca="false">B236+1</f>
        <v>45162</v>
      </c>
      <c r="C237" s="10" t="n">
        <f aca="false">YEAR(B237)</f>
        <v>2023</v>
      </c>
      <c r="D237" s="10" t="n">
        <f aca="false">INT((MONTH(B237)-1)/3)+1</f>
        <v>3</v>
      </c>
      <c r="E237" s="10" t="n">
        <f aca="false">MONTH(B237)</f>
        <v>8</v>
      </c>
      <c r="F237" s="10" t="str">
        <f aca="false">CHOOSE(MOD(A237-1,5)+1,"Центр","Юг","Север","Запад","Восток")</f>
        <v>Центр</v>
      </c>
      <c r="G237" s="10" t="str">
        <f aca="false">"Округ_"&amp;(MOD(A237-1,5)+1)&amp;"_"&amp;(MOD(INT((A237-1)/5),5)+1)</f>
        <v>Округ_1_3</v>
      </c>
      <c r="H237" s="10" t="str">
        <f aca="false">"Город_"&amp;(MOD(A237-1,5)+1)&amp;"_"&amp;(MOD(INT((A237-1)/5),5)+1)&amp;"_"&amp;(MOD(INT((A237-1)/25),10)+1)</f>
        <v>Город_1_3_10</v>
      </c>
      <c r="I237" s="10" t="str">
        <f aca="false">CHOOSE(MOD(A237-1,4)+1,"Электроника","Одежда","Продукты","Мебель")</f>
        <v>Мебель</v>
      </c>
      <c r="J237" s="10" t="str">
        <f aca="false">CHOOSE(MOD(INT((A237-1)/4),4)+1,CHOOSE(MOD(A237-1,4)+1,"Смартфоны","Ноутбуки","Аксессуары","Аудио"),CHOOSE(MOD(A237-1,4)+1,"Верхняя одежда","Спортивная","Повседневная","Обувь"),CHOOSE(MOD(A237-1,4)+1,"Молочные","Мясные","Бакалея","Напитки"),CHOOSE(MOD(A237-1,4)+1,"Мягкая мебель","Корпусная","Офисная","Кухонная"))</f>
        <v>Напитки</v>
      </c>
      <c r="K237" s="12" t="n">
        <f aca="false">1000+MOD(A237*317+A237*A237*7,49001)</f>
        <v>24675</v>
      </c>
      <c r="L237" s="12" t="n">
        <f aca="false">1+MOD(A237*131,100)</f>
        <v>17</v>
      </c>
      <c r="M237" s="12" t="n">
        <f aca="false">INT(K237*(0.6+MOD(A237*43,21)/100))</f>
        <v>16038</v>
      </c>
      <c r="N237" s="12" t="n">
        <f aca="false">K237-M237</f>
        <v>8637</v>
      </c>
    </row>
    <row r="238" customFormat="false" ht="12.8" hidden="false" customHeight="false" outlineLevel="0" collapsed="false">
      <c r="A238" s="10" t="n">
        <f aca="false">A237+1</f>
        <v>237</v>
      </c>
      <c r="B238" s="11" t="n">
        <f aca="false">B237+1</f>
        <v>45163</v>
      </c>
      <c r="C238" s="10" t="n">
        <f aca="false">YEAR(B238)</f>
        <v>2023</v>
      </c>
      <c r="D238" s="10" t="n">
        <f aca="false">INT((MONTH(B238)-1)/3)+1</f>
        <v>3</v>
      </c>
      <c r="E238" s="10" t="n">
        <f aca="false">MONTH(B238)</f>
        <v>8</v>
      </c>
      <c r="F238" s="10" t="str">
        <f aca="false">CHOOSE(MOD(A238-1,5)+1,"Центр","Юг","Север","Запад","Восток")</f>
        <v>Юг</v>
      </c>
      <c r="G238" s="10" t="str">
        <f aca="false">"Округ_"&amp;(MOD(A238-1,5)+1)&amp;"_"&amp;(MOD(INT((A238-1)/5),5)+1)</f>
        <v>Округ_2_3</v>
      </c>
      <c r="H238" s="10" t="str">
        <f aca="false">"Город_"&amp;(MOD(A238-1,5)+1)&amp;"_"&amp;(MOD(INT((A238-1)/5),5)+1)&amp;"_"&amp;(MOD(INT((A238-1)/25),10)+1)</f>
        <v>Город_2_3_10</v>
      </c>
      <c r="I238" s="10" t="str">
        <f aca="false">CHOOSE(MOD(A238-1,4)+1,"Электроника","Одежда","Продукты","Мебель")</f>
        <v>Электроника</v>
      </c>
      <c r="J238" s="10" t="str">
        <f aca="false">CHOOSE(MOD(INT((A238-1)/4),4)+1,CHOOSE(MOD(A238-1,4)+1,"Смартфоны","Ноутбуки","Аксессуары","Аудио"),CHOOSE(MOD(A238-1,4)+1,"Верхняя одежда","Спортивная","Повседневная","Обувь"),CHOOSE(MOD(A238-1,4)+1,"Молочные","Мясные","Бакалея","Напитки"),CHOOSE(MOD(A238-1,4)+1,"Мягкая мебель","Корпусная","Офисная","Кухонная"))</f>
        <v>Мягкая мебель</v>
      </c>
      <c r="K238" s="12" t="n">
        <f aca="false">1000+MOD(A238*317+A238*A238*7,49001)</f>
        <v>28303</v>
      </c>
      <c r="L238" s="12" t="n">
        <f aca="false">1+MOD(A238*131,100)</f>
        <v>48</v>
      </c>
      <c r="M238" s="12" t="n">
        <f aca="false">INT(K238*(0.6+MOD(A238*43,21)/100))</f>
        <v>18679</v>
      </c>
      <c r="N238" s="12" t="n">
        <f aca="false">K238-M238</f>
        <v>9624</v>
      </c>
    </row>
    <row r="239" customFormat="false" ht="12.8" hidden="false" customHeight="false" outlineLevel="0" collapsed="false">
      <c r="A239" s="10" t="n">
        <f aca="false">A238+1</f>
        <v>238</v>
      </c>
      <c r="B239" s="11" t="n">
        <f aca="false">B238+1</f>
        <v>45164</v>
      </c>
      <c r="C239" s="10" t="n">
        <f aca="false">YEAR(B239)</f>
        <v>2023</v>
      </c>
      <c r="D239" s="10" t="n">
        <f aca="false">INT((MONTH(B239)-1)/3)+1</f>
        <v>3</v>
      </c>
      <c r="E239" s="10" t="n">
        <f aca="false">MONTH(B239)</f>
        <v>8</v>
      </c>
      <c r="F239" s="10" t="str">
        <f aca="false">CHOOSE(MOD(A239-1,5)+1,"Центр","Юг","Север","Запад","Восток")</f>
        <v>Север</v>
      </c>
      <c r="G239" s="10" t="str">
        <f aca="false">"Округ_"&amp;(MOD(A239-1,5)+1)&amp;"_"&amp;(MOD(INT((A239-1)/5),5)+1)</f>
        <v>Округ_3_3</v>
      </c>
      <c r="H239" s="10" t="str">
        <f aca="false">"Город_"&amp;(MOD(A239-1,5)+1)&amp;"_"&amp;(MOD(INT((A239-1)/5),5)+1)&amp;"_"&amp;(MOD(INT((A239-1)/25),10)+1)</f>
        <v>Город_3_3_10</v>
      </c>
      <c r="I239" s="10" t="str">
        <f aca="false">CHOOSE(MOD(A239-1,4)+1,"Электроника","Одежда","Продукты","Мебель")</f>
        <v>Одежда</v>
      </c>
      <c r="J239" s="10" t="str">
        <f aca="false">CHOOSE(MOD(INT((A239-1)/4),4)+1,CHOOSE(MOD(A239-1,4)+1,"Смартфоны","Ноутбуки","Аксессуары","Аудио"),CHOOSE(MOD(A239-1,4)+1,"Верхняя одежда","Спортивная","Повседневная","Обувь"),CHOOSE(MOD(A239-1,4)+1,"Молочные","Мясные","Бакалея","Напитки"),CHOOSE(MOD(A239-1,4)+1,"Мягкая мебель","Корпусная","Офисная","Кухонная"))</f>
        <v>Корпусная</v>
      </c>
      <c r="K239" s="12" t="n">
        <f aca="false">1000+MOD(A239*317+A239*A239*7,49001)</f>
        <v>31945</v>
      </c>
      <c r="L239" s="12" t="n">
        <f aca="false">1+MOD(A239*131,100)</f>
        <v>79</v>
      </c>
      <c r="M239" s="12" t="n">
        <f aca="false">INT(K239*(0.6+MOD(A239*43,21)/100))</f>
        <v>21403</v>
      </c>
      <c r="N239" s="12" t="n">
        <f aca="false">K239-M239</f>
        <v>10542</v>
      </c>
    </row>
    <row r="240" customFormat="false" ht="12.8" hidden="false" customHeight="false" outlineLevel="0" collapsed="false">
      <c r="A240" s="10" t="n">
        <f aca="false">A239+1</f>
        <v>239</v>
      </c>
      <c r="B240" s="11" t="n">
        <f aca="false">B239+1</f>
        <v>45165</v>
      </c>
      <c r="C240" s="10" t="n">
        <f aca="false">YEAR(B240)</f>
        <v>2023</v>
      </c>
      <c r="D240" s="10" t="n">
        <f aca="false">INT((MONTH(B240)-1)/3)+1</f>
        <v>3</v>
      </c>
      <c r="E240" s="10" t="n">
        <f aca="false">MONTH(B240)</f>
        <v>8</v>
      </c>
      <c r="F240" s="10" t="str">
        <f aca="false">CHOOSE(MOD(A240-1,5)+1,"Центр","Юг","Север","Запад","Восток")</f>
        <v>Запад</v>
      </c>
      <c r="G240" s="10" t="str">
        <f aca="false">"Округ_"&amp;(MOD(A240-1,5)+1)&amp;"_"&amp;(MOD(INT((A240-1)/5),5)+1)</f>
        <v>Округ_4_3</v>
      </c>
      <c r="H240" s="10" t="str">
        <f aca="false">"Город_"&amp;(MOD(A240-1,5)+1)&amp;"_"&amp;(MOD(INT((A240-1)/5),5)+1)&amp;"_"&amp;(MOD(INT((A240-1)/25),10)+1)</f>
        <v>Город_4_3_10</v>
      </c>
      <c r="I240" s="10" t="str">
        <f aca="false">CHOOSE(MOD(A240-1,4)+1,"Электроника","Одежда","Продукты","Мебель")</f>
        <v>Продукты</v>
      </c>
      <c r="J240" s="10" t="str">
        <f aca="false">CHOOSE(MOD(INT((A240-1)/4),4)+1,CHOOSE(MOD(A240-1,4)+1,"Смартфоны","Ноутбуки","Аксессуары","Аудио"),CHOOSE(MOD(A240-1,4)+1,"Верхняя одежда","Спортивная","Повседневная","Обувь"),CHOOSE(MOD(A240-1,4)+1,"Молочные","Мясные","Бакалея","Напитки"),CHOOSE(MOD(A240-1,4)+1,"Мягкая мебель","Корпусная","Офисная","Кухонная"))</f>
        <v>Офисная</v>
      </c>
      <c r="K240" s="12" t="n">
        <f aca="false">1000+MOD(A240*317+A240*A240*7,49001)</f>
        <v>35601</v>
      </c>
      <c r="L240" s="12" t="n">
        <f aca="false">1+MOD(A240*131,100)</f>
        <v>10</v>
      </c>
      <c r="M240" s="12" t="n">
        <f aca="false">INT(K240*(0.6+MOD(A240*43,21)/100))</f>
        <v>24208</v>
      </c>
      <c r="N240" s="12" t="n">
        <f aca="false">K240-M240</f>
        <v>11393</v>
      </c>
    </row>
    <row r="241" customFormat="false" ht="12.8" hidden="false" customHeight="false" outlineLevel="0" collapsed="false">
      <c r="A241" s="10" t="n">
        <f aca="false">A240+1</f>
        <v>240</v>
      </c>
      <c r="B241" s="11" t="n">
        <f aca="false">B240+1</f>
        <v>45166</v>
      </c>
      <c r="C241" s="10" t="n">
        <f aca="false">YEAR(B241)</f>
        <v>2023</v>
      </c>
      <c r="D241" s="10" t="n">
        <f aca="false">INT((MONTH(B241)-1)/3)+1</f>
        <v>3</v>
      </c>
      <c r="E241" s="10" t="n">
        <f aca="false">MONTH(B241)</f>
        <v>8</v>
      </c>
      <c r="F241" s="10" t="str">
        <f aca="false">CHOOSE(MOD(A241-1,5)+1,"Центр","Юг","Север","Запад","Восток")</f>
        <v>Восток</v>
      </c>
      <c r="G241" s="10" t="str">
        <f aca="false">"Округ_"&amp;(MOD(A241-1,5)+1)&amp;"_"&amp;(MOD(INT((A241-1)/5),5)+1)</f>
        <v>Округ_5_3</v>
      </c>
      <c r="H241" s="10" t="str">
        <f aca="false">"Город_"&amp;(MOD(A241-1,5)+1)&amp;"_"&amp;(MOD(INT((A241-1)/5),5)+1)&amp;"_"&amp;(MOD(INT((A241-1)/25),10)+1)</f>
        <v>Город_5_3_10</v>
      </c>
      <c r="I241" s="10" t="str">
        <f aca="false">CHOOSE(MOD(A241-1,4)+1,"Электроника","Одежда","Продукты","Мебель")</f>
        <v>Мебель</v>
      </c>
      <c r="J241" s="10" t="str">
        <f aca="false">CHOOSE(MOD(INT((A241-1)/4),4)+1,CHOOSE(MOD(A241-1,4)+1,"Смартфоны","Ноутбуки","Аксессуары","Аудио"),CHOOSE(MOD(A241-1,4)+1,"Верхняя одежда","Спортивная","Повседневная","Обувь"),CHOOSE(MOD(A241-1,4)+1,"Молочные","Мясные","Бакалея","Напитки"),CHOOSE(MOD(A241-1,4)+1,"Мягкая мебель","Корпусная","Офисная","Кухонная"))</f>
        <v>Кухонная</v>
      </c>
      <c r="K241" s="12" t="n">
        <f aca="false">1000+MOD(A241*317+A241*A241*7,49001)</f>
        <v>39271</v>
      </c>
      <c r="L241" s="12" t="n">
        <f aca="false">1+MOD(A241*131,100)</f>
        <v>41</v>
      </c>
      <c r="M241" s="12" t="n">
        <f aca="false">INT(K241*(0.6+MOD(A241*43,21)/100))</f>
        <v>27096</v>
      </c>
      <c r="N241" s="12" t="n">
        <f aca="false">K241-M241</f>
        <v>12175</v>
      </c>
    </row>
    <row r="242" customFormat="false" ht="12.8" hidden="false" customHeight="false" outlineLevel="0" collapsed="false">
      <c r="A242" s="10" t="n">
        <f aca="false">A241+1</f>
        <v>241</v>
      </c>
      <c r="B242" s="11" t="n">
        <f aca="false">B241+1</f>
        <v>45167</v>
      </c>
      <c r="C242" s="10" t="n">
        <f aca="false">YEAR(B242)</f>
        <v>2023</v>
      </c>
      <c r="D242" s="10" t="n">
        <f aca="false">INT((MONTH(B242)-1)/3)+1</f>
        <v>3</v>
      </c>
      <c r="E242" s="10" t="n">
        <f aca="false">MONTH(B242)</f>
        <v>8</v>
      </c>
      <c r="F242" s="10" t="str">
        <f aca="false">CHOOSE(MOD(A242-1,5)+1,"Центр","Юг","Север","Запад","Восток")</f>
        <v>Центр</v>
      </c>
      <c r="G242" s="10" t="str">
        <f aca="false">"Округ_"&amp;(MOD(A242-1,5)+1)&amp;"_"&amp;(MOD(INT((A242-1)/5),5)+1)</f>
        <v>Округ_1_4</v>
      </c>
      <c r="H242" s="10" t="str">
        <f aca="false">"Город_"&amp;(MOD(A242-1,5)+1)&amp;"_"&amp;(MOD(INT((A242-1)/5),5)+1)&amp;"_"&amp;(MOD(INT((A242-1)/25),10)+1)</f>
        <v>Город_1_4_10</v>
      </c>
      <c r="I242" s="10" t="str">
        <f aca="false">CHOOSE(MOD(A242-1,4)+1,"Электроника","Одежда","Продукты","Мебель")</f>
        <v>Электроника</v>
      </c>
      <c r="J242" s="10" t="str">
        <f aca="false">CHOOSE(MOD(INT((A242-1)/4),4)+1,CHOOSE(MOD(A242-1,4)+1,"Смартфоны","Ноутбуки","Аксессуары","Аудио"),CHOOSE(MOD(A242-1,4)+1,"Верхняя одежда","Спортивная","Повседневная","Обувь"),CHOOSE(MOD(A242-1,4)+1,"Молочные","Мясные","Бакалея","Напитки"),CHOOSE(MOD(A242-1,4)+1,"Мягкая мебель","Корпусная","Офисная","Кухонная"))</f>
        <v>Смартфоны</v>
      </c>
      <c r="K242" s="12" t="n">
        <f aca="false">1000+MOD(A242*317+A242*A242*7,49001)</f>
        <v>42955</v>
      </c>
      <c r="L242" s="12" t="n">
        <f aca="false">1+MOD(A242*131,100)</f>
        <v>72</v>
      </c>
      <c r="M242" s="12" t="n">
        <f aca="false">INT(K242*(0.6+MOD(A242*43,21)/100))</f>
        <v>30068</v>
      </c>
      <c r="N242" s="12" t="n">
        <f aca="false">K242-M242</f>
        <v>12887</v>
      </c>
    </row>
    <row r="243" customFormat="false" ht="12.8" hidden="false" customHeight="false" outlineLevel="0" collapsed="false">
      <c r="A243" s="10" t="n">
        <f aca="false">A242+1</f>
        <v>242</v>
      </c>
      <c r="B243" s="11" t="n">
        <f aca="false">B242+1</f>
        <v>45168</v>
      </c>
      <c r="C243" s="10" t="n">
        <f aca="false">YEAR(B243)</f>
        <v>2023</v>
      </c>
      <c r="D243" s="10" t="n">
        <f aca="false">INT((MONTH(B243)-1)/3)+1</f>
        <v>3</v>
      </c>
      <c r="E243" s="10" t="n">
        <f aca="false">MONTH(B243)</f>
        <v>8</v>
      </c>
      <c r="F243" s="10" t="str">
        <f aca="false">CHOOSE(MOD(A243-1,5)+1,"Центр","Юг","Север","Запад","Восток")</f>
        <v>Юг</v>
      </c>
      <c r="G243" s="10" t="str">
        <f aca="false">"Округ_"&amp;(MOD(A243-1,5)+1)&amp;"_"&amp;(MOD(INT((A243-1)/5),5)+1)</f>
        <v>Округ_2_4</v>
      </c>
      <c r="H243" s="10" t="str">
        <f aca="false">"Город_"&amp;(MOD(A243-1,5)+1)&amp;"_"&amp;(MOD(INT((A243-1)/5),5)+1)&amp;"_"&amp;(MOD(INT((A243-1)/25),10)+1)</f>
        <v>Город_2_4_10</v>
      </c>
      <c r="I243" s="10" t="str">
        <f aca="false">CHOOSE(MOD(A243-1,4)+1,"Электроника","Одежда","Продукты","Мебель")</f>
        <v>Одежда</v>
      </c>
      <c r="J243" s="10" t="str">
        <f aca="false">CHOOSE(MOD(INT((A243-1)/4),4)+1,CHOOSE(MOD(A243-1,4)+1,"Смартфоны","Ноутбуки","Аксессуары","Аудио"),CHOOSE(MOD(A243-1,4)+1,"Верхняя одежда","Спортивная","Повседневная","Обувь"),CHOOSE(MOD(A243-1,4)+1,"Молочные","Мясные","Бакалея","Напитки"),CHOOSE(MOD(A243-1,4)+1,"Мягкая мебель","Корпусная","Офисная","Кухонная"))</f>
        <v>Ноутбуки</v>
      </c>
      <c r="K243" s="12" t="n">
        <f aca="false">1000+MOD(A243*317+A243*A243*7,49001)</f>
        <v>46653</v>
      </c>
      <c r="L243" s="12" t="n">
        <f aca="false">1+MOD(A243*131,100)</f>
        <v>3</v>
      </c>
      <c r="M243" s="12" t="n">
        <f aca="false">INT(K243*(0.6+MOD(A243*43,21)/100))</f>
        <v>33123</v>
      </c>
      <c r="N243" s="12" t="n">
        <f aca="false">K243-M243</f>
        <v>13530</v>
      </c>
    </row>
    <row r="244" customFormat="false" ht="12.8" hidden="false" customHeight="false" outlineLevel="0" collapsed="false">
      <c r="A244" s="10" t="n">
        <f aca="false">A243+1</f>
        <v>243</v>
      </c>
      <c r="B244" s="11" t="n">
        <f aca="false">B243+1</f>
        <v>45169</v>
      </c>
      <c r="C244" s="10" t="n">
        <f aca="false">YEAR(B244)</f>
        <v>2023</v>
      </c>
      <c r="D244" s="10" t="n">
        <f aca="false">INT((MONTH(B244)-1)/3)+1</f>
        <v>3</v>
      </c>
      <c r="E244" s="10" t="n">
        <f aca="false">MONTH(B244)</f>
        <v>8</v>
      </c>
      <c r="F244" s="10" t="str">
        <f aca="false">CHOOSE(MOD(A244-1,5)+1,"Центр","Юг","Север","Запад","Восток")</f>
        <v>Север</v>
      </c>
      <c r="G244" s="10" t="str">
        <f aca="false">"Округ_"&amp;(MOD(A244-1,5)+1)&amp;"_"&amp;(MOD(INT((A244-1)/5),5)+1)</f>
        <v>Округ_3_4</v>
      </c>
      <c r="H244" s="10" t="str">
        <f aca="false">"Город_"&amp;(MOD(A244-1,5)+1)&amp;"_"&amp;(MOD(INT((A244-1)/5),5)+1)&amp;"_"&amp;(MOD(INT((A244-1)/25),10)+1)</f>
        <v>Город_3_4_10</v>
      </c>
      <c r="I244" s="10" t="str">
        <f aca="false">CHOOSE(MOD(A244-1,4)+1,"Электроника","Одежда","Продукты","Мебель")</f>
        <v>Продукты</v>
      </c>
      <c r="J244" s="10" t="str">
        <f aca="false">CHOOSE(MOD(INT((A244-1)/4),4)+1,CHOOSE(MOD(A244-1,4)+1,"Смартфоны","Ноутбуки","Аксессуары","Аудио"),CHOOSE(MOD(A244-1,4)+1,"Верхняя одежда","Спортивная","Повседневная","Обувь"),CHOOSE(MOD(A244-1,4)+1,"Молочные","Мясные","Бакалея","Напитки"),CHOOSE(MOD(A244-1,4)+1,"Мягкая мебель","Корпусная","Офисная","Кухонная"))</f>
        <v>Аксессуары</v>
      </c>
      <c r="K244" s="12" t="n">
        <f aca="false">1000+MOD(A244*317+A244*A244*7,49001)</f>
        <v>1364</v>
      </c>
      <c r="L244" s="12" t="n">
        <f aca="false">1+MOD(A244*131,100)</f>
        <v>34</v>
      </c>
      <c r="M244" s="12" t="n">
        <f aca="false">INT(K244*(0.6+MOD(A244*43,21)/100))</f>
        <v>982</v>
      </c>
      <c r="N244" s="12" t="n">
        <f aca="false">K244-M244</f>
        <v>382</v>
      </c>
    </row>
    <row r="245" customFormat="false" ht="12.8" hidden="false" customHeight="false" outlineLevel="0" collapsed="false">
      <c r="A245" s="10" t="n">
        <f aca="false">A244+1</f>
        <v>244</v>
      </c>
      <c r="B245" s="11" t="n">
        <f aca="false">B244+1</f>
        <v>45170</v>
      </c>
      <c r="C245" s="10" t="n">
        <f aca="false">YEAR(B245)</f>
        <v>2023</v>
      </c>
      <c r="D245" s="10" t="n">
        <f aca="false">INT((MONTH(B245)-1)/3)+1</f>
        <v>3</v>
      </c>
      <c r="E245" s="10" t="n">
        <f aca="false">MONTH(B245)</f>
        <v>9</v>
      </c>
      <c r="F245" s="10" t="str">
        <f aca="false">CHOOSE(MOD(A245-1,5)+1,"Центр","Юг","Север","Запад","Восток")</f>
        <v>Запад</v>
      </c>
      <c r="G245" s="10" t="str">
        <f aca="false">"Округ_"&amp;(MOD(A245-1,5)+1)&amp;"_"&amp;(MOD(INT((A245-1)/5),5)+1)</f>
        <v>Округ_4_4</v>
      </c>
      <c r="H245" s="10" t="str">
        <f aca="false">"Город_"&amp;(MOD(A245-1,5)+1)&amp;"_"&amp;(MOD(INT((A245-1)/5),5)+1)&amp;"_"&amp;(MOD(INT((A245-1)/25),10)+1)</f>
        <v>Город_4_4_10</v>
      </c>
      <c r="I245" s="10" t="str">
        <f aca="false">CHOOSE(MOD(A245-1,4)+1,"Электроника","Одежда","Продукты","Мебель")</f>
        <v>Мебель</v>
      </c>
      <c r="J245" s="10" t="str">
        <f aca="false">CHOOSE(MOD(INT((A245-1)/4),4)+1,CHOOSE(MOD(A245-1,4)+1,"Смартфоны","Ноутбуки","Аксессуары","Аудио"),CHOOSE(MOD(A245-1,4)+1,"Верхняя одежда","Спортивная","Повседневная","Обувь"),CHOOSE(MOD(A245-1,4)+1,"Молочные","Мясные","Бакалея","Напитки"),CHOOSE(MOD(A245-1,4)+1,"Мягкая мебель","Корпусная","Офисная","Кухонная"))</f>
        <v>Аудио</v>
      </c>
      <c r="K245" s="12" t="n">
        <f aca="false">1000+MOD(A245*317+A245*A245*7,49001)</f>
        <v>5090</v>
      </c>
      <c r="L245" s="12" t="n">
        <f aca="false">1+MOD(A245*131,100)</f>
        <v>65</v>
      </c>
      <c r="M245" s="12" t="n">
        <f aca="false">INT(K245*(0.6+MOD(A245*43,21)/100))</f>
        <v>3715</v>
      </c>
      <c r="N245" s="12" t="n">
        <f aca="false">K245-M245</f>
        <v>1375</v>
      </c>
    </row>
    <row r="246" customFormat="false" ht="12.8" hidden="false" customHeight="false" outlineLevel="0" collapsed="false">
      <c r="A246" s="10" t="n">
        <f aca="false">A245+1</f>
        <v>245</v>
      </c>
      <c r="B246" s="11" t="n">
        <f aca="false">B245+1</f>
        <v>45171</v>
      </c>
      <c r="C246" s="10" t="n">
        <f aca="false">YEAR(B246)</f>
        <v>2023</v>
      </c>
      <c r="D246" s="10" t="n">
        <f aca="false">INT((MONTH(B246)-1)/3)+1</f>
        <v>3</v>
      </c>
      <c r="E246" s="10" t="n">
        <f aca="false">MONTH(B246)</f>
        <v>9</v>
      </c>
      <c r="F246" s="10" t="str">
        <f aca="false">CHOOSE(MOD(A246-1,5)+1,"Центр","Юг","Север","Запад","Восток")</f>
        <v>Восток</v>
      </c>
      <c r="G246" s="10" t="str">
        <f aca="false">"Округ_"&amp;(MOD(A246-1,5)+1)&amp;"_"&amp;(MOD(INT((A246-1)/5),5)+1)</f>
        <v>Округ_5_4</v>
      </c>
      <c r="H246" s="10" t="str">
        <f aca="false">"Город_"&amp;(MOD(A246-1,5)+1)&amp;"_"&amp;(MOD(INT((A246-1)/5),5)+1)&amp;"_"&amp;(MOD(INT((A246-1)/25),10)+1)</f>
        <v>Город_5_4_10</v>
      </c>
      <c r="I246" s="10" t="str">
        <f aca="false">CHOOSE(MOD(A246-1,4)+1,"Электроника","Одежда","Продукты","Мебель")</f>
        <v>Электроника</v>
      </c>
      <c r="J246" s="10" t="str">
        <f aca="false">CHOOSE(MOD(INT((A246-1)/4),4)+1,CHOOSE(MOD(A246-1,4)+1,"Смартфоны","Ноутбуки","Аксессуары","Аудио"),CHOOSE(MOD(A246-1,4)+1,"Верхняя одежда","Спортивная","Повседневная","Обувь"),CHOOSE(MOD(A246-1,4)+1,"Молочные","Мясные","Бакалея","Напитки"),CHOOSE(MOD(A246-1,4)+1,"Мягкая мебель","Корпусная","Офисная","Кухонная"))</f>
        <v>Верхняя одежда</v>
      </c>
      <c r="K246" s="12" t="n">
        <f aca="false">1000+MOD(A246*317+A246*A246*7,49001)</f>
        <v>8830</v>
      </c>
      <c r="L246" s="12" t="n">
        <f aca="false">1+MOD(A246*131,100)</f>
        <v>96</v>
      </c>
      <c r="M246" s="12" t="n">
        <f aca="false">INT(K246*(0.6+MOD(A246*43,21)/100))</f>
        <v>6534</v>
      </c>
      <c r="N246" s="12" t="n">
        <f aca="false">K246-M246</f>
        <v>2296</v>
      </c>
    </row>
    <row r="247" customFormat="false" ht="12.8" hidden="false" customHeight="false" outlineLevel="0" collapsed="false">
      <c r="A247" s="10" t="n">
        <f aca="false">A246+1</f>
        <v>246</v>
      </c>
      <c r="B247" s="11" t="n">
        <f aca="false">B246+1</f>
        <v>45172</v>
      </c>
      <c r="C247" s="10" t="n">
        <f aca="false">YEAR(B247)</f>
        <v>2023</v>
      </c>
      <c r="D247" s="10" t="n">
        <f aca="false">INT((MONTH(B247)-1)/3)+1</f>
        <v>3</v>
      </c>
      <c r="E247" s="10" t="n">
        <f aca="false">MONTH(B247)</f>
        <v>9</v>
      </c>
      <c r="F247" s="10" t="str">
        <f aca="false">CHOOSE(MOD(A247-1,5)+1,"Центр","Юг","Север","Запад","Восток")</f>
        <v>Центр</v>
      </c>
      <c r="G247" s="10" t="str">
        <f aca="false">"Округ_"&amp;(MOD(A247-1,5)+1)&amp;"_"&amp;(MOD(INT((A247-1)/5),5)+1)</f>
        <v>Округ_1_5</v>
      </c>
      <c r="H247" s="10" t="str">
        <f aca="false">"Город_"&amp;(MOD(A247-1,5)+1)&amp;"_"&amp;(MOD(INT((A247-1)/5),5)+1)&amp;"_"&amp;(MOD(INT((A247-1)/25),10)+1)</f>
        <v>Город_1_5_10</v>
      </c>
      <c r="I247" s="10" t="str">
        <f aca="false">CHOOSE(MOD(A247-1,4)+1,"Электроника","Одежда","Продукты","Мебель")</f>
        <v>Одежда</v>
      </c>
      <c r="J247" s="10" t="str">
        <f aca="false">CHOOSE(MOD(INT((A247-1)/4),4)+1,CHOOSE(MOD(A247-1,4)+1,"Смартфоны","Ноутбуки","Аксессуары","Аудио"),CHOOSE(MOD(A247-1,4)+1,"Верхняя одежда","Спортивная","Повседневная","Обувь"),CHOOSE(MOD(A247-1,4)+1,"Молочные","Мясные","Бакалея","Напитки"),CHOOSE(MOD(A247-1,4)+1,"Мягкая мебель","Корпусная","Офисная","Кухонная"))</f>
        <v>Спортивная</v>
      </c>
      <c r="K247" s="12" t="n">
        <f aca="false">1000+MOD(A247*317+A247*A247*7,49001)</f>
        <v>12584</v>
      </c>
      <c r="L247" s="12" t="n">
        <f aca="false">1+MOD(A247*131,100)</f>
        <v>27</v>
      </c>
      <c r="M247" s="12" t="n">
        <f aca="false">INT(K247*(0.6+MOD(A247*43,21)/100))</f>
        <v>9438</v>
      </c>
      <c r="N247" s="12" t="n">
        <f aca="false">K247-M247</f>
        <v>3146</v>
      </c>
    </row>
    <row r="248" customFormat="false" ht="12.8" hidden="false" customHeight="false" outlineLevel="0" collapsed="false">
      <c r="A248" s="10" t="n">
        <f aca="false">A247+1</f>
        <v>247</v>
      </c>
      <c r="B248" s="11" t="n">
        <f aca="false">B247+1</f>
        <v>45173</v>
      </c>
      <c r="C248" s="10" t="n">
        <f aca="false">YEAR(B248)</f>
        <v>2023</v>
      </c>
      <c r="D248" s="10" t="n">
        <f aca="false">INT((MONTH(B248)-1)/3)+1</f>
        <v>3</v>
      </c>
      <c r="E248" s="10" t="n">
        <f aca="false">MONTH(B248)</f>
        <v>9</v>
      </c>
      <c r="F248" s="10" t="str">
        <f aca="false">CHOOSE(MOD(A248-1,5)+1,"Центр","Юг","Север","Запад","Восток")</f>
        <v>Юг</v>
      </c>
      <c r="G248" s="10" t="str">
        <f aca="false">"Округ_"&amp;(MOD(A248-1,5)+1)&amp;"_"&amp;(MOD(INT((A248-1)/5),5)+1)</f>
        <v>Округ_2_5</v>
      </c>
      <c r="H248" s="10" t="str">
        <f aca="false">"Город_"&amp;(MOD(A248-1,5)+1)&amp;"_"&amp;(MOD(INT((A248-1)/5),5)+1)&amp;"_"&amp;(MOD(INT((A248-1)/25),10)+1)</f>
        <v>Город_2_5_10</v>
      </c>
      <c r="I248" s="10" t="str">
        <f aca="false">CHOOSE(MOD(A248-1,4)+1,"Электроника","Одежда","Продукты","Мебель")</f>
        <v>Продукты</v>
      </c>
      <c r="J248" s="10" t="str">
        <f aca="false">CHOOSE(MOD(INT((A248-1)/4),4)+1,CHOOSE(MOD(A248-1,4)+1,"Смартфоны","Ноутбуки","Аксессуары","Аудио"),CHOOSE(MOD(A248-1,4)+1,"Верхняя одежда","Спортивная","Повседневная","Обувь"),CHOOSE(MOD(A248-1,4)+1,"Молочные","Мясные","Бакалея","Напитки"),CHOOSE(MOD(A248-1,4)+1,"Мягкая мебель","Корпусная","Офисная","Кухонная"))</f>
        <v>Повседневная</v>
      </c>
      <c r="K248" s="12" t="n">
        <f aca="false">1000+MOD(A248*317+A248*A248*7,49001)</f>
        <v>16352</v>
      </c>
      <c r="L248" s="12" t="n">
        <f aca="false">1+MOD(A248*131,100)</f>
        <v>58</v>
      </c>
      <c r="M248" s="12" t="n">
        <f aca="false">INT(K248*(0.6+MOD(A248*43,21)/100))</f>
        <v>12427</v>
      </c>
      <c r="N248" s="12" t="n">
        <f aca="false">K248-M248</f>
        <v>3925</v>
      </c>
    </row>
    <row r="249" customFormat="false" ht="12.8" hidden="false" customHeight="false" outlineLevel="0" collapsed="false">
      <c r="A249" s="10" t="n">
        <f aca="false">A248+1</f>
        <v>248</v>
      </c>
      <c r="B249" s="11" t="n">
        <f aca="false">B248+1</f>
        <v>45174</v>
      </c>
      <c r="C249" s="10" t="n">
        <f aca="false">YEAR(B249)</f>
        <v>2023</v>
      </c>
      <c r="D249" s="10" t="n">
        <f aca="false">INT((MONTH(B249)-1)/3)+1</f>
        <v>3</v>
      </c>
      <c r="E249" s="10" t="n">
        <f aca="false">MONTH(B249)</f>
        <v>9</v>
      </c>
      <c r="F249" s="10" t="str">
        <f aca="false">CHOOSE(MOD(A249-1,5)+1,"Центр","Юг","Север","Запад","Восток")</f>
        <v>Север</v>
      </c>
      <c r="G249" s="10" t="str">
        <f aca="false">"Округ_"&amp;(MOD(A249-1,5)+1)&amp;"_"&amp;(MOD(INT((A249-1)/5),5)+1)</f>
        <v>Округ_3_5</v>
      </c>
      <c r="H249" s="10" t="str">
        <f aca="false">"Город_"&amp;(MOD(A249-1,5)+1)&amp;"_"&amp;(MOD(INT((A249-1)/5),5)+1)&amp;"_"&amp;(MOD(INT((A249-1)/25),10)+1)</f>
        <v>Город_3_5_10</v>
      </c>
      <c r="I249" s="10" t="str">
        <f aca="false">CHOOSE(MOD(A249-1,4)+1,"Электроника","Одежда","Продукты","Мебель")</f>
        <v>Мебель</v>
      </c>
      <c r="J249" s="10" t="str">
        <f aca="false">CHOOSE(MOD(INT((A249-1)/4),4)+1,CHOOSE(MOD(A249-1,4)+1,"Смартфоны","Ноутбуки","Аксессуары","Аудио"),CHOOSE(MOD(A249-1,4)+1,"Верхняя одежда","Спортивная","Повседневная","Обувь"),CHOOSE(MOD(A249-1,4)+1,"Молочные","Мясные","Бакалея","Напитки"),CHOOSE(MOD(A249-1,4)+1,"Мягкая мебель","Корпусная","Офисная","Кухонная"))</f>
        <v>Обувь</v>
      </c>
      <c r="K249" s="12" t="n">
        <f aca="false">1000+MOD(A249*317+A249*A249*7,49001)</f>
        <v>20134</v>
      </c>
      <c r="L249" s="12" t="n">
        <f aca="false">1+MOD(A249*131,100)</f>
        <v>89</v>
      </c>
      <c r="M249" s="12" t="n">
        <f aca="false">INT(K249*(0.6+MOD(A249*43,21)/100))</f>
        <v>15503</v>
      </c>
      <c r="N249" s="12" t="n">
        <f aca="false">K249-M249</f>
        <v>4631</v>
      </c>
    </row>
    <row r="250" customFormat="false" ht="12.8" hidden="false" customHeight="false" outlineLevel="0" collapsed="false">
      <c r="A250" s="10" t="n">
        <f aca="false">A249+1</f>
        <v>249</v>
      </c>
      <c r="B250" s="11" t="n">
        <f aca="false">B249+1</f>
        <v>45175</v>
      </c>
      <c r="C250" s="10" t="n">
        <f aca="false">YEAR(B250)</f>
        <v>2023</v>
      </c>
      <c r="D250" s="10" t="n">
        <f aca="false">INT((MONTH(B250)-1)/3)+1</f>
        <v>3</v>
      </c>
      <c r="E250" s="10" t="n">
        <f aca="false">MONTH(B250)</f>
        <v>9</v>
      </c>
      <c r="F250" s="10" t="str">
        <f aca="false">CHOOSE(MOD(A250-1,5)+1,"Центр","Юг","Север","Запад","Восток")</f>
        <v>Запад</v>
      </c>
      <c r="G250" s="10" t="str">
        <f aca="false">"Округ_"&amp;(MOD(A250-1,5)+1)&amp;"_"&amp;(MOD(INT((A250-1)/5),5)+1)</f>
        <v>Округ_4_5</v>
      </c>
      <c r="H250" s="10" t="str">
        <f aca="false">"Город_"&amp;(MOD(A250-1,5)+1)&amp;"_"&amp;(MOD(INT((A250-1)/5),5)+1)&amp;"_"&amp;(MOD(INT((A250-1)/25),10)+1)</f>
        <v>Город_4_5_10</v>
      </c>
      <c r="I250" s="10" t="str">
        <f aca="false">CHOOSE(MOD(A250-1,4)+1,"Электроника","Одежда","Продукты","Мебель")</f>
        <v>Электроника</v>
      </c>
      <c r="J250" s="10" t="str">
        <f aca="false">CHOOSE(MOD(INT((A250-1)/4),4)+1,CHOOSE(MOD(A250-1,4)+1,"Смартфоны","Ноутбуки","Аксессуары","Аудио"),CHOOSE(MOD(A250-1,4)+1,"Верхняя одежда","Спортивная","Повседневная","Обувь"),CHOOSE(MOD(A250-1,4)+1,"Молочные","Мясные","Бакалея","Напитки"),CHOOSE(MOD(A250-1,4)+1,"Мягкая мебель","Корпусная","Офисная","Кухонная"))</f>
        <v>Молочные</v>
      </c>
      <c r="K250" s="12" t="n">
        <f aca="false">1000+MOD(A250*317+A250*A250*7,49001)</f>
        <v>23930</v>
      </c>
      <c r="L250" s="12" t="n">
        <f aca="false">1+MOD(A250*131,100)</f>
        <v>20</v>
      </c>
      <c r="M250" s="12" t="n">
        <f aca="false">INT(K250*(0.6+MOD(A250*43,21)/100))</f>
        <v>18665</v>
      </c>
      <c r="N250" s="12" t="n">
        <f aca="false">K250-M250</f>
        <v>5265</v>
      </c>
    </row>
    <row r="251" customFormat="false" ht="12.8" hidden="false" customHeight="false" outlineLevel="0" collapsed="false">
      <c r="A251" s="10" t="n">
        <f aca="false">A250+1</f>
        <v>250</v>
      </c>
      <c r="B251" s="11" t="n">
        <f aca="false">B250+1</f>
        <v>45176</v>
      </c>
      <c r="C251" s="10" t="n">
        <f aca="false">YEAR(B251)</f>
        <v>2023</v>
      </c>
      <c r="D251" s="10" t="n">
        <f aca="false">INT((MONTH(B251)-1)/3)+1</f>
        <v>3</v>
      </c>
      <c r="E251" s="10" t="n">
        <f aca="false">MONTH(B251)</f>
        <v>9</v>
      </c>
      <c r="F251" s="10" t="str">
        <f aca="false">CHOOSE(MOD(A251-1,5)+1,"Центр","Юг","Север","Запад","Восток")</f>
        <v>Восток</v>
      </c>
      <c r="G251" s="10" t="str">
        <f aca="false">"Округ_"&amp;(MOD(A251-1,5)+1)&amp;"_"&amp;(MOD(INT((A251-1)/5),5)+1)</f>
        <v>Округ_5_5</v>
      </c>
      <c r="H251" s="10" t="str">
        <f aca="false">"Город_"&amp;(MOD(A251-1,5)+1)&amp;"_"&amp;(MOD(INT((A251-1)/5),5)+1)&amp;"_"&amp;(MOD(INT((A251-1)/25),10)+1)</f>
        <v>Город_5_5_10</v>
      </c>
      <c r="I251" s="10" t="str">
        <f aca="false">CHOOSE(MOD(A251-1,4)+1,"Электроника","Одежда","Продукты","Мебель")</f>
        <v>Одежда</v>
      </c>
      <c r="J251" s="10" t="str">
        <f aca="false">CHOOSE(MOD(INT((A251-1)/4),4)+1,CHOOSE(MOD(A251-1,4)+1,"Смартфоны","Ноутбуки","Аксессуары","Аудио"),CHOOSE(MOD(A251-1,4)+1,"Верхняя одежда","Спортивная","Повседневная","Обувь"),CHOOSE(MOD(A251-1,4)+1,"Молочные","Мясные","Бакалея","Напитки"),CHOOSE(MOD(A251-1,4)+1,"Мягкая мебель","Корпусная","Офисная","Кухонная"))</f>
        <v>Мясные</v>
      </c>
      <c r="K251" s="12" t="n">
        <f aca="false">1000+MOD(A251*317+A251*A251*7,49001)</f>
        <v>27740</v>
      </c>
      <c r="L251" s="12" t="n">
        <f aca="false">1+MOD(A251*131,100)</f>
        <v>51</v>
      </c>
      <c r="M251" s="12" t="n">
        <f aca="false">INT(K251*(0.6+MOD(A251*43,21)/100))</f>
        <v>21914</v>
      </c>
      <c r="N251" s="12" t="n">
        <f aca="false">K251-M251</f>
        <v>5826</v>
      </c>
    </row>
    <row r="252" customFormat="false" ht="12.8" hidden="false" customHeight="false" outlineLevel="0" collapsed="false">
      <c r="A252" s="10" t="n">
        <f aca="false">A251+1</f>
        <v>251</v>
      </c>
      <c r="B252" s="11" t="n">
        <f aca="false">B251+1</f>
        <v>45177</v>
      </c>
      <c r="C252" s="10" t="n">
        <f aca="false">YEAR(B252)</f>
        <v>2023</v>
      </c>
      <c r="D252" s="10" t="n">
        <f aca="false">INT((MONTH(B252)-1)/3)+1</f>
        <v>3</v>
      </c>
      <c r="E252" s="10" t="n">
        <f aca="false">MONTH(B252)</f>
        <v>9</v>
      </c>
      <c r="F252" s="10" t="str">
        <f aca="false">CHOOSE(MOD(A252-1,5)+1,"Центр","Юг","Север","Запад","Восток")</f>
        <v>Центр</v>
      </c>
      <c r="G252" s="10" t="str">
        <f aca="false">"Округ_"&amp;(MOD(A252-1,5)+1)&amp;"_"&amp;(MOD(INT((A252-1)/5),5)+1)</f>
        <v>Округ_1_1</v>
      </c>
      <c r="H252" s="10" t="str">
        <f aca="false">"Город_"&amp;(MOD(A252-1,5)+1)&amp;"_"&amp;(MOD(INT((A252-1)/5),5)+1)&amp;"_"&amp;(MOD(INT((A252-1)/25),10)+1)</f>
        <v>Город_1_1_1</v>
      </c>
      <c r="I252" s="10" t="str">
        <f aca="false">CHOOSE(MOD(A252-1,4)+1,"Электроника","Одежда","Продукты","Мебель")</f>
        <v>Продукты</v>
      </c>
      <c r="J252" s="10" t="str">
        <f aca="false">CHOOSE(MOD(INT((A252-1)/4),4)+1,CHOOSE(MOD(A252-1,4)+1,"Смартфоны","Ноутбуки","Аксессуары","Аудио"),CHOOSE(MOD(A252-1,4)+1,"Верхняя одежда","Спортивная","Повседневная","Обувь"),CHOOSE(MOD(A252-1,4)+1,"Молочные","Мясные","Бакалея","Напитки"),CHOOSE(MOD(A252-1,4)+1,"Мягкая мебель","Корпусная","Офисная","Кухонная"))</f>
        <v>Бакалея</v>
      </c>
      <c r="K252" s="12" t="n">
        <f aca="false">1000+MOD(A252*317+A252*A252*7,49001)</f>
        <v>31564</v>
      </c>
      <c r="L252" s="12" t="n">
        <f aca="false">1+MOD(A252*131,100)</f>
        <v>82</v>
      </c>
      <c r="M252" s="12" t="n">
        <f aca="false">INT(K252*(0.6+MOD(A252*43,21)/100))</f>
        <v>25251</v>
      </c>
      <c r="N252" s="12" t="n">
        <f aca="false">K252-M252</f>
        <v>6313</v>
      </c>
    </row>
    <row r="253" customFormat="false" ht="12.8" hidden="false" customHeight="false" outlineLevel="0" collapsed="false">
      <c r="A253" s="10" t="n">
        <f aca="false">A252+1</f>
        <v>252</v>
      </c>
      <c r="B253" s="11" t="n">
        <f aca="false">B252+1</f>
        <v>45178</v>
      </c>
      <c r="C253" s="10" t="n">
        <f aca="false">YEAR(B253)</f>
        <v>2023</v>
      </c>
      <c r="D253" s="10" t="n">
        <f aca="false">INT((MONTH(B253)-1)/3)+1</f>
        <v>3</v>
      </c>
      <c r="E253" s="10" t="n">
        <f aca="false">MONTH(B253)</f>
        <v>9</v>
      </c>
      <c r="F253" s="10" t="str">
        <f aca="false">CHOOSE(MOD(A253-1,5)+1,"Центр","Юг","Север","Запад","Восток")</f>
        <v>Юг</v>
      </c>
      <c r="G253" s="10" t="str">
        <f aca="false">"Округ_"&amp;(MOD(A253-1,5)+1)&amp;"_"&amp;(MOD(INT((A253-1)/5),5)+1)</f>
        <v>Округ_2_1</v>
      </c>
      <c r="H253" s="10" t="str">
        <f aca="false">"Город_"&amp;(MOD(A253-1,5)+1)&amp;"_"&amp;(MOD(INT((A253-1)/5),5)+1)&amp;"_"&amp;(MOD(INT((A253-1)/25),10)+1)</f>
        <v>Город_2_1_1</v>
      </c>
      <c r="I253" s="10" t="str">
        <f aca="false">CHOOSE(MOD(A253-1,4)+1,"Электроника","Одежда","Продукты","Мебель")</f>
        <v>Мебель</v>
      </c>
      <c r="J253" s="10" t="str">
        <f aca="false">CHOOSE(MOD(INT((A253-1)/4),4)+1,CHOOSE(MOD(A253-1,4)+1,"Смартфоны","Ноутбуки","Аксессуары","Аудио"),CHOOSE(MOD(A253-1,4)+1,"Верхняя одежда","Спортивная","Повседневная","Обувь"),CHOOSE(MOD(A253-1,4)+1,"Молочные","Мясные","Бакалея","Напитки"),CHOOSE(MOD(A253-1,4)+1,"Мягкая мебель","Корпусная","Офисная","Кухонная"))</f>
        <v>Напитки</v>
      </c>
      <c r="K253" s="12" t="n">
        <f aca="false">1000+MOD(A253*317+A253*A253*7,49001)</f>
        <v>35402</v>
      </c>
      <c r="L253" s="12" t="n">
        <f aca="false">1+MOD(A253*131,100)</f>
        <v>13</v>
      </c>
      <c r="M253" s="12" t="n">
        <f aca="false">INT(K253*(0.6+MOD(A253*43,21)/100))</f>
        <v>21241</v>
      </c>
      <c r="N253" s="12" t="n">
        <f aca="false">K253-M253</f>
        <v>14161</v>
      </c>
    </row>
    <row r="254" customFormat="false" ht="12.8" hidden="false" customHeight="false" outlineLevel="0" collapsed="false">
      <c r="A254" s="10" t="n">
        <f aca="false">A253+1</f>
        <v>253</v>
      </c>
      <c r="B254" s="11" t="n">
        <f aca="false">B253+1</f>
        <v>45179</v>
      </c>
      <c r="C254" s="10" t="n">
        <f aca="false">YEAR(B254)</f>
        <v>2023</v>
      </c>
      <c r="D254" s="10" t="n">
        <f aca="false">INT((MONTH(B254)-1)/3)+1</f>
        <v>3</v>
      </c>
      <c r="E254" s="10" t="n">
        <f aca="false">MONTH(B254)</f>
        <v>9</v>
      </c>
      <c r="F254" s="10" t="str">
        <f aca="false">CHOOSE(MOD(A254-1,5)+1,"Центр","Юг","Север","Запад","Восток")</f>
        <v>Север</v>
      </c>
      <c r="G254" s="10" t="str">
        <f aca="false">"Округ_"&amp;(MOD(A254-1,5)+1)&amp;"_"&amp;(MOD(INT((A254-1)/5),5)+1)</f>
        <v>Округ_3_1</v>
      </c>
      <c r="H254" s="10" t="str">
        <f aca="false">"Город_"&amp;(MOD(A254-1,5)+1)&amp;"_"&amp;(MOD(INT((A254-1)/5),5)+1)&amp;"_"&amp;(MOD(INT((A254-1)/25),10)+1)</f>
        <v>Город_3_1_1</v>
      </c>
      <c r="I254" s="10" t="str">
        <f aca="false">CHOOSE(MOD(A254-1,4)+1,"Электроника","Одежда","Продукты","Мебель")</f>
        <v>Электроника</v>
      </c>
      <c r="J254" s="10" t="str">
        <f aca="false">CHOOSE(MOD(INT((A254-1)/4),4)+1,CHOOSE(MOD(A254-1,4)+1,"Смартфоны","Ноутбуки","Аксессуары","Аудио"),CHOOSE(MOD(A254-1,4)+1,"Верхняя одежда","Спортивная","Повседневная","Обувь"),CHOOSE(MOD(A254-1,4)+1,"Молочные","Мясные","Бакалея","Напитки"),CHOOSE(MOD(A254-1,4)+1,"Мягкая мебель","Корпусная","Офисная","Кухонная"))</f>
        <v>Мягкая мебель</v>
      </c>
      <c r="K254" s="12" t="n">
        <f aca="false">1000+MOD(A254*317+A254*A254*7,49001)</f>
        <v>39254</v>
      </c>
      <c r="L254" s="12" t="n">
        <f aca="false">1+MOD(A254*131,100)</f>
        <v>44</v>
      </c>
      <c r="M254" s="12" t="n">
        <f aca="false">INT(K254*(0.6+MOD(A254*43,21)/100))</f>
        <v>23944</v>
      </c>
      <c r="N254" s="12" t="n">
        <f aca="false">K254-M254</f>
        <v>15310</v>
      </c>
    </row>
    <row r="255" customFormat="false" ht="12.8" hidden="false" customHeight="false" outlineLevel="0" collapsed="false">
      <c r="A255" s="10" t="n">
        <f aca="false">A254+1</f>
        <v>254</v>
      </c>
      <c r="B255" s="11" t="n">
        <f aca="false">B254+1</f>
        <v>45180</v>
      </c>
      <c r="C255" s="10" t="n">
        <f aca="false">YEAR(B255)</f>
        <v>2023</v>
      </c>
      <c r="D255" s="10" t="n">
        <f aca="false">INT((MONTH(B255)-1)/3)+1</f>
        <v>3</v>
      </c>
      <c r="E255" s="10" t="n">
        <f aca="false">MONTH(B255)</f>
        <v>9</v>
      </c>
      <c r="F255" s="10" t="str">
        <f aca="false">CHOOSE(MOD(A255-1,5)+1,"Центр","Юг","Север","Запад","Восток")</f>
        <v>Запад</v>
      </c>
      <c r="G255" s="10" t="str">
        <f aca="false">"Округ_"&amp;(MOD(A255-1,5)+1)&amp;"_"&amp;(MOD(INT((A255-1)/5),5)+1)</f>
        <v>Округ_4_1</v>
      </c>
      <c r="H255" s="10" t="str">
        <f aca="false">"Город_"&amp;(MOD(A255-1,5)+1)&amp;"_"&amp;(MOD(INT((A255-1)/5),5)+1)&amp;"_"&amp;(MOD(INT((A255-1)/25),10)+1)</f>
        <v>Город_4_1_1</v>
      </c>
      <c r="I255" s="10" t="str">
        <f aca="false">CHOOSE(MOD(A255-1,4)+1,"Электроника","Одежда","Продукты","Мебель")</f>
        <v>Одежда</v>
      </c>
      <c r="J255" s="10" t="str">
        <f aca="false">CHOOSE(MOD(INT((A255-1)/4),4)+1,CHOOSE(MOD(A255-1,4)+1,"Смартфоны","Ноутбуки","Аксессуары","Аудио"),CHOOSE(MOD(A255-1,4)+1,"Верхняя одежда","Спортивная","Повседневная","Обувь"),CHOOSE(MOD(A255-1,4)+1,"Молочные","Мясные","Бакалея","Напитки"),CHOOSE(MOD(A255-1,4)+1,"Мягкая мебель","Корпусная","Офисная","Кухонная"))</f>
        <v>Корпусная</v>
      </c>
      <c r="K255" s="12" t="n">
        <f aca="false">1000+MOD(A255*317+A255*A255*7,49001)</f>
        <v>43120</v>
      </c>
      <c r="L255" s="12" t="n">
        <f aca="false">1+MOD(A255*131,100)</f>
        <v>75</v>
      </c>
      <c r="M255" s="12" t="n">
        <f aca="false">INT(K255*(0.6+MOD(A255*43,21)/100))</f>
        <v>26734</v>
      </c>
      <c r="N255" s="12" t="n">
        <f aca="false">K255-M255</f>
        <v>16386</v>
      </c>
    </row>
    <row r="256" customFormat="false" ht="12.8" hidden="false" customHeight="false" outlineLevel="0" collapsed="false">
      <c r="A256" s="10" t="n">
        <f aca="false">A255+1</f>
        <v>255</v>
      </c>
      <c r="B256" s="11" t="n">
        <f aca="false">B255+1</f>
        <v>45181</v>
      </c>
      <c r="C256" s="10" t="n">
        <f aca="false">YEAR(B256)</f>
        <v>2023</v>
      </c>
      <c r="D256" s="10" t="n">
        <f aca="false">INT((MONTH(B256)-1)/3)+1</f>
        <v>3</v>
      </c>
      <c r="E256" s="10" t="n">
        <f aca="false">MONTH(B256)</f>
        <v>9</v>
      </c>
      <c r="F256" s="10" t="str">
        <f aca="false">CHOOSE(MOD(A256-1,5)+1,"Центр","Юг","Север","Запад","Восток")</f>
        <v>Восток</v>
      </c>
      <c r="G256" s="10" t="str">
        <f aca="false">"Округ_"&amp;(MOD(A256-1,5)+1)&amp;"_"&amp;(MOD(INT((A256-1)/5),5)+1)</f>
        <v>Округ_5_1</v>
      </c>
      <c r="H256" s="10" t="str">
        <f aca="false">"Город_"&amp;(MOD(A256-1,5)+1)&amp;"_"&amp;(MOD(INT((A256-1)/5),5)+1)&amp;"_"&amp;(MOD(INT((A256-1)/25),10)+1)</f>
        <v>Город_5_1_1</v>
      </c>
      <c r="I256" s="10" t="str">
        <f aca="false">CHOOSE(MOD(A256-1,4)+1,"Электроника","Одежда","Продукты","Мебель")</f>
        <v>Продукты</v>
      </c>
      <c r="J256" s="10" t="str">
        <f aca="false">CHOOSE(MOD(INT((A256-1)/4),4)+1,CHOOSE(MOD(A256-1,4)+1,"Смартфоны","Ноутбуки","Аксессуары","Аудио"),CHOOSE(MOD(A256-1,4)+1,"Верхняя одежда","Спортивная","Повседневная","Обувь"),CHOOSE(MOD(A256-1,4)+1,"Молочные","Мясные","Бакалея","Напитки"),CHOOSE(MOD(A256-1,4)+1,"Мягкая мебель","Корпусная","Офисная","Кухонная"))</f>
        <v>Офисная</v>
      </c>
      <c r="K256" s="12" t="n">
        <f aca="false">1000+MOD(A256*317+A256*A256*7,49001)</f>
        <v>47000</v>
      </c>
      <c r="L256" s="12" t="n">
        <f aca="false">1+MOD(A256*131,100)</f>
        <v>6</v>
      </c>
      <c r="M256" s="12" t="n">
        <f aca="false">INT(K256*(0.6+MOD(A256*43,21)/100))</f>
        <v>29610</v>
      </c>
      <c r="N256" s="12" t="n">
        <f aca="false">K256-M256</f>
        <v>17390</v>
      </c>
    </row>
    <row r="257" customFormat="false" ht="12.8" hidden="false" customHeight="false" outlineLevel="0" collapsed="false">
      <c r="A257" s="10" t="n">
        <f aca="false">A256+1</f>
        <v>256</v>
      </c>
      <c r="B257" s="11" t="n">
        <f aca="false">B256+1</f>
        <v>45182</v>
      </c>
      <c r="C257" s="10" t="n">
        <f aca="false">YEAR(B257)</f>
        <v>2023</v>
      </c>
      <c r="D257" s="10" t="n">
        <f aca="false">INT((MONTH(B257)-1)/3)+1</f>
        <v>3</v>
      </c>
      <c r="E257" s="10" t="n">
        <f aca="false">MONTH(B257)</f>
        <v>9</v>
      </c>
      <c r="F257" s="10" t="str">
        <f aca="false">CHOOSE(MOD(A257-1,5)+1,"Центр","Юг","Север","Запад","Восток")</f>
        <v>Центр</v>
      </c>
      <c r="G257" s="10" t="str">
        <f aca="false">"Округ_"&amp;(MOD(A257-1,5)+1)&amp;"_"&amp;(MOD(INT((A257-1)/5),5)+1)</f>
        <v>Округ_1_2</v>
      </c>
      <c r="H257" s="10" t="str">
        <f aca="false">"Город_"&amp;(MOD(A257-1,5)+1)&amp;"_"&amp;(MOD(INT((A257-1)/5),5)+1)&amp;"_"&amp;(MOD(INT((A257-1)/25),10)+1)</f>
        <v>Город_1_2_1</v>
      </c>
      <c r="I257" s="10" t="str">
        <f aca="false">CHOOSE(MOD(A257-1,4)+1,"Электроника","Одежда","Продукты","Мебель")</f>
        <v>Мебель</v>
      </c>
      <c r="J257" s="10" t="str">
        <f aca="false">CHOOSE(MOD(INT((A257-1)/4),4)+1,CHOOSE(MOD(A257-1,4)+1,"Смартфоны","Ноутбуки","Аксессуары","Аудио"),CHOOSE(MOD(A257-1,4)+1,"Верхняя одежда","Спортивная","Повседневная","Обувь"),CHOOSE(MOD(A257-1,4)+1,"Молочные","Мясные","Бакалея","Напитки"),CHOOSE(MOD(A257-1,4)+1,"Мягкая мебель","Корпусная","Офисная","Кухонная"))</f>
        <v>Кухонная</v>
      </c>
      <c r="K257" s="12" t="n">
        <f aca="false">1000+MOD(A257*317+A257*A257*7,49001)</f>
        <v>1893</v>
      </c>
      <c r="L257" s="12" t="n">
        <f aca="false">1+MOD(A257*131,100)</f>
        <v>37</v>
      </c>
      <c r="M257" s="12" t="n">
        <f aca="false">INT(K257*(0.6+MOD(A257*43,21)/100))</f>
        <v>1211</v>
      </c>
      <c r="N257" s="12" t="n">
        <f aca="false">K257-M257</f>
        <v>682</v>
      </c>
    </row>
    <row r="258" customFormat="false" ht="12.8" hidden="false" customHeight="false" outlineLevel="0" collapsed="false">
      <c r="A258" s="10" t="n">
        <f aca="false">A257+1</f>
        <v>257</v>
      </c>
      <c r="B258" s="11" t="n">
        <f aca="false">B257+1</f>
        <v>45183</v>
      </c>
      <c r="C258" s="10" t="n">
        <f aca="false">YEAR(B258)</f>
        <v>2023</v>
      </c>
      <c r="D258" s="10" t="n">
        <f aca="false">INT((MONTH(B258)-1)/3)+1</f>
        <v>3</v>
      </c>
      <c r="E258" s="10" t="n">
        <f aca="false">MONTH(B258)</f>
        <v>9</v>
      </c>
      <c r="F258" s="10" t="str">
        <f aca="false">CHOOSE(MOD(A258-1,5)+1,"Центр","Юг","Север","Запад","Восток")</f>
        <v>Юг</v>
      </c>
      <c r="G258" s="10" t="str">
        <f aca="false">"Округ_"&amp;(MOD(A258-1,5)+1)&amp;"_"&amp;(MOD(INT((A258-1)/5),5)+1)</f>
        <v>Округ_2_2</v>
      </c>
      <c r="H258" s="10" t="str">
        <f aca="false">"Город_"&amp;(MOD(A258-1,5)+1)&amp;"_"&amp;(MOD(INT((A258-1)/5),5)+1)&amp;"_"&amp;(MOD(INT((A258-1)/25),10)+1)</f>
        <v>Город_2_2_1</v>
      </c>
      <c r="I258" s="10" t="str">
        <f aca="false">CHOOSE(MOD(A258-1,4)+1,"Электроника","Одежда","Продукты","Мебель")</f>
        <v>Электроника</v>
      </c>
      <c r="J258" s="10" t="str">
        <f aca="false">CHOOSE(MOD(INT((A258-1)/4),4)+1,CHOOSE(MOD(A258-1,4)+1,"Смартфоны","Ноутбуки","Аксессуары","Аудио"),CHOOSE(MOD(A258-1,4)+1,"Верхняя одежда","Спортивная","Повседневная","Обувь"),CHOOSE(MOD(A258-1,4)+1,"Молочные","Мясные","Бакалея","Напитки"),CHOOSE(MOD(A258-1,4)+1,"Мягкая мебель","Корпусная","Офисная","Кухонная"))</f>
        <v>Смартфоны</v>
      </c>
      <c r="K258" s="12" t="n">
        <f aca="false">1000+MOD(A258*317+A258*A258*7,49001)</f>
        <v>5801</v>
      </c>
      <c r="L258" s="12" t="n">
        <f aca="false">1+MOD(A258*131,100)</f>
        <v>68</v>
      </c>
      <c r="M258" s="12" t="n">
        <f aca="false">INT(K258*(0.6+MOD(A258*43,21)/100))</f>
        <v>3770</v>
      </c>
      <c r="N258" s="12" t="n">
        <f aca="false">K258-M258</f>
        <v>2031</v>
      </c>
    </row>
    <row r="259" customFormat="false" ht="12.8" hidden="false" customHeight="false" outlineLevel="0" collapsed="false">
      <c r="A259" s="10" t="n">
        <f aca="false">A258+1</f>
        <v>258</v>
      </c>
      <c r="B259" s="11" t="n">
        <f aca="false">B258+1</f>
        <v>45184</v>
      </c>
      <c r="C259" s="10" t="n">
        <f aca="false">YEAR(B259)</f>
        <v>2023</v>
      </c>
      <c r="D259" s="10" t="n">
        <f aca="false">INT((MONTH(B259)-1)/3)+1</f>
        <v>3</v>
      </c>
      <c r="E259" s="10" t="n">
        <f aca="false">MONTH(B259)</f>
        <v>9</v>
      </c>
      <c r="F259" s="10" t="str">
        <f aca="false">CHOOSE(MOD(A259-1,5)+1,"Центр","Юг","Север","Запад","Восток")</f>
        <v>Север</v>
      </c>
      <c r="G259" s="10" t="str">
        <f aca="false">"Округ_"&amp;(MOD(A259-1,5)+1)&amp;"_"&amp;(MOD(INT((A259-1)/5),5)+1)</f>
        <v>Округ_3_2</v>
      </c>
      <c r="H259" s="10" t="str">
        <f aca="false">"Город_"&amp;(MOD(A259-1,5)+1)&amp;"_"&amp;(MOD(INT((A259-1)/5),5)+1)&amp;"_"&amp;(MOD(INT((A259-1)/25),10)+1)</f>
        <v>Город_3_2_1</v>
      </c>
      <c r="I259" s="10" t="str">
        <f aca="false">CHOOSE(MOD(A259-1,4)+1,"Электроника","Одежда","Продукты","Мебель")</f>
        <v>Одежда</v>
      </c>
      <c r="J259" s="10" t="str">
        <f aca="false">CHOOSE(MOD(INT((A259-1)/4),4)+1,CHOOSE(MOD(A259-1,4)+1,"Смартфоны","Ноутбуки","Аксессуары","Аудио"),CHOOSE(MOD(A259-1,4)+1,"Верхняя одежда","Спортивная","Повседневная","Обувь"),CHOOSE(MOD(A259-1,4)+1,"Молочные","Мясные","Бакалея","Напитки"),CHOOSE(MOD(A259-1,4)+1,"Мягкая мебель","Корпусная","Офисная","Кухонная"))</f>
        <v>Ноутбуки</v>
      </c>
      <c r="K259" s="12" t="n">
        <f aca="false">1000+MOD(A259*317+A259*A259*7,49001)</f>
        <v>9723</v>
      </c>
      <c r="L259" s="12" t="n">
        <f aca="false">1+MOD(A259*131,100)</f>
        <v>99</v>
      </c>
      <c r="M259" s="12" t="n">
        <f aca="false">INT(K259*(0.6+MOD(A259*43,21)/100))</f>
        <v>6417</v>
      </c>
      <c r="N259" s="12" t="n">
        <f aca="false">K259-M259</f>
        <v>3306</v>
      </c>
    </row>
    <row r="260" customFormat="false" ht="12.8" hidden="false" customHeight="false" outlineLevel="0" collapsed="false">
      <c r="A260" s="10" t="n">
        <f aca="false">A259+1</f>
        <v>259</v>
      </c>
      <c r="B260" s="11" t="n">
        <f aca="false">B259+1</f>
        <v>45185</v>
      </c>
      <c r="C260" s="10" t="n">
        <f aca="false">YEAR(B260)</f>
        <v>2023</v>
      </c>
      <c r="D260" s="10" t="n">
        <f aca="false">INT((MONTH(B260)-1)/3)+1</f>
        <v>3</v>
      </c>
      <c r="E260" s="10" t="n">
        <f aca="false">MONTH(B260)</f>
        <v>9</v>
      </c>
      <c r="F260" s="10" t="str">
        <f aca="false">CHOOSE(MOD(A260-1,5)+1,"Центр","Юг","Север","Запад","Восток")</f>
        <v>Запад</v>
      </c>
      <c r="G260" s="10" t="str">
        <f aca="false">"Округ_"&amp;(MOD(A260-1,5)+1)&amp;"_"&amp;(MOD(INT((A260-1)/5),5)+1)</f>
        <v>Округ_4_2</v>
      </c>
      <c r="H260" s="10" t="str">
        <f aca="false">"Город_"&amp;(MOD(A260-1,5)+1)&amp;"_"&amp;(MOD(INT((A260-1)/5),5)+1)&amp;"_"&amp;(MOD(INT((A260-1)/25),10)+1)</f>
        <v>Город_4_2_1</v>
      </c>
      <c r="I260" s="10" t="str">
        <f aca="false">CHOOSE(MOD(A260-1,4)+1,"Электроника","Одежда","Продукты","Мебель")</f>
        <v>Продукты</v>
      </c>
      <c r="J260" s="10" t="str">
        <f aca="false">CHOOSE(MOD(INT((A260-1)/4),4)+1,CHOOSE(MOD(A260-1,4)+1,"Смартфоны","Ноутбуки","Аксессуары","Аудио"),CHOOSE(MOD(A260-1,4)+1,"Верхняя одежда","Спортивная","Повседневная","Обувь"),CHOOSE(MOD(A260-1,4)+1,"Молочные","Мясные","Бакалея","Напитки"),CHOOSE(MOD(A260-1,4)+1,"Мягкая мебель","Корпусная","Офисная","Кухонная"))</f>
        <v>Аксессуары</v>
      </c>
      <c r="K260" s="12" t="n">
        <f aca="false">1000+MOD(A260*317+A260*A260*7,49001)</f>
        <v>13659</v>
      </c>
      <c r="L260" s="12" t="n">
        <f aca="false">1+MOD(A260*131,100)</f>
        <v>30</v>
      </c>
      <c r="M260" s="12" t="n">
        <f aca="false">INT(K260*(0.6+MOD(A260*43,21)/100))</f>
        <v>9151</v>
      </c>
      <c r="N260" s="12" t="n">
        <f aca="false">K260-M260</f>
        <v>4508</v>
      </c>
    </row>
    <row r="261" customFormat="false" ht="12.8" hidden="false" customHeight="false" outlineLevel="0" collapsed="false">
      <c r="A261" s="10" t="n">
        <f aca="false">A260+1</f>
        <v>260</v>
      </c>
      <c r="B261" s="11" t="n">
        <f aca="false">B260+1</f>
        <v>45186</v>
      </c>
      <c r="C261" s="10" t="n">
        <f aca="false">YEAR(B261)</f>
        <v>2023</v>
      </c>
      <c r="D261" s="10" t="n">
        <f aca="false">INT((MONTH(B261)-1)/3)+1</f>
        <v>3</v>
      </c>
      <c r="E261" s="10" t="n">
        <f aca="false">MONTH(B261)</f>
        <v>9</v>
      </c>
      <c r="F261" s="10" t="str">
        <f aca="false">CHOOSE(MOD(A261-1,5)+1,"Центр","Юг","Север","Запад","Восток")</f>
        <v>Восток</v>
      </c>
      <c r="G261" s="10" t="str">
        <f aca="false">"Округ_"&amp;(MOD(A261-1,5)+1)&amp;"_"&amp;(MOD(INT((A261-1)/5),5)+1)</f>
        <v>Округ_5_2</v>
      </c>
      <c r="H261" s="10" t="str">
        <f aca="false">"Город_"&amp;(MOD(A261-1,5)+1)&amp;"_"&amp;(MOD(INT((A261-1)/5),5)+1)&amp;"_"&amp;(MOD(INT((A261-1)/25),10)+1)</f>
        <v>Город_5_2_1</v>
      </c>
      <c r="I261" s="10" t="str">
        <f aca="false">CHOOSE(MOD(A261-1,4)+1,"Электроника","Одежда","Продукты","Мебель")</f>
        <v>Мебель</v>
      </c>
      <c r="J261" s="10" t="str">
        <f aca="false">CHOOSE(MOD(INT((A261-1)/4),4)+1,CHOOSE(MOD(A261-1,4)+1,"Смартфоны","Ноутбуки","Аксессуары","Аудио"),CHOOSE(MOD(A261-1,4)+1,"Верхняя одежда","Спортивная","Повседневная","Обувь"),CHOOSE(MOD(A261-1,4)+1,"Молочные","Мясные","Бакалея","Напитки"),CHOOSE(MOD(A261-1,4)+1,"Мягкая мебель","Корпусная","Офисная","Кухонная"))</f>
        <v>Аудио</v>
      </c>
      <c r="K261" s="12" t="n">
        <f aca="false">1000+MOD(A261*317+A261*A261*7,49001)</f>
        <v>17609</v>
      </c>
      <c r="L261" s="12" t="n">
        <f aca="false">1+MOD(A261*131,100)</f>
        <v>61</v>
      </c>
      <c r="M261" s="12" t="n">
        <f aca="false">INT(K261*(0.6+MOD(A261*43,21)/100))</f>
        <v>11974</v>
      </c>
      <c r="N261" s="12" t="n">
        <f aca="false">K261-M261</f>
        <v>5635</v>
      </c>
    </row>
    <row r="262" customFormat="false" ht="12.8" hidden="false" customHeight="false" outlineLevel="0" collapsed="false">
      <c r="A262" s="10" t="n">
        <f aca="false">A261+1</f>
        <v>261</v>
      </c>
      <c r="B262" s="11" t="n">
        <f aca="false">B261+1</f>
        <v>45187</v>
      </c>
      <c r="C262" s="10" t="n">
        <f aca="false">YEAR(B262)</f>
        <v>2023</v>
      </c>
      <c r="D262" s="10" t="n">
        <f aca="false">INT((MONTH(B262)-1)/3)+1</f>
        <v>3</v>
      </c>
      <c r="E262" s="10" t="n">
        <f aca="false">MONTH(B262)</f>
        <v>9</v>
      </c>
      <c r="F262" s="10" t="str">
        <f aca="false">CHOOSE(MOD(A262-1,5)+1,"Центр","Юг","Север","Запад","Восток")</f>
        <v>Центр</v>
      </c>
      <c r="G262" s="10" t="str">
        <f aca="false">"Округ_"&amp;(MOD(A262-1,5)+1)&amp;"_"&amp;(MOD(INT((A262-1)/5),5)+1)</f>
        <v>Округ_1_3</v>
      </c>
      <c r="H262" s="10" t="str">
        <f aca="false">"Город_"&amp;(MOD(A262-1,5)+1)&amp;"_"&amp;(MOD(INT((A262-1)/5),5)+1)&amp;"_"&amp;(MOD(INT((A262-1)/25),10)+1)</f>
        <v>Город_1_3_1</v>
      </c>
      <c r="I262" s="10" t="str">
        <f aca="false">CHOOSE(MOD(A262-1,4)+1,"Электроника","Одежда","Продукты","Мебель")</f>
        <v>Электроника</v>
      </c>
      <c r="J262" s="10" t="str">
        <f aca="false">CHOOSE(MOD(INT((A262-1)/4),4)+1,CHOOSE(MOD(A262-1,4)+1,"Смартфоны","Ноутбуки","Аксессуары","Аудио"),CHOOSE(MOD(A262-1,4)+1,"Верхняя одежда","Спортивная","Повседневная","Обувь"),CHOOSE(MOD(A262-1,4)+1,"Молочные","Мясные","Бакалея","Напитки"),CHOOSE(MOD(A262-1,4)+1,"Мягкая мебель","Корпусная","Офисная","Кухонная"))</f>
        <v>Верхняя одежда</v>
      </c>
      <c r="K262" s="12" t="n">
        <f aca="false">1000+MOD(A262*317+A262*A262*7,49001)</f>
        <v>21573</v>
      </c>
      <c r="L262" s="12" t="n">
        <f aca="false">1+MOD(A262*131,100)</f>
        <v>92</v>
      </c>
      <c r="M262" s="12" t="n">
        <f aca="false">INT(K262*(0.6+MOD(A262*43,21)/100))</f>
        <v>14885</v>
      </c>
      <c r="N262" s="12" t="n">
        <f aca="false">K262-M262</f>
        <v>6688</v>
      </c>
    </row>
    <row r="263" customFormat="false" ht="12.8" hidden="false" customHeight="false" outlineLevel="0" collapsed="false">
      <c r="A263" s="10" t="n">
        <f aca="false">A262+1</f>
        <v>262</v>
      </c>
      <c r="B263" s="11" t="n">
        <f aca="false">B262+1</f>
        <v>45188</v>
      </c>
      <c r="C263" s="10" t="n">
        <f aca="false">YEAR(B263)</f>
        <v>2023</v>
      </c>
      <c r="D263" s="10" t="n">
        <f aca="false">INT((MONTH(B263)-1)/3)+1</f>
        <v>3</v>
      </c>
      <c r="E263" s="10" t="n">
        <f aca="false">MONTH(B263)</f>
        <v>9</v>
      </c>
      <c r="F263" s="10" t="str">
        <f aca="false">CHOOSE(MOD(A263-1,5)+1,"Центр","Юг","Север","Запад","Восток")</f>
        <v>Юг</v>
      </c>
      <c r="G263" s="10" t="str">
        <f aca="false">"Округ_"&amp;(MOD(A263-1,5)+1)&amp;"_"&amp;(MOD(INT((A263-1)/5),5)+1)</f>
        <v>Округ_2_3</v>
      </c>
      <c r="H263" s="10" t="str">
        <f aca="false">"Город_"&amp;(MOD(A263-1,5)+1)&amp;"_"&amp;(MOD(INT((A263-1)/5),5)+1)&amp;"_"&amp;(MOD(INT((A263-1)/25),10)+1)</f>
        <v>Город_2_3_1</v>
      </c>
      <c r="I263" s="10" t="str">
        <f aca="false">CHOOSE(MOD(A263-1,4)+1,"Электроника","Одежда","Продукты","Мебель")</f>
        <v>Одежда</v>
      </c>
      <c r="J263" s="10" t="str">
        <f aca="false">CHOOSE(MOD(INT((A263-1)/4),4)+1,CHOOSE(MOD(A263-1,4)+1,"Смартфоны","Ноутбуки","Аксессуары","Аудио"),CHOOSE(MOD(A263-1,4)+1,"Верхняя одежда","Спортивная","Повседневная","Обувь"),CHOOSE(MOD(A263-1,4)+1,"Молочные","Мясные","Бакалея","Напитки"),CHOOSE(MOD(A263-1,4)+1,"Мягкая мебель","Корпусная","Офисная","Кухонная"))</f>
        <v>Спортивная</v>
      </c>
      <c r="K263" s="12" t="n">
        <f aca="false">1000+MOD(A263*317+A263*A263*7,49001)</f>
        <v>25551</v>
      </c>
      <c r="L263" s="12" t="n">
        <f aca="false">1+MOD(A263*131,100)</f>
        <v>23</v>
      </c>
      <c r="M263" s="12" t="n">
        <f aca="false">INT(K263*(0.6+MOD(A263*43,21)/100))</f>
        <v>17885</v>
      </c>
      <c r="N263" s="12" t="n">
        <f aca="false">K263-M263</f>
        <v>7666</v>
      </c>
    </row>
    <row r="264" customFormat="false" ht="12.8" hidden="false" customHeight="false" outlineLevel="0" collapsed="false">
      <c r="A264" s="10" t="n">
        <f aca="false">A263+1</f>
        <v>263</v>
      </c>
      <c r="B264" s="11" t="n">
        <f aca="false">B263+1</f>
        <v>45189</v>
      </c>
      <c r="C264" s="10" t="n">
        <f aca="false">YEAR(B264)</f>
        <v>2023</v>
      </c>
      <c r="D264" s="10" t="n">
        <f aca="false">INT((MONTH(B264)-1)/3)+1</f>
        <v>3</v>
      </c>
      <c r="E264" s="10" t="n">
        <f aca="false">MONTH(B264)</f>
        <v>9</v>
      </c>
      <c r="F264" s="10" t="str">
        <f aca="false">CHOOSE(MOD(A264-1,5)+1,"Центр","Юг","Север","Запад","Восток")</f>
        <v>Север</v>
      </c>
      <c r="G264" s="10" t="str">
        <f aca="false">"Округ_"&amp;(MOD(A264-1,5)+1)&amp;"_"&amp;(MOD(INT((A264-1)/5),5)+1)</f>
        <v>Округ_3_3</v>
      </c>
      <c r="H264" s="10" t="str">
        <f aca="false">"Город_"&amp;(MOD(A264-1,5)+1)&amp;"_"&amp;(MOD(INT((A264-1)/5),5)+1)&amp;"_"&amp;(MOD(INT((A264-1)/25),10)+1)</f>
        <v>Город_3_3_1</v>
      </c>
      <c r="I264" s="10" t="str">
        <f aca="false">CHOOSE(MOD(A264-1,4)+1,"Электроника","Одежда","Продукты","Мебель")</f>
        <v>Продукты</v>
      </c>
      <c r="J264" s="10" t="str">
        <f aca="false">CHOOSE(MOD(INT((A264-1)/4),4)+1,CHOOSE(MOD(A264-1,4)+1,"Смартфоны","Ноутбуки","Аксессуары","Аудио"),CHOOSE(MOD(A264-1,4)+1,"Верхняя одежда","Спортивная","Повседневная","Обувь"),CHOOSE(MOD(A264-1,4)+1,"Молочные","Мясные","Бакалея","Напитки"),CHOOSE(MOD(A264-1,4)+1,"Мягкая мебель","Корпусная","Офисная","Кухонная"))</f>
        <v>Повседневная</v>
      </c>
      <c r="K264" s="12" t="n">
        <f aca="false">1000+MOD(A264*317+A264*A264*7,49001)</f>
        <v>29543</v>
      </c>
      <c r="L264" s="12" t="n">
        <f aca="false">1+MOD(A264*131,100)</f>
        <v>54</v>
      </c>
      <c r="M264" s="12" t="n">
        <f aca="false">INT(K264*(0.6+MOD(A264*43,21)/100))</f>
        <v>20975</v>
      </c>
      <c r="N264" s="12" t="n">
        <f aca="false">K264-M264</f>
        <v>8568</v>
      </c>
    </row>
    <row r="265" customFormat="false" ht="12.8" hidden="false" customHeight="false" outlineLevel="0" collapsed="false">
      <c r="A265" s="10" t="n">
        <f aca="false">A264+1</f>
        <v>264</v>
      </c>
      <c r="B265" s="11" t="n">
        <f aca="false">B264+1</f>
        <v>45190</v>
      </c>
      <c r="C265" s="10" t="n">
        <f aca="false">YEAR(B265)</f>
        <v>2023</v>
      </c>
      <c r="D265" s="10" t="n">
        <f aca="false">INT((MONTH(B265)-1)/3)+1</f>
        <v>3</v>
      </c>
      <c r="E265" s="10" t="n">
        <f aca="false">MONTH(B265)</f>
        <v>9</v>
      </c>
      <c r="F265" s="10" t="str">
        <f aca="false">CHOOSE(MOD(A265-1,5)+1,"Центр","Юг","Север","Запад","Восток")</f>
        <v>Запад</v>
      </c>
      <c r="G265" s="10" t="str">
        <f aca="false">"Округ_"&amp;(MOD(A265-1,5)+1)&amp;"_"&amp;(MOD(INT((A265-1)/5),5)+1)</f>
        <v>Округ_4_3</v>
      </c>
      <c r="H265" s="10" t="str">
        <f aca="false">"Город_"&amp;(MOD(A265-1,5)+1)&amp;"_"&amp;(MOD(INT((A265-1)/5),5)+1)&amp;"_"&amp;(MOD(INT((A265-1)/25),10)+1)</f>
        <v>Город_4_3_1</v>
      </c>
      <c r="I265" s="10" t="str">
        <f aca="false">CHOOSE(MOD(A265-1,4)+1,"Электроника","Одежда","Продукты","Мебель")</f>
        <v>Мебель</v>
      </c>
      <c r="J265" s="10" t="str">
        <f aca="false">CHOOSE(MOD(INT((A265-1)/4),4)+1,CHOOSE(MOD(A265-1,4)+1,"Смартфоны","Ноутбуки","Аксессуары","Аудио"),CHOOSE(MOD(A265-1,4)+1,"Верхняя одежда","Спортивная","Повседневная","Обувь"),CHOOSE(MOD(A265-1,4)+1,"Молочные","Мясные","Бакалея","Напитки"),CHOOSE(MOD(A265-1,4)+1,"Мягкая мебель","Корпусная","Офисная","Кухонная"))</f>
        <v>Обувь</v>
      </c>
      <c r="K265" s="12" t="n">
        <f aca="false">1000+MOD(A265*317+A265*A265*7,49001)</f>
        <v>33549</v>
      </c>
      <c r="L265" s="12" t="n">
        <f aca="false">1+MOD(A265*131,100)</f>
        <v>85</v>
      </c>
      <c r="M265" s="12" t="n">
        <f aca="false">INT(K265*(0.6+MOD(A265*43,21)/100))</f>
        <v>24155</v>
      </c>
      <c r="N265" s="12" t="n">
        <f aca="false">K265-M265</f>
        <v>9394</v>
      </c>
    </row>
    <row r="266" customFormat="false" ht="12.8" hidden="false" customHeight="false" outlineLevel="0" collapsed="false">
      <c r="A266" s="10" t="n">
        <f aca="false">A265+1</f>
        <v>265</v>
      </c>
      <c r="B266" s="11" t="n">
        <f aca="false">B265+1</f>
        <v>45191</v>
      </c>
      <c r="C266" s="10" t="n">
        <f aca="false">YEAR(B266)</f>
        <v>2023</v>
      </c>
      <c r="D266" s="10" t="n">
        <f aca="false">INT((MONTH(B266)-1)/3)+1</f>
        <v>3</v>
      </c>
      <c r="E266" s="10" t="n">
        <f aca="false">MONTH(B266)</f>
        <v>9</v>
      </c>
      <c r="F266" s="10" t="str">
        <f aca="false">CHOOSE(MOD(A266-1,5)+1,"Центр","Юг","Север","Запад","Восток")</f>
        <v>Восток</v>
      </c>
      <c r="G266" s="10" t="str">
        <f aca="false">"Округ_"&amp;(MOD(A266-1,5)+1)&amp;"_"&amp;(MOD(INT((A266-1)/5),5)+1)</f>
        <v>Округ_5_3</v>
      </c>
      <c r="H266" s="10" t="str">
        <f aca="false">"Город_"&amp;(MOD(A266-1,5)+1)&amp;"_"&amp;(MOD(INT((A266-1)/5),5)+1)&amp;"_"&amp;(MOD(INT((A266-1)/25),10)+1)</f>
        <v>Город_5_3_1</v>
      </c>
      <c r="I266" s="10" t="str">
        <f aca="false">CHOOSE(MOD(A266-1,4)+1,"Электроника","Одежда","Продукты","Мебель")</f>
        <v>Электроника</v>
      </c>
      <c r="J266" s="10" t="str">
        <f aca="false">CHOOSE(MOD(INT((A266-1)/4),4)+1,CHOOSE(MOD(A266-1,4)+1,"Смартфоны","Ноутбуки","Аксессуары","Аудио"),CHOOSE(MOD(A266-1,4)+1,"Верхняя одежда","Спортивная","Повседневная","Обувь"),CHOOSE(MOD(A266-1,4)+1,"Молочные","Мясные","Бакалея","Напитки"),CHOOSE(MOD(A266-1,4)+1,"Мягкая мебель","Корпусная","Офисная","Кухонная"))</f>
        <v>Молочные</v>
      </c>
      <c r="K266" s="12" t="n">
        <f aca="false">1000+MOD(A266*317+A266*A266*7,49001)</f>
        <v>37569</v>
      </c>
      <c r="L266" s="12" t="n">
        <f aca="false">1+MOD(A266*131,100)</f>
        <v>16</v>
      </c>
      <c r="M266" s="12" t="n">
        <f aca="false">INT(K266*(0.6+MOD(A266*43,21)/100))</f>
        <v>27425</v>
      </c>
      <c r="N266" s="12" t="n">
        <f aca="false">K266-M266</f>
        <v>10144</v>
      </c>
    </row>
    <row r="267" customFormat="false" ht="12.8" hidden="false" customHeight="false" outlineLevel="0" collapsed="false">
      <c r="A267" s="10" t="n">
        <f aca="false">A266+1</f>
        <v>266</v>
      </c>
      <c r="B267" s="11" t="n">
        <f aca="false">B266+1</f>
        <v>45192</v>
      </c>
      <c r="C267" s="10" t="n">
        <f aca="false">YEAR(B267)</f>
        <v>2023</v>
      </c>
      <c r="D267" s="10" t="n">
        <f aca="false">INT((MONTH(B267)-1)/3)+1</f>
        <v>3</v>
      </c>
      <c r="E267" s="10" t="n">
        <f aca="false">MONTH(B267)</f>
        <v>9</v>
      </c>
      <c r="F267" s="10" t="str">
        <f aca="false">CHOOSE(MOD(A267-1,5)+1,"Центр","Юг","Север","Запад","Восток")</f>
        <v>Центр</v>
      </c>
      <c r="G267" s="10" t="str">
        <f aca="false">"Округ_"&amp;(MOD(A267-1,5)+1)&amp;"_"&amp;(MOD(INT((A267-1)/5),5)+1)</f>
        <v>Округ_1_4</v>
      </c>
      <c r="H267" s="10" t="str">
        <f aca="false">"Город_"&amp;(MOD(A267-1,5)+1)&amp;"_"&amp;(MOD(INT((A267-1)/5),5)+1)&amp;"_"&amp;(MOD(INT((A267-1)/25),10)+1)</f>
        <v>Город_1_4_1</v>
      </c>
      <c r="I267" s="10" t="str">
        <f aca="false">CHOOSE(MOD(A267-1,4)+1,"Электроника","Одежда","Продукты","Мебель")</f>
        <v>Одежда</v>
      </c>
      <c r="J267" s="10" t="str">
        <f aca="false">CHOOSE(MOD(INT((A267-1)/4),4)+1,CHOOSE(MOD(A267-1,4)+1,"Смартфоны","Ноутбуки","Аксессуары","Аудио"),CHOOSE(MOD(A267-1,4)+1,"Верхняя одежда","Спортивная","Повседневная","Обувь"),CHOOSE(MOD(A267-1,4)+1,"Молочные","Мясные","Бакалея","Напитки"),CHOOSE(MOD(A267-1,4)+1,"Мягкая мебель","Корпусная","Офисная","Кухонная"))</f>
        <v>Мясные</v>
      </c>
      <c r="K267" s="12" t="n">
        <f aca="false">1000+MOD(A267*317+A267*A267*7,49001)</f>
        <v>41603</v>
      </c>
      <c r="L267" s="12" t="n">
        <f aca="false">1+MOD(A267*131,100)</f>
        <v>47</v>
      </c>
      <c r="M267" s="12" t="n">
        <f aca="false">INT(K267*(0.6+MOD(A267*43,21)/100))</f>
        <v>30786</v>
      </c>
      <c r="N267" s="12" t="n">
        <f aca="false">K267-M267</f>
        <v>10817</v>
      </c>
    </row>
    <row r="268" customFormat="false" ht="12.8" hidden="false" customHeight="false" outlineLevel="0" collapsed="false">
      <c r="A268" s="10" t="n">
        <f aca="false">A267+1</f>
        <v>267</v>
      </c>
      <c r="B268" s="11" t="n">
        <f aca="false">B267+1</f>
        <v>45193</v>
      </c>
      <c r="C268" s="10" t="n">
        <f aca="false">YEAR(B268)</f>
        <v>2023</v>
      </c>
      <c r="D268" s="10" t="n">
        <f aca="false">INT((MONTH(B268)-1)/3)+1</f>
        <v>3</v>
      </c>
      <c r="E268" s="10" t="n">
        <f aca="false">MONTH(B268)</f>
        <v>9</v>
      </c>
      <c r="F268" s="10" t="str">
        <f aca="false">CHOOSE(MOD(A268-1,5)+1,"Центр","Юг","Север","Запад","Восток")</f>
        <v>Юг</v>
      </c>
      <c r="G268" s="10" t="str">
        <f aca="false">"Округ_"&amp;(MOD(A268-1,5)+1)&amp;"_"&amp;(MOD(INT((A268-1)/5),5)+1)</f>
        <v>Округ_2_4</v>
      </c>
      <c r="H268" s="10" t="str">
        <f aca="false">"Город_"&amp;(MOD(A268-1,5)+1)&amp;"_"&amp;(MOD(INT((A268-1)/5),5)+1)&amp;"_"&amp;(MOD(INT((A268-1)/25),10)+1)</f>
        <v>Город_2_4_1</v>
      </c>
      <c r="I268" s="10" t="str">
        <f aca="false">CHOOSE(MOD(A268-1,4)+1,"Электроника","Одежда","Продукты","Мебель")</f>
        <v>Продукты</v>
      </c>
      <c r="J268" s="10" t="str">
        <f aca="false">CHOOSE(MOD(INT((A268-1)/4),4)+1,CHOOSE(MOD(A268-1,4)+1,"Смартфоны","Ноутбуки","Аксессуары","Аудио"),CHOOSE(MOD(A268-1,4)+1,"Верхняя одежда","Спортивная","Повседневная","Обувь"),CHOOSE(MOD(A268-1,4)+1,"Молочные","Мясные","Бакалея","Напитки"),CHOOSE(MOD(A268-1,4)+1,"Мягкая мебель","Корпусная","Офисная","Кухонная"))</f>
        <v>Бакалея</v>
      </c>
      <c r="K268" s="12" t="n">
        <f aca="false">1000+MOD(A268*317+A268*A268*7,49001)</f>
        <v>45651</v>
      </c>
      <c r="L268" s="12" t="n">
        <f aca="false">1+MOD(A268*131,100)</f>
        <v>78</v>
      </c>
      <c r="M268" s="12" t="n">
        <f aca="false">INT(K268*(0.6+MOD(A268*43,21)/100))</f>
        <v>34238</v>
      </c>
      <c r="N268" s="12" t="n">
        <f aca="false">K268-M268</f>
        <v>11413</v>
      </c>
    </row>
    <row r="269" customFormat="false" ht="12.8" hidden="false" customHeight="false" outlineLevel="0" collapsed="false">
      <c r="A269" s="10" t="n">
        <f aca="false">A268+1</f>
        <v>268</v>
      </c>
      <c r="B269" s="11" t="n">
        <f aca="false">B268+1</f>
        <v>45194</v>
      </c>
      <c r="C269" s="10" t="n">
        <f aca="false">YEAR(B269)</f>
        <v>2023</v>
      </c>
      <c r="D269" s="10" t="n">
        <f aca="false">INT((MONTH(B269)-1)/3)+1</f>
        <v>3</v>
      </c>
      <c r="E269" s="10" t="n">
        <f aca="false">MONTH(B269)</f>
        <v>9</v>
      </c>
      <c r="F269" s="10" t="str">
        <f aca="false">CHOOSE(MOD(A269-1,5)+1,"Центр","Юг","Север","Запад","Восток")</f>
        <v>Север</v>
      </c>
      <c r="G269" s="10" t="str">
        <f aca="false">"Округ_"&amp;(MOD(A269-1,5)+1)&amp;"_"&amp;(MOD(INT((A269-1)/5),5)+1)</f>
        <v>Округ_3_4</v>
      </c>
      <c r="H269" s="10" t="str">
        <f aca="false">"Город_"&amp;(MOD(A269-1,5)+1)&amp;"_"&amp;(MOD(INT((A269-1)/5),5)+1)&amp;"_"&amp;(MOD(INT((A269-1)/25),10)+1)</f>
        <v>Город_3_4_1</v>
      </c>
      <c r="I269" s="10" t="str">
        <f aca="false">CHOOSE(MOD(A269-1,4)+1,"Электроника","Одежда","Продукты","Мебель")</f>
        <v>Мебель</v>
      </c>
      <c r="J269" s="10" t="str">
        <f aca="false">CHOOSE(MOD(INT((A269-1)/4),4)+1,CHOOSE(MOD(A269-1,4)+1,"Смартфоны","Ноутбуки","Аксессуары","Аудио"),CHOOSE(MOD(A269-1,4)+1,"Верхняя одежда","Спортивная","Повседневная","Обувь"),CHOOSE(MOD(A269-1,4)+1,"Молочные","Мясные","Бакалея","Напитки"),CHOOSE(MOD(A269-1,4)+1,"Мягкая мебель","Корпусная","Офисная","Кухонная"))</f>
        <v>Напитки</v>
      </c>
      <c r="K269" s="12" t="n">
        <f aca="false">1000+MOD(A269*317+A269*A269*7,49001)</f>
        <v>49713</v>
      </c>
      <c r="L269" s="12" t="n">
        <f aca="false">1+MOD(A269*131,100)</f>
        <v>9</v>
      </c>
      <c r="M269" s="12" t="n">
        <f aca="false">INT(K269*(0.6+MOD(A269*43,21)/100))</f>
        <v>37781</v>
      </c>
      <c r="N269" s="12" t="n">
        <f aca="false">K269-M269</f>
        <v>11932</v>
      </c>
    </row>
    <row r="270" customFormat="false" ht="12.8" hidden="false" customHeight="false" outlineLevel="0" collapsed="false">
      <c r="A270" s="10" t="n">
        <f aca="false">A269+1</f>
        <v>269</v>
      </c>
      <c r="B270" s="11" t="n">
        <f aca="false">B269+1</f>
        <v>45195</v>
      </c>
      <c r="C270" s="10" t="n">
        <f aca="false">YEAR(B270)</f>
        <v>2023</v>
      </c>
      <c r="D270" s="10" t="n">
        <f aca="false">INT((MONTH(B270)-1)/3)+1</f>
        <v>3</v>
      </c>
      <c r="E270" s="10" t="n">
        <f aca="false">MONTH(B270)</f>
        <v>9</v>
      </c>
      <c r="F270" s="10" t="str">
        <f aca="false">CHOOSE(MOD(A270-1,5)+1,"Центр","Юг","Север","Запад","Восток")</f>
        <v>Запад</v>
      </c>
      <c r="G270" s="10" t="str">
        <f aca="false">"Округ_"&amp;(MOD(A270-1,5)+1)&amp;"_"&amp;(MOD(INT((A270-1)/5),5)+1)</f>
        <v>Округ_4_4</v>
      </c>
      <c r="H270" s="10" t="str">
        <f aca="false">"Город_"&amp;(MOD(A270-1,5)+1)&amp;"_"&amp;(MOD(INT((A270-1)/5),5)+1)&amp;"_"&amp;(MOD(INT((A270-1)/25),10)+1)</f>
        <v>Город_4_4_1</v>
      </c>
      <c r="I270" s="10" t="str">
        <f aca="false">CHOOSE(MOD(A270-1,4)+1,"Электроника","Одежда","Продукты","Мебель")</f>
        <v>Электроника</v>
      </c>
      <c r="J270" s="10" t="str">
        <f aca="false">CHOOSE(MOD(INT((A270-1)/4),4)+1,CHOOSE(MOD(A270-1,4)+1,"Смартфоны","Ноутбуки","Аксессуары","Аудио"),CHOOSE(MOD(A270-1,4)+1,"Верхняя одежда","Спортивная","Повседневная","Обувь"),CHOOSE(MOD(A270-1,4)+1,"Молочные","Мясные","Бакалея","Напитки"),CHOOSE(MOD(A270-1,4)+1,"Мягкая мебель","Корпусная","Офисная","Кухонная"))</f>
        <v>Мягкая мебель</v>
      </c>
      <c r="K270" s="12" t="n">
        <f aca="false">1000+MOD(A270*317+A270*A270*7,49001)</f>
        <v>4788</v>
      </c>
      <c r="L270" s="12" t="n">
        <f aca="false">1+MOD(A270*131,100)</f>
        <v>40</v>
      </c>
      <c r="M270" s="12" t="n">
        <f aca="false">INT(K270*(0.6+MOD(A270*43,21)/100))</f>
        <v>3686</v>
      </c>
      <c r="N270" s="12" t="n">
        <f aca="false">K270-M270</f>
        <v>1102</v>
      </c>
    </row>
    <row r="271" customFormat="false" ht="12.8" hidden="false" customHeight="false" outlineLevel="0" collapsed="false">
      <c r="A271" s="10" t="n">
        <f aca="false">A270+1</f>
        <v>270</v>
      </c>
      <c r="B271" s="11" t="n">
        <f aca="false">B270+1</f>
        <v>45196</v>
      </c>
      <c r="C271" s="10" t="n">
        <f aca="false">YEAR(B271)</f>
        <v>2023</v>
      </c>
      <c r="D271" s="10" t="n">
        <f aca="false">INT((MONTH(B271)-1)/3)+1</f>
        <v>3</v>
      </c>
      <c r="E271" s="10" t="n">
        <f aca="false">MONTH(B271)</f>
        <v>9</v>
      </c>
      <c r="F271" s="10" t="str">
        <f aca="false">CHOOSE(MOD(A271-1,5)+1,"Центр","Юг","Север","Запад","Восток")</f>
        <v>Восток</v>
      </c>
      <c r="G271" s="10" t="str">
        <f aca="false">"Округ_"&amp;(MOD(A271-1,5)+1)&amp;"_"&amp;(MOD(INT((A271-1)/5),5)+1)</f>
        <v>Округ_5_4</v>
      </c>
      <c r="H271" s="10" t="str">
        <f aca="false">"Город_"&amp;(MOD(A271-1,5)+1)&amp;"_"&amp;(MOD(INT((A271-1)/5),5)+1)&amp;"_"&amp;(MOD(INT((A271-1)/25),10)+1)</f>
        <v>Город_5_4_1</v>
      </c>
      <c r="I271" s="10" t="str">
        <f aca="false">CHOOSE(MOD(A271-1,4)+1,"Электроника","Одежда","Продукты","Мебель")</f>
        <v>Одежда</v>
      </c>
      <c r="J271" s="10" t="str">
        <f aca="false">CHOOSE(MOD(INT((A271-1)/4),4)+1,CHOOSE(MOD(A271-1,4)+1,"Смартфоны","Ноутбуки","Аксессуары","Аудио"),CHOOSE(MOD(A271-1,4)+1,"Верхняя одежда","Спортивная","Повседневная","Обувь"),CHOOSE(MOD(A271-1,4)+1,"Молочные","Мясные","Бакалея","Напитки"),CHOOSE(MOD(A271-1,4)+1,"Мягкая мебель","Корпусная","Офисная","Кухонная"))</f>
        <v>Корпусная</v>
      </c>
      <c r="K271" s="12" t="n">
        <f aca="false">1000+MOD(A271*317+A271*A271*7,49001)</f>
        <v>8878</v>
      </c>
      <c r="L271" s="12" t="n">
        <f aca="false">1+MOD(A271*131,100)</f>
        <v>71</v>
      </c>
      <c r="M271" s="12" t="n">
        <f aca="false">INT(K271*(0.6+MOD(A271*43,21)/100))</f>
        <v>6924</v>
      </c>
      <c r="N271" s="12" t="n">
        <f aca="false">K271-M271</f>
        <v>1954</v>
      </c>
    </row>
    <row r="272" customFormat="false" ht="12.8" hidden="false" customHeight="false" outlineLevel="0" collapsed="false">
      <c r="A272" s="10" t="n">
        <f aca="false">A271+1</f>
        <v>271</v>
      </c>
      <c r="B272" s="11" t="n">
        <f aca="false">B271+1</f>
        <v>45197</v>
      </c>
      <c r="C272" s="10" t="n">
        <f aca="false">YEAR(B272)</f>
        <v>2023</v>
      </c>
      <c r="D272" s="10" t="n">
        <f aca="false">INT((MONTH(B272)-1)/3)+1</f>
        <v>3</v>
      </c>
      <c r="E272" s="10" t="n">
        <f aca="false">MONTH(B272)</f>
        <v>9</v>
      </c>
      <c r="F272" s="10" t="str">
        <f aca="false">CHOOSE(MOD(A272-1,5)+1,"Центр","Юг","Север","Запад","Восток")</f>
        <v>Центр</v>
      </c>
      <c r="G272" s="10" t="str">
        <f aca="false">"Округ_"&amp;(MOD(A272-1,5)+1)&amp;"_"&amp;(MOD(INT((A272-1)/5),5)+1)</f>
        <v>Округ_1_5</v>
      </c>
      <c r="H272" s="10" t="str">
        <f aca="false">"Город_"&amp;(MOD(A272-1,5)+1)&amp;"_"&amp;(MOD(INT((A272-1)/5),5)+1)&amp;"_"&amp;(MOD(INT((A272-1)/25),10)+1)</f>
        <v>Город_1_5_1</v>
      </c>
      <c r="I272" s="10" t="str">
        <f aca="false">CHOOSE(MOD(A272-1,4)+1,"Электроника","Одежда","Продукты","Мебель")</f>
        <v>Продукты</v>
      </c>
      <c r="J272" s="10" t="str">
        <f aca="false">CHOOSE(MOD(INT((A272-1)/4),4)+1,CHOOSE(MOD(A272-1,4)+1,"Смартфоны","Ноутбуки","Аксессуары","Аудио"),CHOOSE(MOD(A272-1,4)+1,"Верхняя одежда","Спортивная","Повседневная","Обувь"),CHOOSE(MOD(A272-1,4)+1,"Молочные","Мясные","Бакалея","Напитки"),CHOOSE(MOD(A272-1,4)+1,"Мягкая мебель","Корпусная","Офисная","Кухонная"))</f>
        <v>Офисная</v>
      </c>
      <c r="K272" s="12" t="n">
        <f aca="false">1000+MOD(A272*317+A272*A272*7,49001)</f>
        <v>12982</v>
      </c>
      <c r="L272" s="12" t="n">
        <f aca="false">1+MOD(A272*131,100)</f>
        <v>2</v>
      </c>
      <c r="M272" s="12" t="n">
        <f aca="false">INT(K272*(0.6+MOD(A272*43,21)/100))</f>
        <v>10255</v>
      </c>
      <c r="N272" s="12" t="n">
        <f aca="false">K272-M272</f>
        <v>2727</v>
      </c>
    </row>
    <row r="273" customFormat="false" ht="12.8" hidden="false" customHeight="false" outlineLevel="0" collapsed="false">
      <c r="A273" s="10" t="n">
        <f aca="false">A272+1</f>
        <v>272</v>
      </c>
      <c r="B273" s="11" t="n">
        <f aca="false">B272+1</f>
        <v>45198</v>
      </c>
      <c r="C273" s="10" t="n">
        <f aca="false">YEAR(B273)</f>
        <v>2023</v>
      </c>
      <c r="D273" s="10" t="n">
        <f aca="false">INT((MONTH(B273)-1)/3)+1</f>
        <v>3</v>
      </c>
      <c r="E273" s="10" t="n">
        <f aca="false">MONTH(B273)</f>
        <v>9</v>
      </c>
      <c r="F273" s="10" t="str">
        <f aca="false">CHOOSE(MOD(A273-1,5)+1,"Центр","Юг","Север","Запад","Восток")</f>
        <v>Юг</v>
      </c>
      <c r="G273" s="10" t="str">
        <f aca="false">"Округ_"&amp;(MOD(A273-1,5)+1)&amp;"_"&amp;(MOD(INT((A273-1)/5),5)+1)</f>
        <v>Округ_2_5</v>
      </c>
      <c r="H273" s="10" t="str">
        <f aca="false">"Город_"&amp;(MOD(A273-1,5)+1)&amp;"_"&amp;(MOD(INT((A273-1)/5),5)+1)&amp;"_"&amp;(MOD(INT((A273-1)/25),10)+1)</f>
        <v>Город_2_5_1</v>
      </c>
      <c r="I273" s="10" t="str">
        <f aca="false">CHOOSE(MOD(A273-1,4)+1,"Электроника","Одежда","Продукты","Мебель")</f>
        <v>Мебель</v>
      </c>
      <c r="J273" s="10" t="str">
        <f aca="false">CHOOSE(MOD(INT((A273-1)/4),4)+1,CHOOSE(MOD(A273-1,4)+1,"Смартфоны","Ноутбуки","Аксессуары","Аудио"),CHOOSE(MOD(A273-1,4)+1,"Верхняя одежда","Спортивная","Повседневная","Обувь"),CHOOSE(MOD(A273-1,4)+1,"Молочные","Мясные","Бакалея","Напитки"),CHOOSE(MOD(A273-1,4)+1,"Мягкая мебель","Корпусная","Офисная","Кухонная"))</f>
        <v>Кухонная</v>
      </c>
      <c r="K273" s="12" t="n">
        <f aca="false">1000+MOD(A273*317+A273*A273*7,49001)</f>
        <v>17100</v>
      </c>
      <c r="L273" s="12" t="n">
        <f aca="false">1+MOD(A273*131,100)</f>
        <v>33</v>
      </c>
      <c r="M273" s="12" t="n">
        <f aca="false">INT(K273*(0.6+MOD(A273*43,21)/100))</f>
        <v>13680</v>
      </c>
      <c r="N273" s="12" t="n">
        <f aca="false">K273-M273</f>
        <v>3420</v>
      </c>
    </row>
    <row r="274" customFormat="false" ht="12.8" hidden="false" customHeight="false" outlineLevel="0" collapsed="false">
      <c r="A274" s="10" t="n">
        <f aca="false">A273+1</f>
        <v>273</v>
      </c>
      <c r="B274" s="11" t="n">
        <f aca="false">B273+1</f>
        <v>45199</v>
      </c>
      <c r="C274" s="10" t="n">
        <f aca="false">YEAR(B274)</f>
        <v>2023</v>
      </c>
      <c r="D274" s="10" t="n">
        <f aca="false">INT((MONTH(B274)-1)/3)+1</f>
        <v>3</v>
      </c>
      <c r="E274" s="10" t="n">
        <f aca="false">MONTH(B274)</f>
        <v>9</v>
      </c>
      <c r="F274" s="10" t="str">
        <f aca="false">CHOOSE(MOD(A274-1,5)+1,"Центр","Юг","Север","Запад","Восток")</f>
        <v>Север</v>
      </c>
      <c r="G274" s="10" t="str">
        <f aca="false">"Округ_"&amp;(MOD(A274-1,5)+1)&amp;"_"&amp;(MOD(INT((A274-1)/5),5)+1)</f>
        <v>Округ_3_5</v>
      </c>
      <c r="H274" s="10" t="str">
        <f aca="false">"Город_"&amp;(MOD(A274-1,5)+1)&amp;"_"&amp;(MOD(INT((A274-1)/5),5)+1)&amp;"_"&amp;(MOD(INT((A274-1)/25),10)+1)</f>
        <v>Город_3_5_1</v>
      </c>
      <c r="I274" s="10" t="str">
        <f aca="false">CHOOSE(MOD(A274-1,4)+1,"Электроника","Одежда","Продукты","Мебель")</f>
        <v>Электроника</v>
      </c>
      <c r="J274" s="10" t="str">
        <f aca="false">CHOOSE(MOD(INT((A274-1)/4),4)+1,CHOOSE(MOD(A274-1,4)+1,"Смартфоны","Ноутбуки","Аксессуары","Аудио"),CHOOSE(MOD(A274-1,4)+1,"Верхняя одежда","Спортивная","Повседневная","Обувь"),CHOOSE(MOD(A274-1,4)+1,"Молочные","Мясные","Бакалея","Напитки"),CHOOSE(MOD(A274-1,4)+1,"Мягкая мебель","Корпусная","Офисная","Кухонная"))</f>
        <v>Смартфоны</v>
      </c>
      <c r="K274" s="12" t="n">
        <f aca="false">1000+MOD(A274*317+A274*A274*7,49001)</f>
        <v>21232</v>
      </c>
      <c r="L274" s="12" t="n">
        <f aca="false">1+MOD(A274*131,100)</f>
        <v>64</v>
      </c>
      <c r="M274" s="12" t="n">
        <f aca="false">INT(K274*(0.6+MOD(A274*43,21)/100))</f>
        <v>12739</v>
      </c>
      <c r="N274" s="12" t="n">
        <f aca="false">K274-M274</f>
        <v>8493</v>
      </c>
    </row>
    <row r="275" customFormat="false" ht="12.8" hidden="false" customHeight="false" outlineLevel="0" collapsed="false">
      <c r="A275" s="10" t="n">
        <f aca="false">A274+1</f>
        <v>274</v>
      </c>
      <c r="B275" s="11" t="n">
        <f aca="false">B274+1</f>
        <v>45200</v>
      </c>
      <c r="C275" s="10" t="n">
        <f aca="false">YEAR(B275)</f>
        <v>2023</v>
      </c>
      <c r="D275" s="10" t="n">
        <f aca="false">INT((MONTH(B275)-1)/3)+1</f>
        <v>4</v>
      </c>
      <c r="E275" s="10" t="n">
        <f aca="false">MONTH(B275)</f>
        <v>10</v>
      </c>
      <c r="F275" s="10" t="str">
        <f aca="false">CHOOSE(MOD(A275-1,5)+1,"Центр","Юг","Север","Запад","Восток")</f>
        <v>Запад</v>
      </c>
      <c r="G275" s="10" t="str">
        <f aca="false">"Округ_"&amp;(MOD(A275-1,5)+1)&amp;"_"&amp;(MOD(INT((A275-1)/5),5)+1)</f>
        <v>Округ_4_5</v>
      </c>
      <c r="H275" s="10" t="str">
        <f aca="false">"Город_"&amp;(MOD(A275-1,5)+1)&amp;"_"&amp;(MOD(INT((A275-1)/5),5)+1)&amp;"_"&amp;(MOD(INT((A275-1)/25),10)+1)</f>
        <v>Город_4_5_1</v>
      </c>
      <c r="I275" s="10" t="str">
        <f aca="false">CHOOSE(MOD(A275-1,4)+1,"Электроника","Одежда","Продукты","Мебель")</f>
        <v>Одежда</v>
      </c>
      <c r="J275" s="10" t="str">
        <f aca="false">CHOOSE(MOD(INT((A275-1)/4),4)+1,CHOOSE(MOD(A275-1,4)+1,"Смартфоны","Ноутбуки","Аксессуары","Аудио"),CHOOSE(MOD(A275-1,4)+1,"Верхняя одежда","Спортивная","Повседневная","Обувь"),CHOOSE(MOD(A275-1,4)+1,"Молочные","Мясные","Бакалея","Напитки"),CHOOSE(MOD(A275-1,4)+1,"Мягкая мебель","Корпусная","Офисная","Кухонная"))</f>
        <v>Ноутбуки</v>
      </c>
      <c r="K275" s="12" t="n">
        <f aca="false">1000+MOD(A275*317+A275*A275*7,49001)</f>
        <v>25378</v>
      </c>
      <c r="L275" s="12" t="n">
        <f aca="false">1+MOD(A275*131,100)</f>
        <v>95</v>
      </c>
      <c r="M275" s="12" t="n">
        <f aca="false">INT(K275*(0.6+MOD(A275*43,21)/100))</f>
        <v>15480</v>
      </c>
      <c r="N275" s="12" t="n">
        <f aca="false">K275-M275</f>
        <v>9898</v>
      </c>
    </row>
    <row r="276" customFormat="false" ht="12.8" hidden="false" customHeight="false" outlineLevel="0" collapsed="false">
      <c r="A276" s="10" t="n">
        <f aca="false">A275+1</f>
        <v>275</v>
      </c>
      <c r="B276" s="11" t="n">
        <f aca="false">B275+1</f>
        <v>45201</v>
      </c>
      <c r="C276" s="10" t="n">
        <f aca="false">YEAR(B276)</f>
        <v>2023</v>
      </c>
      <c r="D276" s="10" t="n">
        <f aca="false">INT((MONTH(B276)-1)/3)+1</f>
        <v>4</v>
      </c>
      <c r="E276" s="10" t="n">
        <f aca="false">MONTH(B276)</f>
        <v>10</v>
      </c>
      <c r="F276" s="10" t="str">
        <f aca="false">CHOOSE(MOD(A276-1,5)+1,"Центр","Юг","Север","Запад","Восток")</f>
        <v>Восток</v>
      </c>
      <c r="G276" s="10" t="str">
        <f aca="false">"Округ_"&amp;(MOD(A276-1,5)+1)&amp;"_"&amp;(MOD(INT((A276-1)/5),5)+1)</f>
        <v>Округ_5_5</v>
      </c>
      <c r="H276" s="10" t="str">
        <f aca="false">"Город_"&amp;(MOD(A276-1,5)+1)&amp;"_"&amp;(MOD(INT((A276-1)/5),5)+1)&amp;"_"&amp;(MOD(INT((A276-1)/25),10)+1)</f>
        <v>Город_5_5_1</v>
      </c>
      <c r="I276" s="10" t="str">
        <f aca="false">CHOOSE(MOD(A276-1,4)+1,"Электроника","Одежда","Продукты","Мебель")</f>
        <v>Продукты</v>
      </c>
      <c r="J276" s="10" t="str">
        <f aca="false">CHOOSE(MOD(INT((A276-1)/4),4)+1,CHOOSE(MOD(A276-1,4)+1,"Смартфоны","Ноутбуки","Аксессуары","Аудио"),CHOOSE(MOD(A276-1,4)+1,"Верхняя одежда","Спортивная","Повседневная","Обувь"),CHOOSE(MOD(A276-1,4)+1,"Молочные","Мясные","Бакалея","Напитки"),CHOOSE(MOD(A276-1,4)+1,"Мягкая мебель","Корпусная","Офисная","Кухонная"))</f>
        <v>Аксессуары</v>
      </c>
      <c r="K276" s="12" t="n">
        <f aca="false">1000+MOD(A276*317+A276*A276*7,49001)</f>
        <v>29538</v>
      </c>
      <c r="L276" s="12" t="n">
        <f aca="false">1+MOD(A276*131,100)</f>
        <v>26</v>
      </c>
      <c r="M276" s="12" t="n">
        <f aca="false">INT(K276*(0.6+MOD(A276*43,21)/100))</f>
        <v>18313</v>
      </c>
      <c r="N276" s="12" t="n">
        <f aca="false">K276-M276</f>
        <v>11225</v>
      </c>
    </row>
    <row r="277" customFormat="false" ht="12.8" hidden="false" customHeight="false" outlineLevel="0" collapsed="false">
      <c r="A277" s="10" t="n">
        <f aca="false">A276+1</f>
        <v>276</v>
      </c>
      <c r="B277" s="11" t="n">
        <f aca="false">B276+1</f>
        <v>45202</v>
      </c>
      <c r="C277" s="10" t="n">
        <f aca="false">YEAR(B277)</f>
        <v>2023</v>
      </c>
      <c r="D277" s="10" t="n">
        <f aca="false">INT((MONTH(B277)-1)/3)+1</f>
        <v>4</v>
      </c>
      <c r="E277" s="10" t="n">
        <f aca="false">MONTH(B277)</f>
        <v>10</v>
      </c>
      <c r="F277" s="10" t="str">
        <f aca="false">CHOOSE(MOD(A277-1,5)+1,"Центр","Юг","Север","Запад","Восток")</f>
        <v>Центр</v>
      </c>
      <c r="G277" s="10" t="str">
        <f aca="false">"Округ_"&amp;(MOD(A277-1,5)+1)&amp;"_"&amp;(MOD(INT((A277-1)/5),5)+1)</f>
        <v>Округ_1_1</v>
      </c>
      <c r="H277" s="10" t="str">
        <f aca="false">"Город_"&amp;(MOD(A277-1,5)+1)&amp;"_"&amp;(MOD(INT((A277-1)/5),5)+1)&amp;"_"&amp;(MOD(INT((A277-1)/25),10)+1)</f>
        <v>Город_1_1_2</v>
      </c>
      <c r="I277" s="10" t="str">
        <f aca="false">CHOOSE(MOD(A277-1,4)+1,"Электроника","Одежда","Продукты","Мебель")</f>
        <v>Мебель</v>
      </c>
      <c r="J277" s="10" t="str">
        <f aca="false">CHOOSE(MOD(INT((A277-1)/4),4)+1,CHOOSE(MOD(A277-1,4)+1,"Смартфоны","Ноутбуки","Аксессуары","Аудио"),CHOOSE(MOD(A277-1,4)+1,"Верхняя одежда","Спортивная","Повседневная","Обувь"),CHOOSE(MOD(A277-1,4)+1,"Молочные","Мясные","Бакалея","Напитки"),CHOOSE(MOD(A277-1,4)+1,"Мягкая мебель","Корпусная","Офисная","Кухонная"))</f>
        <v>Аудио</v>
      </c>
      <c r="K277" s="12" t="n">
        <f aca="false">1000+MOD(A277*317+A277*A277*7,49001)</f>
        <v>33712</v>
      </c>
      <c r="L277" s="12" t="n">
        <f aca="false">1+MOD(A277*131,100)</f>
        <v>57</v>
      </c>
      <c r="M277" s="12" t="n">
        <f aca="false">INT(K277*(0.6+MOD(A277*43,21)/100))</f>
        <v>21238</v>
      </c>
      <c r="N277" s="12" t="n">
        <f aca="false">K277-M277</f>
        <v>12474</v>
      </c>
    </row>
    <row r="278" customFormat="false" ht="12.8" hidden="false" customHeight="false" outlineLevel="0" collapsed="false">
      <c r="A278" s="10" t="n">
        <f aca="false">A277+1</f>
        <v>277</v>
      </c>
      <c r="B278" s="11" t="n">
        <f aca="false">B277+1</f>
        <v>45203</v>
      </c>
      <c r="C278" s="10" t="n">
        <f aca="false">YEAR(B278)</f>
        <v>2023</v>
      </c>
      <c r="D278" s="10" t="n">
        <f aca="false">INT((MONTH(B278)-1)/3)+1</f>
        <v>4</v>
      </c>
      <c r="E278" s="10" t="n">
        <f aca="false">MONTH(B278)</f>
        <v>10</v>
      </c>
      <c r="F278" s="10" t="str">
        <f aca="false">CHOOSE(MOD(A278-1,5)+1,"Центр","Юг","Север","Запад","Восток")</f>
        <v>Юг</v>
      </c>
      <c r="G278" s="10" t="str">
        <f aca="false">"Округ_"&amp;(MOD(A278-1,5)+1)&amp;"_"&amp;(MOD(INT((A278-1)/5),5)+1)</f>
        <v>Округ_2_1</v>
      </c>
      <c r="H278" s="10" t="str">
        <f aca="false">"Город_"&amp;(MOD(A278-1,5)+1)&amp;"_"&amp;(MOD(INT((A278-1)/5),5)+1)&amp;"_"&amp;(MOD(INT((A278-1)/25),10)+1)</f>
        <v>Город_2_1_2</v>
      </c>
      <c r="I278" s="10" t="str">
        <f aca="false">CHOOSE(MOD(A278-1,4)+1,"Электроника","Одежда","Продукты","Мебель")</f>
        <v>Электроника</v>
      </c>
      <c r="J278" s="10" t="str">
        <f aca="false">CHOOSE(MOD(INT((A278-1)/4),4)+1,CHOOSE(MOD(A278-1,4)+1,"Смартфоны","Ноутбуки","Аксессуары","Аудио"),CHOOSE(MOD(A278-1,4)+1,"Верхняя одежда","Спортивная","Повседневная","Обувь"),CHOOSE(MOD(A278-1,4)+1,"Молочные","Мясные","Бакалея","Напитки"),CHOOSE(MOD(A278-1,4)+1,"Мягкая мебель","Корпусная","Офисная","Кухонная"))</f>
        <v>Верхняя одежда</v>
      </c>
      <c r="K278" s="12" t="n">
        <f aca="false">1000+MOD(A278*317+A278*A278*7,49001)</f>
        <v>37900</v>
      </c>
      <c r="L278" s="12" t="n">
        <f aca="false">1+MOD(A278*131,100)</f>
        <v>88</v>
      </c>
      <c r="M278" s="12" t="n">
        <f aca="false">INT(K278*(0.6+MOD(A278*43,21)/100))</f>
        <v>24256</v>
      </c>
      <c r="N278" s="12" t="n">
        <f aca="false">K278-M278</f>
        <v>13644</v>
      </c>
    </row>
    <row r="279" customFormat="false" ht="12.8" hidden="false" customHeight="false" outlineLevel="0" collapsed="false">
      <c r="A279" s="10" t="n">
        <f aca="false">A278+1</f>
        <v>278</v>
      </c>
      <c r="B279" s="11" t="n">
        <f aca="false">B278+1</f>
        <v>45204</v>
      </c>
      <c r="C279" s="10" t="n">
        <f aca="false">YEAR(B279)</f>
        <v>2023</v>
      </c>
      <c r="D279" s="10" t="n">
        <f aca="false">INT((MONTH(B279)-1)/3)+1</f>
        <v>4</v>
      </c>
      <c r="E279" s="10" t="n">
        <f aca="false">MONTH(B279)</f>
        <v>10</v>
      </c>
      <c r="F279" s="10" t="str">
        <f aca="false">CHOOSE(MOD(A279-1,5)+1,"Центр","Юг","Север","Запад","Восток")</f>
        <v>Север</v>
      </c>
      <c r="G279" s="10" t="str">
        <f aca="false">"Округ_"&amp;(MOD(A279-1,5)+1)&amp;"_"&amp;(MOD(INT((A279-1)/5),5)+1)</f>
        <v>Округ_3_1</v>
      </c>
      <c r="H279" s="10" t="str">
        <f aca="false">"Город_"&amp;(MOD(A279-1,5)+1)&amp;"_"&amp;(MOD(INT((A279-1)/5),5)+1)&amp;"_"&amp;(MOD(INT((A279-1)/25),10)+1)</f>
        <v>Город_3_1_2</v>
      </c>
      <c r="I279" s="10" t="str">
        <f aca="false">CHOOSE(MOD(A279-1,4)+1,"Электроника","Одежда","Продукты","Мебель")</f>
        <v>Одежда</v>
      </c>
      <c r="J279" s="10" t="str">
        <f aca="false">CHOOSE(MOD(INT((A279-1)/4),4)+1,CHOOSE(MOD(A279-1,4)+1,"Смартфоны","Ноутбуки","Аксессуары","Аудио"),CHOOSE(MOD(A279-1,4)+1,"Верхняя одежда","Спортивная","Повседневная","Обувь"),CHOOSE(MOD(A279-1,4)+1,"Молочные","Мясные","Бакалея","Напитки"),CHOOSE(MOD(A279-1,4)+1,"Мягкая мебель","Корпусная","Офисная","Кухонная"))</f>
        <v>Спортивная</v>
      </c>
      <c r="K279" s="12" t="n">
        <f aca="false">1000+MOD(A279*317+A279*A279*7,49001)</f>
        <v>42102</v>
      </c>
      <c r="L279" s="12" t="n">
        <f aca="false">1+MOD(A279*131,100)</f>
        <v>19</v>
      </c>
      <c r="M279" s="12" t="n">
        <f aca="false">INT(K279*(0.6+MOD(A279*43,21)/100))</f>
        <v>27366</v>
      </c>
      <c r="N279" s="12" t="n">
        <f aca="false">K279-M279</f>
        <v>14736</v>
      </c>
    </row>
    <row r="280" customFormat="false" ht="12.8" hidden="false" customHeight="false" outlineLevel="0" collapsed="false">
      <c r="A280" s="10" t="n">
        <f aca="false">A279+1</f>
        <v>279</v>
      </c>
      <c r="B280" s="11" t="n">
        <f aca="false">B279+1</f>
        <v>45205</v>
      </c>
      <c r="C280" s="10" t="n">
        <f aca="false">YEAR(B280)</f>
        <v>2023</v>
      </c>
      <c r="D280" s="10" t="n">
        <f aca="false">INT((MONTH(B280)-1)/3)+1</f>
        <v>4</v>
      </c>
      <c r="E280" s="10" t="n">
        <f aca="false">MONTH(B280)</f>
        <v>10</v>
      </c>
      <c r="F280" s="10" t="str">
        <f aca="false">CHOOSE(MOD(A280-1,5)+1,"Центр","Юг","Север","Запад","Восток")</f>
        <v>Запад</v>
      </c>
      <c r="G280" s="10" t="str">
        <f aca="false">"Округ_"&amp;(MOD(A280-1,5)+1)&amp;"_"&amp;(MOD(INT((A280-1)/5),5)+1)</f>
        <v>Округ_4_1</v>
      </c>
      <c r="H280" s="10" t="str">
        <f aca="false">"Город_"&amp;(MOD(A280-1,5)+1)&amp;"_"&amp;(MOD(INT((A280-1)/5),5)+1)&amp;"_"&amp;(MOD(INT((A280-1)/25),10)+1)</f>
        <v>Город_4_1_2</v>
      </c>
      <c r="I280" s="10" t="str">
        <f aca="false">CHOOSE(MOD(A280-1,4)+1,"Электроника","Одежда","Продукты","Мебель")</f>
        <v>Продукты</v>
      </c>
      <c r="J280" s="10" t="str">
        <f aca="false">CHOOSE(MOD(INT((A280-1)/4),4)+1,CHOOSE(MOD(A280-1,4)+1,"Смартфоны","Ноутбуки","Аксессуары","Аудио"),CHOOSE(MOD(A280-1,4)+1,"Верхняя одежда","Спортивная","Повседневная","Обувь"),CHOOSE(MOD(A280-1,4)+1,"Молочные","Мясные","Бакалея","Напитки"),CHOOSE(MOD(A280-1,4)+1,"Мягкая мебель","Корпусная","Офисная","Кухонная"))</f>
        <v>Повседневная</v>
      </c>
      <c r="K280" s="12" t="n">
        <f aca="false">1000+MOD(A280*317+A280*A280*7,49001)</f>
        <v>46318</v>
      </c>
      <c r="L280" s="12" t="n">
        <f aca="false">1+MOD(A280*131,100)</f>
        <v>50</v>
      </c>
      <c r="M280" s="12" t="n">
        <f aca="false">INT(K280*(0.6+MOD(A280*43,21)/100))</f>
        <v>30569</v>
      </c>
      <c r="N280" s="12" t="n">
        <f aca="false">K280-M280</f>
        <v>15749</v>
      </c>
    </row>
    <row r="281" customFormat="false" ht="12.8" hidden="false" customHeight="false" outlineLevel="0" collapsed="false">
      <c r="A281" s="10" t="n">
        <f aca="false">A280+1</f>
        <v>280</v>
      </c>
      <c r="B281" s="11" t="n">
        <f aca="false">B280+1</f>
        <v>45206</v>
      </c>
      <c r="C281" s="10" t="n">
        <f aca="false">YEAR(B281)</f>
        <v>2023</v>
      </c>
      <c r="D281" s="10" t="n">
        <f aca="false">INT((MONTH(B281)-1)/3)+1</f>
        <v>4</v>
      </c>
      <c r="E281" s="10" t="n">
        <f aca="false">MONTH(B281)</f>
        <v>10</v>
      </c>
      <c r="F281" s="10" t="str">
        <f aca="false">CHOOSE(MOD(A281-1,5)+1,"Центр","Юг","Север","Запад","Восток")</f>
        <v>Восток</v>
      </c>
      <c r="G281" s="10" t="str">
        <f aca="false">"Округ_"&amp;(MOD(A281-1,5)+1)&amp;"_"&amp;(MOD(INT((A281-1)/5),5)+1)</f>
        <v>Округ_5_1</v>
      </c>
      <c r="H281" s="10" t="str">
        <f aca="false">"Город_"&amp;(MOD(A281-1,5)+1)&amp;"_"&amp;(MOD(INT((A281-1)/5),5)+1)&amp;"_"&amp;(MOD(INT((A281-1)/25),10)+1)</f>
        <v>Город_5_1_2</v>
      </c>
      <c r="I281" s="10" t="str">
        <f aca="false">CHOOSE(MOD(A281-1,4)+1,"Электроника","Одежда","Продукты","Мебель")</f>
        <v>Мебель</v>
      </c>
      <c r="J281" s="10" t="str">
        <f aca="false">CHOOSE(MOD(INT((A281-1)/4),4)+1,CHOOSE(MOD(A281-1,4)+1,"Смартфоны","Ноутбуки","Аксессуары","Аудио"),CHOOSE(MOD(A281-1,4)+1,"Верхняя одежда","Спортивная","Повседневная","Обувь"),CHOOSE(MOD(A281-1,4)+1,"Молочные","Мясные","Бакалея","Напитки"),CHOOSE(MOD(A281-1,4)+1,"Мягкая мебель","Корпусная","Офисная","Кухонная"))</f>
        <v>Обувь</v>
      </c>
      <c r="K281" s="12" t="n">
        <f aca="false">1000+MOD(A281*317+A281*A281*7,49001)</f>
        <v>1547</v>
      </c>
      <c r="L281" s="12" t="n">
        <f aca="false">1+MOD(A281*131,100)</f>
        <v>81</v>
      </c>
      <c r="M281" s="12" t="n">
        <f aca="false">INT(K281*(0.6+MOD(A281*43,21)/100))</f>
        <v>1036</v>
      </c>
      <c r="N281" s="12" t="n">
        <f aca="false">K281-M281</f>
        <v>511</v>
      </c>
    </row>
    <row r="282" customFormat="false" ht="12.8" hidden="false" customHeight="false" outlineLevel="0" collapsed="false">
      <c r="A282" s="10" t="n">
        <f aca="false">A281+1</f>
        <v>281</v>
      </c>
      <c r="B282" s="11" t="n">
        <f aca="false">B281+1</f>
        <v>45207</v>
      </c>
      <c r="C282" s="10" t="n">
        <f aca="false">YEAR(B282)</f>
        <v>2023</v>
      </c>
      <c r="D282" s="10" t="n">
        <f aca="false">INT((MONTH(B282)-1)/3)+1</f>
        <v>4</v>
      </c>
      <c r="E282" s="10" t="n">
        <f aca="false">MONTH(B282)</f>
        <v>10</v>
      </c>
      <c r="F282" s="10" t="str">
        <f aca="false">CHOOSE(MOD(A282-1,5)+1,"Центр","Юг","Север","Запад","Восток")</f>
        <v>Центр</v>
      </c>
      <c r="G282" s="10" t="str">
        <f aca="false">"Округ_"&amp;(MOD(A282-1,5)+1)&amp;"_"&amp;(MOD(INT((A282-1)/5),5)+1)</f>
        <v>Округ_1_2</v>
      </c>
      <c r="H282" s="10" t="str">
        <f aca="false">"Город_"&amp;(MOD(A282-1,5)+1)&amp;"_"&amp;(MOD(INT((A282-1)/5),5)+1)&amp;"_"&amp;(MOD(INT((A282-1)/25),10)+1)</f>
        <v>Город_1_2_2</v>
      </c>
      <c r="I282" s="10" t="str">
        <f aca="false">CHOOSE(MOD(A282-1,4)+1,"Электроника","Одежда","Продукты","Мебель")</f>
        <v>Электроника</v>
      </c>
      <c r="J282" s="10" t="str">
        <f aca="false">CHOOSE(MOD(INT((A282-1)/4),4)+1,CHOOSE(MOD(A282-1,4)+1,"Смартфоны","Ноутбуки","Аксессуары","Аудио"),CHOOSE(MOD(A282-1,4)+1,"Верхняя одежда","Спортивная","Повседневная","Обувь"),CHOOSE(MOD(A282-1,4)+1,"Молочные","Мясные","Бакалея","Напитки"),CHOOSE(MOD(A282-1,4)+1,"Мягкая мебель","Корпусная","Офисная","Кухонная"))</f>
        <v>Молочные</v>
      </c>
      <c r="K282" s="12" t="n">
        <f aca="false">1000+MOD(A282*317+A282*A282*7,49001)</f>
        <v>5791</v>
      </c>
      <c r="L282" s="12" t="n">
        <f aca="false">1+MOD(A282*131,100)</f>
        <v>12</v>
      </c>
      <c r="M282" s="12" t="n">
        <f aca="false">INT(K282*(0.6+MOD(A282*43,21)/100))</f>
        <v>3937</v>
      </c>
      <c r="N282" s="12" t="n">
        <f aca="false">K282-M282</f>
        <v>1854</v>
      </c>
    </row>
    <row r="283" customFormat="false" ht="12.8" hidden="false" customHeight="false" outlineLevel="0" collapsed="false">
      <c r="A283" s="10" t="n">
        <f aca="false">A282+1</f>
        <v>282</v>
      </c>
      <c r="B283" s="11" t="n">
        <f aca="false">B282+1</f>
        <v>45208</v>
      </c>
      <c r="C283" s="10" t="n">
        <f aca="false">YEAR(B283)</f>
        <v>2023</v>
      </c>
      <c r="D283" s="10" t="n">
        <f aca="false">INT((MONTH(B283)-1)/3)+1</f>
        <v>4</v>
      </c>
      <c r="E283" s="10" t="n">
        <f aca="false">MONTH(B283)</f>
        <v>10</v>
      </c>
      <c r="F283" s="10" t="str">
        <f aca="false">CHOOSE(MOD(A283-1,5)+1,"Центр","Юг","Север","Запад","Восток")</f>
        <v>Юг</v>
      </c>
      <c r="G283" s="10" t="str">
        <f aca="false">"Округ_"&amp;(MOD(A283-1,5)+1)&amp;"_"&amp;(MOD(INT((A283-1)/5),5)+1)</f>
        <v>Округ_2_2</v>
      </c>
      <c r="H283" s="10" t="str">
        <f aca="false">"Город_"&amp;(MOD(A283-1,5)+1)&amp;"_"&amp;(MOD(INT((A283-1)/5),5)+1)&amp;"_"&amp;(MOD(INT((A283-1)/25),10)+1)</f>
        <v>Город_2_2_2</v>
      </c>
      <c r="I283" s="10" t="str">
        <f aca="false">CHOOSE(MOD(A283-1,4)+1,"Электроника","Одежда","Продукты","Мебель")</f>
        <v>Одежда</v>
      </c>
      <c r="J283" s="10" t="str">
        <f aca="false">CHOOSE(MOD(INT((A283-1)/4),4)+1,CHOOSE(MOD(A283-1,4)+1,"Смартфоны","Ноутбуки","Аксессуары","Аудио"),CHOOSE(MOD(A283-1,4)+1,"Верхняя одежда","Спортивная","Повседневная","Обувь"),CHOOSE(MOD(A283-1,4)+1,"Молочные","Мясные","Бакалея","Напитки"),CHOOSE(MOD(A283-1,4)+1,"Мягкая мебель","Корпусная","Офисная","Кухонная"))</f>
        <v>Мясные</v>
      </c>
      <c r="K283" s="12" t="n">
        <f aca="false">1000+MOD(A283*317+A283*A283*7,49001)</f>
        <v>10049</v>
      </c>
      <c r="L283" s="12" t="n">
        <f aca="false">1+MOD(A283*131,100)</f>
        <v>43</v>
      </c>
      <c r="M283" s="12" t="n">
        <f aca="false">INT(K283*(0.6+MOD(A283*43,21)/100))</f>
        <v>6933</v>
      </c>
      <c r="N283" s="12" t="n">
        <f aca="false">K283-M283</f>
        <v>3116</v>
      </c>
    </row>
    <row r="284" customFormat="false" ht="12.8" hidden="false" customHeight="false" outlineLevel="0" collapsed="false">
      <c r="A284" s="10" t="n">
        <f aca="false">A283+1</f>
        <v>283</v>
      </c>
      <c r="B284" s="11" t="n">
        <f aca="false">B283+1</f>
        <v>45209</v>
      </c>
      <c r="C284" s="10" t="n">
        <f aca="false">YEAR(B284)</f>
        <v>2023</v>
      </c>
      <c r="D284" s="10" t="n">
        <f aca="false">INT((MONTH(B284)-1)/3)+1</f>
        <v>4</v>
      </c>
      <c r="E284" s="10" t="n">
        <f aca="false">MONTH(B284)</f>
        <v>10</v>
      </c>
      <c r="F284" s="10" t="str">
        <f aca="false">CHOOSE(MOD(A284-1,5)+1,"Центр","Юг","Север","Запад","Восток")</f>
        <v>Север</v>
      </c>
      <c r="G284" s="10" t="str">
        <f aca="false">"Округ_"&amp;(MOD(A284-1,5)+1)&amp;"_"&amp;(MOD(INT((A284-1)/5),5)+1)</f>
        <v>Округ_3_2</v>
      </c>
      <c r="H284" s="10" t="str">
        <f aca="false">"Город_"&amp;(MOD(A284-1,5)+1)&amp;"_"&amp;(MOD(INT((A284-1)/5),5)+1)&amp;"_"&amp;(MOD(INT((A284-1)/25),10)+1)</f>
        <v>Город_3_2_2</v>
      </c>
      <c r="I284" s="10" t="str">
        <f aca="false">CHOOSE(MOD(A284-1,4)+1,"Электроника","Одежда","Продукты","Мебель")</f>
        <v>Продукты</v>
      </c>
      <c r="J284" s="10" t="str">
        <f aca="false">CHOOSE(MOD(INT((A284-1)/4),4)+1,CHOOSE(MOD(A284-1,4)+1,"Смартфоны","Ноутбуки","Аксессуары","Аудио"),CHOOSE(MOD(A284-1,4)+1,"Верхняя одежда","Спортивная","Повседневная","Обувь"),CHOOSE(MOD(A284-1,4)+1,"Молочные","Мясные","Бакалея","Напитки"),CHOOSE(MOD(A284-1,4)+1,"Мягкая мебель","Корпусная","Офисная","Кухонная"))</f>
        <v>Бакалея</v>
      </c>
      <c r="K284" s="12" t="n">
        <f aca="false">1000+MOD(A284*317+A284*A284*7,49001)</f>
        <v>14321</v>
      </c>
      <c r="L284" s="12" t="n">
        <f aca="false">1+MOD(A284*131,100)</f>
        <v>74</v>
      </c>
      <c r="M284" s="12" t="n">
        <f aca="false">INT(K284*(0.6+MOD(A284*43,21)/100))</f>
        <v>10024</v>
      </c>
      <c r="N284" s="12" t="n">
        <f aca="false">K284-M284</f>
        <v>4297</v>
      </c>
    </row>
    <row r="285" customFormat="false" ht="12.8" hidden="false" customHeight="false" outlineLevel="0" collapsed="false">
      <c r="A285" s="10" t="n">
        <f aca="false">A284+1</f>
        <v>284</v>
      </c>
      <c r="B285" s="11" t="n">
        <f aca="false">B284+1</f>
        <v>45210</v>
      </c>
      <c r="C285" s="10" t="n">
        <f aca="false">YEAR(B285)</f>
        <v>2023</v>
      </c>
      <c r="D285" s="10" t="n">
        <f aca="false">INT((MONTH(B285)-1)/3)+1</f>
        <v>4</v>
      </c>
      <c r="E285" s="10" t="n">
        <f aca="false">MONTH(B285)</f>
        <v>10</v>
      </c>
      <c r="F285" s="10" t="str">
        <f aca="false">CHOOSE(MOD(A285-1,5)+1,"Центр","Юг","Север","Запад","Восток")</f>
        <v>Запад</v>
      </c>
      <c r="G285" s="10" t="str">
        <f aca="false">"Округ_"&amp;(MOD(A285-1,5)+1)&amp;"_"&amp;(MOD(INT((A285-1)/5),5)+1)</f>
        <v>Округ_4_2</v>
      </c>
      <c r="H285" s="10" t="str">
        <f aca="false">"Город_"&amp;(MOD(A285-1,5)+1)&amp;"_"&amp;(MOD(INT((A285-1)/5),5)+1)&amp;"_"&amp;(MOD(INT((A285-1)/25),10)+1)</f>
        <v>Город_4_2_2</v>
      </c>
      <c r="I285" s="10" t="str">
        <f aca="false">CHOOSE(MOD(A285-1,4)+1,"Электроника","Одежда","Продукты","Мебель")</f>
        <v>Мебель</v>
      </c>
      <c r="J285" s="10" t="str">
        <f aca="false">CHOOSE(MOD(INT((A285-1)/4),4)+1,CHOOSE(MOD(A285-1,4)+1,"Смартфоны","Ноутбуки","Аксессуары","Аудио"),CHOOSE(MOD(A285-1,4)+1,"Верхняя одежда","Спортивная","Повседневная","Обувь"),CHOOSE(MOD(A285-1,4)+1,"Молочные","Мясные","Бакалея","Напитки"),CHOOSE(MOD(A285-1,4)+1,"Мягкая мебель","Корпусная","Офисная","Кухонная"))</f>
        <v>Напитки</v>
      </c>
      <c r="K285" s="12" t="n">
        <f aca="false">1000+MOD(A285*317+A285*A285*7,49001)</f>
        <v>18607</v>
      </c>
      <c r="L285" s="12" t="n">
        <f aca="false">1+MOD(A285*131,100)</f>
        <v>5</v>
      </c>
      <c r="M285" s="12" t="n">
        <f aca="false">INT(K285*(0.6+MOD(A285*43,21)/100))</f>
        <v>13210</v>
      </c>
      <c r="N285" s="12" t="n">
        <f aca="false">K285-M285</f>
        <v>5397</v>
      </c>
    </row>
    <row r="286" customFormat="false" ht="12.8" hidden="false" customHeight="false" outlineLevel="0" collapsed="false">
      <c r="A286" s="10" t="n">
        <f aca="false">A285+1</f>
        <v>285</v>
      </c>
      <c r="B286" s="11" t="n">
        <f aca="false">B285+1</f>
        <v>45211</v>
      </c>
      <c r="C286" s="10" t="n">
        <f aca="false">YEAR(B286)</f>
        <v>2023</v>
      </c>
      <c r="D286" s="10" t="n">
        <f aca="false">INT((MONTH(B286)-1)/3)+1</f>
        <v>4</v>
      </c>
      <c r="E286" s="10" t="n">
        <f aca="false">MONTH(B286)</f>
        <v>10</v>
      </c>
      <c r="F286" s="10" t="str">
        <f aca="false">CHOOSE(MOD(A286-1,5)+1,"Центр","Юг","Север","Запад","Восток")</f>
        <v>Восток</v>
      </c>
      <c r="G286" s="10" t="str">
        <f aca="false">"Округ_"&amp;(MOD(A286-1,5)+1)&amp;"_"&amp;(MOD(INT((A286-1)/5),5)+1)</f>
        <v>Округ_5_2</v>
      </c>
      <c r="H286" s="10" t="str">
        <f aca="false">"Город_"&amp;(MOD(A286-1,5)+1)&amp;"_"&amp;(MOD(INT((A286-1)/5),5)+1)&amp;"_"&amp;(MOD(INT((A286-1)/25),10)+1)</f>
        <v>Город_5_2_2</v>
      </c>
      <c r="I286" s="10" t="str">
        <f aca="false">CHOOSE(MOD(A286-1,4)+1,"Электроника","Одежда","Продукты","Мебель")</f>
        <v>Электроника</v>
      </c>
      <c r="J286" s="10" t="str">
        <f aca="false">CHOOSE(MOD(INT((A286-1)/4),4)+1,CHOOSE(MOD(A286-1,4)+1,"Смартфоны","Ноутбуки","Аксессуары","Аудио"),CHOOSE(MOD(A286-1,4)+1,"Верхняя одежда","Спортивная","Повседневная","Обувь"),CHOOSE(MOD(A286-1,4)+1,"Молочные","Мясные","Бакалея","Напитки"),CHOOSE(MOD(A286-1,4)+1,"Мягкая мебель","Корпусная","Офисная","Кухонная"))</f>
        <v>Мягкая мебель</v>
      </c>
      <c r="K286" s="12" t="n">
        <f aca="false">1000+MOD(A286*317+A286*A286*7,49001)</f>
        <v>22907</v>
      </c>
      <c r="L286" s="12" t="n">
        <f aca="false">1+MOD(A286*131,100)</f>
        <v>36</v>
      </c>
      <c r="M286" s="12" t="n">
        <f aca="false">INT(K286*(0.6+MOD(A286*43,21)/100))</f>
        <v>16493</v>
      </c>
      <c r="N286" s="12" t="n">
        <f aca="false">K286-M286</f>
        <v>6414</v>
      </c>
    </row>
    <row r="287" customFormat="false" ht="12.8" hidden="false" customHeight="false" outlineLevel="0" collapsed="false">
      <c r="A287" s="10" t="n">
        <f aca="false">A286+1</f>
        <v>286</v>
      </c>
      <c r="B287" s="11" t="n">
        <f aca="false">B286+1</f>
        <v>45212</v>
      </c>
      <c r="C287" s="10" t="n">
        <f aca="false">YEAR(B287)</f>
        <v>2023</v>
      </c>
      <c r="D287" s="10" t="n">
        <f aca="false">INT((MONTH(B287)-1)/3)+1</f>
        <v>4</v>
      </c>
      <c r="E287" s="10" t="n">
        <f aca="false">MONTH(B287)</f>
        <v>10</v>
      </c>
      <c r="F287" s="10" t="str">
        <f aca="false">CHOOSE(MOD(A287-1,5)+1,"Центр","Юг","Север","Запад","Восток")</f>
        <v>Центр</v>
      </c>
      <c r="G287" s="10" t="str">
        <f aca="false">"Округ_"&amp;(MOD(A287-1,5)+1)&amp;"_"&amp;(MOD(INT((A287-1)/5),5)+1)</f>
        <v>Округ_1_3</v>
      </c>
      <c r="H287" s="10" t="str">
        <f aca="false">"Город_"&amp;(MOD(A287-1,5)+1)&amp;"_"&amp;(MOD(INT((A287-1)/5),5)+1)&amp;"_"&amp;(MOD(INT((A287-1)/25),10)+1)</f>
        <v>Город_1_3_2</v>
      </c>
      <c r="I287" s="10" t="str">
        <f aca="false">CHOOSE(MOD(A287-1,4)+1,"Электроника","Одежда","Продукты","Мебель")</f>
        <v>Одежда</v>
      </c>
      <c r="J287" s="10" t="str">
        <f aca="false">CHOOSE(MOD(INT((A287-1)/4),4)+1,CHOOSE(MOD(A287-1,4)+1,"Смартфоны","Ноутбуки","Аксессуары","Аудио"),CHOOSE(MOD(A287-1,4)+1,"Верхняя одежда","Спортивная","Повседневная","Обувь"),CHOOSE(MOD(A287-1,4)+1,"Молочные","Мясные","Бакалея","Напитки"),CHOOSE(MOD(A287-1,4)+1,"Мягкая мебель","Корпусная","Офисная","Кухонная"))</f>
        <v>Корпусная</v>
      </c>
      <c r="K287" s="12" t="n">
        <f aca="false">1000+MOD(A287*317+A287*A287*7,49001)</f>
        <v>27221</v>
      </c>
      <c r="L287" s="12" t="n">
        <f aca="false">1+MOD(A287*131,100)</f>
        <v>67</v>
      </c>
      <c r="M287" s="12" t="n">
        <f aca="false">INT(K287*(0.6+MOD(A287*43,21)/100))</f>
        <v>19871</v>
      </c>
      <c r="N287" s="12" t="n">
        <f aca="false">K287-M287</f>
        <v>7350</v>
      </c>
    </row>
    <row r="288" customFormat="false" ht="12.8" hidden="false" customHeight="false" outlineLevel="0" collapsed="false">
      <c r="A288" s="10" t="n">
        <f aca="false">A287+1</f>
        <v>287</v>
      </c>
      <c r="B288" s="11" t="n">
        <f aca="false">B287+1</f>
        <v>45213</v>
      </c>
      <c r="C288" s="10" t="n">
        <f aca="false">YEAR(B288)</f>
        <v>2023</v>
      </c>
      <c r="D288" s="10" t="n">
        <f aca="false">INT((MONTH(B288)-1)/3)+1</f>
        <v>4</v>
      </c>
      <c r="E288" s="10" t="n">
        <f aca="false">MONTH(B288)</f>
        <v>10</v>
      </c>
      <c r="F288" s="10" t="str">
        <f aca="false">CHOOSE(MOD(A288-1,5)+1,"Центр","Юг","Север","Запад","Восток")</f>
        <v>Юг</v>
      </c>
      <c r="G288" s="10" t="str">
        <f aca="false">"Округ_"&amp;(MOD(A288-1,5)+1)&amp;"_"&amp;(MOD(INT((A288-1)/5),5)+1)</f>
        <v>Округ_2_3</v>
      </c>
      <c r="H288" s="10" t="str">
        <f aca="false">"Город_"&amp;(MOD(A288-1,5)+1)&amp;"_"&amp;(MOD(INT((A288-1)/5),5)+1)&amp;"_"&amp;(MOD(INT((A288-1)/25),10)+1)</f>
        <v>Город_2_3_2</v>
      </c>
      <c r="I288" s="10" t="str">
        <f aca="false">CHOOSE(MOD(A288-1,4)+1,"Электроника","Одежда","Продукты","Мебель")</f>
        <v>Продукты</v>
      </c>
      <c r="J288" s="10" t="str">
        <f aca="false">CHOOSE(MOD(INT((A288-1)/4),4)+1,CHOOSE(MOD(A288-1,4)+1,"Смартфоны","Ноутбуки","Аксессуары","Аудио"),CHOOSE(MOD(A288-1,4)+1,"Верхняя одежда","Спортивная","Повседневная","Обувь"),CHOOSE(MOD(A288-1,4)+1,"Молочные","Мясные","Бакалея","Напитки"),CHOOSE(MOD(A288-1,4)+1,"Мягкая мебель","Корпусная","Офисная","Кухонная"))</f>
        <v>Офисная</v>
      </c>
      <c r="K288" s="12" t="n">
        <f aca="false">1000+MOD(A288*317+A288*A288*7,49001)</f>
        <v>31549</v>
      </c>
      <c r="L288" s="12" t="n">
        <f aca="false">1+MOD(A288*131,100)</f>
        <v>98</v>
      </c>
      <c r="M288" s="12" t="n">
        <f aca="false">INT(K288*(0.6+MOD(A288*43,21)/100))</f>
        <v>23346</v>
      </c>
      <c r="N288" s="12" t="n">
        <f aca="false">K288-M288</f>
        <v>8203</v>
      </c>
    </row>
    <row r="289" customFormat="false" ht="12.8" hidden="false" customHeight="false" outlineLevel="0" collapsed="false">
      <c r="A289" s="10" t="n">
        <f aca="false">A288+1</f>
        <v>288</v>
      </c>
      <c r="B289" s="11" t="n">
        <f aca="false">B288+1</f>
        <v>45214</v>
      </c>
      <c r="C289" s="10" t="n">
        <f aca="false">YEAR(B289)</f>
        <v>2023</v>
      </c>
      <c r="D289" s="10" t="n">
        <f aca="false">INT((MONTH(B289)-1)/3)+1</f>
        <v>4</v>
      </c>
      <c r="E289" s="10" t="n">
        <f aca="false">MONTH(B289)</f>
        <v>10</v>
      </c>
      <c r="F289" s="10" t="str">
        <f aca="false">CHOOSE(MOD(A289-1,5)+1,"Центр","Юг","Север","Запад","Восток")</f>
        <v>Север</v>
      </c>
      <c r="G289" s="10" t="str">
        <f aca="false">"Округ_"&amp;(MOD(A289-1,5)+1)&amp;"_"&amp;(MOD(INT((A289-1)/5),5)+1)</f>
        <v>Округ_3_3</v>
      </c>
      <c r="H289" s="10" t="str">
        <f aca="false">"Город_"&amp;(MOD(A289-1,5)+1)&amp;"_"&amp;(MOD(INT((A289-1)/5),5)+1)&amp;"_"&amp;(MOD(INT((A289-1)/25),10)+1)</f>
        <v>Город_3_3_2</v>
      </c>
      <c r="I289" s="10" t="str">
        <f aca="false">CHOOSE(MOD(A289-1,4)+1,"Электроника","Одежда","Продукты","Мебель")</f>
        <v>Мебель</v>
      </c>
      <c r="J289" s="10" t="str">
        <f aca="false">CHOOSE(MOD(INT((A289-1)/4),4)+1,CHOOSE(MOD(A289-1,4)+1,"Смартфоны","Ноутбуки","Аксессуары","Аудио"),CHOOSE(MOD(A289-1,4)+1,"Верхняя одежда","Спортивная","Повседневная","Обувь"),CHOOSE(MOD(A289-1,4)+1,"Молочные","Мясные","Бакалея","Напитки"),CHOOSE(MOD(A289-1,4)+1,"Мягкая мебель","Корпусная","Офисная","Кухонная"))</f>
        <v>Кухонная</v>
      </c>
      <c r="K289" s="12" t="n">
        <f aca="false">1000+MOD(A289*317+A289*A289*7,49001)</f>
        <v>35891</v>
      </c>
      <c r="L289" s="12" t="n">
        <f aca="false">1+MOD(A289*131,100)</f>
        <v>29</v>
      </c>
      <c r="M289" s="12" t="n">
        <f aca="false">INT(K289*(0.6+MOD(A289*43,21)/100))</f>
        <v>26918</v>
      </c>
      <c r="N289" s="12" t="n">
        <f aca="false">K289-M289</f>
        <v>8973</v>
      </c>
    </row>
    <row r="290" customFormat="false" ht="12.8" hidden="false" customHeight="false" outlineLevel="0" collapsed="false">
      <c r="A290" s="10" t="n">
        <f aca="false">A289+1</f>
        <v>289</v>
      </c>
      <c r="B290" s="11" t="n">
        <f aca="false">B289+1</f>
        <v>45215</v>
      </c>
      <c r="C290" s="10" t="n">
        <f aca="false">YEAR(B290)</f>
        <v>2023</v>
      </c>
      <c r="D290" s="10" t="n">
        <f aca="false">INT((MONTH(B290)-1)/3)+1</f>
        <v>4</v>
      </c>
      <c r="E290" s="10" t="n">
        <f aca="false">MONTH(B290)</f>
        <v>10</v>
      </c>
      <c r="F290" s="10" t="str">
        <f aca="false">CHOOSE(MOD(A290-1,5)+1,"Центр","Юг","Север","Запад","Восток")</f>
        <v>Запад</v>
      </c>
      <c r="G290" s="10" t="str">
        <f aca="false">"Округ_"&amp;(MOD(A290-1,5)+1)&amp;"_"&amp;(MOD(INT((A290-1)/5),5)+1)</f>
        <v>Округ_4_3</v>
      </c>
      <c r="H290" s="10" t="str">
        <f aca="false">"Город_"&amp;(MOD(A290-1,5)+1)&amp;"_"&amp;(MOD(INT((A290-1)/5),5)+1)&amp;"_"&amp;(MOD(INT((A290-1)/25),10)+1)</f>
        <v>Город_4_3_2</v>
      </c>
      <c r="I290" s="10" t="str">
        <f aca="false">CHOOSE(MOD(A290-1,4)+1,"Электроника","Одежда","Продукты","Мебель")</f>
        <v>Электроника</v>
      </c>
      <c r="J290" s="10" t="str">
        <f aca="false">CHOOSE(MOD(INT((A290-1)/4),4)+1,CHOOSE(MOD(A290-1,4)+1,"Смартфоны","Ноутбуки","Аксессуары","Аудио"),CHOOSE(MOD(A290-1,4)+1,"Верхняя одежда","Спортивная","Повседневная","Обувь"),CHOOSE(MOD(A290-1,4)+1,"Молочные","Мясные","Бакалея","Напитки"),CHOOSE(MOD(A290-1,4)+1,"Мягкая мебель","Корпусная","Офисная","Кухонная"))</f>
        <v>Смартфоны</v>
      </c>
      <c r="K290" s="12" t="n">
        <f aca="false">1000+MOD(A290*317+A290*A290*7,49001)</f>
        <v>40247</v>
      </c>
      <c r="L290" s="12" t="n">
        <f aca="false">1+MOD(A290*131,100)</f>
        <v>60</v>
      </c>
      <c r="M290" s="12" t="n">
        <f aca="false">INT(K290*(0.6+MOD(A290*43,21)/100))</f>
        <v>30587</v>
      </c>
      <c r="N290" s="12" t="n">
        <f aca="false">K290-M290</f>
        <v>9660</v>
      </c>
    </row>
    <row r="291" customFormat="false" ht="12.8" hidden="false" customHeight="false" outlineLevel="0" collapsed="false">
      <c r="A291" s="10" t="n">
        <f aca="false">A290+1</f>
        <v>290</v>
      </c>
      <c r="B291" s="11" t="n">
        <f aca="false">B290+1</f>
        <v>45216</v>
      </c>
      <c r="C291" s="10" t="n">
        <f aca="false">YEAR(B291)</f>
        <v>2023</v>
      </c>
      <c r="D291" s="10" t="n">
        <f aca="false">INT((MONTH(B291)-1)/3)+1</f>
        <v>4</v>
      </c>
      <c r="E291" s="10" t="n">
        <f aca="false">MONTH(B291)</f>
        <v>10</v>
      </c>
      <c r="F291" s="10" t="str">
        <f aca="false">CHOOSE(MOD(A291-1,5)+1,"Центр","Юг","Север","Запад","Восток")</f>
        <v>Восток</v>
      </c>
      <c r="G291" s="10" t="str">
        <f aca="false">"Округ_"&amp;(MOD(A291-1,5)+1)&amp;"_"&amp;(MOD(INT((A291-1)/5),5)+1)</f>
        <v>Округ_5_3</v>
      </c>
      <c r="H291" s="10" t="str">
        <f aca="false">"Город_"&amp;(MOD(A291-1,5)+1)&amp;"_"&amp;(MOD(INT((A291-1)/5),5)+1)&amp;"_"&amp;(MOD(INT((A291-1)/25),10)+1)</f>
        <v>Город_5_3_2</v>
      </c>
      <c r="I291" s="10" t="str">
        <f aca="false">CHOOSE(MOD(A291-1,4)+1,"Электроника","Одежда","Продукты","Мебель")</f>
        <v>Одежда</v>
      </c>
      <c r="J291" s="10" t="str">
        <f aca="false">CHOOSE(MOD(INT((A291-1)/4),4)+1,CHOOSE(MOD(A291-1,4)+1,"Смартфоны","Ноутбуки","Аксессуары","Аудио"),CHOOSE(MOD(A291-1,4)+1,"Верхняя одежда","Спортивная","Повседневная","Обувь"),CHOOSE(MOD(A291-1,4)+1,"Молочные","Мясные","Бакалея","Напитки"),CHOOSE(MOD(A291-1,4)+1,"Мягкая мебель","Корпусная","Офисная","Кухонная"))</f>
        <v>Ноутбуки</v>
      </c>
      <c r="K291" s="12" t="n">
        <f aca="false">1000+MOD(A291*317+A291*A291*7,49001)</f>
        <v>44617</v>
      </c>
      <c r="L291" s="12" t="n">
        <f aca="false">1+MOD(A291*131,100)</f>
        <v>91</v>
      </c>
      <c r="M291" s="12" t="n">
        <f aca="false">INT(K291*(0.6+MOD(A291*43,21)/100))</f>
        <v>34355</v>
      </c>
      <c r="N291" s="12" t="n">
        <f aca="false">K291-M291</f>
        <v>10262</v>
      </c>
    </row>
    <row r="292" customFormat="false" ht="12.8" hidden="false" customHeight="false" outlineLevel="0" collapsed="false">
      <c r="A292" s="10" t="n">
        <f aca="false">A291+1</f>
        <v>291</v>
      </c>
      <c r="B292" s="11" t="n">
        <f aca="false">B291+1</f>
        <v>45217</v>
      </c>
      <c r="C292" s="10" t="n">
        <f aca="false">YEAR(B292)</f>
        <v>2023</v>
      </c>
      <c r="D292" s="10" t="n">
        <f aca="false">INT((MONTH(B292)-1)/3)+1</f>
        <v>4</v>
      </c>
      <c r="E292" s="10" t="n">
        <f aca="false">MONTH(B292)</f>
        <v>10</v>
      </c>
      <c r="F292" s="10" t="str">
        <f aca="false">CHOOSE(MOD(A292-1,5)+1,"Центр","Юг","Север","Запад","Восток")</f>
        <v>Центр</v>
      </c>
      <c r="G292" s="10" t="str">
        <f aca="false">"Округ_"&amp;(MOD(A292-1,5)+1)&amp;"_"&amp;(MOD(INT((A292-1)/5),5)+1)</f>
        <v>Округ_1_4</v>
      </c>
      <c r="H292" s="10" t="str">
        <f aca="false">"Город_"&amp;(MOD(A292-1,5)+1)&amp;"_"&amp;(MOD(INT((A292-1)/5),5)+1)&amp;"_"&amp;(MOD(INT((A292-1)/25),10)+1)</f>
        <v>Город_1_4_2</v>
      </c>
      <c r="I292" s="10" t="str">
        <f aca="false">CHOOSE(MOD(A292-1,4)+1,"Электроника","Одежда","Продукты","Мебель")</f>
        <v>Продукты</v>
      </c>
      <c r="J292" s="10" t="str">
        <f aca="false">CHOOSE(MOD(INT((A292-1)/4),4)+1,CHOOSE(MOD(A292-1,4)+1,"Смартфоны","Ноутбуки","Аксессуары","Аудио"),CHOOSE(MOD(A292-1,4)+1,"Верхняя одежда","Спортивная","Повседневная","Обувь"),CHOOSE(MOD(A292-1,4)+1,"Молочные","Мясные","Бакалея","Напитки"),CHOOSE(MOD(A292-1,4)+1,"Мягкая мебель","Корпусная","Офисная","Кухонная"))</f>
        <v>Аксессуары</v>
      </c>
      <c r="K292" s="12" t="n">
        <f aca="false">1000+MOD(A292*317+A292*A292*7,49001)</f>
        <v>49001</v>
      </c>
      <c r="L292" s="12" t="n">
        <f aca="false">1+MOD(A292*131,100)</f>
        <v>22</v>
      </c>
      <c r="M292" s="12" t="n">
        <f aca="false">INT(K292*(0.6+MOD(A292*43,21)/100))</f>
        <v>38220</v>
      </c>
      <c r="N292" s="12" t="n">
        <f aca="false">K292-M292</f>
        <v>10781</v>
      </c>
    </row>
    <row r="293" customFormat="false" ht="12.8" hidden="false" customHeight="false" outlineLevel="0" collapsed="false">
      <c r="A293" s="10" t="n">
        <f aca="false">A292+1</f>
        <v>292</v>
      </c>
      <c r="B293" s="11" t="n">
        <f aca="false">B292+1</f>
        <v>45218</v>
      </c>
      <c r="C293" s="10" t="n">
        <f aca="false">YEAR(B293)</f>
        <v>2023</v>
      </c>
      <c r="D293" s="10" t="n">
        <f aca="false">INT((MONTH(B293)-1)/3)+1</f>
        <v>4</v>
      </c>
      <c r="E293" s="10" t="n">
        <f aca="false">MONTH(B293)</f>
        <v>10</v>
      </c>
      <c r="F293" s="10" t="str">
        <f aca="false">CHOOSE(MOD(A293-1,5)+1,"Центр","Юг","Север","Запад","Восток")</f>
        <v>Юг</v>
      </c>
      <c r="G293" s="10" t="str">
        <f aca="false">"Округ_"&amp;(MOD(A293-1,5)+1)&amp;"_"&amp;(MOD(INT((A293-1)/5),5)+1)</f>
        <v>Округ_2_4</v>
      </c>
      <c r="H293" s="10" t="str">
        <f aca="false">"Город_"&amp;(MOD(A293-1,5)+1)&amp;"_"&amp;(MOD(INT((A293-1)/5),5)+1)&amp;"_"&amp;(MOD(INT((A293-1)/25),10)+1)</f>
        <v>Город_2_4_2</v>
      </c>
      <c r="I293" s="10" t="str">
        <f aca="false">CHOOSE(MOD(A293-1,4)+1,"Электроника","Одежда","Продукты","Мебель")</f>
        <v>Мебель</v>
      </c>
      <c r="J293" s="10" t="str">
        <f aca="false">CHOOSE(MOD(INT((A293-1)/4),4)+1,CHOOSE(MOD(A293-1,4)+1,"Смартфоны","Ноутбуки","Аксессуары","Аудио"),CHOOSE(MOD(A293-1,4)+1,"Верхняя одежда","Спортивная","Повседневная","Обувь"),CHOOSE(MOD(A293-1,4)+1,"Молочные","Мясные","Бакалея","Напитки"),CHOOSE(MOD(A293-1,4)+1,"Мягкая мебель","Корпусная","Офисная","Кухонная"))</f>
        <v>Аудио</v>
      </c>
      <c r="K293" s="12" t="n">
        <f aca="false">1000+MOD(A293*317+A293*A293*7,49001)</f>
        <v>4398</v>
      </c>
      <c r="L293" s="12" t="n">
        <f aca="false">1+MOD(A293*131,100)</f>
        <v>53</v>
      </c>
      <c r="M293" s="12" t="n">
        <f aca="false">INT(K293*(0.6+MOD(A293*43,21)/100))</f>
        <v>3474</v>
      </c>
      <c r="N293" s="12" t="n">
        <f aca="false">K293-M293</f>
        <v>924</v>
      </c>
    </row>
    <row r="294" customFormat="false" ht="12.8" hidden="false" customHeight="false" outlineLevel="0" collapsed="false">
      <c r="A294" s="10" t="n">
        <f aca="false">A293+1</f>
        <v>293</v>
      </c>
      <c r="B294" s="11" t="n">
        <f aca="false">B293+1</f>
        <v>45219</v>
      </c>
      <c r="C294" s="10" t="n">
        <f aca="false">YEAR(B294)</f>
        <v>2023</v>
      </c>
      <c r="D294" s="10" t="n">
        <f aca="false">INT((MONTH(B294)-1)/3)+1</f>
        <v>4</v>
      </c>
      <c r="E294" s="10" t="n">
        <f aca="false">MONTH(B294)</f>
        <v>10</v>
      </c>
      <c r="F294" s="10" t="str">
        <f aca="false">CHOOSE(MOD(A294-1,5)+1,"Центр","Юг","Север","Запад","Восток")</f>
        <v>Север</v>
      </c>
      <c r="G294" s="10" t="str">
        <f aca="false">"Округ_"&amp;(MOD(A294-1,5)+1)&amp;"_"&amp;(MOD(INT((A294-1)/5),5)+1)</f>
        <v>Округ_3_4</v>
      </c>
      <c r="H294" s="10" t="str">
        <f aca="false">"Город_"&amp;(MOD(A294-1,5)+1)&amp;"_"&amp;(MOD(INT((A294-1)/5),5)+1)&amp;"_"&amp;(MOD(INT((A294-1)/25),10)+1)</f>
        <v>Город_3_4_2</v>
      </c>
      <c r="I294" s="10" t="str">
        <f aca="false">CHOOSE(MOD(A294-1,4)+1,"Электроника","Одежда","Продукты","Мебель")</f>
        <v>Электроника</v>
      </c>
      <c r="J294" s="10" t="str">
        <f aca="false">CHOOSE(MOD(INT((A294-1)/4),4)+1,CHOOSE(MOD(A294-1,4)+1,"Смартфоны","Ноутбуки","Аксессуары","Аудио"),CHOOSE(MOD(A294-1,4)+1,"Верхняя одежда","Спортивная","Повседневная","Обувь"),CHOOSE(MOD(A294-1,4)+1,"Молочные","Мясные","Бакалея","Напитки"),CHOOSE(MOD(A294-1,4)+1,"Мягкая мебель","Корпусная","Офисная","Кухонная"))</f>
        <v>Верхняя одежда</v>
      </c>
      <c r="K294" s="12" t="n">
        <f aca="false">1000+MOD(A294*317+A294*A294*7,49001)</f>
        <v>8810</v>
      </c>
      <c r="L294" s="12" t="n">
        <f aca="false">1+MOD(A294*131,100)</f>
        <v>84</v>
      </c>
      <c r="M294" s="12" t="n">
        <f aca="false">INT(K294*(0.6+MOD(A294*43,21)/100))</f>
        <v>7048</v>
      </c>
      <c r="N294" s="12" t="n">
        <f aca="false">K294-M294</f>
        <v>1762</v>
      </c>
    </row>
    <row r="295" customFormat="false" ht="12.8" hidden="false" customHeight="false" outlineLevel="0" collapsed="false">
      <c r="A295" s="10" t="n">
        <f aca="false">A294+1</f>
        <v>294</v>
      </c>
      <c r="B295" s="11" t="n">
        <f aca="false">B294+1</f>
        <v>45220</v>
      </c>
      <c r="C295" s="10" t="n">
        <f aca="false">YEAR(B295)</f>
        <v>2023</v>
      </c>
      <c r="D295" s="10" t="n">
        <f aca="false">INT((MONTH(B295)-1)/3)+1</f>
        <v>4</v>
      </c>
      <c r="E295" s="10" t="n">
        <f aca="false">MONTH(B295)</f>
        <v>10</v>
      </c>
      <c r="F295" s="10" t="str">
        <f aca="false">CHOOSE(MOD(A295-1,5)+1,"Центр","Юг","Север","Запад","Восток")</f>
        <v>Запад</v>
      </c>
      <c r="G295" s="10" t="str">
        <f aca="false">"Округ_"&amp;(MOD(A295-1,5)+1)&amp;"_"&amp;(MOD(INT((A295-1)/5),5)+1)</f>
        <v>Округ_4_4</v>
      </c>
      <c r="H295" s="10" t="str">
        <f aca="false">"Город_"&amp;(MOD(A295-1,5)+1)&amp;"_"&amp;(MOD(INT((A295-1)/5),5)+1)&amp;"_"&amp;(MOD(INT((A295-1)/25),10)+1)</f>
        <v>Город_4_4_2</v>
      </c>
      <c r="I295" s="10" t="str">
        <f aca="false">CHOOSE(MOD(A295-1,4)+1,"Электроника","Одежда","Продукты","Мебель")</f>
        <v>Одежда</v>
      </c>
      <c r="J295" s="10" t="str">
        <f aca="false">CHOOSE(MOD(INT((A295-1)/4),4)+1,CHOOSE(MOD(A295-1,4)+1,"Смартфоны","Ноутбуки","Аксессуары","Аудио"),CHOOSE(MOD(A295-1,4)+1,"Верхняя одежда","Спортивная","Повседневная","Обувь"),CHOOSE(MOD(A295-1,4)+1,"Молочные","Мясные","Бакалея","Напитки"),CHOOSE(MOD(A295-1,4)+1,"Мягкая мебель","Корпусная","Офисная","Кухонная"))</f>
        <v>Спортивная</v>
      </c>
      <c r="K295" s="12" t="n">
        <f aca="false">1000+MOD(A295*317+A295*A295*7,49001)</f>
        <v>13236</v>
      </c>
      <c r="L295" s="12" t="n">
        <f aca="false">1+MOD(A295*131,100)</f>
        <v>15</v>
      </c>
      <c r="M295" s="12" t="n">
        <f aca="false">INT(K295*(0.6+MOD(A295*43,21)/100))</f>
        <v>7941</v>
      </c>
      <c r="N295" s="12" t="n">
        <f aca="false">K295-M295</f>
        <v>5295</v>
      </c>
    </row>
    <row r="296" customFormat="false" ht="12.8" hidden="false" customHeight="false" outlineLevel="0" collapsed="false">
      <c r="A296" s="10" t="n">
        <f aca="false">A295+1</f>
        <v>295</v>
      </c>
      <c r="B296" s="11" t="n">
        <f aca="false">B295+1</f>
        <v>45221</v>
      </c>
      <c r="C296" s="10" t="n">
        <f aca="false">YEAR(B296)</f>
        <v>2023</v>
      </c>
      <c r="D296" s="10" t="n">
        <f aca="false">INT((MONTH(B296)-1)/3)+1</f>
        <v>4</v>
      </c>
      <c r="E296" s="10" t="n">
        <f aca="false">MONTH(B296)</f>
        <v>10</v>
      </c>
      <c r="F296" s="10" t="str">
        <f aca="false">CHOOSE(MOD(A296-1,5)+1,"Центр","Юг","Север","Запад","Восток")</f>
        <v>Восток</v>
      </c>
      <c r="G296" s="10" t="str">
        <f aca="false">"Округ_"&amp;(MOD(A296-1,5)+1)&amp;"_"&amp;(MOD(INT((A296-1)/5),5)+1)</f>
        <v>Округ_5_4</v>
      </c>
      <c r="H296" s="10" t="str">
        <f aca="false">"Город_"&amp;(MOD(A296-1,5)+1)&amp;"_"&amp;(MOD(INT((A296-1)/5),5)+1)&amp;"_"&amp;(MOD(INT((A296-1)/25),10)+1)</f>
        <v>Город_5_4_2</v>
      </c>
      <c r="I296" s="10" t="str">
        <f aca="false">CHOOSE(MOD(A296-1,4)+1,"Электроника","Одежда","Продукты","Мебель")</f>
        <v>Продукты</v>
      </c>
      <c r="J296" s="10" t="str">
        <f aca="false">CHOOSE(MOD(INT((A296-1)/4),4)+1,CHOOSE(MOD(A296-1,4)+1,"Смартфоны","Ноутбуки","Аксессуары","Аудио"),CHOOSE(MOD(A296-1,4)+1,"Верхняя одежда","Спортивная","Повседневная","Обувь"),CHOOSE(MOD(A296-1,4)+1,"Молочные","Мясные","Бакалея","Напитки"),CHOOSE(MOD(A296-1,4)+1,"Мягкая мебель","Корпусная","Офисная","Кухонная"))</f>
        <v>Повседневная</v>
      </c>
      <c r="K296" s="12" t="n">
        <f aca="false">1000+MOD(A296*317+A296*A296*7,49001)</f>
        <v>17676</v>
      </c>
      <c r="L296" s="12" t="n">
        <f aca="false">1+MOD(A296*131,100)</f>
        <v>46</v>
      </c>
      <c r="M296" s="12" t="n">
        <f aca="false">INT(K296*(0.6+MOD(A296*43,21)/100))</f>
        <v>10782</v>
      </c>
      <c r="N296" s="12" t="n">
        <f aca="false">K296-M296</f>
        <v>6894</v>
      </c>
    </row>
    <row r="297" customFormat="false" ht="12.8" hidden="false" customHeight="false" outlineLevel="0" collapsed="false">
      <c r="A297" s="10" t="n">
        <f aca="false">A296+1</f>
        <v>296</v>
      </c>
      <c r="B297" s="11" t="n">
        <f aca="false">B296+1</f>
        <v>45222</v>
      </c>
      <c r="C297" s="10" t="n">
        <f aca="false">YEAR(B297)</f>
        <v>2023</v>
      </c>
      <c r="D297" s="10" t="n">
        <f aca="false">INT((MONTH(B297)-1)/3)+1</f>
        <v>4</v>
      </c>
      <c r="E297" s="10" t="n">
        <f aca="false">MONTH(B297)</f>
        <v>10</v>
      </c>
      <c r="F297" s="10" t="str">
        <f aca="false">CHOOSE(MOD(A297-1,5)+1,"Центр","Юг","Север","Запад","Восток")</f>
        <v>Центр</v>
      </c>
      <c r="G297" s="10" t="str">
        <f aca="false">"Округ_"&amp;(MOD(A297-1,5)+1)&amp;"_"&amp;(MOD(INT((A297-1)/5),5)+1)</f>
        <v>Округ_1_5</v>
      </c>
      <c r="H297" s="10" t="str">
        <f aca="false">"Город_"&amp;(MOD(A297-1,5)+1)&amp;"_"&amp;(MOD(INT((A297-1)/5),5)+1)&amp;"_"&amp;(MOD(INT((A297-1)/25),10)+1)</f>
        <v>Город_1_5_2</v>
      </c>
      <c r="I297" s="10" t="str">
        <f aca="false">CHOOSE(MOD(A297-1,4)+1,"Электроника","Одежда","Продукты","Мебель")</f>
        <v>Мебель</v>
      </c>
      <c r="J297" s="10" t="str">
        <f aca="false">CHOOSE(MOD(INT((A297-1)/4),4)+1,CHOOSE(MOD(A297-1,4)+1,"Смартфоны","Ноутбуки","Аксессуары","Аудио"),CHOOSE(MOD(A297-1,4)+1,"Верхняя одежда","Спортивная","Повседневная","Обувь"),CHOOSE(MOD(A297-1,4)+1,"Молочные","Мясные","Бакалея","Напитки"),CHOOSE(MOD(A297-1,4)+1,"Мягкая мебель","Корпусная","Офисная","Кухонная"))</f>
        <v>Обувь</v>
      </c>
      <c r="K297" s="12" t="n">
        <f aca="false">1000+MOD(A297*317+A297*A297*7,49001)</f>
        <v>22130</v>
      </c>
      <c r="L297" s="12" t="n">
        <f aca="false">1+MOD(A297*131,100)</f>
        <v>77</v>
      </c>
      <c r="M297" s="12" t="n">
        <f aca="false">INT(K297*(0.6+MOD(A297*43,21)/100))</f>
        <v>13720</v>
      </c>
      <c r="N297" s="12" t="n">
        <f aca="false">K297-M297</f>
        <v>8410</v>
      </c>
    </row>
    <row r="298" customFormat="false" ht="12.8" hidden="false" customHeight="false" outlineLevel="0" collapsed="false">
      <c r="A298" s="10" t="n">
        <f aca="false">A297+1</f>
        <v>297</v>
      </c>
      <c r="B298" s="11" t="n">
        <f aca="false">B297+1</f>
        <v>45223</v>
      </c>
      <c r="C298" s="10" t="n">
        <f aca="false">YEAR(B298)</f>
        <v>2023</v>
      </c>
      <c r="D298" s="10" t="n">
        <f aca="false">INT((MONTH(B298)-1)/3)+1</f>
        <v>4</v>
      </c>
      <c r="E298" s="10" t="n">
        <f aca="false">MONTH(B298)</f>
        <v>10</v>
      </c>
      <c r="F298" s="10" t="str">
        <f aca="false">CHOOSE(MOD(A298-1,5)+1,"Центр","Юг","Север","Запад","Восток")</f>
        <v>Юг</v>
      </c>
      <c r="G298" s="10" t="str">
        <f aca="false">"Округ_"&amp;(MOD(A298-1,5)+1)&amp;"_"&amp;(MOD(INT((A298-1)/5),5)+1)</f>
        <v>Округ_2_5</v>
      </c>
      <c r="H298" s="10" t="str">
        <f aca="false">"Город_"&amp;(MOD(A298-1,5)+1)&amp;"_"&amp;(MOD(INT((A298-1)/5),5)+1)&amp;"_"&amp;(MOD(INT((A298-1)/25),10)+1)</f>
        <v>Город_2_5_2</v>
      </c>
      <c r="I298" s="10" t="str">
        <f aca="false">CHOOSE(MOD(A298-1,4)+1,"Электроника","Одежда","Продукты","Мебель")</f>
        <v>Электроника</v>
      </c>
      <c r="J298" s="10" t="str">
        <f aca="false">CHOOSE(MOD(INT((A298-1)/4),4)+1,CHOOSE(MOD(A298-1,4)+1,"Смартфоны","Ноутбуки","Аксессуары","Аудио"),CHOOSE(MOD(A298-1,4)+1,"Верхняя одежда","Спортивная","Повседневная","Обувь"),CHOOSE(MOD(A298-1,4)+1,"Молочные","Мясные","Бакалея","Напитки"),CHOOSE(MOD(A298-1,4)+1,"Мягкая мебель","Корпусная","Офисная","Кухонная"))</f>
        <v>Молочные</v>
      </c>
      <c r="K298" s="12" t="n">
        <f aca="false">1000+MOD(A298*317+A298*A298*7,49001)</f>
        <v>26598</v>
      </c>
      <c r="L298" s="12" t="n">
        <f aca="false">1+MOD(A298*131,100)</f>
        <v>8</v>
      </c>
      <c r="M298" s="12" t="n">
        <f aca="false">INT(K298*(0.6+MOD(A298*43,21)/100))</f>
        <v>16756</v>
      </c>
      <c r="N298" s="12" t="n">
        <f aca="false">K298-M298</f>
        <v>9842</v>
      </c>
    </row>
    <row r="299" customFormat="false" ht="12.8" hidden="false" customHeight="false" outlineLevel="0" collapsed="false">
      <c r="A299" s="10" t="n">
        <f aca="false">A298+1</f>
        <v>298</v>
      </c>
      <c r="B299" s="11" t="n">
        <f aca="false">B298+1</f>
        <v>45224</v>
      </c>
      <c r="C299" s="10" t="n">
        <f aca="false">YEAR(B299)</f>
        <v>2023</v>
      </c>
      <c r="D299" s="10" t="n">
        <f aca="false">INT((MONTH(B299)-1)/3)+1</f>
        <v>4</v>
      </c>
      <c r="E299" s="10" t="n">
        <f aca="false">MONTH(B299)</f>
        <v>10</v>
      </c>
      <c r="F299" s="10" t="str">
        <f aca="false">CHOOSE(MOD(A299-1,5)+1,"Центр","Юг","Север","Запад","Восток")</f>
        <v>Север</v>
      </c>
      <c r="G299" s="10" t="str">
        <f aca="false">"Округ_"&amp;(MOD(A299-1,5)+1)&amp;"_"&amp;(MOD(INT((A299-1)/5),5)+1)</f>
        <v>Округ_3_5</v>
      </c>
      <c r="H299" s="10" t="str">
        <f aca="false">"Город_"&amp;(MOD(A299-1,5)+1)&amp;"_"&amp;(MOD(INT((A299-1)/5),5)+1)&amp;"_"&amp;(MOD(INT((A299-1)/25),10)+1)</f>
        <v>Город_3_5_2</v>
      </c>
      <c r="I299" s="10" t="str">
        <f aca="false">CHOOSE(MOD(A299-1,4)+1,"Электроника","Одежда","Продукты","Мебель")</f>
        <v>Одежда</v>
      </c>
      <c r="J299" s="10" t="str">
        <f aca="false">CHOOSE(MOD(INT((A299-1)/4),4)+1,CHOOSE(MOD(A299-1,4)+1,"Смартфоны","Ноутбуки","Аксессуары","Аудио"),CHOOSE(MOD(A299-1,4)+1,"Верхняя одежда","Спортивная","Повседневная","Обувь"),CHOOSE(MOD(A299-1,4)+1,"Молочные","Мясные","Бакалея","Напитки"),CHOOSE(MOD(A299-1,4)+1,"Мягкая мебель","Корпусная","Офисная","Кухонная"))</f>
        <v>Мясные</v>
      </c>
      <c r="K299" s="12" t="n">
        <f aca="false">1000+MOD(A299*317+A299*A299*7,49001)</f>
        <v>31080</v>
      </c>
      <c r="L299" s="12" t="n">
        <f aca="false">1+MOD(A299*131,100)</f>
        <v>39</v>
      </c>
      <c r="M299" s="12" t="n">
        <f aca="false">INT(K299*(0.6+MOD(A299*43,21)/100))</f>
        <v>19891</v>
      </c>
      <c r="N299" s="12" t="n">
        <f aca="false">K299-M299</f>
        <v>11189</v>
      </c>
    </row>
    <row r="300" customFormat="false" ht="12.8" hidden="false" customHeight="false" outlineLevel="0" collapsed="false">
      <c r="A300" s="10" t="n">
        <f aca="false">A299+1</f>
        <v>299</v>
      </c>
      <c r="B300" s="11" t="n">
        <f aca="false">B299+1</f>
        <v>45225</v>
      </c>
      <c r="C300" s="10" t="n">
        <f aca="false">YEAR(B300)</f>
        <v>2023</v>
      </c>
      <c r="D300" s="10" t="n">
        <f aca="false">INT((MONTH(B300)-1)/3)+1</f>
        <v>4</v>
      </c>
      <c r="E300" s="10" t="n">
        <f aca="false">MONTH(B300)</f>
        <v>10</v>
      </c>
      <c r="F300" s="10" t="str">
        <f aca="false">CHOOSE(MOD(A300-1,5)+1,"Центр","Юг","Север","Запад","Восток")</f>
        <v>Запад</v>
      </c>
      <c r="G300" s="10" t="str">
        <f aca="false">"Округ_"&amp;(MOD(A300-1,5)+1)&amp;"_"&amp;(MOD(INT((A300-1)/5),5)+1)</f>
        <v>Округ_4_5</v>
      </c>
      <c r="H300" s="10" t="str">
        <f aca="false">"Город_"&amp;(MOD(A300-1,5)+1)&amp;"_"&amp;(MOD(INT((A300-1)/5),5)+1)&amp;"_"&amp;(MOD(INT((A300-1)/25),10)+1)</f>
        <v>Город_4_5_2</v>
      </c>
      <c r="I300" s="10" t="str">
        <f aca="false">CHOOSE(MOD(A300-1,4)+1,"Электроника","Одежда","Продукты","Мебель")</f>
        <v>Продукты</v>
      </c>
      <c r="J300" s="10" t="str">
        <f aca="false">CHOOSE(MOD(INT((A300-1)/4),4)+1,CHOOSE(MOD(A300-1,4)+1,"Смартфоны","Ноутбуки","Аксессуары","Аудио"),CHOOSE(MOD(A300-1,4)+1,"Верхняя одежда","Спортивная","Повседневная","Обувь"),CHOOSE(MOD(A300-1,4)+1,"Молочные","Мясные","Бакалея","Напитки"),CHOOSE(MOD(A300-1,4)+1,"Мягкая мебель","Корпусная","Офисная","Кухонная"))</f>
        <v>Бакалея</v>
      </c>
      <c r="K300" s="12" t="n">
        <f aca="false">1000+MOD(A300*317+A300*A300*7,49001)</f>
        <v>35576</v>
      </c>
      <c r="L300" s="12" t="n">
        <f aca="false">1+MOD(A300*131,100)</f>
        <v>70</v>
      </c>
      <c r="M300" s="12" t="n">
        <f aca="false">INT(K300*(0.6+MOD(A300*43,21)/100))</f>
        <v>23124</v>
      </c>
      <c r="N300" s="12" t="n">
        <f aca="false">K300-M300</f>
        <v>12452</v>
      </c>
    </row>
    <row r="301" customFormat="false" ht="12.8" hidden="false" customHeight="false" outlineLevel="0" collapsed="false">
      <c r="A301" s="10" t="n">
        <f aca="false">A300+1</f>
        <v>300</v>
      </c>
      <c r="B301" s="11" t="n">
        <f aca="false">B300+1</f>
        <v>45226</v>
      </c>
      <c r="C301" s="10" t="n">
        <f aca="false">YEAR(B301)</f>
        <v>2023</v>
      </c>
      <c r="D301" s="10" t="n">
        <f aca="false">INT((MONTH(B301)-1)/3)+1</f>
        <v>4</v>
      </c>
      <c r="E301" s="10" t="n">
        <f aca="false">MONTH(B301)</f>
        <v>10</v>
      </c>
      <c r="F301" s="10" t="str">
        <f aca="false">CHOOSE(MOD(A301-1,5)+1,"Центр","Юг","Север","Запад","Восток")</f>
        <v>Восток</v>
      </c>
      <c r="G301" s="10" t="str">
        <f aca="false">"Округ_"&amp;(MOD(A301-1,5)+1)&amp;"_"&amp;(MOD(INT((A301-1)/5),5)+1)</f>
        <v>Округ_5_5</v>
      </c>
      <c r="H301" s="10" t="str">
        <f aca="false">"Город_"&amp;(MOD(A301-1,5)+1)&amp;"_"&amp;(MOD(INT((A301-1)/5),5)+1)&amp;"_"&amp;(MOD(INT((A301-1)/25),10)+1)</f>
        <v>Город_5_5_2</v>
      </c>
      <c r="I301" s="10" t="str">
        <f aca="false">CHOOSE(MOD(A301-1,4)+1,"Электроника","Одежда","Продукты","Мебель")</f>
        <v>Мебель</v>
      </c>
      <c r="J301" s="10" t="str">
        <f aca="false">CHOOSE(MOD(INT((A301-1)/4),4)+1,CHOOSE(MOD(A301-1,4)+1,"Смартфоны","Ноутбуки","Аксессуары","Аудио"),CHOOSE(MOD(A301-1,4)+1,"Верхняя одежда","Спортивная","Повседневная","Обувь"),CHOOSE(MOD(A301-1,4)+1,"Молочные","Мясные","Бакалея","Напитки"),CHOOSE(MOD(A301-1,4)+1,"Мягкая мебель","Корпусная","Офисная","Кухонная"))</f>
        <v>Напитки</v>
      </c>
      <c r="K301" s="12" t="n">
        <f aca="false">1000+MOD(A301*317+A301*A301*7,49001)</f>
        <v>40086</v>
      </c>
      <c r="L301" s="12" t="n">
        <f aca="false">1+MOD(A301*131,100)</f>
        <v>1</v>
      </c>
      <c r="M301" s="12" t="n">
        <f aca="false">INT(K301*(0.6+MOD(A301*43,21)/100))</f>
        <v>26456</v>
      </c>
      <c r="N301" s="12" t="n">
        <f aca="false">K301-M301</f>
        <v>13630</v>
      </c>
    </row>
    <row r="302" customFormat="false" ht="12.8" hidden="false" customHeight="false" outlineLevel="0" collapsed="false">
      <c r="A302" s="10" t="n">
        <f aca="false">A301+1</f>
        <v>301</v>
      </c>
      <c r="B302" s="11" t="n">
        <f aca="false">B301+1</f>
        <v>45227</v>
      </c>
      <c r="C302" s="10" t="n">
        <f aca="false">YEAR(B302)</f>
        <v>2023</v>
      </c>
      <c r="D302" s="10" t="n">
        <f aca="false">INT((MONTH(B302)-1)/3)+1</f>
        <v>4</v>
      </c>
      <c r="E302" s="10" t="n">
        <f aca="false">MONTH(B302)</f>
        <v>10</v>
      </c>
      <c r="F302" s="10" t="str">
        <f aca="false">CHOOSE(MOD(A302-1,5)+1,"Центр","Юг","Север","Запад","Восток")</f>
        <v>Центр</v>
      </c>
      <c r="G302" s="10" t="str">
        <f aca="false">"Округ_"&amp;(MOD(A302-1,5)+1)&amp;"_"&amp;(MOD(INT((A302-1)/5),5)+1)</f>
        <v>Округ_1_1</v>
      </c>
      <c r="H302" s="10" t="str">
        <f aca="false">"Город_"&amp;(MOD(A302-1,5)+1)&amp;"_"&amp;(MOD(INT((A302-1)/5),5)+1)&amp;"_"&amp;(MOD(INT((A302-1)/25),10)+1)</f>
        <v>Город_1_1_3</v>
      </c>
      <c r="I302" s="10" t="str">
        <f aca="false">CHOOSE(MOD(A302-1,4)+1,"Электроника","Одежда","Продукты","Мебель")</f>
        <v>Электроника</v>
      </c>
      <c r="J302" s="10" t="str">
        <f aca="false">CHOOSE(MOD(INT((A302-1)/4),4)+1,CHOOSE(MOD(A302-1,4)+1,"Смартфоны","Ноутбуки","Аксессуары","Аудио"),CHOOSE(MOD(A302-1,4)+1,"Верхняя одежда","Спортивная","Повседневная","Обувь"),CHOOSE(MOD(A302-1,4)+1,"Молочные","Мясные","Бакалея","Напитки"),CHOOSE(MOD(A302-1,4)+1,"Мягкая мебель","Корпусная","Офисная","Кухонная"))</f>
        <v>Мягкая мебель</v>
      </c>
      <c r="K302" s="12" t="n">
        <f aca="false">1000+MOD(A302*317+A302*A302*7,49001)</f>
        <v>44610</v>
      </c>
      <c r="L302" s="12" t="n">
        <f aca="false">1+MOD(A302*131,100)</f>
        <v>32</v>
      </c>
      <c r="M302" s="12" t="n">
        <f aca="false">INT(K302*(0.6+MOD(A302*43,21)/100))</f>
        <v>29888</v>
      </c>
      <c r="N302" s="12" t="n">
        <f aca="false">K302-M302</f>
        <v>14722</v>
      </c>
    </row>
    <row r="303" customFormat="false" ht="12.8" hidden="false" customHeight="false" outlineLevel="0" collapsed="false">
      <c r="A303" s="10" t="n">
        <f aca="false">A302+1</f>
        <v>302</v>
      </c>
      <c r="B303" s="11" t="n">
        <f aca="false">B302+1</f>
        <v>45228</v>
      </c>
      <c r="C303" s="10" t="n">
        <f aca="false">YEAR(B303)</f>
        <v>2023</v>
      </c>
      <c r="D303" s="10" t="n">
        <f aca="false">INT((MONTH(B303)-1)/3)+1</f>
        <v>4</v>
      </c>
      <c r="E303" s="10" t="n">
        <f aca="false">MONTH(B303)</f>
        <v>10</v>
      </c>
      <c r="F303" s="10" t="str">
        <f aca="false">CHOOSE(MOD(A303-1,5)+1,"Центр","Юг","Север","Запад","Восток")</f>
        <v>Юг</v>
      </c>
      <c r="G303" s="10" t="str">
        <f aca="false">"Округ_"&amp;(MOD(A303-1,5)+1)&amp;"_"&amp;(MOD(INT((A303-1)/5),5)+1)</f>
        <v>Округ_2_1</v>
      </c>
      <c r="H303" s="10" t="str">
        <f aca="false">"Город_"&amp;(MOD(A303-1,5)+1)&amp;"_"&amp;(MOD(INT((A303-1)/5),5)+1)&amp;"_"&amp;(MOD(INT((A303-1)/25),10)+1)</f>
        <v>Город_2_1_3</v>
      </c>
      <c r="I303" s="10" t="str">
        <f aca="false">CHOOSE(MOD(A303-1,4)+1,"Электроника","Одежда","Продукты","Мебель")</f>
        <v>Одежда</v>
      </c>
      <c r="J303" s="10" t="str">
        <f aca="false">CHOOSE(MOD(INT((A303-1)/4),4)+1,CHOOSE(MOD(A303-1,4)+1,"Смартфоны","Ноутбуки","Аксессуары","Аудио"),CHOOSE(MOD(A303-1,4)+1,"Верхняя одежда","Спортивная","Повседневная","Обувь"),CHOOSE(MOD(A303-1,4)+1,"Молочные","Мясные","Бакалея","Напитки"),CHOOSE(MOD(A303-1,4)+1,"Мягкая мебель","Корпусная","Офисная","Кухонная"))</f>
        <v>Корпусная</v>
      </c>
      <c r="K303" s="12" t="n">
        <f aca="false">1000+MOD(A303*317+A303*A303*7,49001)</f>
        <v>49148</v>
      </c>
      <c r="L303" s="12" t="n">
        <f aca="false">1+MOD(A303*131,100)</f>
        <v>63</v>
      </c>
      <c r="M303" s="12" t="n">
        <f aca="false">INT(K303*(0.6+MOD(A303*43,21)/100))</f>
        <v>33420</v>
      </c>
      <c r="N303" s="12" t="n">
        <f aca="false">K303-M303</f>
        <v>15728</v>
      </c>
    </row>
    <row r="304" customFormat="false" ht="12.8" hidden="false" customHeight="false" outlineLevel="0" collapsed="false">
      <c r="A304" s="10" t="n">
        <f aca="false">A303+1</f>
        <v>303</v>
      </c>
      <c r="B304" s="11" t="n">
        <f aca="false">B303+1</f>
        <v>45229</v>
      </c>
      <c r="C304" s="10" t="n">
        <f aca="false">YEAR(B304)</f>
        <v>2023</v>
      </c>
      <c r="D304" s="10" t="n">
        <f aca="false">INT((MONTH(B304)-1)/3)+1</f>
        <v>4</v>
      </c>
      <c r="E304" s="10" t="n">
        <f aca="false">MONTH(B304)</f>
        <v>10</v>
      </c>
      <c r="F304" s="10" t="str">
        <f aca="false">CHOOSE(MOD(A304-1,5)+1,"Центр","Юг","Север","Запад","Восток")</f>
        <v>Север</v>
      </c>
      <c r="G304" s="10" t="str">
        <f aca="false">"Округ_"&amp;(MOD(A304-1,5)+1)&amp;"_"&amp;(MOD(INT((A304-1)/5),5)+1)</f>
        <v>Округ_3_1</v>
      </c>
      <c r="H304" s="10" t="str">
        <f aca="false">"Город_"&amp;(MOD(A304-1,5)+1)&amp;"_"&amp;(MOD(INT((A304-1)/5),5)+1)&amp;"_"&amp;(MOD(INT((A304-1)/25),10)+1)</f>
        <v>Город_3_1_3</v>
      </c>
      <c r="I304" s="10" t="str">
        <f aca="false">CHOOSE(MOD(A304-1,4)+1,"Электроника","Одежда","Продукты","Мебель")</f>
        <v>Продукты</v>
      </c>
      <c r="J304" s="10" t="str">
        <f aca="false">CHOOSE(MOD(INT((A304-1)/4),4)+1,CHOOSE(MOD(A304-1,4)+1,"Смартфоны","Ноутбуки","Аксессуары","Аудио"),CHOOSE(MOD(A304-1,4)+1,"Верхняя одежда","Спортивная","Повседневная","Обувь"),CHOOSE(MOD(A304-1,4)+1,"Молочные","Мясные","Бакалея","Напитки"),CHOOSE(MOD(A304-1,4)+1,"Мягкая мебель","Корпусная","Офисная","Кухонная"))</f>
        <v>Офисная</v>
      </c>
      <c r="K304" s="12" t="n">
        <f aca="false">1000+MOD(A304*317+A304*A304*7,49001)</f>
        <v>4699</v>
      </c>
      <c r="L304" s="12" t="n">
        <f aca="false">1+MOD(A304*131,100)</f>
        <v>94</v>
      </c>
      <c r="M304" s="12" t="n">
        <f aca="false">INT(K304*(0.6+MOD(A304*43,21)/100))</f>
        <v>3242</v>
      </c>
      <c r="N304" s="12" t="n">
        <f aca="false">K304-M304</f>
        <v>1457</v>
      </c>
    </row>
    <row r="305" customFormat="false" ht="12.8" hidden="false" customHeight="false" outlineLevel="0" collapsed="false">
      <c r="A305" s="10" t="n">
        <f aca="false">A304+1</f>
        <v>304</v>
      </c>
      <c r="B305" s="11" t="n">
        <f aca="false">B304+1</f>
        <v>45230</v>
      </c>
      <c r="C305" s="10" t="n">
        <f aca="false">YEAR(B305)</f>
        <v>2023</v>
      </c>
      <c r="D305" s="10" t="n">
        <f aca="false">INT((MONTH(B305)-1)/3)+1</f>
        <v>4</v>
      </c>
      <c r="E305" s="10" t="n">
        <f aca="false">MONTH(B305)</f>
        <v>10</v>
      </c>
      <c r="F305" s="10" t="str">
        <f aca="false">CHOOSE(MOD(A305-1,5)+1,"Центр","Юг","Север","Запад","Восток")</f>
        <v>Запад</v>
      </c>
      <c r="G305" s="10" t="str">
        <f aca="false">"Округ_"&amp;(MOD(A305-1,5)+1)&amp;"_"&amp;(MOD(INT((A305-1)/5),5)+1)</f>
        <v>Округ_4_1</v>
      </c>
      <c r="H305" s="10" t="str">
        <f aca="false">"Город_"&amp;(MOD(A305-1,5)+1)&amp;"_"&amp;(MOD(INT((A305-1)/5),5)+1)&amp;"_"&amp;(MOD(INT((A305-1)/25),10)+1)</f>
        <v>Город_4_1_3</v>
      </c>
      <c r="I305" s="10" t="str">
        <f aca="false">CHOOSE(MOD(A305-1,4)+1,"Электроника","Одежда","Продукты","Мебель")</f>
        <v>Мебель</v>
      </c>
      <c r="J305" s="10" t="str">
        <f aca="false">CHOOSE(MOD(INT((A305-1)/4),4)+1,CHOOSE(MOD(A305-1,4)+1,"Смартфоны","Ноутбуки","Аксессуары","Аудио"),CHOOSE(MOD(A305-1,4)+1,"Верхняя одежда","Спортивная","Повседневная","Обувь"),CHOOSE(MOD(A305-1,4)+1,"Молочные","Мясные","Бакалея","Напитки"),CHOOSE(MOD(A305-1,4)+1,"Мягкая мебель","Корпусная","Офисная","Кухонная"))</f>
        <v>Кухонная</v>
      </c>
      <c r="K305" s="12" t="n">
        <f aca="false">1000+MOD(A305*317+A305*A305*7,49001)</f>
        <v>9265</v>
      </c>
      <c r="L305" s="12" t="n">
        <f aca="false">1+MOD(A305*131,100)</f>
        <v>25</v>
      </c>
      <c r="M305" s="12" t="n">
        <f aca="false">INT(K305*(0.6+MOD(A305*43,21)/100))</f>
        <v>6485</v>
      </c>
      <c r="N305" s="12" t="n">
        <f aca="false">K305-M305</f>
        <v>2780</v>
      </c>
    </row>
    <row r="306" customFormat="false" ht="12.8" hidden="false" customHeight="false" outlineLevel="0" collapsed="false">
      <c r="A306" s="10" t="n">
        <f aca="false">A305+1</f>
        <v>305</v>
      </c>
      <c r="B306" s="11" t="n">
        <f aca="false">B305+1</f>
        <v>45231</v>
      </c>
      <c r="C306" s="10" t="n">
        <f aca="false">YEAR(B306)</f>
        <v>2023</v>
      </c>
      <c r="D306" s="10" t="n">
        <f aca="false">INT((MONTH(B306)-1)/3)+1</f>
        <v>4</v>
      </c>
      <c r="E306" s="10" t="n">
        <f aca="false">MONTH(B306)</f>
        <v>11</v>
      </c>
      <c r="F306" s="10" t="str">
        <f aca="false">CHOOSE(MOD(A306-1,5)+1,"Центр","Юг","Север","Запад","Восток")</f>
        <v>Восток</v>
      </c>
      <c r="G306" s="10" t="str">
        <f aca="false">"Округ_"&amp;(MOD(A306-1,5)+1)&amp;"_"&amp;(MOD(INT((A306-1)/5),5)+1)</f>
        <v>Округ_5_1</v>
      </c>
      <c r="H306" s="10" t="str">
        <f aca="false">"Город_"&amp;(MOD(A306-1,5)+1)&amp;"_"&amp;(MOD(INT((A306-1)/5),5)+1)&amp;"_"&amp;(MOD(INT((A306-1)/25),10)+1)</f>
        <v>Город_5_1_3</v>
      </c>
      <c r="I306" s="10" t="str">
        <f aca="false">CHOOSE(MOD(A306-1,4)+1,"Электроника","Одежда","Продукты","Мебель")</f>
        <v>Электроника</v>
      </c>
      <c r="J306" s="10" t="str">
        <f aca="false">CHOOSE(MOD(INT((A306-1)/4),4)+1,CHOOSE(MOD(A306-1,4)+1,"Смартфоны","Ноутбуки","Аксессуары","Аудио"),CHOOSE(MOD(A306-1,4)+1,"Верхняя одежда","Спортивная","Повседневная","Обувь"),CHOOSE(MOD(A306-1,4)+1,"Молочные","Мясные","Бакалея","Напитки"),CHOOSE(MOD(A306-1,4)+1,"Мягкая мебель","Корпусная","Офисная","Кухонная"))</f>
        <v>Смартфоны</v>
      </c>
      <c r="K306" s="12" t="n">
        <f aca="false">1000+MOD(A306*317+A306*A306*7,49001)</f>
        <v>13845</v>
      </c>
      <c r="L306" s="12" t="n">
        <f aca="false">1+MOD(A306*131,100)</f>
        <v>56</v>
      </c>
      <c r="M306" s="12" t="n">
        <f aca="false">INT(K306*(0.6+MOD(A306*43,21)/100))</f>
        <v>9829</v>
      </c>
      <c r="N306" s="12" t="n">
        <f aca="false">K306-M306</f>
        <v>4016</v>
      </c>
    </row>
    <row r="307" customFormat="false" ht="12.8" hidden="false" customHeight="false" outlineLevel="0" collapsed="false">
      <c r="A307" s="10" t="n">
        <f aca="false">A306+1</f>
        <v>306</v>
      </c>
      <c r="B307" s="11" t="n">
        <f aca="false">B306+1</f>
        <v>45232</v>
      </c>
      <c r="C307" s="10" t="n">
        <f aca="false">YEAR(B307)</f>
        <v>2023</v>
      </c>
      <c r="D307" s="10" t="n">
        <f aca="false">INT((MONTH(B307)-1)/3)+1</f>
        <v>4</v>
      </c>
      <c r="E307" s="10" t="n">
        <f aca="false">MONTH(B307)</f>
        <v>11</v>
      </c>
      <c r="F307" s="10" t="str">
        <f aca="false">CHOOSE(MOD(A307-1,5)+1,"Центр","Юг","Север","Запад","Восток")</f>
        <v>Центр</v>
      </c>
      <c r="G307" s="10" t="str">
        <f aca="false">"Округ_"&amp;(MOD(A307-1,5)+1)&amp;"_"&amp;(MOD(INT((A307-1)/5),5)+1)</f>
        <v>Округ_1_2</v>
      </c>
      <c r="H307" s="10" t="str">
        <f aca="false">"Город_"&amp;(MOD(A307-1,5)+1)&amp;"_"&amp;(MOD(INT((A307-1)/5),5)+1)&amp;"_"&amp;(MOD(INT((A307-1)/25),10)+1)</f>
        <v>Город_1_2_3</v>
      </c>
      <c r="I307" s="10" t="str">
        <f aca="false">CHOOSE(MOD(A307-1,4)+1,"Электроника","Одежда","Продукты","Мебель")</f>
        <v>Одежда</v>
      </c>
      <c r="J307" s="10" t="str">
        <f aca="false">CHOOSE(MOD(INT((A307-1)/4),4)+1,CHOOSE(MOD(A307-1,4)+1,"Смартфоны","Ноутбуки","Аксессуары","Аудио"),CHOOSE(MOD(A307-1,4)+1,"Верхняя одежда","Спортивная","Повседневная","Обувь"),CHOOSE(MOD(A307-1,4)+1,"Молочные","Мясные","Бакалея","Напитки"),CHOOSE(MOD(A307-1,4)+1,"Мягкая мебель","Корпусная","Офисная","Кухонная"))</f>
        <v>Ноутбуки</v>
      </c>
      <c r="K307" s="12" t="n">
        <f aca="false">1000+MOD(A307*317+A307*A307*7,49001)</f>
        <v>18439</v>
      </c>
      <c r="L307" s="12" t="n">
        <f aca="false">1+MOD(A307*131,100)</f>
        <v>87</v>
      </c>
      <c r="M307" s="12" t="n">
        <f aca="false">INT(K307*(0.6+MOD(A307*43,21)/100))</f>
        <v>13276</v>
      </c>
      <c r="N307" s="12" t="n">
        <f aca="false">K307-M307</f>
        <v>5163</v>
      </c>
    </row>
    <row r="308" customFormat="false" ht="12.8" hidden="false" customHeight="false" outlineLevel="0" collapsed="false">
      <c r="A308" s="10" t="n">
        <f aca="false">A307+1</f>
        <v>307</v>
      </c>
      <c r="B308" s="11" t="n">
        <f aca="false">B307+1</f>
        <v>45233</v>
      </c>
      <c r="C308" s="10" t="n">
        <f aca="false">YEAR(B308)</f>
        <v>2023</v>
      </c>
      <c r="D308" s="10" t="n">
        <f aca="false">INT((MONTH(B308)-1)/3)+1</f>
        <v>4</v>
      </c>
      <c r="E308" s="10" t="n">
        <f aca="false">MONTH(B308)</f>
        <v>11</v>
      </c>
      <c r="F308" s="10" t="str">
        <f aca="false">CHOOSE(MOD(A308-1,5)+1,"Центр","Юг","Север","Запад","Восток")</f>
        <v>Юг</v>
      </c>
      <c r="G308" s="10" t="str">
        <f aca="false">"Округ_"&amp;(MOD(A308-1,5)+1)&amp;"_"&amp;(MOD(INT((A308-1)/5),5)+1)</f>
        <v>Округ_2_2</v>
      </c>
      <c r="H308" s="10" t="str">
        <f aca="false">"Город_"&amp;(MOD(A308-1,5)+1)&amp;"_"&amp;(MOD(INT((A308-1)/5),5)+1)&amp;"_"&amp;(MOD(INT((A308-1)/25),10)+1)</f>
        <v>Город_2_2_3</v>
      </c>
      <c r="I308" s="10" t="str">
        <f aca="false">CHOOSE(MOD(A308-1,4)+1,"Электроника","Одежда","Продукты","Мебель")</f>
        <v>Продукты</v>
      </c>
      <c r="J308" s="10" t="str">
        <f aca="false">CHOOSE(MOD(INT((A308-1)/4),4)+1,CHOOSE(MOD(A308-1,4)+1,"Смартфоны","Ноутбуки","Аксессуары","Аудио"),CHOOSE(MOD(A308-1,4)+1,"Верхняя одежда","Спортивная","Повседневная","Обувь"),CHOOSE(MOD(A308-1,4)+1,"Молочные","Мясные","Бакалея","Напитки"),CHOOSE(MOD(A308-1,4)+1,"Мягкая мебель","Корпусная","Офисная","Кухонная"))</f>
        <v>Аксессуары</v>
      </c>
      <c r="K308" s="12" t="n">
        <f aca="false">1000+MOD(A308*317+A308*A308*7,49001)</f>
        <v>23047</v>
      </c>
      <c r="L308" s="12" t="n">
        <f aca="false">1+MOD(A308*131,100)</f>
        <v>18</v>
      </c>
      <c r="M308" s="12" t="n">
        <f aca="false">INT(K308*(0.6+MOD(A308*43,21)/100))</f>
        <v>16824</v>
      </c>
      <c r="N308" s="12" t="n">
        <f aca="false">K308-M308</f>
        <v>6223</v>
      </c>
    </row>
    <row r="309" customFormat="false" ht="12.8" hidden="false" customHeight="false" outlineLevel="0" collapsed="false">
      <c r="A309" s="10" t="n">
        <f aca="false">A308+1</f>
        <v>308</v>
      </c>
      <c r="B309" s="11" t="n">
        <f aca="false">B308+1</f>
        <v>45234</v>
      </c>
      <c r="C309" s="10" t="n">
        <f aca="false">YEAR(B309)</f>
        <v>2023</v>
      </c>
      <c r="D309" s="10" t="n">
        <f aca="false">INT((MONTH(B309)-1)/3)+1</f>
        <v>4</v>
      </c>
      <c r="E309" s="10" t="n">
        <f aca="false">MONTH(B309)</f>
        <v>11</v>
      </c>
      <c r="F309" s="10" t="str">
        <f aca="false">CHOOSE(MOD(A309-1,5)+1,"Центр","Юг","Север","Запад","Восток")</f>
        <v>Север</v>
      </c>
      <c r="G309" s="10" t="str">
        <f aca="false">"Округ_"&amp;(MOD(A309-1,5)+1)&amp;"_"&amp;(MOD(INT((A309-1)/5),5)+1)</f>
        <v>Округ_3_2</v>
      </c>
      <c r="H309" s="10" t="str">
        <f aca="false">"Город_"&amp;(MOD(A309-1,5)+1)&amp;"_"&amp;(MOD(INT((A309-1)/5),5)+1)&amp;"_"&amp;(MOD(INT((A309-1)/25),10)+1)</f>
        <v>Город_3_2_3</v>
      </c>
      <c r="I309" s="10" t="str">
        <f aca="false">CHOOSE(MOD(A309-1,4)+1,"Электроника","Одежда","Продукты","Мебель")</f>
        <v>Мебель</v>
      </c>
      <c r="J309" s="10" t="str">
        <f aca="false">CHOOSE(MOD(INT((A309-1)/4),4)+1,CHOOSE(MOD(A309-1,4)+1,"Смартфоны","Ноутбуки","Аксессуары","Аудио"),CHOOSE(MOD(A309-1,4)+1,"Верхняя одежда","Спортивная","Повседневная","Обувь"),CHOOSE(MOD(A309-1,4)+1,"Молочные","Мясные","Бакалея","Напитки"),CHOOSE(MOD(A309-1,4)+1,"Мягкая мебель","Корпусная","Офисная","Кухонная"))</f>
        <v>Аудио</v>
      </c>
      <c r="K309" s="12" t="n">
        <f aca="false">1000+MOD(A309*317+A309*A309*7,49001)</f>
        <v>27669</v>
      </c>
      <c r="L309" s="12" t="n">
        <f aca="false">1+MOD(A309*131,100)</f>
        <v>49</v>
      </c>
      <c r="M309" s="12" t="n">
        <f aca="false">INT(K309*(0.6+MOD(A309*43,21)/100))</f>
        <v>20475</v>
      </c>
      <c r="N309" s="12" t="n">
        <f aca="false">K309-M309</f>
        <v>7194</v>
      </c>
    </row>
    <row r="310" customFormat="false" ht="12.8" hidden="false" customHeight="false" outlineLevel="0" collapsed="false">
      <c r="A310" s="10" t="n">
        <f aca="false">A309+1</f>
        <v>309</v>
      </c>
      <c r="B310" s="11" t="n">
        <f aca="false">B309+1</f>
        <v>45235</v>
      </c>
      <c r="C310" s="10" t="n">
        <f aca="false">YEAR(B310)</f>
        <v>2023</v>
      </c>
      <c r="D310" s="10" t="n">
        <f aca="false">INT((MONTH(B310)-1)/3)+1</f>
        <v>4</v>
      </c>
      <c r="E310" s="10" t="n">
        <f aca="false">MONTH(B310)</f>
        <v>11</v>
      </c>
      <c r="F310" s="10" t="str">
        <f aca="false">CHOOSE(MOD(A310-1,5)+1,"Центр","Юг","Север","Запад","Восток")</f>
        <v>Запад</v>
      </c>
      <c r="G310" s="10" t="str">
        <f aca="false">"Округ_"&amp;(MOD(A310-1,5)+1)&amp;"_"&amp;(MOD(INT((A310-1)/5),5)+1)</f>
        <v>Округ_4_2</v>
      </c>
      <c r="H310" s="10" t="str">
        <f aca="false">"Город_"&amp;(MOD(A310-1,5)+1)&amp;"_"&amp;(MOD(INT((A310-1)/5),5)+1)&amp;"_"&amp;(MOD(INT((A310-1)/25),10)+1)</f>
        <v>Город_4_2_3</v>
      </c>
      <c r="I310" s="10" t="str">
        <f aca="false">CHOOSE(MOD(A310-1,4)+1,"Электроника","Одежда","Продукты","Мебель")</f>
        <v>Электроника</v>
      </c>
      <c r="J310" s="10" t="str">
        <f aca="false">CHOOSE(MOD(INT((A310-1)/4),4)+1,CHOOSE(MOD(A310-1,4)+1,"Смартфоны","Ноутбуки","Аксессуары","Аудио"),CHOOSE(MOD(A310-1,4)+1,"Верхняя одежда","Спортивная","Повседневная","Обувь"),CHOOSE(MOD(A310-1,4)+1,"Молочные","Мясные","Бакалея","Напитки"),CHOOSE(MOD(A310-1,4)+1,"Мягкая мебель","Корпусная","Офисная","Кухонная"))</f>
        <v>Верхняя одежда</v>
      </c>
      <c r="K310" s="12" t="n">
        <f aca="false">1000+MOD(A310*317+A310*A310*7,49001)</f>
        <v>32305</v>
      </c>
      <c r="L310" s="12" t="n">
        <f aca="false">1+MOD(A310*131,100)</f>
        <v>80</v>
      </c>
      <c r="M310" s="12" t="n">
        <f aca="false">INT(K310*(0.6+MOD(A310*43,21)/100))</f>
        <v>24228</v>
      </c>
      <c r="N310" s="12" t="n">
        <f aca="false">K310-M310</f>
        <v>8077</v>
      </c>
    </row>
    <row r="311" customFormat="false" ht="12.8" hidden="false" customHeight="false" outlineLevel="0" collapsed="false">
      <c r="A311" s="10" t="n">
        <f aca="false">A310+1</f>
        <v>310</v>
      </c>
      <c r="B311" s="11" t="n">
        <f aca="false">B310+1</f>
        <v>45236</v>
      </c>
      <c r="C311" s="10" t="n">
        <f aca="false">YEAR(B311)</f>
        <v>2023</v>
      </c>
      <c r="D311" s="10" t="n">
        <f aca="false">INT((MONTH(B311)-1)/3)+1</f>
        <v>4</v>
      </c>
      <c r="E311" s="10" t="n">
        <f aca="false">MONTH(B311)</f>
        <v>11</v>
      </c>
      <c r="F311" s="10" t="str">
        <f aca="false">CHOOSE(MOD(A311-1,5)+1,"Центр","Юг","Север","Запад","Восток")</f>
        <v>Восток</v>
      </c>
      <c r="G311" s="10" t="str">
        <f aca="false">"Округ_"&amp;(MOD(A311-1,5)+1)&amp;"_"&amp;(MOD(INT((A311-1)/5),5)+1)</f>
        <v>Округ_5_2</v>
      </c>
      <c r="H311" s="10" t="str">
        <f aca="false">"Город_"&amp;(MOD(A311-1,5)+1)&amp;"_"&amp;(MOD(INT((A311-1)/5),5)+1)&amp;"_"&amp;(MOD(INT((A311-1)/25),10)+1)</f>
        <v>Город_5_2_3</v>
      </c>
      <c r="I311" s="10" t="str">
        <f aca="false">CHOOSE(MOD(A311-1,4)+1,"Электроника","Одежда","Продукты","Мебель")</f>
        <v>Одежда</v>
      </c>
      <c r="J311" s="10" t="str">
        <f aca="false">CHOOSE(MOD(INT((A311-1)/4),4)+1,CHOOSE(MOD(A311-1,4)+1,"Смартфоны","Ноутбуки","Аксессуары","Аудио"),CHOOSE(MOD(A311-1,4)+1,"Верхняя одежда","Спортивная","Повседневная","Обувь"),CHOOSE(MOD(A311-1,4)+1,"Молочные","Мясные","Бакалея","Напитки"),CHOOSE(MOD(A311-1,4)+1,"Мягкая мебель","Корпусная","Офисная","Кухонная"))</f>
        <v>Спортивная</v>
      </c>
      <c r="K311" s="12" t="n">
        <f aca="false">1000+MOD(A311*317+A311*A311*7,49001)</f>
        <v>36955</v>
      </c>
      <c r="L311" s="12" t="n">
        <f aca="false">1+MOD(A311*131,100)</f>
        <v>11</v>
      </c>
      <c r="M311" s="12" t="n">
        <f aca="false">INT(K311*(0.6+MOD(A311*43,21)/100))</f>
        <v>28085</v>
      </c>
      <c r="N311" s="12" t="n">
        <f aca="false">K311-M311</f>
        <v>8870</v>
      </c>
    </row>
    <row r="312" customFormat="false" ht="12.8" hidden="false" customHeight="false" outlineLevel="0" collapsed="false">
      <c r="A312" s="10" t="n">
        <f aca="false">A311+1</f>
        <v>311</v>
      </c>
      <c r="B312" s="11" t="n">
        <f aca="false">B311+1</f>
        <v>45237</v>
      </c>
      <c r="C312" s="10" t="n">
        <f aca="false">YEAR(B312)</f>
        <v>2023</v>
      </c>
      <c r="D312" s="10" t="n">
        <f aca="false">INT((MONTH(B312)-1)/3)+1</f>
        <v>4</v>
      </c>
      <c r="E312" s="10" t="n">
        <f aca="false">MONTH(B312)</f>
        <v>11</v>
      </c>
      <c r="F312" s="10" t="str">
        <f aca="false">CHOOSE(MOD(A312-1,5)+1,"Центр","Юг","Север","Запад","Восток")</f>
        <v>Центр</v>
      </c>
      <c r="G312" s="10" t="str">
        <f aca="false">"Округ_"&amp;(MOD(A312-1,5)+1)&amp;"_"&amp;(MOD(INT((A312-1)/5),5)+1)</f>
        <v>Округ_1_3</v>
      </c>
      <c r="H312" s="10" t="str">
        <f aca="false">"Город_"&amp;(MOD(A312-1,5)+1)&amp;"_"&amp;(MOD(INT((A312-1)/5),5)+1)&amp;"_"&amp;(MOD(INT((A312-1)/25),10)+1)</f>
        <v>Город_1_3_3</v>
      </c>
      <c r="I312" s="10" t="str">
        <f aca="false">CHOOSE(MOD(A312-1,4)+1,"Электроника","Одежда","Продукты","Мебель")</f>
        <v>Продукты</v>
      </c>
      <c r="J312" s="10" t="str">
        <f aca="false">CHOOSE(MOD(INT((A312-1)/4),4)+1,CHOOSE(MOD(A312-1,4)+1,"Смартфоны","Ноутбуки","Аксессуары","Аудио"),CHOOSE(MOD(A312-1,4)+1,"Верхняя одежда","Спортивная","Повседневная","Обувь"),CHOOSE(MOD(A312-1,4)+1,"Молочные","Мясные","Бакалея","Напитки"),CHOOSE(MOD(A312-1,4)+1,"Мягкая мебель","Корпусная","Офисная","Кухонная"))</f>
        <v>Повседневная</v>
      </c>
      <c r="K312" s="12" t="n">
        <f aca="false">1000+MOD(A312*317+A312*A312*7,49001)</f>
        <v>41619</v>
      </c>
      <c r="L312" s="12" t="n">
        <f aca="false">1+MOD(A312*131,100)</f>
        <v>42</v>
      </c>
      <c r="M312" s="12" t="n">
        <f aca="false">INT(K312*(0.6+MOD(A312*43,21)/100))</f>
        <v>32046</v>
      </c>
      <c r="N312" s="12" t="n">
        <f aca="false">K312-M312</f>
        <v>9573</v>
      </c>
    </row>
    <row r="313" customFormat="false" ht="12.8" hidden="false" customHeight="false" outlineLevel="0" collapsed="false">
      <c r="A313" s="10" t="n">
        <f aca="false">A312+1</f>
        <v>312</v>
      </c>
      <c r="B313" s="11" t="n">
        <f aca="false">B312+1</f>
        <v>45238</v>
      </c>
      <c r="C313" s="10" t="n">
        <f aca="false">YEAR(B313)</f>
        <v>2023</v>
      </c>
      <c r="D313" s="10" t="n">
        <f aca="false">INT((MONTH(B313)-1)/3)+1</f>
        <v>4</v>
      </c>
      <c r="E313" s="10" t="n">
        <f aca="false">MONTH(B313)</f>
        <v>11</v>
      </c>
      <c r="F313" s="10" t="str">
        <f aca="false">CHOOSE(MOD(A313-1,5)+1,"Центр","Юг","Север","Запад","Восток")</f>
        <v>Юг</v>
      </c>
      <c r="G313" s="10" t="str">
        <f aca="false">"Округ_"&amp;(MOD(A313-1,5)+1)&amp;"_"&amp;(MOD(INT((A313-1)/5),5)+1)</f>
        <v>Округ_2_3</v>
      </c>
      <c r="H313" s="10" t="str">
        <f aca="false">"Город_"&amp;(MOD(A313-1,5)+1)&amp;"_"&amp;(MOD(INT((A313-1)/5),5)+1)&amp;"_"&amp;(MOD(INT((A313-1)/25),10)+1)</f>
        <v>Город_2_3_3</v>
      </c>
      <c r="I313" s="10" t="str">
        <f aca="false">CHOOSE(MOD(A313-1,4)+1,"Электроника","Одежда","Продукты","Мебель")</f>
        <v>Мебель</v>
      </c>
      <c r="J313" s="10" t="str">
        <f aca="false">CHOOSE(MOD(INT((A313-1)/4),4)+1,CHOOSE(MOD(A313-1,4)+1,"Смартфоны","Ноутбуки","Аксессуары","Аудио"),CHOOSE(MOD(A313-1,4)+1,"Верхняя одежда","Спортивная","Повседневная","Обувь"),CHOOSE(MOD(A313-1,4)+1,"Молочные","Мясные","Бакалея","Напитки"),CHOOSE(MOD(A313-1,4)+1,"Мягкая мебель","Корпусная","Офисная","Кухонная"))</f>
        <v>Обувь</v>
      </c>
      <c r="K313" s="12" t="n">
        <f aca="false">1000+MOD(A313*317+A313*A313*7,49001)</f>
        <v>46297</v>
      </c>
      <c r="L313" s="12" t="n">
        <f aca="false">1+MOD(A313*131,100)</f>
        <v>73</v>
      </c>
      <c r="M313" s="12" t="n">
        <f aca="false">INT(K313*(0.6+MOD(A313*43,21)/100))</f>
        <v>36111</v>
      </c>
      <c r="N313" s="12" t="n">
        <f aca="false">K313-M313</f>
        <v>10186</v>
      </c>
    </row>
    <row r="314" customFormat="false" ht="12.8" hidden="false" customHeight="false" outlineLevel="0" collapsed="false">
      <c r="A314" s="10" t="n">
        <f aca="false">A313+1</f>
        <v>313</v>
      </c>
      <c r="B314" s="11" t="n">
        <f aca="false">B313+1</f>
        <v>45239</v>
      </c>
      <c r="C314" s="10" t="n">
        <f aca="false">YEAR(B314)</f>
        <v>2023</v>
      </c>
      <c r="D314" s="10" t="n">
        <f aca="false">INT((MONTH(B314)-1)/3)+1</f>
        <v>4</v>
      </c>
      <c r="E314" s="10" t="n">
        <f aca="false">MONTH(B314)</f>
        <v>11</v>
      </c>
      <c r="F314" s="10" t="str">
        <f aca="false">CHOOSE(MOD(A314-1,5)+1,"Центр","Юг","Север","Запад","Восток")</f>
        <v>Север</v>
      </c>
      <c r="G314" s="10" t="str">
        <f aca="false">"Округ_"&amp;(MOD(A314-1,5)+1)&amp;"_"&amp;(MOD(INT((A314-1)/5),5)+1)</f>
        <v>Округ_3_3</v>
      </c>
      <c r="H314" s="10" t="str">
        <f aca="false">"Город_"&amp;(MOD(A314-1,5)+1)&amp;"_"&amp;(MOD(INT((A314-1)/5),5)+1)&amp;"_"&amp;(MOD(INT((A314-1)/25),10)+1)</f>
        <v>Город_3_3_3</v>
      </c>
      <c r="I314" s="10" t="str">
        <f aca="false">CHOOSE(MOD(A314-1,4)+1,"Электроника","Одежда","Продукты","Мебель")</f>
        <v>Электроника</v>
      </c>
      <c r="J314" s="10" t="str">
        <f aca="false">CHOOSE(MOD(INT((A314-1)/4),4)+1,CHOOSE(MOD(A314-1,4)+1,"Смартфоны","Ноутбуки","Аксессуары","Аудио"),CHOOSE(MOD(A314-1,4)+1,"Верхняя одежда","Спортивная","Повседневная","Обувь"),CHOOSE(MOD(A314-1,4)+1,"Молочные","Мясные","Бакалея","Напитки"),CHOOSE(MOD(A314-1,4)+1,"Мягкая мебель","Корпусная","Офисная","Кухонная"))</f>
        <v>Молочные</v>
      </c>
      <c r="K314" s="12" t="n">
        <f aca="false">1000+MOD(A314*317+A314*A314*7,49001)</f>
        <v>1988</v>
      </c>
      <c r="L314" s="12" t="n">
        <f aca="false">1+MOD(A314*131,100)</f>
        <v>4</v>
      </c>
      <c r="M314" s="12" t="n">
        <f aca="false">INT(K314*(0.6+MOD(A314*43,21)/100))</f>
        <v>1570</v>
      </c>
      <c r="N314" s="12" t="n">
        <f aca="false">K314-M314</f>
        <v>418</v>
      </c>
    </row>
    <row r="315" customFormat="false" ht="12.8" hidden="false" customHeight="false" outlineLevel="0" collapsed="false">
      <c r="A315" s="10" t="n">
        <f aca="false">A314+1</f>
        <v>314</v>
      </c>
      <c r="B315" s="11" t="n">
        <f aca="false">B314+1</f>
        <v>45240</v>
      </c>
      <c r="C315" s="10" t="n">
        <f aca="false">YEAR(B315)</f>
        <v>2023</v>
      </c>
      <c r="D315" s="10" t="n">
        <f aca="false">INT((MONTH(B315)-1)/3)+1</f>
        <v>4</v>
      </c>
      <c r="E315" s="10" t="n">
        <f aca="false">MONTH(B315)</f>
        <v>11</v>
      </c>
      <c r="F315" s="10" t="str">
        <f aca="false">CHOOSE(MOD(A315-1,5)+1,"Центр","Юг","Север","Запад","Восток")</f>
        <v>Запад</v>
      </c>
      <c r="G315" s="10" t="str">
        <f aca="false">"Округ_"&amp;(MOD(A315-1,5)+1)&amp;"_"&amp;(MOD(INT((A315-1)/5),5)+1)</f>
        <v>Округ_4_3</v>
      </c>
      <c r="H315" s="10" t="str">
        <f aca="false">"Город_"&amp;(MOD(A315-1,5)+1)&amp;"_"&amp;(MOD(INT((A315-1)/5),5)+1)&amp;"_"&amp;(MOD(INT((A315-1)/25),10)+1)</f>
        <v>Город_4_3_3</v>
      </c>
      <c r="I315" s="10" t="str">
        <f aca="false">CHOOSE(MOD(A315-1,4)+1,"Электроника","Одежда","Продукты","Мебель")</f>
        <v>Одежда</v>
      </c>
      <c r="J315" s="10" t="str">
        <f aca="false">CHOOSE(MOD(INT((A315-1)/4),4)+1,CHOOSE(MOD(A315-1,4)+1,"Смартфоны","Ноутбуки","Аксессуары","Аудио"),CHOOSE(MOD(A315-1,4)+1,"Верхняя одежда","Спортивная","Повседневная","Обувь"),CHOOSE(MOD(A315-1,4)+1,"Молочные","Мясные","Бакалея","Напитки"),CHOOSE(MOD(A315-1,4)+1,"Мягкая мебель","Корпусная","Офисная","Кухонная"))</f>
        <v>Мясные</v>
      </c>
      <c r="K315" s="12" t="n">
        <f aca="false">1000+MOD(A315*317+A315*A315*7,49001)</f>
        <v>6694</v>
      </c>
      <c r="L315" s="12" t="n">
        <f aca="false">1+MOD(A315*131,100)</f>
        <v>35</v>
      </c>
      <c r="M315" s="12" t="n">
        <f aca="false">INT(K315*(0.6+MOD(A315*43,21)/100))</f>
        <v>5355</v>
      </c>
      <c r="N315" s="12" t="n">
        <f aca="false">K315-M315</f>
        <v>1339</v>
      </c>
    </row>
    <row r="316" customFormat="false" ht="12.8" hidden="false" customHeight="false" outlineLevel="0" collapsed="false">
      <c r="A316" s="10" t="n">
        <f aca="false">A315+1</f>
        <v>315</v>
      </c>
      <c r="B316" s="11" t="n">
        <f aca="false">B315+1</f>
        <v>45241</v>
      </c>
      <c r="C316" s="10" t="n">
        <f aca="false">YEAR(B316)</f>
        <v>2023</v>
      </c>
      <c r="D316" s="10" t="n">
        <f aca="false">INT((MONTH(B316)-1)/3)+1</f>
        <v>4</v>
      </c>
      <c r="E316" s="10" t="n">
        <f aca="false">MONTH(B316)</f>
        <v>11</v>
      </c>
      <c r="F316" s="10" t="str">
        <f aca="false">CHOOSE(MOD(A316-1,5)+1,"Центр","Юг","Север","Запад","Восток")</f>
        <v>Восток</v>
      </c>
      <c r="G316" s="10" t="str">
        <f aca="false">"Округ_"&amp;(MOD(A316-1,5)+1)&amp;"_"&amp;(MOD(INT((A316-1)/5),5)+1)</f>
        <v>Округ_5_3</v>
      </c>
      <c r="H316" s="10" t="str">
        <f aca="false">"Город_"&amp;(MOD(A316-1,5)+1)&amp;"_"&amp;(MOD(INT((A316-1)/5),5)+1)&amp;"_"&amp;(MOD(INT((A316-1)/25),10)+1)</f>
        <v>Город_5_3_3</v>
      </c>
      <c r="I316" s="10" t="str">
        <f aca="false">CHOOSE(MOD(A316-1,4)+1,"Электроника","Одежда","Продукты","Мебель")</f>
        <v>Продукты</v>
      </c>
      <c r="J316" s="10" t="str">
        <f aca="false">CHOOSE(MOD(INT((A316-1)/4),4)+1,CHOOSE(MOD(A316-1,4)+1,"Смартфоны","Ноутбуки","Аксессуары","Аудио"),CHOOSE(MOD(A316-1,4)+1,"Верхняя одежда","Спортивная","Повседневная","Обувь"),CHOOSE(MOD(A316-1,4)+1,"Молочные","Мясные","Бакалея","Напитки"),CHOOSE(MOD(A316-1,4)+1,"Мягкая мебель","Корпусная","Офисная","Кухонная"))</f>
        <v>Бакалея</v>
      </c>
      <c r="K316" s="12" t="n">
        <f aca="false">1000+MOD(A316*317+A316*A316*7,49001)</f>
        <v>11414</v>
      </c>
      <c r="L316" s="12" t="n">
        <f aca="false">1+MOD(A316*131,100)</f>
        <v>66</v>
      </c>
      <c r="M316" s="12" t="n">
        <f aca="false">INT(K316*(0.6+MOD(A316*43,21)/100))</f>
        <v>6848</v>
      </c>
      <c r="N316" s="12" t="n">
        <f aca="false">K316-M316</f>
        <v>4566</v>
      </c>
    </row>
    <row r="317" customFormat="false" ht="12.8" hidden="false" customHeight="false" outlineLevel="0" collapsed="false">
      <c r="A317" s="10" t="n">
        <f aca="false">A316+1</f>
        <v>316</v>
      </c>
      <c r="B317" s="11" t="n">
        <f aca="false">B316+1</f>
        <v>45242</v>
      </c>
      <c r="C317" s="10" t="n">
        <f aca="false">YEAR(B317)</f>
        <v>2023</v>
      </c>
      <c r="D317" s="10" t="n">
        <f aca="false">INT((MONTH(B317)-1)/3)+1</f>
        <v>4</v>
      </c>
      <c r="E317" s="10" t="n">
        <f aca="false">MONTH(B317)</f>
        <v>11</v>
      </c>
      <c r="F317" s="10" t="str">
        <f aca="false">CHOOSE(MOD(A317-1,5)+1,"Центр","Юг","Север","Запад","Восток")</f>
        <v>Центр</v>
      </c>
      <c r="G317" s="10" t="str">
        <f aca="false">"Округ_"&amp;(MOD(A317-1,5)+1)&amp;"_"&amp;(MOD(INT((A317-1)/5),5)+1)</f>
        <v>Округ_1_4</v>
      </c>
      <c r="H317" s="10" t="str">
        <f aca="false">"Город_"&amp;(MOD(A317-1,5)+1)&amp;"_"&amp;(MOD(INT((A317-1)/5),5)+1)&amp;"_"&amp;(MOD(INT((A317-1)/25),10)+1)</f>
        <v>Город_1_4_3</v>
      </c>
      <c r="I317" s="10" t="str">
        <f aca="false">CHOOSE(MOD(A317-1,4)+1,"Электроника","Одежда","Продукты","Мебель")</f>
        <v>Мебель</v>
      </c>
      <c r="J317" s="10" t="str">
        <f aca="false">CHOOSE(MOD(INT((A317-1)/4),4)+1,CHOOSE(MOD(A317-1,4)+1,"Смартфоны","Ноутбуки","Аксессуары","Аудио"),CHOOSE(MOD(A317-1,4)+1,"Верхняя одежда","Спортивная","Повседневная","Обувь"),CHOOSE(MOD(A317-1,4)+1,"Молочные","Мясные","Бакалея","Напитки"),CHOOSE(MOD(A317-1,4)+1,"Мягкая мебель","Корпусная","Офисная","Кухонная"))</f>
        <v>Напитки</v>
      </c>
      <c r="K317" s="12" t="n">
        <f aca="false">1000+MOD(A317*317+A317*A317*7,49001)</f>
        <v>16148</v>
      </c>
      <c r="L317" s="12" t="n">
        <f aca="false">1+MOD(A317*131,100)</f>
        <v>97</v>
      </c>
      <c r="M317" s="12" t="n">
        <f aca="false">INT(K317*(0.6+MOD(A317*43,21)/100))</f>
        <v>9850</v>
      </c>
      <c r="N317" s="12" t="n">
        <f aca="false">K317-M317</f>
        <v>6298</v>
      </c>
    </row>
    <row r="318" customFormat="false" ht="12.8" hidden="false" customHeight="false" outlineLevel="0" collapsed="false">
      <c r="A318" s="10" t="n">
        <f aca="false">A317+1</f>
        <v>317</v>
      </c>
      <c r="B318" s="11" t="n">
        <f aca="false">B317+1</f>
        <v>45243</v>
      </c>
      <c r="C318" s="10" t="n">
        <f aca="false">YEAR(B318)</f>
        <v>2023</v>
      </c>
      <c r="D318" s="10" t="n">
        <f aca="false">INT((MONTH(B318)-1)/3)+1</f>
        <v>4</v>
      </c>
      <c r="E318" s="10" t="n">
        <f aca="false">MONTH(B318)</f>
        <v>11</v>
      </c>
      <c r="F318" s="10" t="str">
        <f aca="false">CHOOSE(MOD(A318-1,5)+1,"Центр","Юг","Север","Запад","Восток")</f>
        <v>Юг</v>
      </c>
      <c r="G318" s="10" t="str">
        <f aca="false">"Округ_"&amp;(MOD(A318-1,5)+1)&amp;"_"&amp;(MOD(INT((A318-1)/5),5)+1)</f>
        <v>Округ_2_4</v>
      </c>
      <c r="H318" s="10" t="str">
        <f aca="false">"Город_"&amp;(MOD(A318-1,5)+1)&amp;"_"&amp;(MOD(INT((A318-1)/5),5)+1)&amp;"_"&amp;(MOD(INT((A318-1)/25),10)+1)</f>
        <v>Город_2_4_3</v>
      </c>
      <c r="I318" s="10" t="str">
        <f aca="false">CHOOSE(MOD(A318-1,4)+1,"Электроника","Одежда","Продукты","Мебель")</f>
        <v>Электроника</v>
      </c>
      <c r="J318" s="10" t="str">
        <f aca="false">CHOOSE(MOD(INT((A318-1)/4),4)+1,CHOOSE(MOD(A318-1,4)+1,"Смартфоны","Ноутбуки","Аксессуары","Аудио"),CHOOSE(MOD(A318-1,4)+1,"Верхняя одежда","Спортивная","Повседневная","Обувь"),CHOOSE(MOD(A318-1,4)+1,"Молочные","Мясные","Бакалея","Напитки"),CHOOSE(MOD(A318-1,4)+1,"Мягкая мебель","Корпусная","Офисная","Кухонная"))</f>
        <v>Мягкая мебель</v>
      </c>
      <c r="K318" s="12" t="n">
        <f aca="false">1000+MOD(A318*317+A318*A318*7,49001)</f>
        <v>20896</v>
      </c>
      <c r="L318" s="12" t="n">
        <f aca="false">1+MOD(A318*131,100)</f>
        <v>28</v>
      </c>
      <c r="M318" s="12" t="n">
        <f aca="false">INT(K318*(0.6+MOD(A318*43,21)/100))</f>
        <v>12955</v>
      </c>
      <c r="N318" s="12" t="n">
        <f aca="false">K318-M318</f>
        <v>7941</v>
      </c>
    </row>
    <row r="319" customFormat="false" ht="12.8" hidden="false" customHeight="false" outlineLevel="0" collapsed="false">
      <c r="A319" s="10" t="n">
        <f aca="false">A318+1</f>
        <v>318</v>
      </c>
      <c r="B319" s="11" t="n">
        <f aca="false">B318+1</f>
        <v>45244</v>
      </c>
      <c r="C319" s="10" t="n">
        <f aca="false">YEAR(B319)</f>
        <v>2023</v>
      </c>
      <c r="D319" s="10" t="n">
        <f aca="false">INT((MONTH(B319)-1)/3)+1</f>
        <v>4</v>
      </c>
      <c r="E319" s="10" t="n">
        <f aca="false">MONTH(B319)</f>
        <v>11</v>
      </c>
      <c r="F319" s="10" t="str">
        <f aca="false">CHOOSE(MOD(A319-1,5)+1,"Центр","Юг","Север","Запад","Восток")</f>
        <v>Север</v>
      </c>
      <c r="G319" s="10" t="str">
        <f aca="false">"Округ_"&amp;(MOD(A319-1,5)+1)&amp;"_"&amp;(MOD(INT((A319-1)/5),5)+1)</f>
        <v>Округ_3_4</v>
      </c>
      <c r="H319" s="10" t="str">
        <f aca="false">"Город_"&amp;(MOD(A319-1,5)+1)&amp;"_"&amp;(MOD(INT((A319-1)/5),5)+1)&amp;"_"&amp;(MOD(INT((A319-1)/25),10)+1)</f>
        <v>Город_3_4_3</v>
      </c>
      <c r="I319" s="10" t="str">
        <f aca="false">CHOOSE(MOD(A319-1,4)+1,"Электроника","Одежда","Продукты","Мебель")</f>
        <v>Одежда</v>
      </c>
      <c r="J319" s="10" t="str">
        <f aca="false">CHOOSE(MOD(INT((A319-1)/4),4)+1,CHOOSE(MOD(A319-1,4)+1,"Смартфоны","Ноутбуки","Аксессуары","Аудио"),CHOOSE(MOD(A319-1,4)+1,"Верхняя одежда","Спортивная","Повседневная","Обувь"),CHOOSE(MOD(A319-1,4)+1,"Молочные","Мясные","Бакалея","Напитки"),CHOOSE(MOD(A319-1,4)+1,"Мягкая мебель","Корпусная","Офисная","Кухонная"))</f>
        <v>Корпусная</v>
      </c>
      <c r="K319" s="12" t="n">
        <f aca="false">1000+MOD(A319*317+A319*A319*7,49001)</f>
        <v>25658</v>
      </c>
      <c r="L319" s="12" t="n">
        <f aca="false">1+MOD(A319*131,100)</f>
        <v>59</v>
      </c>
      <c r="M319" s="12" t="n">
        <f aca="false">INT(K319*(0.6+MOD(A319*43,21)/100))</f>
        <v>16164</v>
      </c>
      <c r="N319" s="12" t="n">
        <f aca="false">K319-M319</f>
        <v>9494</v>
      </c>
    </row>
    <row r="320" customFormat="false" ht="12.8" hidden="false" customHeight="false" outlineLevel="0" collapsed="false">
      <c r="A320" s="10" t="n">
        <f aca="false">A319+1</f>
        <v>319</v>
      </c>
      <c r="B320" s="11" t="n">
        <f aca="false">B319+1</f>
        <v>45245</v>
      </c>
      <c r="C320" s="10" t="n">
        <f aca="false">YEAR(B320)</f>
        <v>2023</v>
      </c>
      <c r="D320" s="10" t="n">
        <f aca="false">INT((MONTH(B320)-1)/3)+1</f>
        <v>4</v>
      </c>
      <c r="E320" s="10" t="n">
        <f aca="false">MONTH(B320)</f>
        <v>11</v>
      </c>
      <c r="F320" s="10" t="str">
        <f aca="false">CHOOSE(MOD(A320-1,5)+1,"Центр","Юг","Север","Запад","Восток")</f>
        <v>Запад</v>
      </c>
      <c r="G320" s="10" t="str">
        <f aca="false">"Округ_"&amp;(MOD(A320-1,5)+1)&amp;"_"&amp;(MOD(INT((A320-1)/5),5)+1)</f>
        <v>Округ_4_4</v>
      </c>
      <c r="H320" s="10" t="str">
        <f aca="false">"Город_"&amp;(MOD(A320-1,5)+1)&amp;"_"&amp;(MOD(INT((A320-1)/5),5)+1)&amp;"_"&amp;(MOD(INT((A320-1)/25),10)+1)</f>
        <v>Город_4_4_3</v>
      </c>
      <c r="I320" s="10" t="str">
        <f aca="false">CHOOSE(MOD(A320-1,4)+1,"Электроника","Одежда","Продукты","Мебель")</f>
        <v>Продукты</v>
      </c>
      <c r="J320" s="10" t="str">
        <f aca="false">CHOOSE(MOD(INT((A320-1)/4),4)+1,CHOOSE(MOD(A320-1,4)+1,"Смартфоны","Ноутбуки","Аксессуары","Аудио"),CHOOSE(MOD(A320-1,4)+1,"Верхняя одежда","Спортивная","Повседневная","Обувь"),CHOOSE(MOD(A320-1,4)+1,"Молочные","Мясные","Бакалея","Напитки"),CHOOSE(MOD(A320-1,4)+1,"Мягкая мебель","Корпусная","Офисная","Кухонная"))</f>
        <v>Офисная</v>
      </c>
      <c r="K320" s="12" t="n">
        <f aca="false">1000+MOD(A320*317+A320*A320*7,49001)</f>
        <v>30434</v>
      </c>
      <c r="L320" s="12" t="n">
        <f aca="false">1+MOD(A320*131,100)</f>
        <v>90</v>
      </c>
      <c r="M320" s="12" t="n">
        <f aca="false">INT(K320*(0.6+MOD(A320*43,21)/100))</f>
        <v>19477</v>
      </c>
      <c r="N320" s="12" t="n">
        <f aca="false">K320-M320</f>
        <v>10957</v>
      </c>
    </row>
    <row r="321" customFormat="false" ht="12.8" hidden="false" customHeight="false" outlineLevel="0" collapsed="false">
      <c r="A321" s="10" t="n">
        <f aca="false">A320+1</f>
        <v>320</v>
      </c>
      <c r="B321" s="11" t="n">
        <f aca="false">B320+1</f>
        <v>45246</v>
      </c>
      <c r="C321" s="10" t="n">
        <f aca="false">YEAR(B321)</f>
        <v>2023</v>
      </c>
      <c r="D321" s="10" t="n">
        <f aca="false">INT((MONTH(B321)-1)/3)+1</f>
        <v>4</v>
      </c>
      <c r="E321" s="10" t="n">
        <f aca="false">MONTH(B321)</f>
        <v>11</v>
      </c>
      <c r="F321" s="10" t="str">
        <f aca="false">CHOOSE(MOD(A321-1,5)+1,"Центр","Юг","Север","Запад","Восток")</f>
        <v>Восток</v>
      </c>
      <c r="G321" s="10" t="str">
        <f aca="false">"Округ_"&amp;(MOD(A321-1,5)+1)&amp;"_"&amp;(MOD(INT((A321-1)/5),5)+1)</f>
        <v>Округ_5_4</v>
      </c>
      <c r="H321" s="10" t="str">
        <f aca="false">"Город_"&amp;(MOD(A321-1,5)+1)&amp;"_"&amp;(MOD(INT((A321-1)/5),5)+1)&amp;"_"&amp;(MOD(INT((A321-1)/25),10)+1)</f>
        <v>Город_5_4_3</v>
      </c>
      <c r="I321" s="10" t="str">
        <f aca="false">CHOOSE(MOD(A321-1,4)+1,"Электроника","Одежда","Продукты","Мебель")</f>
        <v>Мебель</v>
      </c>
      <c r="J321" s="10" t="str">
        <f aca="false">CHOOSE(MOD(INT((A321-1)/4),4)+1,CHOOSE(MOD(A321-1,4)+1,"Смартфоны","Ноутбуки","Аксессуары","Аудио"),CHOOSE(MOD(A321-1,4)+1,"Верхняя одежда","Спортивная","Повседневная","Обувь"),CHOOSE(MOD(A321-1,4)+1,"Молочные","Мясные","Бакалея","Напитки"),CHOOSE(MOD(A321-1,4)+1,"Мягкая мебель","Корпусная","Офисная","Кухонная"))</f>
        <v>Кухонная</v>
      </c>
      <c r="K321" s="12" t="n">
        <f aca="false">1000+MOD(A321*317+A321*A321*7,49001)</f>
        <v>35224</v>
      </c>
      <c r="L321" s="12" t="n">
        <f aca="false">1+MOD(A321*131,100)</f>
        <v>21</v>
      </c>
      <c r="M321" s="12" t="n">
        <f aca="false">INT(K321*(0.6+MOD(A321*43,21)/100))</f>
        <v>22895</v>
      </c>
      <c r="N321" s="12" t="n">
        <f aca="false">K321-M321</f>
        <v>12329</v>
      </c>
    </row>
    <row r="322" customFormat="false" ht="12.8" hidden="false" customHeight="false" outlineLevel="0" collapsed="false">
      <c r="A322" s="10" t="n">
        <f aca="false">A321+1</f>
        <v>321</v>
      </c>
      <c r="B322" s="11" t="n">
        <f aca="false">B321+1</f>
        <v>45247</v>
      </c>
      <c r="C322" s="10" t="n">
        <f aca="false">YEAR(B322)</f>
        <v>2023</v>
      </c>
      <c r="D322" s="10" t="n">
        <f aca="false">INT((MONTH(B322)-1)/3)+1</f>
        <v>4</v>
      </c>
      <c r="E322" s="10" t="n">
        <f aca="false">MONTH(B322)</f>
        <v>11</v>
      </c>
      <c r="F322" s="10" t="str">
        <f aca="false">CHOOSE(MOD(A322-1,5)+1,"Центр","Юг","Север","Запад","Восток")</f>
        <v>Центр</v>
      </c>
      <c r="G322" s="10" t="str">
        <f aca="false">"Округ_"&amp;(MOD(A322-1,5)+1)&amp;"_"&amp;(MOD(INT((A322-1)/5),5)+1)</f>
        <v>Округ_1_5</v>
      </c>
      <c r="H322" s="10" t="str">
        <f aca="false">"Город_"&amp;(MOD(A322-1,5)+1)&amp;"_"&amp;(MOD(INT((A322-1)/5),5)+1)&amp;"_"&amp;(MOD(INT((A322-1)/25),10)+1)</f>
        <v>Город_1_5_3</v>
      </c>
      <c r="I322" s="10" t="str">
        <f aca="false">CHOOSE(MOD(A322-1,4)+1,"Электроника","Одежда","Продукты","Мебель")</f>
        <v>Электроника</v>
      </c>
      <c r="J322" s="10" t="str">
        <f aca="false">CHOOSE(MOD(INT((A322-1)/4),4)+1,CHOOSE(MOD(A322-1,4)+1,"Смартфоны","Ноутбуки","Аксессуары","Аудио"),CHOOSE(MOD(A322-1,4)+1,"Верхняя одежда","Спортивная","Повседневная","Обувь"),CHOOSE(MOD(A322-1,4)+1,"Молочные","Мясные","Бакалея","Напитки"),CHOOSE(MOD(A322-1,4)+1,"Мягкая мебель","Корпусная","Офисная","Кухонная"))</f>
        <v>Смартфоны</v>
      </c>
      <c r="K322" s="12" t="n">
        <f aca="false">1000+MOD(A322*317+A322*A322*7,49001)</f>
        <v>40028</v>
      </c>
      <c r="L322" s="12" t="n">
        <f aca="false">1+MOD(A322*131,100)</f>
        <v>52</v>
      </c>
      <c r="M322" s="12" t="n">
        <f aca="false">INT(K322*(0.6+MOD(A322*43,21)/100))</f>
        <v>26418</v>
      </c>
      <c r="N322" s="12" t="n">
        <f aca="false">K322-M322</f>
        <v>13610</v>
      </c>
    </row>
    <row r="323" customFormat="false" ht="12.8" hidden="false" customHeight="false" outlineLevel="0" collapsed="false">
      <c r="A323" s="10" t="n">
        <f aca="false">A322+1</f>
        <v>322</v>
      </c>
      <c r="B323" s="11" t="n">
        <f aca="false">B322+1</f>
        <v>45248</v>
      </c>
      <c r="C323" s="10" t="n">
        <f aca="false">YEAR(B323)</f>
        <v>2023</v>
      </c>
      <c r="D323" s="10" t="n">
        <f aca="false">INT((MONTH(B323)-1)/3)+1</f>
        <v>4</v>
      </c>
      <c r="E323" s="10" t="n">
        <f aca="false">MONTH(B323)</f>
        <v>11</v>
      </c>
      <c r="F323" s="10" t="str">
        <f aca="false">CHOOSE(MOD(A323-1,5)+1,"Центр","Юг","Север","Запад","Восток")</f>
        <v>Юг</v>
      </c>
      <c r="G323" s="10" t="str">
        <f aca="false">"Округ_"&amp;(MOD(A323-1,5)+1)&amp;"_"&amp;(MOD(INT((A323-1)/5),5)+1)</f>
        <v>Округ_2_5</v>
      </c>
      <c r="H323" s="10" t="str">
        <f aca="false">"Город_"&amp;(MOD(A323-1,5)+1)&amp;"_"&amp;(MOD(INT((A323-1)/5),5)+1)&amp;"_"&amp;(MOD(INT((A323-1)/25),10)+1)</f>
        <v>Город_2_5_3</v>
      </c>
      <c r="I323" s="10" t="str">
        <f aca="false">CHOOSE(MOD(A323-1,4)+1,"Электроника","Одежда","Продукты","Мебель")</f>
        <v>Одежда</v>
      </c>
      <c r="J323" s="10" t="str">
        <f aca="false">CHOOSE(MOD(INT((A323-1)/4),4)+1,CHOOSE(MOD(A323-1,4)+1,"Смартфоны","Ноутбуки","Аксессуары","Аудио"),CHOOSE(MOD(A323-1,4)+1,"Верхняя одежда","Спортивная","Повседневная","Обувь"),CHOOSE(MOD(A323-1,4)+1,"Молочные","Мясные","Бакалея","Напитки"),CHOOSE(MOD(A323-1,4)+1,"Мягкая мебель","Корпусная","Офисная","Кухонная"))</f>
        <v>Ноутбуки</v>
      </c>
      <c r="K323" s="12" t="n">
        <f aca="false">1000+MOD(A323*317+A323*A323*7,49001)</f>
        <v>44846</v>
      </c>
      <c r="L323" s="12" t="n">
        <f aca="false">1+MOD(A323*131,100)</f>
        <v>83</v>
      </c>
      <c r="M323" s="12" t="n">
        <f aca="false">INT(K323*(0.6+MOD(A323*43,21)/100))</f>
        <v>30046</v>
      </c>
      <c r="N323" s="12" t="n">
        <f aca="false">K323-M323</f>
        <v>14800</v>
      </c>
    </row>
    <row r="324" customFormat="false" ht="12.8" hidden="false" customHeight="false" outlineLevel="0" collapsed="false">
      <c r="A324" s="10" t="n">
        <f aca="false">A323+1</f>
        <v>323</v>
      </c>
      <c r="B324" s="11" t="n">
        <f aca="false">B323+1</f>
        <v>45249</v>
      </c>
      <c r="C324" s="10" t="n">
        <f aca="false">YEAR(B324)</f>
        <v>2023</v>
      </c>
      <c r="D324" s="10" t="n">
        <f aca="false">INT((MONTH(B324)-1)/3)+1</f>
        <v>4</v>
      </c>
      <c r="E324" s="10" t="n">
        <f aca="false">MONTH(B324)</f>
        <v>11</v>
      </c>
      <c r="F324" s="10" t="str">
        <f aca="false">CHOOSE(MOD(A324-1,5)+1,"Центр","Юг","Север","Запад","Восток")</f>
        <v>Север</v>
      </c>
      <c r="G324" s="10" t="str">
        <f aca="false">"Округ_"&amp;(MOD(A324-1,5)+1)&amp;"_"&amp;(MOD(INT((A324-1)/5),5)+1)</f>
        <v>Округ_3_5</v>
      </c>
      <c r="H324" s="10" t="str">
        <f aca="false">"Город_"&amp;(MOD(A324-1,5)+1)&amp;"_"&amp;(MOD(INT((A324-1)/5),5)+1)&amp;"_"&amp;(MOD(INT((A324-1)/25),10)+1)</f>
        <v>Город_3_5_3</v>
      </c>
      <c r="I324" s="10" t="str">
        <f aca="false">CHOOSE(MOD(A324-1,4)+1,"Электроника","Одежда","Продукты","Мебель")</f>
        <v>Продукты</v>
      </c>
      <c r="J324" s="10" t="str">
        <f aca="false">CHOOSE(MOD(INT((A324-1)/4),4)+1,CHOOSE(MOD(A324-1,4)+1,"Смартфоны","Ноутбуки","Аксессуары","Аудио"),CHOOSE(MOD(A324-1,4)+1,"Верхняя одежда","Спортивная","Повседневная","Обувь"),CHOOSE(MOD(A324-1,4)+1,"Молочные","Мясные","Бакалея","Напитки"),CHOOSE(MOD(A324-1,4)+1,"Мягкая мебель","Корпусная","Офисная","Кухонная"))</f>
        <v>Аксессуары</v>
      </c>
      <c r="K324" s="12" t="n">
        <f aca="false">1000+MOD(A324*317+A324*A324*7,49001)</f>
        <v>49678</v>
      </c>
      <c r="L324" s="12" t="n">
        <f aca="false">1+MOD(A324*131,100)</f>
        <v>14</v>
      </c>
      <c r="M324" s="12" t="n">
        <f aca="false">INT(K324*(0.6+MOD(A324*43,21)/100))</f>
        <v>33781</v>
      </c>
      <c r="N324" s="12" t="n">
        <f aca="false">K324-M324</f>
        <v>15897</v>
      </c>
    </row>
    <row r="325" customFormat="false" ht="12.8" hidden="false" customHeight="false" outlineLevel="0" collapsed="false">
      <c r="A325" s="10" t="n">
        <f aca="false">A324+1</f>
        <v>324</v>
      </c>
      <c r="B325" s="11" t="n">
        <f aca="false">B324+1</f>
        <v>45250</v>
      </c>
      <c r="C325" s="10" t="n">
        <f aca="false">YEAR(B325)</f>
        <v>2023</v>
      </c>
      <c r="D325" s="10" t="n">
        <f aca="false">INT((MONTH(B325)-1)/3)+1</f>
        <v>4</v>
      </c>
      <c r="E325" s="10" t="n">
        <f aca="false">MONTH(B325)</f>
        <v>11</v>
      </c>
      <c r="F325" s="10" t="str">
        <f aca="false">CHOOSE(MOD(A325-1,5)+1,"Центр","Юг","Север","Запад","Восток")</f>
        <v>Запад</v>
      </c>
      <c r="G325" s="10" t="str">
        <f aca="false">"Округ_"&amp;(MOD(A325-1,5)+1)&amp;"_"&amp;(MOD(INT((A325-1)/5),5)+1)</f>
        <v>Округ_4_5</v>
      </c>
      <c r="H325" s="10" t="str">
        <f aca="false">"Город_"&amp;(MOD(A325-1,5)+1)&amp;"_"&amp;(MOD(INT((A325-1)/5),5)+1)&amp;"_"&amp;(MOD(INT((A325-1)/25),10)+1)</f>
        <v>Город_4_5_3</v>
      </c>
      <c r="I325" s="10" t="str">
        <f aca="false">CHOOSE(MOD(A325-1,4)+1,"Электроника","Одежда","Продукты","Мебель")</f>
        <v>Мебель</v>
      </c>
      <c r="J325" s="10" t="str">
        <f aca="false">CHOOSE(MOD(INT((A325-1)/4),4)+1,CHOOSE(MOD(A325-1,4)+1,"Смартфоны","Ноутбуки","Аксессуары","Аудио"),CHOOSE(MOD(A325-1,4)+1,"Верхняя одежда","Спортивная","Повседневная","Обувь"),CHOOSE(MOD(A325-1,4)+1,"Молочные","Мясные","Бакалея","Напитки"),CHOOSE(MOD(A325-1,4)+1,"Мягкая мебель","Корпусная","Офисная","Кухонная"))</f>
        <v>Аудио</v>
      </c>
      <c r="K325" s="12" t="n">
        <f aca="false">1000+MOD(A325*317+A325*A325*7,49001)</f>
        <v>5523</v>
      </c>
      <c r="L325" s="12" t="n">
        <f aca="false">1+MOD(A325*131,100)</f>
        <v>45</v>
      </c>
      <c r="M325" s="12" t="n">
        <f aca="false">INT(K325*(0.6+MOD(A325*43,21)/100))</f>
        <v>3810</v>
      </c>
      <c r="N325" s="12" t="n">
        <f aca="false">K325-M325</f>
        <v>1713</v>
      </c>
    </row>
    <row r="326" customFormat="false" ht="12.8" hidden="false" customHeight="false" outlineLevel="0" collapsed="false">
      <c r="A326" s="10" t="n">
        <f aca="false">A325+1</f>
        <v>325</v>
      </c>
      <c r="B326" s="11" t="n">
        <f aca="false">B325+1</f>
        <v>45251</v>
      </c>
      <c r="C326" s="10" t="n">
        <f aca="false">YEAR(B326)</f>
        <v>2023</v>
      </c>
      <c r="D326" s="10" t="n">
        <f aca="false">INT((MONTH(B326)-1)/3)+1</f>
        <v>4</v>
      </c>
      <c r="E326" s="10" t="n">
        <f aca="false">MONTH(B326)</f>
        <v>11</v>
      </c>
      <c r="F326" s="10" t="str">
        <f aca="false">CHOOSE(MOD(A326-1,5)+1,"Центр","Юг","Север","Запад","Восток")</f>
        <v>Восток</v>
      </c>
      <c r="G326" s="10" t="str">
        <f aca="false">"Округ_"&amp;(MOD(A326-1,5)+1)&amp;"_"&amp;(MOD(INT((A326-1)/5),5)+1)</f>
        <v>Округ_5_5</v>
      </c>
      <c r="H326" s="10" t="str">
        <f aca="false">"Город_"&amp;(MOD(A326-1,5)+1)&amp;"_"&amp;(MOD(INT((A326-1)/5),5)+1)&amp;"_"&amp;(MOD(INT((A326-1)/25),10)+1)</f>
        <v>Город_5_5_3</v>
      </c>
      <c r="I326" s="10" t="str">
        <f aca="false">CHOOSE(MOD(A326-1,4)+1,"Электроника","Одежда","Продукты","Мебель")</f>
        <v>Электроника</v>
      </c>
      <c r="J326" s="10" t="str">
        <f aca="false">CHOOSE(MOD(INT((A326-1)/4),4)+1,CHOOSE(MOD(A326-1,4)+1,"Смартфоны","Ноутбуки","Аксессуары","Аудио"),CHOOSE(MOD(A326-1,4)+1,"Верхняя одежда","Спортивная","Повседневная","Обувь"),CHOOSE(MOD(A326-1,4)+1,"Молочные","Мясные","Бакалея","Напитки"),CHOOSE(MOD(A326-1,4)+1,"Мягкая мебель","Корпусная","Офисная","Кухонная"))</f>
        <v>Верхняя одежда</v>
      </c>
      <c r="K326" s="12" t="n">
        <f aca="false">1000+MOD(A326*317+A326*A326*7,49001)</f>
        <v>10383</v>
      </c>
      <c r="L326" s="12" t="n">
        <f aca="false">1+MOD(A326*131,100)</f>
        <v>76</v>
      </c>
      <c r="M326" s="12" t="n">
        <f aca="false">INT(K326*(0.6+MOD(A326*43,21)/100))</f>
        <v>7268</v>
      </c>
      <c r="N326" s="12" t="n">
        <f aca="false">K326-M326</f>
        <v>3115</v>
      </c>
    </row>
    <row r="327" customFormat="false" ht="12.8" hidden="false" customHeight="false" outlineLevel="0" collapsed="false">
      <c r="A327" s="10" t="n">
        <f aca="false">A326+1</f>
        <v>326</v>
      </c>
      <c r="B327" s="11" t="n">
        <f aca="false">B326+1</f>
        <v>45252</v>
      </c>
      <c r="C327" s="10" t="n">
        <f aca="false">YEAR(B327)</f>
        <v>2023</v>
      </c>
      <c r="D327" s="10" t="n">
        <f aca="false">INT((MONTH(B327)-1)/3)+1</f>
        <v>4</v>
      </c>
      <c r="E327" s="10" t="n">
        <f aca="false">MONTH(B327)</f>
        <v>11</v>
      </c>
      <c r="F327" s="10" t="str">
        <f aca="false">CHOOSE(MOD(A327-1,5)+1,"Центр","Юг","Север","Запад","Восток")</f>
        <v>Центр</v>
      </c>
      <c r="G327" s="10" t="str">
        <f aca="false">"Округ_"&amp;(MOD(A327-1,5)+1)&amp;"_"&amp;(MOD(INT((A327-1)/5),5)+1)</f>
        <v>Округ_1_1</v>
      </c>
      <c r="H327" s="10" t="str">
        <f aca="false">"Город_"&amp;(MOD(A327-1,5)+1)&amp;"_"&amp;(MOD(INT((A327-1)/5),5)+1)&amp;"_"&amp;(MOD(INT((A327-1)/25),10)+1)</f>
        <v>Город_1_1_4</v>
      </c>
      <c r="I327" s="10" t="str">
        <f aca="false">CHOOSE(MOD(A327-1,4)+1,"Электроника","Одежда","Продукты","Мебель")</f>
        <v>Одежда</v>
      </c>
      <c r="J327" s="10" t="str">
        <f aca="false">CHOOSE(MOD(INT((A327-1)/4),4)+1,CHOOSE(MOD(A327-1,4)+1,"Смартфоны","Ноутбуки","Аксессуары","Аудио"),CHOOSE(MOD(A327-1,4)+1,"Верхняя одежда","Спортивная","Повседневная","Обувь"),CHOOSE(MOD(A327-1,4)+1,"Молочные","Мясные","Бакалея","Напитки"),CHOOSE(MOD(A327-1,4)+1,"Мягкая мебель","Корпусная","Офисная","Кухонная"))</f>
        <v>Спортивная</v>
      </c>
      <c r="K327" s="12" t="n">
        <f aca="false">1000+MOD(A327*317+A327*A327*7,49001)</f>
        <v>15257</v>
      </c>
      <c r="L327" s="12" t="n">
        <f aca="false">1+MOD(A327*131,100)</f>
        <v>7</v>
      </c>
      <c r="M327" s="12" t="n">
        <f aca="false">INT(K327*(0.6+MOD(A327*43,21)/100))</f>
        <v>10832</v>
      </c>
      <c r="N327" s="12" t="n">
        <f aca="false">K327-M327</f>
        <v>4425</v>
      </c>
    </row>
    <row r="328" customFormat="false" ht="12.8" hidden="false" customHeight="false" outlineLevel="0" collapsed="false">
      <c r="A328" s="10" t="n">
        <f aca="false">A327+1</f>
        <v>327</v>
      </c>
      <c r="B328" s="11" t="n">
        <f aca="false">B327+1</f>
        <v>45253</v>
      </c>
      <c r="C328" s="10" t="n">
        <f aca="false">YEAR(B328)</f>
        <v>2023</v>
      </c>
      <c r="D328" s="10" t="n">
        <f aca="false">INT((MONTH(B328)-1)/3)+1</f>
        <v>4</v>
      </c>
      <c r="E328" s="10" t="n">
        <f aca="false">MONTH(B328)</f>
        <v>11</v>
      </c>
      <c r="F328" s="10" t="str">
        <f aca="false">CHOOSE(MOD(A328-1,5)+1,"Центр","Юг","Север","Запад","Восток")</f>
        <v>Юг</v>
      </c>
      <c r="G328" s="10" t="str">
        <f aca="false">"Округ_"&amp;(MOD(A328-1,5)+1)&amp;"_"&amp;(MOD(INT((A328-1)/5),5)+1)</f>
        <v>Округ_2_1</v>
      </c>
      <c r="H328" s="10" t="str">
        <f aca="false">"Город_"&amp;(MOD(A328-1,5)+1)&amp;"_"&amp;(MOD(INT((A328-1)/5),5)+1)&amp;"_"&amp;(MOD(INT((A328-1)/25),10)+1)</f>
        <v>Город_2_1_4</v>
      </c>
      <c r="I328" s="10" t="str">
        <f aca="false">CHOOSE(MOD(A328-1,4)+1,"Электроника","Одежда","Продукты","Мебель")</f>
        <v>Продукты</v>
      </c>
      <c r="J328" s="10" t="str">
        <f aca="false">CHOOSE(MOD(INT((A328-1)/4),4)+1,CHOOSE(MOD(A328-1,4)+1,"Смартфоны","Ноутбуки","Аксессуары","Аудио"),CHOOSE(MOD(A328-1,4)+1,"Верхняя одежда","Спортивная","Повседневная","Обувь"),CHOOSE(MOD(A328-1,4)+1,"Молочные","Мясные","Бакалея","Напитки"),CHOOSE(MOD(A328-1,4)+1,"Мягкая мебель","Корпусная","Офисная","Кухонная"))</f>
        <v>Повседневная</v>
      </c>
      <c r="K328" s="12" t="n">
        <f aca="false">1000+MOD(A328*317+A328*A328*7,49001)</f>
        <v>20145</v>
      </c>
      <c r="L328" s="12" t="n">
        <f aca="false">1+MOD(A328*131,100)</f>
        <v>38</v>
      </c>
      <c r="M328" s="12" t="n">
        <f aca="false">INT(K328*(0.6+MOD(A328*43,21)/100))</f>
        <v>14504</v>
      </c>
      <c r="N328" s="12" t="n">
        <f aca="false">K328-M328</f>
        <v>5641</v>
      </c>
    </row>
    <row r="329" customFormat="false" ht="12.8" hidden="false" customHeight="false" outlineLevel="0" collapsed="false">
      <c r="A329" s="10" t="n">
        <f aca="false">A328+1</f>
        <v>328</v>
      </c>
      <c r="B329" s="11" t="n">
        <f aca="false">B328+1</f>
        <v>45254</v>
      </c>
      <c r="C329" s="10" t="n">
        <f aca="false">YEAR(B329)</f>
        <v>2023</v>
      </c>
      <c r="D329" s="10" t="n">
        <f aca="false">INT((MONTH(B329)-1)/3)+1</f>
        <v>4</v>
      </c>
      <c r="E329" s="10" t="n">
        <f aca="false">MONTH(B329)</f>
        <v>11</v>
      </c>
      <c r="F329" s="10" t="str">
        <f aca="false">CHOOSE(MOD(A329-1,5)+1,"Центр","Юг","Север","Запад","Восток")</f>
        <v>Север</v>
      </c>
      <c r="G329" s="10" t="str">
        <f aca="false">"Округ_"&amp;(MOD(A329-1,5)+1)&amp;"_"&amp;(MOD(INT((A329-1)/5),5)+1)</f>
        <v>Округ_3_1</v>
      </c>
      <c r="H329" s="10" t="str">
        <f aca="false">"Город_"&amp;(MOD(A329-1,5)+1)&amp;"_"&amp;(MOD(INT((A329-1)/5),5)+1)&amp;"_"&amp;(MOD(INT((A329-1)/25),10)+1)</f>
        <v>Город_3_1_4</v>
      </c>
      <c r="I329" s="10" t="str">
        <f aca="false">CHOOSE(MOD(A329-1,4)+1,"Электроника","Одежда","Продукты","Мебель")</f>
        <v>Мебель</v>
      </c>
      <c r="J329" s="10" t="str">
        <f aca="false">CHOOSE(MOD(INT((A329-1)/4),4)+1,CHOOSE(MOD(A329-1,4)+1,"Смартфоны","Ноутбуки","Аксессуары","Аудио"),CHOOSE(MOD(A329-1,4)+1,"Верхняя одежда","Спортивная","Повседневная","Обувь"),CHOOSE(MOD(A329-1,4)+1,"Молочные","Мясные","Бакалея","Напитки"),CHOOSE(MOD(A329-1,4)+1,"Мягкая мебель","Корпусная","Офисная","Кухонная"))</f>
        <v>Обувь</v>
      </c>
      <c r="K329" s="12" t="n">
        <f aca="false">1000+MOD(A329*317+A329*A329*7,49001)</f>
        <v>25047</v>
      </c>
      <c r="L329" s="12" t="n">
        <f aca="false">1+MOD(A329*131,100)</f>
        <v>69</v>
      </c>
      <c r="M329" s="12" t="n">
        <f aca="false">INT(K329*(0.6+MOD(A329*43,21)/100))</f>
        <v>18284</v>
      </c>
      <c r="N329" s="12" t="n">
        <f aca="false">K329-M329</f>
        <v>6763</v>
      </c>
    </row>
    <row r="330" customFormat="false" ht="12.8" hidden="false" customHeight="false" outlineLevel="0" collapsed="false">
      <c r="A330" s="10" t="n">
        <f aca="false">A329+1</f>
        <v>329</v>
      </c>
      <c r="B330" s="11" t="n">
        <f aca="false">B329+1</f>
        <v>45255</v>
      </c>
      <c r="C330" s="10" t="n">
        <f aca="false">YEAR(B330)</f>
        <v>2023</v>
      </c>
      <c r="D330" s="10" t="n">
        <f aca="false">INT((MONTH(B330)-1)/3)+1</f>
        <v>4</v>
      </c>
      <c r="E330" s="10" t="n">
        <f aca="false">MONTH(B330)</f>
        <v>11</v>
      </c>
      <c r="F330" s="10" t="str">
        <f aca="false">CHOOSE(MOD(A330-1,5)+1,"Центр","Юг","Север","Запад","Восток")</f>
        <v>Запад</v>
      </c>
      <c r="G330" s="10" t="str">
        <f aca="false">"Округ_"&amp;(MOD(A330-1,5)+1)&amp;"_"&amp;(MOD(INT((A330-1)/5),5)+1)</f>
        <v>Округ_4_1</v>
      </c>
      <c r="H330" s="10" t="str">
        <f aca="false">"Город_"&amp;(MOD(A330-1,5)+1)&amp;"_"&amp;(MOD(INT((A330-1)/5),5)+1)&amp;"_"&amp;(MOD(INT((A330-1)/25),10)+1)</f>
        <v>Город_4_1_4</v>
      </c>
      <c r="I330" s="10" t="str">
        <f aca="false">CHOOSE(MOD(A330-1,4)+1,"Электроника","Одежда","Продукты","Мебель")</f>
        <v>Электроника</v>
      </c>
      <c r="J330" s="10" t="str">
        <f aca="false">CHOOSE(MOD(INT((A330-1)/4),4)+1,CHOOSE(MOD(A330-1,4)+1,"Смартфоны","Ноутбуки","Аксессуары","Аудио"),CHOOSE(MOD(A330-1,4)+1,"Верхняя одежда","Спортивная","Повседневная","Обувь"),CHOOSE(MOD(A330-1,4)+1,"Молочные","Мясные","Бакалея","Напитки"),CHOOSE(MOD(A330-1,4)+1,"Мягкая мебель","Корпусная","Офисная","Кухонная"))</f>
        <v>Молочные</v>
      </c>
      <c r="K330" s="12" t="n">
        <f aca="false">1000+MOD(A330*317+A330*A330*7,49001)</f>
        <v>29963</v>
      </c>
      <c r="L330" s="12" t="n">
        <f aca="false">1+MOD(A330*131,100)</f>
        <v>100</v>
      </c>
      <c r="M330" s="12" t="n">
        <f aca="false">INT(K330*(0.6+MOD(A330*43,21)/100))</f>
        <v>22172</v>
      </c>
      <c r="N330" s="12" t="n">
        <f aca="false">K330-M330</f>
        <v>7791</v>
      </c>
    </row>
    <row r="331" customFormat="false" ht="12.8" hidden="false" customHeight="false" outlineLevel="0" collapsed="false">
      <c r="A331" s="10" t="n">
        <f aca="false">A330+1</f>
        <v>330</v>
      </c>
      <c r="B331" s="11" t="n">
        <f aca="false">B330+1</f>
        <v>45256</v>
      </c>
      <c r="C331" s="10" t="n">
        <f aca="false">YEAR(B331)</f>
        <v>2023</v>
      </c>
      <c r="D331" s="10" t="n">
        <f aca="false">INT((MONTH(B331)-1)/3)+1</f>
        <v>4</v>
      </c>
      <c r="E331" s="10" t="n">
        <f aca="false">MONTH(B331)</f>
        <v>11</v>
      </c>
      <c r="F331" s="10" t="str">
        <f aca="false">CHOOSE(MOD(A331-1,5)+1,"Центр","Юг","Север","Запад","Восток")</f>
        <v>Восток</v>
      </c>
      <c r="G331" s="10" t="str">
        <f aca="false">"Округ_"&amp;(MOD(A331-1,5)+1)&amp;"_"&amp;(MOD(INT((A331-1)/5),5)+1)</f>
        <v>Округ_5_1</v>
      </c>
      <c r="H331" s="10" t="str">
        <f aca="false">"Город_"&amp;(MOD(A331-1,5)+1)&amp;"_"&amp;(MOD(INT((A331-1)/5),5)+1)&amp;"_"&amp;(MOD(INT((A331-1)/25),10)+1)</f>
        <v>Город_5_1_4</v>
      </c>
      <c r="I331" s="10" t="str">
        <f aca="false">CHOOSE(MOD(A331-1,4)+1,"Электроника","Одежда","Продукты","Мебель")</f>
        <v>Одежда</v>
      </c>
      <c r="J331" s="10" t="str">
        <f aca="false">CHOOSE(MOD(INT((A331-1)/4),4)+1,CHOOSE(MOD(A331-1,4)+1,"Смартфоны","Ноутбуки","Аксессуары","Аудио"),CHOOSE(MOD(A331-1,4)+1,"Верхняя одежда","Спортивная","Повседневная","Обувь"),CHOOSE(MOD(A331-1,4)+1,"Молочные","Мясные","Бакалея","Напитки"),CHOOSE(MOD(A331-1,4)+1,"Мягкая мебель","Корпусная","Офисная","Кухонная"))</f>
        <v>Мясные</v>
      </c>
      <c r="K331" s="12" t="n">
        <f aca="false">1000+MOD(A331*317+A331*A331*7,49001)</f>
        <v>34893</v>
      </c>
      <c r="L331" s="12" t="n">
        <f aca="false">1+MOD(A331*131,100)</f>
        <v>31</v>
      </c>
      <c r="M331" s="12" t="n">
        <f aca="false">INT(K331*(0.6+MOD(A331*43,21)/100))</f>
        <v>26169</v>
      </c>
      <c r="N331" s="12" t="n">
        <f aca="false">K331-M331</f>
        <v>8724</v>
      </c>
    </row>
    <row r="332" customFormat="false" ht="12.8" hidden="false" customHeight="false" outlineLevel="0" collapsed="false">
      <c r="A332" s="10" t="n">
        <f aca="false">A331+1</f>
        <v>331</v>
      </c>
      <c r="B332" s="11" t="n">
        <f aca="false">B331+1</f>
        <v>45257</v>
      </c>
      <c r="C332" s="10" t="n">
        <f aca="false">YEAR(B332)</f>
        <v>2023</v>
      </c>
      <c r="D332" s="10" t="n">
        <f aca="false">INT((MONTH(B332)-1)/3)+1</f>
        <v>4</v>
      </c>
      <c r="E332" s="10" t="n">
        <f aca="false">MONTH(B332)</f>
        <v>11</v>
      </c>
      <c r="F332" s="10" t="str">
        <f aca="false">CHOOSE(MOD(A332-1,5)+1,"Центр","Юг","Север","Запад","Восток")</f>
        <v>Центр</v>
      </c>
      <c r="G332" s="10" t="str">
        <f aca="false">"Округ_"&amp;(MOD(A332-1,5)+1)&amp;"_"&amp;(MOD(INT((A332-1)/5),5)+1)</f>
        <v>Округ_1_2</v>
      </c>
      <c r="H332" s="10" t="str">
        <f aca="false">"Город_"&amp;(MOD(A332-1,5)+1)&amp;"_"&amp;(MOD(INT((A332-1)/5),5)+1)&amp;"_"&amp;(MOD(INT((A332-1)/25),10)+1)</f>
        <v>Город_1_2_4</v>
      </c>
      <c r="I332" s="10" t="str">
        <f aca="false">CHOOSE(MOD(A332-1,4)+1,"Электроника","Одежда","Продукты","Мебель")</f>
        <v>Продукты</v>
      </c>
      <c r="J332" s="10" t="str">
        <f aca="false">CHOOSE(MOD(INT((A332-1)/4),4)+1,CHOOSE(MOD(A332-1,4)+1,"Смартфоны","Ноутбуки","Аксессуары","Аудио"),CHOOSE(MOD(A332-1,4)+1,"Верхняя одежда","Спортивная","Повседневная","Обувь"),CHOOSE(MOD(A332-1,4)+1,"Молочные","Мясные","Бакалея","Напитки"),CHOOSE(MOD(A332-1,4)+1,"Мягкая мебель","Корпусная","Офисная","Кухонная"))</f>
        <v>Бакалея</v>
      </c>
      <c r="K332" s="12" t="n">
        <f aca="false">1000+MOD(A332*317+A332*A332*7,49001)</f>
        <v>39837</v>
      </c>
      <c r="L332" s="12" t="n">
        <f aca="false">1+MOD(A332*131,100)</f>
        <v>62</v>
      </c>
      <c r="M332" s="12" t="n">
        <f aca="false">INT(K332*(0.6+MOD(A332*43,21)/100))</f>
        <v>30276</v>
      </c>
      <c r="N332" s="12" t="n">
        <f aca="false">K332-M332</f>
        <v>9561</v>
      </c>
    </row>
    <row r="333" customFormat="false" ht="12.8" hidden="false" customHeight="false" outlineLevel="0" collapsed="false">
      <c r="A333" s="10" t="n">
        <f aca="false">A332+1</f>
        <v>332</v>
      </c>
      <c r="B333" s="11" t="n">
        <f aca="false">B332+1</f>
        <v>45258</v>
      </c>
      <c r="C333" s="10" t="n">
        <f aca="false">YEAR(B333)</f>
        <v>2023</v>
      </c>
      <c r="D333" s="10" t="n">
        <f aca="false">INT((MONTH(B333)-1)/3)+1</f>
        <v>4</v>
      </c>
      <c r="E333" s="10" t="n">
        <f aca="false">MONTH(B333)</f>
        <v>11</v>
      </c>
      <c r="F333" s="10" t="str">
        <f aca="false">CHOOSE(MOD(A333-1,5)+1,"Центр","Юг","Север","Запад","Восток")</f>
        <v>Юг</v>
      </c>
      <c r="G333" s="10" t="str">
        <f aca="false">"Округ_"&amp;(MOD(A333-1,5)+1)&amp;"_"&amp;(MOD(INT((A333-1)/5),5)+1)</f>
        <v>Округ_2_2</v>
      </c>
      <c r="H333" s="10" t="str">
        <f aca="false">"Город_"&amp;(MOD(A333-1,5)+1)&amp;"_"&amp;(MOD(INT((A333-1)/5),5)+1)&amp;"_"&amp;(MOD(INT((A333-1)/25),10)+1)</f>
        <v>Город_2_2_4</v>
      </c>
      <c r="I333" s="10" t="str">
        <f aca="false">CHOOSE(MOD(A333-1,4)+1,"Электроника","Одежда","Продукты","Мебель")</f>
        <v>Мебель</v>
      </c>
      <c r="J333" s="10" t="str">
        <f aca="false">CHOOSE(MOD(INT((A333-1)/4),4)+1,CHOOSE(MOD(A333-1,4)+1,"Смартфоны","Ноутбуки","Аксессуары","Аудио"),CHOOSE(MOD(A333-1,4)+1,"Верхняя одежда","Спортивная","Повседневная","Обувь"),CHOOSE(MOD(A333-1,4)+1,"Молочные","Мясные","Бакалея","Напитки"),CHOOSE(MOD(A333-1,4)+1,"Мягкая мебель","Корпусная","Офисная","Кухонная"))</f>
        <v>Напитки</v>
      </c>
      <c r="K333" s="12" t="n">
        <f aca="false">1000+MOD(A333*317+A333*A333*7,49001)</f>
        <v>44795</v>
      </c>
      <c r="L333" s="12" t="n">
        <f aca="false">1+MOD(A333*131,100)</f>
        <v>93</v>
      </c>
      <c r="M333" s="12" t="n">
        <f aca="false">INT(K333*(0.6+MOD(A333*43,21)/100))</f>
        <v>34492</v>
      </c>
      <c r="N333" s="12" t="n">
        <f aca="false">K333-M333</f>
        <v>10303</v>
      </c>
    </row>
    <row r="334" customFormat="false" ht="12.8" hidden="false" customHeight="false" outlineLevel="0" collapsed="false">
      <c r="A334" s="10" t="n">
        <f aca="false">A333+1</f>
        <v>333</v>
      </c>
      <c r="B334" s="11" t="n">
        <f aca="false">B333+1</f>
        <v>45259</v>
      </c>
      <c r="C334" s="10" t="n">
        <f aca="false">YEAR(B334)</f>
        <v>2023</v>
      </c>
      <c r="D334" s="10" t="n">
        <f aca="false">INT((MONTH(B334)-1)/3)+1</f>
        <v>4</v>
      </c>
      <c r="E334" s="10" t="n">
        <f aca="false">MONTH(B334)</f>
        <v>11</v>
      </c>
      <c r="F334" s="10" t="str">
        <f aca="false">CHOOSE(MOD(A334-1,5)+1,"Центр","Юг","Север","Запад","Восток")</f>
        <v>Север</v>
      </c>
      <c r="G334" s="10" t="str">
        <f aca="false">"Округ_"&amp;(MOD(A334-1,5)+1)&amp;"_"&amp;(MOD(INT((A334-1)/5),5)+1)</f>
        <v>Округ_3_2</v>
      </c>
      <c r="H334" s="10" t="str">
        <f aca="false">"Город_"&amp;(MOD(A334-1,5)+1)&amp;"_"&amp;(MOD(INT((A334-1)/5),5)+1)&amp;"_"&amp;(MOD(INT((A334-1)/25),10)+1)</f>
        <v>Город_3_2_4</v>
      </c>
      <c r="I334" s="10" t="str">
        <f aca="false">CHOOSE(MOD(A334-1,4)+1,"Электроника","Одежда","Продукты","Мебель")</f>
        <v>Электроника</v>
      </c>
      <c r="J334" s="10" t="str">
        <f aca="false">CHOOSE(MOD(INT((A334-1)/4),4)+1,CHOOSE(MOD(A334-1,4)+1,"Смартфоны","Ноутбуки","Аксессуары","Аудио"),CHOOSE(MOD(A334-1,4)+1,"Верхняя одежда","Спортивная","Повседневная","Обувь"),CHOOSE(MOD(A334-1,4)+1,"Молочные","Мясные","Бакалея","Напитки"),CHOOSE(MOD(A334-1,4)+1,"Мягкая мебель","Корпусная","Офисная","Кухонная"))</f>
        <v>Мягкая мебель</v>
      </c>
      <c r="K334" s="12" t="n">
        <f aca="false">1000+MOD(A334*317+A334*A334*7,49001)</f>
        <v>49767</v>
      </c>
      <c r="L334" s="12" t="n">
        <f aca="false">1+MOD(A334*131,100)</f>
        <v>24</v>
      </c>
      <c r="M334" s="12" t="n">
        <f aca="false">INT(K334*(0.6+MOD(A334*43,21)/100))</f>
        <v>38818</v>
      </c>
      <c r="N334" s="12" t="n">
        <f aca="false">K334-M334</f>
        <v>10949</v>
      </c>
    </row>
    <row r="335" customFormat="false" ht="12.8" hidden="false" customHeight="false" outlineLevel="0" collapsed="false">
      <c r="A335" s="10" t="n">
        <f aca="false">A334+1</f>
        <v>334</v>
      </c>
      <c r="B335" s="11" t="n">
        <f aca="false">B334+1</f>
        <v>45260</v>
      </c>
      <c r="C335" s="10" t="n">
        <f aca="false">YEAR(B335)</f>
        <v>2023</v>
      </c>
      <c r="D335" s="10" t="n">
        <f aca="false">INT((MONTH(B335)-1)/3)+1</f>
        <v>4</v>
      </c>
      <c r="E335" s="10" t="n">
        <f aca="false">MONTH(B335)</f>
        <v>11</v>
      </c>
      <c r="F335" s="10" t="str">
        <f aca="false">CHOOSE(MOD(A335-1,5)+1,"Центр","Юг","Север","Запад","Восток")</f>
        <v>Запад</v>
      </c>
      <c r="G335" s="10" t="str">
        <f aca="false">"Округ_"&amp;(MOD(A335-1,5)+1)&amp;"_"&amp;(MOD(INT((A335-1)/5),5)+1)</f>
        <v>Округ_4_2</v>
      </c>
      <c r="H335" s="10" t="str">
        <f aca="false">"Город_"&amp;(MOD(A335-1,5)+1)&amp;"_"&amp;(MOD(INT((A335-1)/5),5)+1)&amp;"_"&amp;(MOD(INT((A335-1)/25),10)+1)</f>
        <v>Город_4_2_4</v>
      </c>
      <c r="I335" s="10" t="str">
        <f aca="false">CHOOSE(MOD(A335-1,4)+1,"Электроника","Одежда","Продукты","Мебель")</f>
        <v>Одежда</v>
      </c>
      <c r="J335" s="10" t="str">
        <f aca="false">CHOOSE(MOD(INT((A335-1)/4),4)+1,CHOOSE(MOD(A335-1,4)+1,"Смартфоны","Ноутбуки","Аксессуары","Аудио"),CHOOSE(MOD(A335-1,4)+1,"Верхняя одежда","Спортивная","Повседневная","Обувь"),CHOOSE(MOD(A335-1,4)+1,"Молочные","Мясные","Бакалея","Напитки"),CHOOSE(MOD(A335-1,4)+1,"Мягкая мебель","Корпусная","Офисная","Кухонная"))</f>
        <v>Корпусная</v>
      </c>
      <c r="K335" s="12" t="n">
        <f aca="false">1000+MOD(A335*317+A335*A335*7,49001)</f>
        <v>5752</v>
      </c>
      <c r="L335" s="12" t="n">
        <f aca="false">1+MOD(A335*131,100)</f>
        <v>55</v>
      </c>
      <c r="M335" s="12" t="n">
        <f aca="false">INT(K335*(0.6+MOD(A335*43,21)/100))</f>
        <v>4544</v>
      </c>
      <c r="N335" s="12" t="n">
        <f aca="false">K335-M335</f>
        <v>1208</v>
      </c>
    </row>
    <row r="336" customFormat="false" ht="12.8" hidden="false" customHeight="false" outlineLevel="0" collapsed="false">
      <c r="A336" s="10" t="n">
        <f aca="false">A335+1</f>
        <v>335</v>
      </c>
      <c r="B336" s="11" t="n">
        <f aca="false">B335+1</f>
        <v>45261</v>
      </c>
      <c r="C336" s="10" t="n">
        <f aca="false">YEAR(B336)</f>
        <v>2023</v>
      </c>
      <c r="D336" s="10" t="n">
        <f aca="false">INT((MONTH(B336)-1)/3)+1</f>
        <v>4</v>
      </c>
      <c r="E336" s="10" t="n">
        <f aca="false">MONTH(B336)</f>
        <v>12</v>
      </c>
      <c r="F336" s="10" t="str">
        <f aca="false">CHOOSE(MOD(A336-1,5)+1,"Центр","Юг","Север","Запад","Восток")</f>
        <v>Восток</v>
      </c>
      <c r="G336" s="10" t="str">
        <f aca="false">"Округ_"&amp;(MOD(A336-1,5)+1)&amp;"_"&amp;(MOD(INT((A336-1)/5),5)+1)</f>
        <v>Округ_5_2</v>
      </c>
      <c r="H336" s="10" t="str">
        <f aca="false">"Город_"&amp;(MOD(A336-1,5)+1)&amp;"_"&amp;(MOD(INT((A336-1)/5),5)+1)&amp;"_"&amp;(MOD(INT((A336-1)/25),10)+1)</f>
        <v>Город_5_2_4</v>
      </c>
      <c r="I336" s="10" t="str">
        <f aca="false">CHOOSE(MOD(A336-1,4)+1,"Электроника","Одежда","Продукты","Мебель")</f>
        <v>Продукты</v>
      </c>
      <c r="J336" s="10" t="str">
        <f aca="false">CHOOSE(MOD(INT((A336-1)/4),4)+1,CHOOSE(MOD(A336-1,4)+1,"Смартфоны","Ноутбуки","Аксессуары","Аудио"),CHOOSE(MOD(A336-1,4)+1,"Верхняя одежда","Спортивная","Повседневная","Обувь"),CHOOSE(MOD(A336-1,4)+1,"Молочные","Мясные","Бакалея","Напитки"),CHOOSE(MOD(A336-1,4)+1,"Мягкая мебель","Корпусная","Офисная","Кухонная"))</f>
        <v>Офисная</v>
      </c>
      <c r="K336" s="12" t="n">
        <f aca="false">1000+MOD(A336*317+A336*A336*7,49001)</f>
        <v>10752</v>
      </c>
      <c r="L336" s="12" t="n">
        <f aca="false">1+MOD(A336*131,100)</f>
        <v>86</v>
      </c>
      <c r="M336" s="12" t="n">
        <f aca="false">INT(K336*(0.6+MOD(A336*43,21)/100))</f>
        <v>8601</v>
      </c>
      <c r="N336" s="12" t="n">
        <f aca="false">K336-M336</f>
        <v>2151</v>
      </c>
    </row>
    <row r="337" customFormat="false" ht="12.8" hidden="false" customHeight="false" outlineLevel="0" collapsed="false">
      <c r="A337" s="10" t="n">
        <f aca="false">A336+1</f>
        <v>336</v>
      </c>
      <c r="B337" s="11" t="n">
        <f aca="false">B336+1</f>
        <v>45262</v>
      </c>
      <c r="C337" s="10" t="n">
        <f aca="false">YEAR(B337)</f>
        <v>2023</v>
      </c>
      <c r="D337" s="10" t="n">
        <f aca="false">INT((MONTH(B337)-1)/3)+1</f>
        <v>4</v>
      </c>
      <c r="E337" s="10" t="n">
        <f aca="false">MONTH(B337)</f>
        <v>12</v>
      </c>
      <c r="F337" s="10" t="str">
        <f aca="false">CHOOSE(MOD(A337-1,5)+1,"Центр","Юг","Север","Запад","Восток")</f>
        <v>Центр</v>
      </c>
      <c r="G337" s="10" t="str">
        <f aca="false">"Округ_"&amp;(MOD(A337-1,5)+1)&amp;"_"&amp;(MOD(INT((A337-1)/5),5)+1)</f>
        <v>Округ_1_3</v>
      </c>
      <c r="H337" s="10" t="str">
        <f aca="false">"Город_"&amp;(MOD(A337-1,5)+1)&amp;"_"&amp;(MOD(INT((A337-1)/5),5)+1)&amp;"_"&amp;(MOD(INT((A337-1)/25),10)+1)</f>
        <v>Город_1_3_4</v>
      </c>
      <c r="I337" s="10" t="str">
        <f aca="false">CHOOSE(MOD(A337-1,4)+1,"Электроника","Одежда","Продукты","Мебель")</f>
        <v>Мебель</v>
      </c>
      <c r="J337" s="10" t="str">
        <f aca="false">CHOOSE(MOD(INT((A337-1)/4),4)+1,CHOOSE(MOD(A337-1,4)+1,"Смартфоны","Ноутбуки","Аксессуары","Аудио"),CHOOSE(MOD(A337-1,4)+1,"Верхняя одежда","Спортивная","Повседневная","Обувь"),CHOOSE(MOD(A337-1,4)+1,"Молочные","Мясные","Бакалея","Напитки"),CHOOSE(MOD(A337-1,4)+1,"Мягкая мебель","Корпусная","Офисная","Кухонная"))</f>
        <v>Кухонная</v>
      </c>
      <c r="K337" s="12" t="n">
        <f aca="false">1000+MOD(A337*317+A337*A337*7,49001)</f>
        <v>15766</v>
      </c>
      <c r="L337" s="12" t="n">
        <f aca="false">1+MOD(A337*131,100)</f>
        <v>17</v>
      </c>
      <c r="M337" s="12" t="n">
        <f aca="false">INT(K337*(0.6+MOD(A337*43,21)/100))</f>
        <v>9459</v>
      </c>
      <c r="N337" s="12" t="n">
        <f aca="false">K337-M337</f>
        <v>6307</v>
      </c>
    </row>
    <row r="338" customFormat="false" ht="12.8" hidden="false" customHeight="false" outlineLevel="0" collapsed="false">
      <c r="A338" s="10" t="n">
        <f aca="false">A337+1</f>
        <v>337</v>
      </c>
      <c r="B338" s="11" t="n">
        <f aca="false">B337+1</f>
        <v>45263</v>
      </c>
      <c r="C338" s="10" t="n">
        <f aca="false">YEAR(B338)</f>
        <v>2023</v>
      </c>
      <c r="D338" s="10" t="n">
        <f aca="false">INT((MONTH(B338)-1)/3)+1</f>
        <v>4</v>
      </c>
      <c r="E338" s="10" t="n">
        <f aca="false">MONTH(B338)</f>
        <v>12</v>
      </c>
      <c r="F338" s="10" t="str">
        <f aca="false">CHOOSE(MOD(A338-1,5)+1,"Центр","Юг","Север","Запад","Восток")</f>
        <v>Юг</v>
      </c>
      <c r="G338" s="10" t="str">
        <f aca="false">"Округ_"&amp;(MOD(A338-1,5)+1)&amp;"_"&amp;(MOD(INT((A338-1)/5),5)+1)</f>
        <v>Округ_2_3</v>
      </c>
      <c r="H338" s="10" t="str">
        <f aca="false">"Город_"&amp;(MOD(A338-1,5)+1)&amp;"_"&amp;(MOD(INT((A338-1)/5),5)+1)&amp;"_"&amp;(MOD(INT((A338-1)/25),10)+1)</f>
        <v>Город_2_3_4</v>
      </c>
      <c r="I338" s="10" t="str">
        <f aca="false">CHOOSE(MOD(A338-1,4)+1,"Электроника","Одежда","Продукты","Мебель")</f>
        <v>Электроника</v>
      </c>
      <c r="J338" s="10" t="str">
        <f aca="false">CHOOSE(MOD(INT((A338-1)/4),4)+1,CHOOSE(MOD(A338-1,4)+1,"Смартфоны","Ноутбуки","Аксессуары","Аудио"),CHOOSE(MOD(A338-1,4)+1,"Верхняя одежда","Спортивная","Повседневная","Обувь"),CHOOSE(MOD(A338-1,4)+1,"Молочные","Мясные","Бакалея","Напитки"),CHOOSE(MOD(A338-1,4)+1,"Мягкая мебель","Корпусная","Офисная","Кухонная"))</f>
        <v>Смартфоны</v>
      </c>
      <c r="K338" s="12" t="n">
        <f aca="false">1000+MOD(A338*317+A338*A338*7,49001)</f>
        <v>20794</v>
      </c>
      <c r="L338" s="12" t="n">
        <f aca="false">1+MOD(A338*131,100)</f>
        <v>48</v>
      </c>
      <c r="M338" s="12" t="n">
        <f aca="false">INT(K338*(0.6+MOD(A338*43,21)/100))</f>
        <v>12684</v>
      </c>
      <c r="N338" s="12" t="n">
        <f aca="false">K338-M338</f>
        <v>8110</v>
      </c>
    </row>
    <row r="339" customFormat="false" ht="12.8" hidden="false" customHeight="false" outlineLevel="0" collapsed="false">
      <c r="A339" s="10" t="n">
        <f aca="false">A338+1</f>
        <v>338</v>
      </c>
      <c r="B339" s="11" t="n">
        <f aca="false">B338+1</f>
        <v>45264</v>
      </c>
      <c r="C339" s="10" t="n">
        <f aca="false">YEAR(B339)</f>
        <v>2023</v>
      </c>
      <c r="D339" s="10" t="n">
        <f aca="false">INT((MONTH(B339)-1)/3)+1</f>
        <v>4</v>
      </c>
      <c r="E339" s="10" t="n">
        <f aca="false">MONTH(B339)</f>
        <v>12</v>
      </c>
      <c r="F339" s="10" t="str">
        <f aca="false">CHOOSE(MOD(A339-1,5)+1,"Центр","Юг","Север","Запад","Восток")</f>
        <v>Север</v>
      </c>
      <c r="G339" s="10" t="str">
        <f aca="false">"Округ_"&amp;(MOD(A339-1,5)+1)&amp;"_"&amp;(MOD(INT((A339-1)/5),5)+1)</f>
        <v>Округ_3_3</v>
      </c>
      <c r="H339" s="10" t="str">
        <f aca="false">"Город_"&amp;(MOD(A339-1,5)+1)&amp;"_"&amp;(MOD(INT((A339-1)/5),5)+1)&amp;"_"&amp;(MOD(INT((A339-1)/25),10)+1)</f>
        <v>Город_3_3_4</v>
      </c>
      <c r="I339" s="10" t="str">
        <f aca="false">CHOOSE(MOD(A339-1,4)+1,"Электроника","Одежда","Продукты","Мебель")</f>
        <v>Одежда</v>
      </c>
      <c r="J339" s="10" t="str">
        <f aca="false">CHOOSE(MOD(INT((A339-1)/4),4)+1,CHOOSE(MOD(A339-1,4)+1,"Смартфоны","Ноутбуки","Аксессуары","Аудио"),CHOOSE(MOD(A339-1,4)+1,"Верхняя одежда","Спортивная","Повседневная","Обувь"),CHOOSE(MOD(A339-1,4)+1,"Молочные","Мясные","Бакалея","Напитки"),CHOOSE(MOD(A339-1,4)+1,"Мягкая мебель","Корпусная","Офисная","Кухонная"))</f>
        <v>Ноутбуки</v>
      </c>
      <c r="K339" s="12" t="n">
        <f aca="false">1000+MOD(A339*317+A339*A339*7,49001)</f>
        <v>25836</v>
      </c>
      <c r="L339" s="12" t="n">
        <f aca="false">1+MOD(A339*131,100)</f>
        <v>79</v>
      </c>
      <c r="M339" s="12" t="n">
        <f aca="false">INT(K339*(0.6+MOD(A339*43,21)/100))</f>
        <v>16018</v>
      </c>
      <c r="N339" s="12" t="n">
        <f aca="false">K339-M339</f>
        <v>9818</v>
      </c>
    </row>
    <row r="340" customFormat="false" ht="12.8" hidden="false" customHeight="false" outlineLevel="0" collapsed="false">
      <c r="A340" s="10" t="n">
        <f aca="false">A339+1</f>
        <v>339</v>
      </c>
      <c r="B340" s="11" t="n">
        <f aca="false">B339+1</f>
        <v>45265</v>
      </c>
      <c r="C340" s="10" t="n">
        <f aca="false">YEAR(B340)</f>
        <v>2023</v>
      </c>
      <c r="D340" s="10" t="n">
        <f aca="false">INT((MONTH(B340)-1)/3)+1</f>
        <v>4</v>
      </c>
      <c r="E340" s="10" t="n">
        <f aca="false">MONTH(B340)</f>
        <v>12</v>
      </c>
      <c r="F340" s="10" t="str">
        <f aca="false">CHOOSE(MOD(A340-1,5)+1,"Центр","Юг","Север","Запад","Восток")</f>
        <v>Запад</v>
      </c>
      <c r="G340" s="10" t="str">
        <f aca="false">"Округ_"&amp;(MOD(A340-1,5)+1)&amp;"_"&amp;(MOD(INT((A340-1)/5),5)+1)</f>
        <v>Округ_4_3</v>
      </c>
      <c r="H340" s="10" t="str">
        <f aca="false">"Город_"&amp;(MOD(A340-1,5)+1)&amp;"_"&amp;(MOD(INT((A340-1)/5),5)+1)&amp;"_"&amp;(MOD(INT((A340-1)/25),10)+1)</f>
        <v>Город_4_3_4</v>
      </c>
      <c r="I340" s="10" t="str">
        <f aca="false">CHOOSE(MOD(A340-1,4)+1,"Электроника","Одежда","Продукты","Мебель")</f>
        <v>Продукты</v>
      </c>
      <c r="J340" s="10" t="str">
        <f aca="false">CHOOSE(MOD(INT((A340-1)/4),4)+1,CHOOSE(MOD(A340-1,4)+1,"Смартфоны","Ноутбуки","Аксессуары","Аудио"),CHOOSE(MOD(A340-1,4)+1,"Верхняя одежда","Спортивная","Повседневная","Обувь"),CHOOSE(MOD(A340-1,4)+1,"Молочные","Мясные","Бакалея","Напитки"),CHOOSE(MOD(A340-1,4)+1,"Мягкая мебель","Корпусная","Офисная","Кухонная"))</f>
        <v>Аксессуары</v>
      </c>
      <c r="K340" s="12" t="n">
        <f aca="false">1000+MOD(A340*317+A340*A340*7,49001)</f>
        <v>30892</v>
      </c>
      <c r="L340" s="12" t="n">
        <f aca="false">1+MOD(A340*131,100)</f>
        <v>10</v>
      </c>
      <c r="M340" s="12" t="n">
        <f aca="false">INT(K340*(0.6+MOD(A340*43,21)/100))</f>
        <v>19461</v>
      </c>
      <c r="N340" s="12" t="n">
        <f aca="false">K340-M340</f>
        <v>11431</v>
      </c>
    </row>
    <row r="341" customFormat="false" ht="12.8" hidden="false" customHeight="false" outlineLevel="0" collapsed="false">
      <c r="A341" s="10" t="n">
        <f aca="false">A340+1</f>
        <v>340</v>
      </c>
      <c r="B341" s="11" t="n">
        <f aca="false">B340+1</f>
        <v>45266</v>
      </c>
      <c r="C341" s="10" t="n">
        <f aca="false">YEAR(B341)</f>
        <v>2023</v>
      </c>
      <c r="D341" s="10" t="n">
        <f aca="false">INT((MONTH(B341)-1)/3)+1</f>
        <v>4</v>
      </c>
      <c r="E341" s="10" t="n">
        <f aca="false">MONTH(B341)</f>
        <v>12</v>
      </c>
      <c r="F341" s="10" t="str">
        <f aca="false">CHOOSE(MOD(A341-1,5)+1,"Центр","Юг","Север","Запад","Восток")</f>
        <v>Восток</v>
      </c>
      <c r="G341" s="10" t="str">
        <f aca="false">"Округ_"&amp;(MOD(A341-1,5)+1)&amp;"_"&amp;(MOD(INT((A341-1)/5),5)+1)</f>
        <v>Округ_5_3</v>
      </c>
      <c r="H341" s="10" t="str">
        <f aca="false">"Город_"&amp;(MOD(A341-1,5)+1)&amp;"_"&amp;(MOD(INT((A341-1)/5),5)+1)&amp;"_"&amp;(MOD(INT((A341-1)/25),10)+1)</f>
        <v>Город_5_3_4</v>
      </c>
      <c r="I341" s="10" t="str">
        <f aca="false">CHOOSE(MOD(A341-1,4)+1,"Электроника","Одежда","Продукты","Мебель")</f>
        <v>Мебель</v>
      </c>
      <c r="J341" s="10" t="str">
        <f aca="false">CHOOSE(MOD(INT((A341-1)/4),4)+1,CHOOSE(MOD(A341-1,4)+1,"Смартфоны","Ноутбуки","Аксессуары","Аудио"),CHOOSE(MOD(A341-1,4)+1,"Верхняя одежда","Спортивная","Повседневная","Обувь"),CHOOSE(MOD(A341-1,4)+1,"Молочные","Мясные","Бакалея","Напитки"),CHOOSE(MOD(A341-1,4)+1,"Мягкая мебель","Корпусная","Офисная","Кухонная"))</f>
        <v>Аудио</v>
      </c>
      <c r="K341" s="12" t="n">
        <f aca="false">1000+MOD(A341*317+A341*A341*7,49001)</f>
        <v>35962</v>
      </c>
      <c r="L341" s="12" t="n">
        <f aca="false">1+MOD(A341*131,100)</f>
        <v>41</v>
      </c>
      <c r="M341" s="12" t="n">
        <f aca="false">INT(K341*(0.6+MOD(A341*43,21)/100))</f>
        <v>23015</v>
      </c>
      <c r="N341" s="12" t="n">
        <f aca="false">K341-M341</f>
        <v>12947</v>
      </c>
    </row>
    <row r="342" customFormat="false" ht="12.8" hidden="false" customHeight="false" outlineLevel="0" collapsed="false">
      <c r="A342" s="10" t="n">
        <f aca="false">A341+1</f>
        <v>341</v>
      </c>
      <c r="B342" s="11" t="n">
        <f aca="false">B341+1</f>
        <v>45267</v>
      </c>
      <c r="C342" s="10" t="n">
        <f aca="false">YEAR(B342)</f>
        <v>2023</v>
      </c>
      <c r="D342" s="10" t="n">
        <f aca="false">INT((MONTH(B342)-1)/3)+1</f>
        <v>4</v>
      </c>
      <c r="E342" s="10" t="n">
        <f aca="false">MONTH(B342)</f>
        <v>12</v>
      </c>
      <c r="F342" s="10" t="str">
        <f aca="false">CHOOSE(MOD(A342-1,5)+1,"Центр","Юг","Север","Запад","Восток")</f>
        <v>Центр</v>
      </c>
      <c r="G342" s="10" t="str">
        <f aca="false">"Округ_"&amp;(MOD(A342-1,5)+1)&amp;"_"&amp;(MOD(INT((A342-1)/5),5)+1)</f>
        <v>Округ_1_4</v>
      </c>
      <c r="H342" s="10" t="str">
        <f aca="false">"Город_"&amp;(MOD(A342-1,5)+1)&amp;"_"&amp;(MOD(INT((A342-1)/5),5)+1)&amp;"_"&amp;(MOD(INT((A342-1)/25),10)+1)</f>
        <v>Город_1_4_4</v>
      </c>
      <c r="I342" s="10" t="str">
        <f aca="false">CHOOSE(MOD(A342-1,4)+1,"Электроника","Одежда","Продукты","Мебель")</f>
        <v>Электроника</v>
      </c>
      <c r="J342" s="10" t="str">
        <f aca="false">CHOOSE(MOD(INT((A342-1)/4),4)+1,CHOOSE(MOD(A342-1,4)+1,"Смартфоны","Ноутбуки","Аксессуары","Аудио"),CHOOSE(MOD(A342-1,4)+1,"Верхняя одежда","Спортивная","Повседневная","Обувь"),CHOOSE(MOD(A342-1,4)+1,"Молочные","Мясные","Бакалея","Напитки"),CHOOSE(MOD(A342-1,4)+1,"Мягкая мебель","Корпусная","Офисная","Кухонная"))</f>
        <v>Верхняя одежда</v>
      </c>
      <c r="K342" s="12" t="n">
        <f aca="false">1000+MOD(A342*317+A342*A342*7,49001)</f>
        <v>41046</v>
      </c>
      <c r="L342" s="12" t="n">
        <f aca="false">1+MOD(A342*131,100)</f>
        <v>72</v>
      </c>
      <c r="M342" s="12" t="n">
        <f aca="false">INT(K342*(0.6+MOD(A342*43,21)/100))</f>
        <v>26679</v>
      </c>
      <c r="N342" s="12" t="n">
        <f aca="false">K342-M342</f>
        <v>14367</v>
      </c>
    </row>
    <row r="343" customFormat="false" ht="12.8" hidden="false" customHeight="false" outlineLevel="0" collapsed="false">
      <c r="A343" s="10" t="n">
        <f aca="false">A342+1</f>
        <v>342</v>
      </c>
      <c r="B343" s="11" t="n">
        <f aca="false">B342+1</f>
        <v>45268</v>
      </c>
      <c r="C343" s="10" t="n">
        <f aca="false">YEAR(B343)</f>
        <v>2023</v>
      </c>
      <c r="D343" s="10" t="n">
        <f aca="false">INT((MONTH(B343)-1)/3)+1</f>
        <v>4</v>
      </c>
      <c r="E343" s="10" t="n">
        <f aca="false">MONTH(B343)</f>
        <v>12</v>
      </c>
      <c r="F343" s="10" t="str">
        <f aca="false">CHOOSE(MOD(A343-1,5)+1,"Центр","Юг","Север","Запад","Восток")</f>
        <v>Юг</v>
      </c>
      <c r="G343" s="10" t="str">
        <f aca="false">"Округ_"&amp;(MOD(A343-1,5)+1)&amp;"_"&amp;(MOD(INT((A343-1)/5),5)+1)</f>
        <v>Округ_2_4</v>
      </c>
      <c r="H343" s="10" t="str">
        <f aca="false">"Город_"&amp;(MOD(A343-1,5)+1)&amp;"_"&amp;(MOD(INT((A343-1)/5),5)+1)&amp;"_"&amp;(MOD(INT((A343-1)/25),10)+1)</f>
        <v>Город_2_4_4</v>
      </c>
      <c r="I343" s="10" t="str">
        <f aca="false">CHOOSE(MOD(A343-1,4)+1,"Электроника","Одежда","Продукты","Мебель")</f>
        <v>Одежда</v>
      </c>
      <c r="J343" s="10" t="str">
        <f aca="false">CHOOSE(MOD(INT((A343-1)/4),4)+1,CHOOSE(MOD(A343-1,4)+1,"Смартфоны","Ноутбуки","Аксессуары","Аудио"),CHOOSE(MOD(A343-1,4)+1,"Верхняя одежда","Спортивная","Повседневная","Обувь"),CHOOSE(MOD(A343-1,4)+1,"Молочные","Мясные","Бакалея","Напитки"),CHOOSE(MOD(A343-1,4)+1,"Мягкая мебель","Корпусная","Офисная","Кухонная"))</f>
        <v>Спортивная</v>
      </c>
      <c r="K343" s="12" t="n">
        <f aca="false">1000+MOD(A343*317+A343*A343*7,49001)</f>
        <v>46144</v>
      </c>
      <c r="L343" s="12" t="n">
        <f aca="false">1+MOD(A343*131,100)</f>
        <v>3</v>
      </c>
      <c r="M343" s="12" t="n">
        <f aca="false">INT(K343*(0.6+MOD(A343*43,21)/100))</f>
        <v>30455</v>
      </c>
      <c r="N343" s="12" t="n">
        <f aca="false">K343-M343</f>
        <v>15689</v>
      </c>
    </row>
    <row r="344" customFormat="false" ht="12.8" hidden="false" customHeight="false" outlineLevel="0" collapsed="false">
      <c r="A344" s="10" t="n">
        <f aca="false">A343+1</f>
        <v>343</v>
      </c>
      <c r="B344" s="11" t="n">
        <f aca="false">B343+1</f>
        <v>45269</v>
      </c>
      <c r="C344" s="10" t="n">
        <f aca="false">YEAR(B344)</f>
        <v>2023</v>
      </c>
      <c r="D344" s="10" t="n">
        <f aca="false">INT((MONTH(B344)-1)/3)+1</f>
        <v>4</v>
      </c>
      <c r="E344" s="10" t="n">
        <f aca="false">MONTH(B344)</f>
        <v>12</v>
      </c>
      <c r="F344" s="10" t="str">
        <f aca="false">CHOOSE(MOD(A344-1,5)+1,"Центр","Юг","Север","Запад","Восток")</f>
        <v>Север</v>
      </c>
      <c r="G344" s="10" t="str">
        <f aca="false">"Округ_"&amp;(MOD(A344-1,5)+1)&amp;"_"&amp;(MOD(INT((A344-1)/5),5)+1)</f>
        <v>Округ_3_4</v>
      </c>
      <c r="H344" s="10" t="str">
        <f aca="false">"Город_"&amp;(MOD(A344-1,5)+1)&amp;"_"&amp;(MOD(INT((A344-1)/5),5)+1)&amp;"_"&amp;(MOD(INT((A344-1)/25),10)+1)</f>
        <v>Город_3_4_4</v>
      </c>
      <c r="I344" s="10" t="str">
        <f aca="false">CHOOSE(MOD(A344-1,4)+1,"Электроника","Одежда","Продукты","Мебель")</f>
        <v>Продукты</v>
      </c>
      <c r="J344" s="10" t="str">
        <f aca="false">CHOOSE(MOD(INT((A344-1)/4),4)+1,CHOOSE(MOD(A344-1,4)+1,"Смартфоны","Ноутбуки","Аксессуары","Аудио"),CHOOSE(MOD(A344-1,4)+1,"Верхняя одежда","Спортивная","Повседневная","Обувь"),CHOOSE(MOD(A344-1,4)+1,"Молочные","Мясные","Бакалея","Напитки"),CHOOSE(MOD(A344-1,4)+1,"Мягкая мебель","Корпусная","Офисная","Кухонная"))</f>
        <v>Повседневная</v>
      </c>
      <c r="K344" s="12" t="n">
        <f aca="false">1000+MOD(A344*317+A344*A344*7,49001)</f>
        <v>2255</v>
      </c>
      <c r="L344" s="12" t="n">
        <f aca="false">1+MOD(A344*131,100)</f>
        <v>34</v>
      </c>
      <c r="M344" s="12" t="n">
        <f aca="false">INT(K344*(0.6+MOD(A344*43,21)/100))</f>
        <v>1510</v>
      </c>
      <c r="N344" s="12" t="n">
        <f aca="false">K344-M344</f>
        <v>745</v>
      </c>
    </row>
    <row r="345" customFormat="false" ht="12.8" hidden="false" customHeight="false" outlineLevel="0" collapsed="false">
      <c r="A345" s="10" t="n">
        <f aca="false">A344+1</f>
        <v>344</v>
      </c>
      <c r="B345" s="11" t="n">
        <f aca="false">B344+1</f>
        <v>45270</v>
      </c>
      <c r="C345" s="10" t="n">
        <f aca="false">YEAR(B345)</f>
        <v>2023</v>
      </c>
      <c r="D345" s="10" t="n">
        <f aca="false">INT((MONTH(B345)-1)/3)+1</f>
        <v>4</v>
      </c>
      <c r="E345" s="10" t="n">
        <f aca="false">MONTH(B345)</f>
        <v>12</v>
      </c>
      <c r="F345" s="10" t="str">
        <f aca="false">CHOOSE(MOD(A345-1,5)+1,"Центр","Юг","Север","Запад","Восток")</f>
        <v>Запад</v>
      </c>
      <c r="G345" s="10" t="str">
        <f aca="false">"Округ_"&amp;(MOD(A345-1,5)+1)&amp;"_"&amp;(MOD(INT((A345-1)/5),5)+1)</f>
        <v>Округ_4_4</v>
      </c>
      <c r="H345" s="10" t="str">
        <f aca="false">"Город_"&amp;(MOD(A345-1,5)+1)&amp;"_"&amp;(MOD(INT((A345-1)/5),5)+1)&amp;"_"&amp;(MOD(INT((A345-1)/25),10)+1)</f>
        <v>Город_4_4_4</v>
      </c>
      <c r="I345" s="10" t="str">
        <f aca="false">CHOOSE(MOD(A345-1,4)+1,"Электроника","Одежда","Продукты","Мебель")</f>
        <v>Мебель</v>
      </c>
      <c r="J345" s="10" t="str">
        <f aca="false">CHOOSE(MOD(INT((A345-1)/4),4)+1,CHOOSE(MOD(A345-1,4)+1,"Смартфоны","Ноутбуки","Аксессуары","Аудио"),CHOOSE(MOD(A345-1,4)+1,"Верхняя одежда","Спортивная","Повседневная","Обувь"),CHOOSE(MOD(A345-1,4)+1,"Молочные","Мясные","Бакалея","Напитки"),CHOOSE(MOD(A345-1,4)+1,"Мягкая мебель","Корпусная","Офисная","Кухонная"))</f>
        <v>Обувь</v>
      </c>
      <c r="K345" s="12" t="n">
        <f aca="false">1000+MOD(A345*317+A345*A345*7,49001)</f>
        <v>7381</v>
      </c>
      <c r="L345" s="12" t="n">
        <f aca="false">1+MOD(A345*131,100)</f>
        <v>65</v>
      </c>
      <c r="M345" s="12" t="n">
        <f aca="false">INT(K345*(0.6+MOD(A345*43,21)/100))</f>
        <v>5019</v>
      </c>
      <c r="N345" s="12" t="n">
        <f aca="false">K345-M345</f>
        <v>2362</v>
      </c>
    </row>
    <row r="346" customFormat="false" ht="12.8" hidden="false" customHeight="false" outlineLevel="0" collapsed="false">
      <c r="A346" s="10" t="n">
        <f aca="false">A345+1</f>
        <v>345</v>
      </c>
      <c r="B346" s="11" t="n">
        <f aca="false">B345+1</f>
        <v>45271</v>
      </c>
      <c r="C346" s="10" t="n">
        <f aca="false">YEAR(B346)</f>
        <v>2023</v>
      </c>
      <c r="D346" s="10" t="n">
        <f aca="false">INT((MONTH(B346)-1)/3)+1</f>
        <v>4</v>
      </c>
      <c r="E346" s="10" t="n">
        <f aca="false">MONTH(B346)</f>
        <v>12</v>
      </c>
      <c r="F346" s="10" t="str">
        <f aca="false">CHOOSE(MOD(A346-1,5)+1,"Центр","Юг","Север","Запад","Восток")</f>
        <v>Восток</v>
      </c>
      <c r="G346" s="10" t="str">
        <f aca="false">"Округ_"&amp;(MOD(A346-1,5)+1)&amp;"_"&amp;(MOD(INT((A346-1)/5),5)+1)</f>
        <v>Округ_5_4</v>
      </c>
      <c r="H346" s="10" t="str">
        <f aca="false">"Город_"&amp;(MOD(A346-1,5)+1)&amp;"_"&amp;(MOD(INT((A346-1)/5),5)+1)&amp;"_"&amp;(MOD(INT((A346-1)/25),10)+1)</f>
        <v>Город_5_4_4</v>
      </c>
      <c r="I346" s="10" t="str">
        <f aca="false">CHOOSE(MOD(A346-1,4)+1,"Электроника","Одежда","Продукты","Мебель")</f>
        <v>Электроника</v>
      </c>
      <c r="J346" s="10" t="str">
        <f aca="false">CHOOSE(MOD(INT((A346-1)/4),4)+1,CHOOSE(MOD(A346-1,4)+1,"Смартфоны","Ноутбуки","Аксессуары","Аудио"),CHOOSE(MOD(A346-1,4)+1,"Верхняя одежда","Спортивная","Повседневная","Обувь"),CHOOSE(MOD(A346-1,4)+1,"Молочные","Мясные","Бакалея","Напитки"),CHOOSE(MOD(A346-1,4)+1,"Мягкая мебель","Корпусная","Офисная","Кухонная"))</f>
        <v>Молочные</v>
      </c>
      <c r="K346" s="12" t="n">
        <f aca="false">1000+MOD(A346*317+A346*A346*7,49001)</f>
        <v>12521</v>
      </c>
      <c r="L346" s="12" t="n">
        <f aca="false">1+MOD(A346*131,100)</f>
        <v>96</v>
      </c>
      <c r="M346" s="12" t="n">
        <f aca="false">INT(K346*(0.6+MOD(A346*43,21)/100))</f>
        <v>8639</v>
      </c>
      <c r="N346" s="12" t="n">
        <f aca="false">K346-M346</f>
        <v>3882</v>
      </c>
    </row>
    <row r="347" customFormat="false" ht="12.8" hidden="false" customHeight="false" outlineLevel="0" collapsed="false">
      <c r="A347" s="10" t="n">
        <f aca="false">A346+1</f>
        <v>346</v>
      </c>
      <c r="B347" s="11" t="n">
        <f aca="false">B346+1</f>
        <v>45272</v>
      </c>
      <c r="C347" s="10" t="n">
        <f aca="false">YEAR(B347)</f>
        <v>2023</v>
      </c>
      <c r="D347" s="10" t="n">
        <f aca="false">INT((MONTH(B347)-1)/3)+1</f>
        <v>4</v>
      </c>
      <c r="E347" s="10" t="n">
        <f aca="false">MONTH(B347)</f>
        <v>12</v>
      </c>
      <c r="F347" s="10" t="str">
        <f aca="false">CHOOSE(MOD(A347-1,5)+1,"Центр","Юг","Север","Запад","Восток")</f>
        <v>Центр</v>
      </c>
      <c r="G347" s="10" t="str">
        <f aca="false">"Округ_"&amp;(MOD(A347-1,5)+1)&amp;"_"&amp;(MOD(INT((A347-1)/5),5)+1)</f>
        <v>Округ_1_5</v>
      </c>
      <c r="H347" s="10" t="str">
        <f aca="false">"Город_"&amp;(MOD(A347-1,5)+1)&amp;"_"&amp;(MOD(INT((A347-1)/5),5)+1)&amp;"_"&amp;(MOD(INT((A347-1)/25),10)+1)</f>
        <v>Город_1_5_4</v>
      </c>
      <c r="I347" s="10" t="str">
        <f aca="false">CHOOSE(MOD(A347-1,4)+1,"Электроника","Одежда","Продукты","Мебель")</f>
        <v>Одежда</v>
      </c>
      <c r="J347" s="10" t="str">
        <f aca="false">CHOOSE(MOD(INT((A347-1)/4),4)+1,CHOOSE(MOD(A347-1,4)+1,"Смартфоны","Ноутбуки","Аксессуары","Аудио"),CHOOSE(MOD(A347-1,4)+1,"Верхняя одежда","Спортивная","Повседневная","Обувь"),CHOOSE(MOD(A347-1,4)+1,"Молочные","Мясные","Бакалея","Напитки"),CHOOSE(MOD(A347-1,4)+1,"Мягкая мебель","Корпусная","Офисная","Кухонная"))</f>
        <v>Мясные</v>
      </c>
      <c r="K347" s="12" t="n">
        <f aca="false">1000+MOD(A347*317+A347*A347*7,49001)</f>
        <v>17675</v>
      </c>
      <c r="L347" s="12" t="n">
        <f aca="false">1+MOD(A347*131,100)</f>
        <v>27</v>
      </c>
      <c r="M347" s="12" t="n">
        <f aca="false">INT(K347*(0.6+MOD(A347*43,21)/100))</f>
        <v>12372</v>
      </c>
      <c r="N347" s="12" t="n">
        <f aca="false">K347-M347</f>
        <v>5303</v>
      </c>
    </row>
    <row r="348" customFormat="false" ht="12.8" hidden="false" customHeight="false" outlineLevel="0" collapsed="false">
      <c r="A348" s="10" t="n">
        <f aca="false">A347+1</f>
        <v>347</v>
      </c>
      <c r="B348" s="11" t="n">
        <f aca="false">B347+1</f>
        <v>45273</v>
      </c>
      <c r="C348" s="10" t="n">
        <f aca="false">YEAR(B348)</f>
        <v>2023</v>
      </c>
      <c r="D348" s="10" t="n">
        <f aca="false">INT((MONTH(B348)-1)/3)+1</f>
        <v>4</v>
      </c>
      <c r="E348" s="10" t="n">
        <f aca="false">MONTH(B348)</f>
        <v>12</v>
      </c>
      <c r="F348" s="10" t="str">
        <f aca="false">CHOOSE(MOD(A348-1,5)+1,"Центр","Юг","Север","Запад","Восток")</f>
        <v>Юг</v>
      </c>
      <c r="G348" s="10" t="str">
        <f aca="false">"Округ_"&amp;(MOD(A348-1,5)+1)&amp;"_"&amp;(MOD(INT((A348-1)/5),5)+1)</f>
        <v>Округ_2_5</v>
      </c>
      <c r="H348" s="10" t="str">
        <f aca="false">"Город_"&amp;(MOD(A348-1,5)+1)&amp;"_"&amp;(MOD(INT((A348-1)/5),5)+1)&amp;"_"&amp;(MOD(INT((A348-1)/25),10)+1)</f>
        <v>Город_2_5_4</v>
      </c>
      <c r="I348" s="10" t="str">
        <f aca="false">CHOOSE(MOD(A348-1,4)+1,"Электроника","Одежда","Продукты","Мебель")</f>
        <v>Продукты</v>
      </c>
      <c r="J348" s="10" t="str">
        <f aca="false">CHOOSE(MOD(INT((A348-1)/4),4)+1,CHOOSE(MOD(A348-1,4)+1,"Смартфоны","Ноутбуки","Аксессуары","Аудио"),CHOOSE(MOD(A348-1,4)+1,"Верхняя одежда","Спортивная","Повседневная","Обувь"),CHOOSE(MOD(A348-1,4)+1,"Молочные","Мясные","Бакалея","Напитки"),CHOOSE(MOD(A348-1,4)+1,"Мягкая мебель","Корпусная","Офисная","Кухонная"))</f>
        <v>Бакалея</v>
      </c>
      <c r="K348" s="12" t="n">
        <f aca="false">1000+MOD(A348*317+A348*A348*7,49001)</f>
        <v>22843</v>
      </c>
      <c r="L348" s="12" t="n">
        <f aca="false">1+MOD(A348*131,100)</f>
        <v>58</v>
      </c>
      <c r="M348" s="12" t="n">
        <f aca="false">INT(K348*(0.6+MOD(A348*43,21)/100))</f>
        <v>16218</v>
      </c>
      <c r="N348" s="12" t="n">
        <f aca="false">K348-M348</f>
        <v>6625</v>
      </c>
    </row>
    <row r="349" customFormat="false" ht="12.8" hidden="false" customHeight="false" outlineLevel="0" collapsed="false">
      <c r="A349" s="10" t="n">
        <f aca="false">A348+1</f>
        <v>348</v>
      </c>
      <c r="B349" s="11" t="n">
        <f aca="false">B348+1</f>
        <v>45274</v>
      </c>
      <c r="C349" s="10" t="n">
        <f aca="false">YEAR(B349)</f>
        <v>2023</v>
      </c>
      <c r="D349" s="10" t="n">
        <f aca="false">INT((MONTH(B349)-1)/3)+1</f>
        <v>4</v>
      </c>
      <c r="E349" s="10" t="n">
        <f aca="false">MONTH(B349)</f>
        <v>12</v>
      </c>
      <c r="F349" s="10" t="str">
        <f aca="false">CHOOSE(MOD(A349-1,5)+1,"Центр","Юг","Север","Запад","Восток")</f>
        <v>Север</v>
      </c>
      <c r="G349" s="10" t="str">
        <f aca="false">"Округ_"&amp;(MOD(A349-1,5)+1)&amp;"_"&amp;(MOD(INT((A349-1)/5),5)+1)</f>
        <v>Округ_3_5</v>
      </c>
      <c r="H349" s="10" t="str">
        <f aca="false">"Город_"&amp;(MOD(A349-1,5)+1)&amp;"_"&amp;(MOD(INT((A349-1)/5),5)+1)&amp;"_"&amp;(MOD(INT((A349-1)/25),10)+1)</f>
        <v>Город_3_5_4</v>
      </c>
      <c r="I349" s="10" t="str">
        <f aca="false">CHOOSE(MOD(A349-1,4)+1,"Электроника","Одежда","Продукты","Мебель")</f>
        <v>Мебель</v>
      </c>
      <c r="J349" s="10" t="str">
        <f aca="false">CHOOSE(MOD(INT((A349-1)/4),4)+1,CHOOSE(MOD(A349-1,4)+1,"Смартфоны","Ноутбуки","Аксессуары","Аудио"),CHOOSE(MOD(A349-1,4)+1,"Верхняя одежда","Спортивная","Повседневная","Обувь"),CHOOSE(MOD(A349-1,4)+1,"Молочные","Мясные","Бакалея","Напитки"),CHOOSE(MOD(A349-1,4)+1,"Мягкая мебель","Корпусная","Офисная","Кухонная"))</f>
        <v>Напитки</v>
      </c>
      <c r="K349" s="12" t="n">
        <f aca="false">1000+MOD(A349*317+A349*A349*7,49001)</f>
        <v>28025</v>
      </c>
      <c r="L349" s="12" t="n">
        <f aca="false">1+MOD(A349*131,100)</f>
        <v>89</v>
      </c>
      <c r="M349" s="12" t="n">
        <f aca="false">INT(K349*(0.6+MOD(A349*43,21)/100))</f>
        <v>20178</v>
      </c>
      <c r="N349" s="12" t="n">
        <f aca="false">K349-M349</f>
        <v>7847</v>
      </c>
    </row>
    <row r="350" customFormat="false" ht="12.8" hidden="false" customHeight="false" outlineLevel="0" collapsed="false">
      <c r="A350" s="10" t="n">
        <f aca="false">A349+1</f>
        <v>349</v>
      </c>
      <c r="B350" s="11" t="n">
        <f aca="false">B349+1</f>
        <v>45275</v>
      </c>
      <c r="C350" s="10" t="n">
        <f aca="false">YEAR(B350)</f>
        <v>2023</v>
      </c>
      <c r="D350" s="10" t="n">
        <f aca="false">INT((MONTH(B350)-1)/3)+1</f>
        <v>4</v>
      </c>
      <c r="E350" s="10" t="n">
        <f aca="false">MONTH(B350)</f>
        <v>12</v>
      </c>
      <c r="F350" s="10" t="str">
        <f aca="false">CHOOSE(MOD(A350-1,5)+1,"Центр","Юг","Север","Запад","Восток")</f>
        <v>Запад</v>
      </c>
      <c r="G350" s="10" t="str">
        <f aca="false">"Округ_"&amp;(MOD(A350-1,5)+1)&amp;"_"&amp;(MOD(INT((A350-1)/5),5)+1)</f>
        <v>Округ_4_5</v>
      </c>
      <c r="H350" s="10" t="str">
        <f aca="false">"Город_"&amp;(MOD(A350-1,5)+1)&amp;"_"&amp;(MOD(INT((A350-1)/5),5)+1)&amp;"_"&amp;(MOD(INT((A350-1)/25),10)+1)</f>
        <v>Город_4_5_4</v>
      </c>
      <c r="I350" s="10" t="str">
        <f aca="false">CHOOSE(MOD(A350-1,4)+1,"Электроника","Одежда","Продукты","Мебель")</f>
        <v>Электроника</v>
      </c>
      <c r="J350" s="10" t="str">
        <f aca="false">CHOOSE(MOD(INT((A350-1)/4),4)+1,CHOOSE(MOD(A350-1,4)+1,"Смартфоны","Ноутбуки","Аксессуары","Аудио"),CHOOSE(MOD(A350-1,4)+1,"Верхняя одежда","Спортивная","Повседневная","Обувь"),CHOOSE(MOD(A350-1,4)+1,"Молочные","Мясные","Бакалея","Напитки"),CHOOSE(MOD(A350-1,4)+1,"Мягкая мебель","Корпусная","Офисная","Кухонная"))</f>
        <v>Мягкая мебель</v>
      </c>
      <c r="K350" s="12" t="n">
        <f aca="false">1000+MOD(A350*317+A350*A350*7,49001)</f>
        <v>33221</v>
      </c>
      <c r="L350" s="12" t="n">
        <f aca="false">1+MOD(A350*131,100)</f>
        <v>20</v>
      </c>
      <c r="M350" s="12" t="n">
        <f aca="false">INT(K350*(0.6+MOD(A350*43,21)/100))</f>
        <v>24251</v>
      </c>
      <c r="N350" s="12" t="n">
        <f aca="false">K350-M350</f>
        <v>8970</v>
      </c>
    </row>
    <row r="351" customFormat="false" ht="12.8" hidden="false" customHeight="false" outlineLevel="0" collapsed="false">
      <c r="A351" s="10" t="n">
        <f aca="false">A350+1</f>
        <v>350</v>
      </c>
      <c r="B351" s="11" t="n">
        <f aca="false">B350+1</f>
        <v>45276</v>
      </c>
      <c r="C351" s="10" t="n">
        <f aca="false">YEAR(B351)</f>
        <v>2023</v>
      </c>
      <c r="D351" s="10" t="n">
        <f aca="false">INT((MONTH(B351)-1)/3)+1</f>
        <v>4</v>
      </c>
      <c r="E351" s="10" t="n">
        <f aca="false">MONTH(B351)</f>
        <v>12</v>
      </c>
      <c r="F351" s="10" t="str">
        <f aca="false">CHOOSE(MOD(A351-1,5)+1,"Центр","Юг","Север","Запад","Восток")</f>
        <v>Восток</v>
      </c>
      <c r="G351" s="10" t="str">
        <f aca="false">"Округ_"&amp;(MOD(A351-1,5)+1)&amp;"_"&amp;(MOD(INT((A351-1)/5),5)+1)</f>
        <v>Округ_5_5</v>
      </c>
      <c r="H351" s="10" t="str">
        <f aca="false">"Город_"&amp;(MOD(A351-1,5)+1)&amp;"_"&amp;(MOD(INT((A351-1)/5),5)+1)&amp;"_"&amp;(MOD(INT((A351-1)/25),10)+1)</f>
        <v>Город_5_5_4</v>
      </c>
      <c r="I351" s="10" t="str">
        <f aca="false">CHOOSE(MOD(A351-1,4)+1,"Электроника","Одежда","Продукты","Мебель")</f>
        <v>Одежда</v>
      </c>
      <c r="J351" s="10" t="str">
        <f aca="false">CHOOSE(MOD(INT((A351-1)/4),4)+1,CHOOSE(MOD(A351-1,4)+1,"Смартфоны","Ноутбуки","Аксессуары","Аудио"),CHOOSE(MOD(A351-1,4)+1,"Верхняя одежда","Спортивная","Повседневная","Обувь"),CHOOSE(MOD(A351-1,4)+1,"Молочные","Мясные","Бакалея","Напитки"),CHOOSE(MOD(A351-1,4)+1,"Мягкая мебель","Корпусная","Офисная","Кухонная"))</f>
        <v>Корпусная</v>
      </c>
      <c r="K351" s="12" t="n">
        <f aca="false">1000+MOD(A351*317+A351*A351*7,49001)</f>
        <v>38431</v>
      </c>
      <c r="L351" s="12" t="n">
        <f aca="false">1+MOD(A351*131,100)</f>
        <v>51</v>
      </c>
      <c r="M351" s="12" t="n">
        <f aca="false">INT(K351*(0.6+MOD(A351*43,21)/100))</f>
        <v>28438</v>
      </c>
      <c r="N351" s="12" t="n">
        <f aca="false">K351-M351</f>
        <v>9993</v>
      </c>
    </row>
    <row r="352" customFormat="false" ht="12.8" hidden="false" customHeight="false" outlineLevel="0" collapsed="false">
      <c r="A352" s="10" t="n">
        <f aca="false">A351+1</f>
        <v>351</v>
      </c>
      <c r="B352" s="11" t="n">
        <f aca="false">B351+1</f>
        <v>45277</v>
      </c>
      <c r="C352" s="10" t="n">
        <f aca="false">YEAR(B352)</f>
        <v>2023</v>
      </c>
      <c r="D352" s="10" t="n">
        <f aca="false">INT((MONTH(B352)-1)/3)+1</f>
        <v>4</v>
      </c>
      <c r="E352" s="10" t="n">
        <f aca="false">MONTH(B352)</f>
        <v>12</v>
      </c>
      <c r="F352" s="10" t="str">
        <f aca="false">CHOOSE(MOD(A352-1,5)+1,"Центр","Юг","Север","Запад","Восток")</f>
        <v>Центр</v>
      </c>
      <c r="G352" s="10" t="str">
        <f aca="false">"Округ_"&amp;(MOD(A352-1,5)+1)&amp;"_"&amp;(MOD(INT((A352-1)/5),5)+1)</f>
        <v>Округ_1_1</v>
      </c>
      <c r="H352" s="10" t="str">
        <f aca="false">"Город_"&amp;(MOD(A352-1,5)+1)&amp;"_"&amp;(MOD(INT((A352-1)/5),5)+1)&amp;"_"&amp;(MOD(INT((A352-1)/25),10)+1)</f>
        <v>Город_1_1_5</v>
      </c>
      <c r="I352" s="10" t="str">
        <f aca="false">CHOOSE(MOD(A352-1,4)+1,"Электроника","Одежда","Продукты","Мебель")</f>
        <v>Продукты</v>
      </c>
      <c r="J352" s="10" t="str">
        <f aca="false">CHOOSE(MOD(INT((A352-1)/4),4)+1,CHOOSE(MOD(A352-1,4)+1,"Смартфоны","Ноутбуки","Аксессуары","Аудио"),CHOOSE(MOD(A352-1,4)+1,"Верхняя одежда","Спортивная","Повседневная","Обувь"),CHOOSE(MOD(A352-1,4)+1,"Молочные","Мясные","Бакалея","Напитки"),CHOOSE(MOD(A352-1,4)+1,"Мягкая мебель","Корпусная","Офисная","Кухонная"))</f>
        <v>Офисная</v>
      </c>
      <c r="K352" s="12" t="n">
        <f aca="false">1000+MOD(A352*317+A352*A352*7,49001)</f>
        <v>43655</v>
      </c>
      <c r="L352" s="12" t="n">
        <f aca="false">1+MOD(A352*131,100)</f>
        <v>82</v>
      </c>
      <c r="M352" s="12" t="n">
        <f aca="false">INT(K352*(0.6+MOD(A352*43,21)/100))</f>
        <v>32741</v>
      </c>
      <c r="N352" s="12" t="n">
        <f aca="false">K352-M352</f>
        <v>10914</v>
      </c>
    </row>
    <row r="353" customFormat="false" ht="12.8" hidden="false" customHeight="false" outlineLevel="0" collapsed="false">
      <c r="A353" s="10" t="n">
        <f aca="false">A352+1</f>
        <v>352</v>
      </c>
      <c r="B353" s="11" t="n">
        <f aca="false">B352+1</f>
        <v>45278</v>
      </c>
      <c r="C353" s="10" t="n">
        <f aca="false">YEAR(B353)</f>
        <v>2023</v>
      </c>
      <c r="D353" s="10" t="n">
        <f aca="false">INT((MONTH(B353)-1)/3)+1</f>
        <v>4</v>
      </c>
      <c r="E353" s="10" t="n">
        <f aca="false">MONTH(B353)</f>
        <v>12</v>
      </c>
      <c r="F353" s="10" t="str">
        <f aca="false">CHOOSE(MOD(A353-1,5)+1,"Центр","Юг","Север","Запад","Восток")</f>
        <v>Юг</v>
      </c>
      <c r="G353" s="10" t="str">
        <f aca="false">"Округ_"&amp;(MOD(A353-1,5)+1)&amp;"_"&amp;(MOD(INT((A353-1)/5),5)+1)</f>
        <v>Округ_2_1</v>
      </c>
      <c r="H353" s="10" t="str">
        <f aca="false">"Город_"&amp;(MOD(A353-1,5)+1)&amp;"_"&amp;(MOD(INT((A353-1)/5),5)+1)&amp;"_"&amp;(MOD(INT((A353-1)/25),10)+1)</f>
        <v>Город_2_1_5</v>
      </c>
      <c r="I353" s="10" t="str">
        <f aca="false">CHOOSE(MOD(A353-1,4)+1,"Электроника","Одежда","Продукты","Мебель")</f>
        <v>Мебель</v>
      </c>
      <c r="J353" s="10" t="str">
        <f aca="false">CHOOSE(MOD(INT((A353-1)/4),4)+1,CHOOSE(MOD(A353-1,4)+1,"Смартфоны","Ноутбуки","Аксессуары","Аудио"),CHOOSE(MOD(A353-1,4)+1,"Верхняя одежда","Спортивная","Повседневная","Обувь"),CHOOSE(MOD(A353-1,4)+1,"Молочные","Мясные","Бакалея","Напитки"),CHOOSE(MOD(A353-1,4)+1,"Мягкая мебель","Корпусная","Офисная","Кухонная"))</f>
        <v>Кухонная</v>
      </c>
      <c r="K353" s="12" t="n">
        <f aca="false">1000+MOD(A353*317+A353*A353*7,49001)</f>
        <v>48893</v>
      </c>
      <c r="L353" s="12" t="n">
        <f aca="false">1+MOD(A353*131,100)</f>
        <v>13</v>
      </c>
      <c r="M353" s="12" t="n">
        <f aca="false">INT(K353*(0.6+MOD(A353*43,21)/100))</f>
        <v>37158</v>
      </c>
      <c r="N353" s="12" t="n">
        <f aca="false">K353-M353</f>
        <v>11735</v>
      </c>
    </row>
    <row r="354" customFormat="false" ht="12.8" hidden="false" customHeight="false" outlineLevel="0" collapsed="false">
      <c r="A354" s="10" t="n">
        <f aca="false">A353+1</f>
        <v>353</v>
      </c>
      <c r="B354" s="11" t="n">
        <f aca="false">B353+1</f>
        <v>45279</v>
      </c>
      <c r="C354" s="10" t="n">
        <f aca="false">YEAR(B354)</f>
        <v>2023</v>
      </c>
      <c r="D354" s="10" t="n">
        <f aca="false">INT((MONTH(B354)-1)/3)+1</f>
        <v>4</v>
      </c>
      <c r="E354" s="10" t="n">
        <f aca="false">MONTH(B354)</f>
        <v>12</v>
      </c>
      <c r="F354" s="10" t="str">
        <f aca="false">CHOOSE(MOD(A354-1,5)+1,"Центр","Юг","Север","Запад","Восток")</f>
        <v>Север</v>
      </c>
      <c r="G354" s="10" t="str">
        <f aca="false">"Округ_"&amp;(MOD(A354-1,5)+1)&amp;"_"&amp;(MOD(INT((A354-1)/5),5)+1)</f>
        <v>Округ_3_1</v>
      </c>
      <c r="H354" s="10" t="str">
        <f aca="false">"Город_"&amp;(MOD(A354-1,5)+1)&amp;"_"&amp;(MOD(INT((A354-1)/5),5)+1)&amp;"_"&amp;(MOD(INT((A354-1)/25),10)+1)</f>
        <v>Город_3_1_5</v>
      </c>
      <c r="I354" s="10" t="str">
        <f aca="false">CHOOSE(MOD(A354-1,4)+1,"Электроника","Одежда","Продукты","Мебель")</f>
        <v>Электроника</v>
      </c>
      <c r="J354" s="10" t="str">
        <f aca="false">CHOOSE(MOD(INT((A354-1)/4),4)+1,CHOOSE(MOD(A354-1,4)+1,"Смартфоны","Ноутбуки","Аксессуары","Аудио"),CHOOSE(MOD(A354-1,4)+1,"Верхняя одежда","Спортивная","Повседневная","Обувь"),CHOOSE(MOD(A354-1,4)+1,"Молочные","Мясные","Бакалея","Напитки"),CHOOSE(MOD(A354-1,4)+1,"Мягкая мебель","Корпусная","Офисная","Кухонная"))</f>
        <v>Смартфоны</v>
      </c>
      <c r="K354" s="12" t="n">
        <f aca="false">1000+MOD(A354*317+A354*A354*7,49001)</f>
        <v>5144</v>
      </c>
      <c r="L354" s="12" t="n">
        <f aca="false">1+MOD(A354*131,100)</f>
        <v>44</v>
      </c>
      <c r="M354" s="12" t="n">
        <f aca="false">INT(K354*(0.6+MOD(A354*43,21)/100))</f>
        <v>3960</v>
      </c>
      <c r="N354" s="12" t="n">
        <f aca="false">K354-M354</f>
        <v>1184</v>
      </c>
    </row>
    <row r="355" customFormat="false" ht="12.8" hidden="false" customHeight="false" outlineLevel="0" collapsed="false">
      <c r="A355" s="10" t="n">
        <f aca="false">A354+1</f>
        <v>354</v>
      </c>
      <c r="B355" s="11" t="n">
        <f aca="false">B354+1</f>
        <v>45280</v>
      </c>
      <c r="C355" s="10" t="n">
        <f aca="false">YEAR(B355)</f>
        <v>2023</v>
      </c>
      <c r="D355" s="10" t="n">
        <f aca="false">INT((MONTH(B355)-1)/3)+1</f>
        <v>4</v>
      </c>
      <c r="E355" s="10" t="n">
        <f aca="false">MONTH(B355)</f>
        <v>12</v>
      </c>
      <c r="F355" s="10" t="str">
        <f aca="false">CHOOSE(MOD(A355-1,5)+1,"Центр","Юг","Север","Запад","Восток")</f>
        <v>Запад</v>
      </c>
      <c r="G355" s="10" t="str">
        <f aca="false">"Округ_"&amp;(MOD(A355-1,5)+1)&amp;"_"&amp;(MOD(INT((A355-1)/5),5)+1)</f>
        <v>Округ_4_1</v>
      </c>
      <c r="H355" s="10" t="str">
        <f aca="false">"Город_"&amp;(MOD(A355-1,5)+1)&amp;"_"&amp;(MOD(INT((A355-1)/5),5)+1)&amp;"_"&amp;(MOD(INT((A355-1)/25),10)+1)</f>
        <v>Город_4_1_5</v>
      </c>
      <c r="I355" s="10" t="str">
        <f aca="false">CHOOSE(MOD(A355-1,4)+1,"Электроника","Одежда","Продукты","Мебель")</f>
        <v>Одежда</v>
      </c>
      <c r="J355" s="10" t="str">
        <f aca="false">CHOOSE(MOD(INT((A355-1)/4),4)+1,CHOOSE(MOD(A355-1,4)+1,"Смартфоны","Ноутбуки","Аксессуары","Аудио"),CHOOSE(MOD(A355-1,4)+1,"Верхняя одежда","Спортивная","Повседневная","Обувь"),CHOOSE(MOD(A355-1,4)+1,"Молочные","Мясные","Бакалея","Напитки"),CHOOSE(MOD(A355-1,4)+1,"Мягкая мебель","Корпусная","Офисная","Кухонная"))</f>
        <v>Ноутбуки</v>
      </c>
      <c r="K355" s="12" t="n">
        <f aca="false">1000+MOD(A355*317+A355*A355*7,49001)</f>
        <v>10410</v>
      </c>
      <c r="L355" s="12" t="n">
        <f aca="false">1+MOD(A355*131,100)</f>
        <v>75</v>
      </c>
      <c r="M355" s="12" t="n">
        <f aca="false">INT(K355*(0.6+MOD(A355*43,21)/100))</f>
        <v>8119</v>
      </c>
      <c r="N355" s="12" t="n">
        <f aca="false">K355-M355</f>
        <v>2291</v>
      </c>
    </row>
    <row r="356" customFormat="false" ht="12.8" hidden="false" customHeight="false" outlineLevel="0" collapsed="false">
      <c r="A356" s="10" t="n">
        <f aca="false">A355+1</f>
        <v>355</v>
      </c>
      <c r="B356" s="11" t="n">
        <f aca="false">B355+1</f>
        <v>45281</v>
      </c>
      <c r="C356" s="10" t="n">
        <f aca="false">YEAR(B356)</f>
        <v>2023</v>
      </c>
      <c r="D356" s="10" t="n">
        <f aca="false">INT((MONTH(B356)-1)/3)+1</f>
        <v>4</v>
      </c>
      <c r="E356" s="10" t="n">
        <f aca="false">MONTH(B356)</f>
        <v>12</v>
      </c>
      <c r="F356" s="10" t="str">
        <f aca="false">CHOOSE(MOD(A356-1,5)+1,"Центр","Юг","Север","Запад","Восток")</f>
        <v>Восток</v>
      </c>
      <c r="G356" s="10" t="str">
        <f aca="false">"Округ_"&amp;(MOD(A356-1,5)+1)&amp;"_"&amp;(MOD(INT((A356-1)/5),5)+1)</f>
        <v>Округ_5_1</v>
      </c>
      <c r="H356" s="10" t="str">
        <f aca="false">"Город_"&amp;(MOD(A356-1,5)+1)&amp;"_"&amp;(MOD(INT((A356-1)/5),5)+1)&amp;"_"&amp;(MOD(INT((A356-1)/25),10)+1)</f>
        <v>Город_5_1_5</v>
      </c>
      <c r="I356" s="10" t="str">
        <f aca="false">CHOOSE(MOD(A356-1,4)+1,"Электроника","Одежда","Продукты","Мебель")</f>
        <v>Продукты</v>
      </c>
      <c r="J356" s="10" t="str">
        <f aca="false">CHOOSE(MOD(INT((A356-1)/4),4)+1,CHOOSE(MOD(A356-1,4)+1,"Смартфоны","Ноутбуки","Аксессуары","Аудио"),CHOOSE(MOD(A356-1,4)+1,"Верхняя одежда","Спортивная","Повседневная","Обувь"),CHOOSE(MOD(A356-1,4)+1,"Молочные","Мясные","Бакалея","Напитки"),CHOOSE(MOD(A356-1,4)+1,"Мягкая мебель","Корпусная","Офисная","Кухонная"))</f>
        <v>Аксессуары</v>
      </c>
      <c r="K356" s="12" t="n">
        <f aca="false">1000+MOD(A356*317+A356*A356*7,49001)</f>
        <v>15690</v>
      </c>
      <c r="L356" s="12" t="n">
        <f aca="false">1+MOD(A356*131,100)</f>
        <v>6</v>
      </c>
      <c r="M356" s="12" t="n">
        <f aca="false">INT(K356*(0.6+MOD(A356*43,21)/100))</f>
        <v>12395</v>
      </c>
      <c r="N356" s="12" t="n">
        <f aca="false">K356-M356</f>
        <v>3295</v>
      </c>
    </row>
    <row r="357" customFormat="false" ht="12.8" hidden="false" customHeight="false" outlineLevel="0" collapsed="false">
      <c r="A357" s="10" t="n">
        <f aca="false">A356+1</f>
        <v>356</v>
      </c>
      <c r="B357" s="11" t="n">
        <f aca="false">B356+1</f>
        <v>45282</v>
      </c>
      <c r="C357" s="10" t="n">
        <f aca="false">YEAR(B357)</f>
        <v>2023</v>
      </c>
      <c r="D357" s="10" t="n">
        <f aca="false">INT((MONTH(B357)-1)/3)+1</f>
        <v>4</v>
      </c>
      <c r="E357" s="10" t="n">
        <f aca="false">MONTH(B357)</f>
        <v>12</v>
      </c>
      <c r="F357" s="10" t="str">
        <f aca="false">CHOOSE(MOD(A357-1,5)+1,"Центр","Юг","Север","Запад","Восток")</f>
        <v>Центр</v>
      </c>
      <c r="G357" s="10" t="str">
        <f aca="false">"Округ_"&amp;(MOD(A357-1,5)+1)&amp;"_"&amp;(MOD(INT((A357-1)/5),5)+1)</f>
        <v>Округ_1_2</v>
      </c>
      <c r="H357" s="10" t="str">
        <f aca="false">"Город_"&amp;(MOD(A357-1,5)+1)&amp;"_"&amp;(MOD(INT((A357-1)/5),5)+1)&amp;"_"&amp;(MOD(INT((A357-1)/25),10)+1)</f>
        <v>Город_1_2_5</v>
      </c>
      <c r="I357" s="10" t="str">
        <f aca="false">CHOOSE(MOD(A357-1,4)+1,"Электроника","Одежда","Продукты","Мебель")</f>
        <v>Мебель</v>
      </c>
      <c r="J357" s="10" t="str">
        <f aca="false">CHOOSE(MOD(INT((A357-1)/4),4)+1,CHOOSE(MOD(A357-1,4)+1,"Смартфоны","Ноутбуки","Аксессуары","Аудио"),CHOOSE(MOD(A357-1,4)+1,"Верхняя одежда","Спортивная","Повседневная","Обувь"),CHOOSE(MOD(A357-1,4)+1,"Молочные","Мясные","Бакалея","Напитки"),CHOOSE(MOD(A357-1,4)+1,"Мягкая мебель","Корпусная","Офисная","Кухонная"))</f>
        <v>Аудио</v>
      </c>
      <c r="K357" s="12" t="n">
        <f aca="false">1000+MOD(A357*317+A357*A357*7,49001)</f>
        <v>20984</v>
      </c>
      <c r="L357" s="12" t="n">
        <f aca="false">1+MOD(A357*131,100)</f>
        <v>37</v>
      </c>
      <c r="M357" s="12" t="n">
        <f aca="false">INT(K357*(0.6+MOD(A357*43,21)/100))</f>
        <v>16787</v>
      </c>
      <c r="N357" s="12" t="n">
        <f aca="false">K357-M357</f>
        <v>4197</v>
      </c>
    </row>
    <row r="358" customFormat="false" ht="12.8" hidden="false" customHeight="false" outlineLevel="0" collapsed="false">
      <c r="A358" s="10" t="n">
        <f aca="false">A357+1</f>
        <v>357</v>
      </c>
      <c r="B358" s="11" t="n">
        <f aca="false">B357+1</f>
        <v>45283</v>
      </c>
      <c r="C358" s="10" t="n">
        <f aca="false">YEAR(B358)</f>
        <v>2023</v>
      </c>
      <c r="D358" s="10" t="n">
        <f aca="false">INT((MONTH(B358)-1)/3)+1</f>
        <v>4</v>
      </c>
      <c r="E358" s="10" t="n">
        <f aca="false">MONTH(B358)</f>
        <v>12</v>
      </c>
      <c r="F358" s="10" t="str">
        <f aca="false">CHOOSE(MOD(A358-1,5)+1,"Центр","Юг","Север","Запад","Восток")</f>
        <v>Юг</v>
      </c>
      <c r="G358" s="10" t="str">
        <f aca="false">"Округ_"&amp;(MOD(A358-1,5)+1)&amp;"_"&amp;(MOD(INT((A358-1)/5),5)+1)</f>
        <v>Округ_2_2</v>
      </c>
      <c r="H358" s="10" t="str">
        <f aca="false">"Город_"&amp;(MOD(A358-1,5)+1)&amp;"_"&amp;(MOD(INT((A358-1)/5),5)+1)&amp;"_"&amp;(MOD(INT((A358-1)/25),10)+1)</f>
        <v>Город_2_2_5</v>
      </c>
      <c r="I358" s="10" t="str">
        <f aca="false">CHOOSE(MOD(A358-1,4)+1,"Электроника","Одежда","Продукты","Мебель")</f>
        <v>Электроника</v>
      </c>
      <c r="J358" s="10" t="str">
        <f aca="false">CHOOSE(MOD(INT((A358-1)/4),4)+1,CHOOSE(MOD(A358-1,4)+1,"Смартфоны","Ноутбуки","Аксессуары","Аудио"),CHOOSE(MOD(A358-1,4)+1,"Верхняя одежда","Спортивная","Повседневная","Обувь"),CHOOSE(MOD(A358-1,4)+1,"Молочные","Мясные","Бакалея","Напитки"),CHOOSE(MOD(A358-1,4)+1,"Мягкая мебель","Корпусная","Офисная","Кухонная"))</f>
        <v>Верхняя одежда</v>
      </c>
      <c r="K358" s="12" t="n">
        <f aca="false">1000+MOD(A358*317+A358*A358*7,49001)</f>
        <v>26292</v>
      </c>
      <c r="L358" s="12" t="n">
        <f aca="false">1+MOD(A358*131,100)</f>
        <v>68</v>
      </c>
      <c r="M358" s="12" t="n">
        <f aca="false">INT(K358*(0.6+MOD(A358*43,21)/100))</f>
        <v>15775</v>
      </c>
      <c r="N358" s="12" t="n">
        <f aca="false">K358-M358</f>
        <v>10517</v>
      </c>
    </row>
    <row r="359" customFormat="false" ht="12.8" hidden="false" customHeight="false" outlineLevel="0" collapsed="false">
      <c r="A359" s="10" t="n">
        <f aca="false">A358+1</f>
        <v>358</v>
      </c>
      <c r="B359" s="11" t="n">
        <f aca="false">B358+1</f>
        <v>45284</v>
      </c>
      <c r="C359" s="10" t="n">
        <f aca="false">YEAR(B359)</f>
        <v>2023</v>
      </c>
      <c r="D359" s="10" t="n">
        <f aca="false">INT((MONTH(B359)-1)/3)+1</f>
        <v>4</v>
      </c>
      <c r="E359" s="10" t="n">
        <f aca="false">MONTH(B359)</f>
        <v>12</v>
      </c>
      <c r="F359" s="10" t="str">
        <f aca="false">CHOOSE(MOD(A359-1,5)+1,"Центр","Юг","Север","Запад","Восток")</f>
        <v>Север</v>
      </c>
      <c r="G359" s="10" t="str">
        <f aca="false">"Округ_"&amp;(MOD(A359-1,5)+1)&amp;"_"&amp;(MOD(INT((A359-1)/5),5)+1)</f>
        <v>Округ_3_2</v>
      </c>
      <c r="H359" s="10" t="str">
        <f aca="false">"Город_"&amp;(MOD(A359-1,5)+1)&amp;"_"&amp;(MOD(INT((A359-1)/5),5)+1)&amp;"_"&amp;(MOD(INT((A359-1)/25),10)+1)</f>
        <v>Город_3_2_5</v>
      </c>
      <c r="I359" s="10" t="str">
        <f aca="false">CHOOSE(MOD(A359-1,4)+1,"Электроника","Одежда","Продукты","Мебель")</f>
        <v>Одежда</v>
      </c>
      <c r="J359" s="10" t="str">
        <f aca="false">CHOOSE(MOD(INT((A359-1)/4),4)+1,CHOOSE(MOD(A359-1,4)+1,"Смартфоны","Ноутбуки","Аксессуары","Аудио"),CHOOSE(MOD(A359-1,4)+1,"Верхняя одежда","Спортивная","Повседневная","Обувь"),CHOOSE(MOD(A359-1,4)+1,"Молочные","Мясные","Бакалея","Напитки"),CHOOSE(MOD(A359-1,4)+1,"Мягкая мебель","Корпусная","Офисная","Кухонная"))</f>
        <v>Спортивная</v>
      </c>
      <c r="K359" s="12" t="n">
        <f aca="false">1000+MOD(A359*317+A359*A359*7,49001)</f>
        <v>31614</v>
      </c>
      <c r="L359" s="12" t="n">
        <f aca="false">1+MOD(A359*131,100)</f>
        <v>99</v>
      </c>
      <c r="M359" s="12" t="n">
        <f aca="false">INT(K359*(0.6+MOD(A359*43,21)/100))</f>
        <v>19284</v>
      </c>
      <c r="N359" s="12" t="n">
        <f aca="false">K359-M359</f>
        <v>12330</v>
      </c>
    </row>
    <row r="360" customFormat="false" ht="12.8" hidden="false" customHeight="false" outlineLevel="0" collapsed="false">
      <c r="A360" s="10" t="n">
        <f aca="false">A359+1</f>
        <v>359</v>
      </c>
      <c r="B360" s="11" t="n">
        <f aca="false">B359+1</f>
        <v>45285</v>
      </c>
      <c r="C360" s="10" t="n">
        <f aca="false">YEAR(B360)</f>
        <v>2023</v>
      </c>
      <c r="D360" s="10" t="n">
        <f aca="false">INT((MONTH(B360)-1)/3)+1</f>
        <v>4</v>
      </c>
      <c r="E360" s="10" t="n">
        <f aca="false">MONTH(B360)</f>
        <v>12</v>
      </c>
      <c r="F360" s="10" t="str">
        <f aca="false">CHOOSE(MOD(A360-1,5)+1,"Центр","Юг","Север","Запад","Восток")</f>
        <v>Запад</v>
      </c>
      <c r="G360" s="10" t="str">
        <f aca="false">"Округ_"&amp;(MOD(A360-1,5)+1)&amp;"_"&amp;(MOD(INT((A360-1)/5),5)+1)</f>
        <v>Округ_4_2</v>
      </c>
      <c r="H360" s="10" t="str">
        <f aca="false">"Город_"&amp;(MOD(A360-1,5)+1)&amp;"_"&amp;(MOD(INT((A360-1)/5),5)+1)&amp;"_"&amp;(MOD(INT((A360-1)/25),10)+1)</f>
        <v>Город_4_2_5</v>
      </c>
      <c r="I360" s="10" t="str">
        <f aca="false">CHOOSE(MOD(A360-1,4)+1,"Электроника","Одежда","Продукты","Мебель")</f>
        <v>Продукты</v>
      </c>
      <c r="J360" s="10" t="str">
        <f aca="false">CHOOSE(MOD(INT((A360-1)/4),4)+1,CHOOSE(MOD(A360-1,4)+1,"Смартфоны","Ноутбуки","Аксессуары","Аудио"),CHOOSE(MOD(A360-1,4)+1,"Верхняя одежда","Спортивная","Повседневная","Обувь"),CHOOSE(MOD(A360-1,4)+1,"Молочные","Мясные","Бакалея","Напитки"),CHOOSE(MOD(A360-1,4)+1,"Мягкая мебель","Корпусная","Офисная","Кухонная"))</f>
        <v>Повседневная</v>
      </c>
      <c r="K360" s="12" t="n">
        <f aca="false">1000+MOD(A360*317+A360*A360*7,49001)</f>
        <v>36950</v>
      </c>
      <c r="L360" s="12" t="n">
        <f aca="false">1+MOD(A360*131,100)</f>
        <v>30</v>
      </c>
      <c r="M360" s="12" t="n">
        <f aca="false">INT(K360*(0.6+MOD(A360*43,21)/100))</f>
        <v>22909</v>
      </c>
      <c r="N360" s="12" t="n">
        <f aca="false">K360-M360</f>
        <v>14041</v>
      </c>
    </row>
    <row r="361" customFormat="false" ht="12.8" hidden="false" customHeight="false" outlineLevel="0" collapsed="false">
      <c r="A361" s="10" t="n">
        <f aca="false">A360+1</f>
        <v>360</v>
      </c>
      <c r="B361" s="11" t="n">
        <f aca="false">B360+1</f>
        <v>45286</v>
      </c>
      <c r="C361" s="10" t="n">
        <f aca="false">YEAR(B361)</f>
        <v>2023</v>
      </c>
      <c r="D361" s="10" t="n">
        <f aca="false">INT((MONTH(B361)-1)/3)+1</f>
        <v>4</v>
      </c>
      <c r="E361" s="10" t="n">
        <f aca="false">MONTH(B361)</f>
        <v>12</v>
      </c>
      <c r="F361" s="10" t="str">
        <f aca="false">CHOOSE(MOD(A361-1,5)+1,"Центр","Юг","Север","Запад","Восток")</f>
        <v>Восток</v>
      </c>
      <c r="G361" s="10" t="str">
        <f aca="false">"Округ_"&amp;(MOD(A361-1,5)+1)&amp;"_"&amp;(MOD(INT((A361-1)/5),5)+1)</f>
        <v>Округ_5_2</v>
      </c>
      <c r="H361" s="10" t="str">
        <f aca="false">"Город_"&amp;(MOD(A361-1,5)+1)&amp;"_"&amp;(MOD(INT((A361-1)/5),5)+1)&amp;"_"&amp;(MOD(INT((A361-1)/25),10)+1)</f>
        <v>Город_5_2_5</v>
      </c>
      <c r="I361" s="10" t="str">
        <f aca="false">CHOOSE(MOD(A361-1,4)+1,"Электроника","Одежда","Продукты","Мебель")</f>
        <v>Мебель</v>
      </c>
      <c r="J361" s="10" t="str">
        <f aca="false">CHOOSE(MOD(INT((A361-1)/4),4)+1,CHOOSE(MOD(A361-1,4)+1,"Смартфоны","Ноутбуки","Аксессуары","Аудио"),CHOOSE(MOD(A361-1,4)+1,"Верхняя одежда","Спортивная","Повседневная","Обувь"),CHOOSE(MOD(A361-1,4)+1,"Молочные","Мясные","Бакалея","Напитки"),CHOOSE(MOD(A361-1,4)+1,"Мягкая мебель","Корпусная","Офисная","Кухонная"))</f>
        <v>Обувь</v>
      </c>
      <c r="K361" s="12" t="n">
        <f aca="false">1000+MOD(A361*317+A361*A361*7,49001)</f>
        <v>42300</v>
      </c>
      <c r="L361" s="12" t="n">
        <f aca="false">1+MOD(A361*131,100)</f>
        <v>61</v>
      </c>
      <c r="M361" s="12" t="n">
        <f aca="false">INT(K361*(0.6+MOD(A361*43,21)/100))</f>
        <v>26649</v>
      </c>
      <c r="N361" s="12" t="n">
        <f aca="false">K361-M361</f>
        <v>15651</v>
      </c>
    </row>
    <row r="362" customFormat="false" ht="12.8" hidden="false" customHeight="false" outlineLevel="0" collapsed="false">
      <c r="A362" s="10" t="n">
        <f aca="false">A361+1</f>
        <v>361</v>
      </c>
      <c r="B362" s="11" t="n">
        <f aca="false">B361+1</f>
        <v>45287</v>
      </c>
      <c r="C362" s="10" t="n">
        <f aca="false">YEAR(B362)</f>
        <v>2023</v>
      </c>
      <c r="D362" s="10" t="n">
        <f aca="false">INT((MONTH(B362)-1)/3)+1</f>
        <v>4</v>
      </c>
      <c r="E362" s="10" t="n">
        <f aca="false">MONTH(B362)</f>
        <v>12</v>
      </c>
      <c r="F362" s="10" t="str">
        <f aca="false">CHOOSE(MOD(A362-1,5)+1,"Центр","Юг","Север","Запад","Восток")</f>
        <v>Центр</v>
      </c>
      <c r="G362" s="10" t="str">
        <f aca="false">"Округ_"&amp;(MOD(A362-1,5)+1)&amp;"_"&amp;(MOD(INT((A362-1)/5),5)+1)</f>
        <v>Округ_1_3</v>
      </c>
      <c r="H362" s="10" t="str">
        <f aca="false">"Город_"&amp;(MOD(A362-1,5)+1)&amp;"_"&amp;(MOD(INT((A362-1)/5),5)+1)&amp;"_"&amp;(MOD(INT((A362-1)/25),10)+1)</f>
        <v>Город_1_3_5</v>
      </c>
      <c r="I362" s="10" t="str">
        <f aca="false">CHOOSE(MOD(A362-1,4)+1,"Электроника","Одежда","Продукты","Мебель")</f>
        <v>Электроника</v>
      </c>
      <c r="J362" s="10" t="str">
        <f aca="false">CHOOSE(MOD(INT((A362-1)/4),4)+1,CHOOSE(MOD(A362-1,4)+1,"Смартфоны","Ноутбуки","Аксессуары","Аудио"),CHOOSE(MOD(A362-1,4)+1,"Верхняя одежда","Спортивная","Повседневная","Обувь"),CHOOSE(MOD(A362-1,4)+1,"Молочные","Мясные","Бакалея","Напитки"),CHOOSE(MOD(A362-1,4)+1,"Мягкая мебель","Корпусная","Офисная","Кухонная"))</f>
        <v>Молочные</v>
      </c>
      <c r="K362" s="12" t="n">
        <f aca="false">1000+MOD(A362*317+A362*A362*7,49001)</f>
        <v>47664</v>
      </c>
      <c r="L362" s="12" t="n">
        <f aca="false">1+MOD(A362*131,100)</f>
        <v>92</v>
      </c>
      <c r="M362" s="12" t="n">
        <f aca="false">INT(K362*(0.6+MOD(A362*43,21)/100))</f>
        <v>30504</v>
      </c>
      <c r="N362" s="12" t="n">
        <f aca="false">K362-M362</f>
        <v>17160</v>
      </c>
    </row>
    <row r="363" customFormat="false" ht="12.8" hidden="false" customHeight="false" outlineLevel="0" collapsed="false">
      <c r="A363" s="10" t="n">
        <f aca="false">A362+1</f>
        <v>362</v>
      </c>
      <c r="B363" s="11" t="n">
        <f aca="false">B362+1</f>
        <v>45288</v>
      </c>
      <c r="C363" s="10" t="n">
        <f aca="false">YEAR(B363)</f>
        <v>2023</v>
      </c>
      <c r="D363" s="10" t="n">
        <f aca="false">INT((MONTH(B363)-1)/3)+1</f>
        <v>4</v>
      </c>
      <c r="E363" s="10" t="n">
        <f aca="false">MONTH(B363)</f>
        <v>12</v>
      </c>
      <c r="F363" s="10" t="str">
        <f aca="false">CHOOSE(MOD(A363-1,5)+1,"Центр","Юг","Север","Запад","Восток")</f>
        <v>Юг</v>
      </c>
      <c r="G363" s="10" t="str">
        <f aca="false">"Округ_"&amp;(MOD(A363-1,5)+1)&amp;"_"&amp;(MOD(INT((A363-1)/5),5)+1)</f>
        <v>Округ_2_3</v>
      </c>
      <c r="H363" s="10" t="str">
        <f aca="false">"Город_"&amp;(MOD(A363-1,5)+1)&amp;"_"&amp;(MOD(INT((A363-1)/5),5)+1)&amp;"_"&amp;(MOD(INT((A363-1)/25),10)+1)</f>
        <v>Город_2_3_5</v>
      </c>
      <c r="I363" s="10" t="str">
        <f aca="false">CHOOSE(MOD(A363-1,4)+1,"Электроника","Одежда","Продукты","Мебель")</f>
        <v>Одежда</v>
      </c>
      <c r="J363" s="10" t="str">
        <f aca="false">CHOOSE(MOD(INT((A363-1)/4),4)+1,CHOOSE(MOD(A363-1,4)+1,"Смартфоны","Ноутбуки","Аксессуары","Аудио"),CHOOSE(MOD(A363-1,4)+1,"Верхняя одежда","Спортивная","Повседневная","Обувь"),CHOOSE(MOD(A363-1,4)+1,"Молочные","Мясные","Бакалея","Напитки"),CHOOSE(MOD(A363-1,4)+1,"Мягкая мебель","Корпусная","Офисная","Кухонная"))</f>
        <v>Мясные</v>
      </c>
      <c r="K363" s="12" t="n">
        <f aca="false">1000+MOD(A363*317+A363*A363*7,49001)</f>
        <v>4041</v>
      </c>
      <c r="L363" s="12" t="n">
        <f aca="false">1+MOD(A363*131,100)</f>
        <v>23</v>
      </c>
      <c r="M363" s="12" t="n">
        <f aca="false">INT(K363*(0.6+MOD(A363*43,21)/100))</f>
        <v>2626</v>
      </c>
      <c r="N363" s="12" t="n">
        <f aca="false">K363-M363</f>
        <v>1415</v>
      </c>
    </row>
    <row r="364" customFormat="false" ht="12.8" hidden="false" customHeight="false" outlineLevel="0" collapsed="false">
      <c r="A364" s="10" t="n">
        <f aca="false">A363+1</f>
        <v>363</v>
      </c>
      <c r="B364" s="11" t="n">
        <f aca="false">B363+1</f>
        <v>45289</v>
      </c>
      <c r="C364" s="10" t="n">
        <f aca="false">YEAR(B364)</f>
        <v>2023</v>
      </c>
      <c r="D364" s="10" t="n">
        <f aca="false">INT((MONTH(B364)-1)/3)+1</f>
        <v>4</v>
      </c>
      <c r="E364" s="10" t="n">
        <f aca="false">MONTH(B364)</f>
        <v>12</v>
      </c>
      <c r="F364" s="10" t="str">
        <f aca="false">CHOOSE(MOD(A364-1,5)+1,"Центр","Юг","Север","Запад","Восток")</f>
        <v>Север</v>
      </c>
      <c r="G364" s="10" t="str">
        <f aca="false">"Округ_"&amp;(MOD(A364-1,5)+1)&amp;"_"&amp;(MOD(INT((A364-1)/5),5)+1)</f>
        <v>Округ_3_3</v>
      </c>
      <c r="H364" s="10" t="str">
        <f aca="false">"Город_"&amp;(MOD(A364-1,5)+1)&amp;"_"&amp;(MOD(INT((A364-1)/5),5)+1)&amp;"_"&amp;(MOD(INT((A364-1)/25),10)+1)</f>
        <v>Город_3_3_5</v>
      </c>
      <c r="I364" s="10" t="str">
        <f aca="false">CHOOSE(MOD(A364-1,4)+1,"Электроника","Одежда","Продукты","Мебель")</f>
        <v>Продукты</v>
      </c>
      <c r="J364" s="10" t="str">
        <f aca="false">CHOOSE(MOD(INT((A364-1)/4),4)+1,CHOOSE(MOD(A364-1,4)+1,"Смартфоны","Ноутбуки","Аксессуары","Аудио"),CHOOSE(MOD(A364-1,4)+1,"Верхняя одежда","Спортивная","Повседневная","Обувь"),CHOOSE(MOD(A364-1,4)+1,"Молочные","Мясные","Бакалея","Напитки"),CHOOSE(MOD(A364-1,4)+1,"Мягкая мебель","Корпусная","Офисная","Кухонная"))</f>
        <v>Бакалея</v>
      </c>
      <c r="K364" s="12" t="n">
        <f aca="false">1000+MOD(A364*317+A364*A364*7,49001)</f>
        <v>9433</v>
      </c>
      <c r="L364" s="12" t="n">
        <f aca="false">1+MOD(A364*131,100)</f>
        <v>54</v>
      </c>
      <c r="M364" s="12" t="n">
        <f aca="false">INT(K364*(0.6+MOD(A364*43,21)/100))</f>
        <v>6225</v>
      </c>
      <c r="N364" s="12" t="n">
        <f aca="false">K364-M364</f>
        <v>3208</v>
      </c>
    </row>
    <row r="365" customFormat="false" ht="12.8" hidden="false" customHeight="false" outlineLevel="0" collapsed="false">
      <c r="A365" s="10" t="n">
        <f aca="false">A364+1</f>
        <v>364</v>
      </c>
      <c r="B365" s="11" t="n">
        <f aca="false">B364+1</f>
        <v>45290</v>
      </c>
      <c r="C365" s="10" t="n">
        <f aca="false">YEAR(B365)</f>
        <v>2023</v>
      </c>
      <c r="D365" s="10" t="n">
        <f aca="false">INT((MONTH(B365)-1)/3)+1</f>
        <v>4</v>
      </c>
      <c r="E365" s="10" t="n">
        <f aca="false">MONTH(B365)</f>
        <v>12</v>
      </c>
      <c r="F365" s="10" t="str">
        <f aca="false">CHOOSE(MOD(A365-1,5)+1,"Центр","Юг","Север","Запад","Восток")</f>
        <v>Запад</v>
      </c>
      <c r="G365" s="10" t="str">
        <f aca="false">"Округ_"&amp;(MOD(A365-1,5)+1)&amp;"_"&amp;(MOD(INT((A365-1)/5),5)+1)</f>
        <v>Округ_4_3</v>
      </c>
      <c r="H365" s="10" t="str">
        <f aca="false">"Город_"&amp;(MOD(A365-1,5)+1)&amp;"_"&amp;(MOD(INT((A365-1)/5),5)+1)&amp;"_"&amp;(MOD(INT((A365-1)/25),10)+1)</f>
        <v>Город_4_3_5</v>
      </c>
      <c r="I365" s="10" t="str">
        <f aca="false">CHOOSE(MOD(A365-1,4)+1,"Электроника","Одежда","Продукты","Мебель")</f>
        <v>Мебель</v>
      </c>
      <c r="J365" s="10" t="str">
        <f aca="false">CHOOSE(MOD(INT((A365-1)/4),4)+1,CHOOSE(MOD(A365-1,4)+1,"Смартфоны","Ноутбуки","Аксессуары","Аудио"),CHOOSE(MOD(A365-1,4)+1,"Верхняя одежда","Спортивная","Повседневная","Обувь"),CHOOSE(MOD(A365-1,4)+1,"Молочные","Мясные","Бакалея","Напитки"),CHOOSE(MOD(A365-1,4)+1,"Мягкая мебель","Корпусная","Офисная","Кухонная"))</f>
        <v>Напитки</v>
      </c>
      <c r="K365" s="12" t="n">
        <f aca="false">1000+MOD(A365*317+A365*A365*7,49001)</f>
        <v>14839</v>
      </c>
      <c r="L365" s="12" t="n">
        <f aca="false">1+MOD(A365*131,100)</f>
        <v>85</v>
      </c>
      <c r="M365" s="12" t="n">
        <f aca="false">INT(K365*(0.6+MOD(A365*43,21)/100))</f>
        <v>9942</v>
      </c>
      <c r="N365" s="12" t="n">
        <f aca="false">K365-M365</f>
        <v>4897</v>
      </c>
    </row>
    <row r="366" customFormat="false" ht="12.8" hidden="false" customHeight="false" outlineLevel="0" collapsed="false">
      <c r="A366" s="10" t="n">
        <f aca="false">A365+1</f>
        <v>365</v>
      </c>
      <c r="B366" s="11" t="n">
        <f aca="false">B365+1</f>
        <v>45291</v>
      </c>
      <c r="C366" s="10" t="n">
        <f aca="false">YEAR(B366)</f>
        <v>2023</v>
      </c>
      <c r="D366" s="10" t="n">
        <f aca="false">INT((MONTH(B366)-1)/3)+1</f>
        <v>4</v>
      </c>
      <c r="E366" s="10" t="n">
        <f aca="false">MONTH(B366)</f>
        <v>12</v>
      </c>
      <c r="F366" s="10" t="str">
        <f aca="false">CHOOSE(MOD(A366-1,5)+1,"Центр","Юг","Север","Запад","Восток")</f>
        <v>Восток</v>
      </c>
      <c r="G366" s="10" t="str">
        <f aca="false">"Округ_"&amp;(MOD(A366-1,5)+1)&amp;"_"&amp;(MOD(INT((A366-1)/5),5)+1)</f>
        <v>Округ_5_3</v>
      </c>
      <c r="H366" s="10" t="str">
        <f aca="false">"Город_"&amp;(MOD(A366-1,5)+1)&amp;"_"&amp;(MOD(INT((A366-1)/5),5)+1)&amp;"_"&amp;(MOD(INT((A366-1)/25),10)+1)</f>
        <v>Город_5_3_5</v>
      </c>
      <c r="I366" s="10" t="str">
        <f aca="false">CHOOSE(MOD(A366-1,4)+1,"Электроника","Одежда","Продукты","Мебель")</f>
        <v>Электроника</v>
      </c>
      <c r="J366" s="10" t="str">
        <f aca="false">CHOOSE(MOD(INT((A366-1)/4),4)+1,CHOOSE(MOD(A366-1,4)+1,"Смартфоны","Ноутбуки","Аксессуары","Аудио"),CHOOSE(MOD(A366-1,4)+1,"Верхняя одежда","Спортивная","Повседневная","Обувь"),CHOOSE(MOD(A366-1,4)+1,"Молочные","Мясные","Бакалея","Напитки"),CHOOSE(MOD(A366-1,4)+1,"Мягкая мебель","Корпусная","Офисная","Кухонная"))</f>
        <v>Мягкая мебель</v>
      </c>
      <c r="K366" s="12" t="n">
        <f aca="false">1000+MOD(A366*317+A366*A366*7,49001)</f>
        <v>20259</v>
      </c>
      <c r="L366" s="12" t="n">
        <f aca="false">1+MOD(A366*131,100)</f>
        <v>16</v>
      </c>
      <c r="M366" s="12" t="n">
        <f aca="false">INT(K366*(0.6+MOD(A366*43,21)/100))</f>
        <v>13776</v>
      </c>
      <c r="N366" s="12" t="n">
        <f aca="false">K366-M366</f>
        <v>6483</v>
      </c>
    </row>
    <row r="367" customFormat="false" ht="12.8" hidden="false" customHeight="false" outlineLevel="0" collapsed="false">
      <c r="A367" s="10" t="n">
        <f aca="false">A366+1</f>
        <v>366</v>
      </c>
      <c r="B367" s="11" t="n">
        <f aca="false">B366+1</f>
        <v>45292</v>
      </c>
      <c r="C367" s="10" t="n">
        <f aca="false">YEAR(B367)</f>
        <v>2024</v>
      </c>
      <c r="D367" s="10" t="n">
        <f aca="false">INT((MONTH(B367)-1)/3)+1</f>
        <v>1</v>
      </c>
      <c r="E367" s="10" t="n">
        <f aca="false">MONTH(B367)</f>
        <v>1</v>
      </c>
      <c r="F367" s="10" t="str">
        <f aca="false">CHOOSE(MOD(A367-1,5)+1,"Центр","Юг","Север","Запад","Восток")</f>
        <v>Центр</v>
      </c>
      <c r="G367" s="10" t="str">
        <f aca="false">"Округ_"&amp;(MOD(A367-1,5)+1)&amp;"_"&amp;(MOD(INT((A367-1)/5),5)+1)</f>
        <v>Округ_1_4</v>
      </c>
      <c r="H367" s="10" t="str">
        <f aca="false">"Город_"&amp;(MOD(A367-1,5)+1)&amp;"_"&amp;(MOD(INT((A367-1)/5),5)+1)&amp;"_"&amp;(MOD(INT((A367-1)/25),10)+1)</f>
        <v>Город_1_4_5</v>
      </c>
      <c r="I367" s="10" t="str">
        <f aca="false">CHOOSE(MOD(A367-1,4)+1,"Электроника","Одежда","Продукты","Мебель")</f>
        <v>Одежда</v>
      </c>
      <c r="J367" s="10" t="str">
        <f aca="false">CHOOSE(MOD(INT((A367-1)/4),4)+1,CHOOSE(MOD(A367-1,4)+1,"Смартфоны","Ноутбуки","Аксессуары","Аудио"),CHOOSE(MOD(A367-1,4)+1,"Верхняя одежда","Спортивная","Повседневная","Обувь"),CHOOSE(MOD(A367-1,4)+1,"Молочные","Мясные","Бакалея","Напитки"),CHOOSE(MOD(A367-1,4)+1,"Мягкая мебель","Корпусная","Офисная","Кухонная"))</f>
        <v>Корпусная</v>
      </c>
      <c r="K367" s="12" t="n">
        <f aca="false">1000+MOD(A367*317+A367*A367*7,49001)</f>
        <v>25693</v>
      </c>
      <c r="L367" s="12" t="n">
        <f aca="false">1+MOD(A367*131,100)</f>
        <v>47</v>
      </c>
      <c r="M367" s="12" t="n">
        <f aca="false">INT(K367*(0.6+MOD(A367*43,21)/100))</f>
        <v>17728</v>
      </c>
      <c r="N367" s="12" t="n">
        <f aca="false">K367-M367</f>
        <v>7965</v>
      </c>
    </row>
    <row r="368" customFormat="false" ht="12.8" hidden="false" customHeight="false" outlineLevel="0" collapsed="false">
      <c r="A368" s="10" t="n">
        <f aca="false">A367+1</f>
        <v>367</v>
      </c>
      <c r="B368" s="11" t="n">
        <f aca="false">B367+1</f>
        <v>45293</v>
      </c>
      <c r="C368" s="10" t="n">
        <f aca="false">YEAR(B368)</f>
        <v>2024</v>
      </c>
      <c r="D368" s="10" t="n">
        <f aca="false">INT((MONTH(B368)-1)/3)+1</f>
        <v>1</v>
      </c>
      <c r="E368" s="10" t="n">
        <f aca="false">MONTH(B368)</f>
        <v>1</v>
      </c>
      <c r="F368" s="10" t="str">
        <f aca="false">CHOOSE(MOD(A368-1,5)+1,"Центр","Юг","Север","Запад","Восток")</f>
        <v>Юг</v>
      </c>
      <c r="G368" s="10" t="str">
        <f aca="false">"Округ_"&amp;(MOD(A368-1,5)+1)&amp;"_"&amp;(MOD(INT((A368-1)/5),5)+1)</f>
        <v>Округ_2_4</v>
      </c>
      <c r="H368" s="10" t="str">
        <f aca="false">"Город_"&amp;(MOD(A368-1,5)+1)&amp;"_"&amp;(MOD(INT((A368-1)/5),5)+1)&amp;"_"&amp;(MOD(INT((A368-1)/25),10)+1)</f>
        <v>Город_2_4_5</v>
      </c>
      <c r="I368" s="10" t="str">
        <f aca="false">CHOOSE(MOD(A368-1,4)+1,"Электроника","Одежда","Продукты","Мебель")</f>
        <v>Продукты</v>
      </c>
      <c r="J368" s="10" t="str">
        <f aca="false">CHOOSE(MOD(INT((A368-1)/4),4)+1,CHOOSE(MOD(A368-1,4)+1,"Смартфоны","Ноутбуки","Аксессуары","Аудио"),CHOOSE(MOD(A368-1,4)+1,"Верхняя одежда","Спортивная","Повседневная","Обувь"),CHOOSE(MOD(A368-1,4)+1,"Молочные","Мясные","Бакалея","Напитки"),CHOOSE(MOD(A368-1,4)+1,"Мягкая мебель","Корпусная","Офисная","Кухонная"))</f>
        <v>Офисная</v>
      </c>
      <c r="K368" s="12" t="n">
        <f aca="false">1000+MOD(A368*317+A368*A368*7,49001)</f>
        <v>31141</v>
      </c>
      <c r="L368" s="12" t="n">
        <f aca="false">1+MOD(A368*131,100)</f>
        <v>78</v>
      </c>
      <c r="M368" s="12" t="n">
        <f aca="false">INT(K368*(0.6+MOD(A368*43,21)/100))</f>
        <v>21798</v>
      </c>
      <c r="N368" s="12" t="n">
        <f aca="false">K368-M368</f>
        <v>9343</v>
      </c>
    </row>
    <row r="369" customFormat="false" ht="12.8" hidden="false" customHeight="false" outlineLevel="0" collapsed="false">
      <c r="A369" s="10" t="n">
        <f aca="false">A368+1</f>
        <v>368</v>
      </c>
      <c r="B369" s="11" t="n">
        <f aca="false">B368+1</f>
        <v>45294</v>
      </c>
      <c r="C369" s="10" t="n">
        <f aca="false">YEAR(B369)</f>
        <v>2024</v>
      </c>
      <c r="D369" s="10" t="n">
        <f aca="false">INT((MONTH(B369)-1)/3)+1</f>
        <v>1</v>
      </c>
      <c r="E369" s="10" t="n">
        <f aca="false">MONTH(B369)</f>
        <v>1</v>
      </c>
      <c r="F369" s="10" t="str">
        <f aca="false">CHOOSE(MOD(A369-1,5)+1,"Центр","Юг","Север","Запад","Восток")</f>
        <v>Север</v>
      </c>
      <c r="G369" s="10" t="str">
        <f aca="false">"Округ_"&amp;(MOD(A369-1,5)+1)&amp;"_"&amp;(MOD(INT((A369-1)/5),5)+1)</f>
        <v>Округ_3_4</v>
      </c>
      <c r="H369" s="10" t="str">
        <f aca="false">"Город_"&amp;(MOD(A369-1,5)+1)&amp;"_"&amp;(MOD(INT((A369-1)/5),5)+1)&amp;"_"&amp;(MOD(INT((A369-1)/25),10)+1)</f>
        <v>Город_3_4_5</v>
      </c>
      <c r="I369" s="10" t="str">
        <f aca="false">CHOOSE(MOD(A369-1,4)+1,"Электроника","Одежда","Продукты","Мебель")</f>
        <v>Мебель</v>
      </c>
      <c r="J369" s="10" t="str">
        <f aca="false">CHOOSE(MOD(INT((A369-1)/4),4)+1,CHOOSE(MOD(A369-1,4)+1,"Смартфоны","Ноутбуки","Аксессуары","Аудио"),CHOOSE(MOD(A369-1,4)+1,"Верхняя одежда","Спортивная","Повседневная","Обувь"),CHOOSE(MOD(A369-1,4)+1,"Молочные","Мясные","Бакалея","Напитки"),CHOOSE(MOD(A369-1,4)+1,"Мягкая мебель","Корпусная","Офисная","Кухонная"))</f>
        <v>Кухонная</v>
      </c>
      <c r="K369" s="12" t="n">
        <f aca="false">1000+MOD(A369*317+A369*A369*7,49001)</f>
        <v>36603</v>
      </c>
      <c r="L369" s="12" t="n">
        <f aca="false">1+MOD(A369*131,100)</f>
        <v>9</v>
      </c>
      <c r="M369" s="12" t="n">
        <f aca="false">INT(K369*(0.6+MOD(A369*43,21)/100))</f>
        <v>25988</v>
      </c>
      <c r="N369" s="12" t="n">
        <f aca="false">K369-M369</f>
        <v>10615</v>
      </c>
    </row>
    <row r="370" customFormat="false" ht="12.8" hidden="false" customHeight="false" outlineLevel="0" collapsed="false">
      <c r="A370" s="10" t="n">
        <f aca="false">A369+1</f>
        <v>369</v>
      </c>
      <c r="B370" s="11" t="n">
        <f aca="false">B369+1</f>
        <v>45295</v>
      </c>
      <c r="C370" s="10" t="n">
        <f aca="false">YEAR(B370)</f>
        <v>2024</v>
      </c>
      <c r="D370" s="10" t="n">
        <f aca="false">INT((MONTH(B370)-1)/3)+1</f>
        <v>1</v>
      </c>
      <c r="E370" s="10" t="n">
        <f aca="false">MONTH(B370)</f>
        <v>1</v>
      </c>
      <c r="F370" s="10" t="str">
        <f aca="false">CHOOSE(MOD(A370-1,5)+1,"Центр","Юг","Север","Запад","Восток")</f>
        <v>Запад</v>
      </c>
      <c r="G370" s="10" t="str">
        <f aca="false">"Округ_"&amp;(MOD(A370-1,5)+1)&amp;"_"&amp;(MOD(INT((A370-1)/5),5)+1)</f>
        <v>Округ_4_4</v>
      </c>
      <c r="H370" s="10" t="str">
        <f aca="false">"Город_"&amp;(MOD(A370-1,5)+1)&amp;"_"&amp;(MOD(INT((A370-1)/5),5)+1)&amp;"_"&amp;(MOD(INT((A370-1)/25),10)+1)</f>
        <v>Город_4_4_5</v>
      </c>
      <c r="I370" s="10" t="str">
        <f aca="false">CHOOSE(MOD(A370-1,4)+1,"Электроника","Одежда","Продукты","Мебель")</f>
        <v>Электроника</v>
      </c>
      <c r="J370" s="10" t="str">
        <f aca="false">CHOOSE(MOD(INT((A370-1)/4),4)+1,CHOOSE(MOD(A370-1,4)+1,"Смартфоны","Ноутбуки","Аксессуары","Аудио"),CHOOSE(MOD(A370-1,4)+1,"Верхняя одежда","Спортивная","Повседневная","Обувь"),CHOOSE(MOD(A370-1,4)+1,"Молочные","Мясные","Бакалея","Напитки"),CHOOSE(MOD(A370-1,4)+1,"Мягкая мебель","Корпусная","Офисная","Кухонная"))</f>
        <v>Смартфоны</v>
      </c>
      <c r="K370" s="12" t="n">
        <f aca="false">1000+MOD(A370*317+A370*A370*7,49001)</f>
        <v>42079</v>
      </c>
      <c r="L370" s="12" t="n">
        <f aca="false">1+MOD(A370*131,100)</f>
        <v>40</v>
      </c>
      <c r="M370" s="12" t="n">
        <f aca="false">INT(K370*(0.6+MOD(A370*43,21)/100))</f>
        <v>30296</v>
      </c>
      <c r="N370" s="12" t="n">
        <f aca="false">K370-M370</f>
        <v>11783</v>
      </c>
    </row>
    <row r="371" customFormat="false" ht="12.8" hidden="false" customHeight="false" outlineLevel="0" collapsed="false">
      <c r="A371" s="10" t="n">
        <f aca="false">A370+1</f>
        <v>370</v>
      </c>
      <c r="B371" s="11" t="n">
        <f aca="false">B370+1</f>
        <v>45296</v>
      </c>
      <c r="C371" s="10" t="n">
        <f aca="false">YEAR(B371)</f>
        <v>2024</v>
      </c>
      <c r="D371" s="10" t="n">
        <f aca="false">INT((MONTH(B371)-1)/3)+1</f>
        <v>1</v>
      </c>
      <c r="E371" s="10" t="n">
        <f aca="false">MONTH(B371)</f>
        <v>1</v>
      </c>
      <c r="F371" s="10" t="str">
        <f aca="false">CHOOSE(MOD(A371-1,5)+1,"Центр","Юг","Север","Запад","Восток")</f>
        <v>Восток</v>
      </c>
      <c r="G371" s="10" t="str">
        <f aca="false">"Округ_"&amp;(MOD(A371-1,5)+1)&amp;"_"&amp;(MOD(INT((A371-1)/5),5)+1)</f>
        <v>Округ_5_4</v>
      </c>
      <c r="H371" s="10" t="str">
        <f aca="false">"Город_"&amp;(MOD(A371-1,5)+1)&amp;"_"&amp;(MOD(INT((A371-1)/5),5)+1)&amp;"_"&amp;(MOD(INT((A371-1)/25),10)+1)</f>
        <v>Город_5_4_5</v>
      </c>
      <c r="I371" s="10" t="str">
        <f aca="false">CHOOSE(MOD(A371-1,4)+1,"Электроника","Одежда","Продукты","Мебель")</f>
        <v>Одежда</v>
      </c>
      <c r="J371" s="10" t="str">
        <f aca="false">CHOOSE(MOD(INT((A371-1)/4),4)+1,CHOOSE(MOD(A371-1,4)+1,"Смартфоны","Ноутбуки","Аксессуары","Аудио"),CHOOSE(MOD(A371-1,4)+1,"Верхняя одежда","Спортивная","Повседневная","Обувь"),CHOOSE(MOD(A371-1,4)+1,"Молочные","Мясные","Бакалея","Напитки"),CHOOSE(MOD(A371-1,4)+1,"Мягкая мебель","Корпусная","Офисная","Кухонная"))</f>
        <v>Ноутбуки</v>
      </c>
      <c r="K371" s="12" t="n">
        <f aca="false">1000+MOD(A371*317+A371*A371*7,49001)</f>
        <v>47569</v>
      </c>
      <c r="L371" s="12" t="n">
        <f aca="false">1+MOD(A371*131,100)</f>
        <v>71</v>
      </c>
      <c r="M371" s="12" t="n">
        <f aca="false">INT(K371*(0.6+MOD(A371*43,21)/100))</f>
        <v>34725</v>
      </c>
      <c r="N371" s="12" t="n">
        <f aca="false">K371-M371</f>
        <v>12844</v>
      </c>
    </row>
    <row r="372" customFormat="false" ht="12.8" hidden="false" customHeight="false" outlineLevel="0" collapsed="false">
      <c r="A372" s="10" t="n">
        <f aca="false">A371+1</f>
        <v>371</v>
      </c>
      <c r="B372" s="11" t="n">
        <f aca="false">B371+1</f>
        <v>45297</v>
      </c>
      <c r="C372" s="10" t="n">
        <f aca="false">YEAR(B372)</f>
        <v>2024</v>
      </c>
      <c r="D372" s="10" t="n">
        <f aca="false">INT((MONTH(B372)-1)/3)+1</f>
        <v>1</v>
      </c>
      <c r="E372" s="10" t="n">
        <f aca="false">MONTH(B372)</f>
        <v>1</v>
      </c>
      <c r="F372" s="10" t="str">
        <f aca="false">CHOOSE(MOD(A372-1,5)+1,"Центр","Юг","Север","Запад","Восток")</f>
        <v>Центр</v>
      </c>
      <c r="G372" s="10" t="str">
        <f aca="false">"Округ_"&amp;(MOD(A372-1,5)+1)&amp;"_"&amp;(MOD(INT((A372-1)/5),5)+1)</f>
        <v>Округ_1_5</v>
      </c>
      <c r="H372" s="10" t="str">
        <f aca="false">"Город_"&amp;(MOD(A372-1,5)+1)&amp;"_"&amp;(MOD(INT((A372-1)/5),5)+1)&amp;"_"&amp;(MOD(INT((A372-1)/25),10)+1)</f>
        <v>Город_1_5_5</v>
      </c>
      <c r="I372" s="10" t="str">
        <f aca="false">CHOOSE(MOD(A372-1,4)+1,"Электроника","Одежда","Продукты","Мебель")</f>
        <v>Продукты</v>
      </c>
      <c r="J372" s="10" t="str">
        <f aca="false">CHOOSE(MOD(INT((A372-1)/4),4)+1,CHOOSE(MOD(A372-1,4)+1,"Смартфоны","Ноутбуки","Аксессуары","Аудио"),CHOOSE(MOD(A372-1,4)+1,"Верхняя одежда","Спортивная","Повседневная","Обувь"),CHOOSE(MOD(A372-1,4)+1,"Молочные","Мясные","Бакалея","Напитки"),CHOOSE(MOD(A372-1,4)+1,"Мягкая мебель","Корпусная","Офисная","Кухонная"))</f>
        <v>Аксессуары</v>
      </c>
      <c r="K372" s="12" t="n">
        <f aca="false">1000+MOD(A372*317+A372*A372*7,49001)</f>
        <v>4072</v>
      </c>
      <c r="L372" s="12" t="n">
        <f aca="false">1+MOD(A372*131,100)</f>
        <v>2</v>
      </c>
      <c r="M372" s="12" t="n">
        <f aca="false">INT(K372*(0.6+MOD(A372*43,21)/100))</f>
        <v>3013</v>
      </c>
      <c r="N372" s="12" t="n">
        <f aca="false">K372-M372</f>
        <v>1059</v>
      </c>
    </row>
    <row r="373" customFormat="false" ht="12.8" hidden="false" customHeight="false" outlineLevel="0" collapsed="false">
      <c r="A373" s="10" t="n">
        <f aca="false">A372+1</f>
        <v>372</v>
      </c>
      <c r="B373" s="11" t="n">
        <f aca="false">B372+1</f>
        <v>45298</v>
      </c>
      <c r="C373" s="10" t="n">
        <f aca="false">YEAR(B373)</f>
        <v>2024</v>
      </c>
      <c r="D373" s="10" t="n">
        <f aca="false">INT((MONTH(B373)-1)/3)+1</f>
        <v>1</v>
      </c>
      <c r="E373" s="10" t="n">
        <f aca="false">MONTH(B373)</f>
        <v>1</v>
      </c>
      <c r="F373" s="10" t="str">
        <f aca="false">CHOOSE(MOD(A373-1,5)+1,"Центр","Юг","Север","Запад","Восток")</f>
        <v>Юг</v>
      </c>
      <c r="G373" s="10" t="str">
        <f aca="false">"Округ_"&amp;(MOD(A373-1,5)+1)&amp;"_"&amp;(MOD(INT((A373-1)/5),5)+1)</f>
        <v>Округ_2_5</v>
      </c>
      <c r="H373" s="10" t="str">
        <f aca="false">"Город_"&amp;(MOD(A373-1,5)+1)&amp;"_"&amp;(MOD(INT((A373-1)/5),5)+1)&amp;"_"&amp;(MOD(INT((A373-1)/25),10)+1)</f>
        <v>Город_2_5_5</v>
      </c>
      <c r="I373" s="10" t="str">
        <f aca="false">CHOOSE(MOD(A373-1,4)+1,"Электроника","Одежда","Продукты","Мебель")</f>
        <v>Мебель</v>
      </c>
      <c r="J373" s="10" t="str">
        <f aca="false">CHOOSE(MOD(INT((A373-1)/4),4)+1,CHOOSE(MOD(A373-1,4)+1,"Смартфоны","Ноутбуки","Аксессуары","Аудио"),CHOOSE(MOD(A373-1,4)+1,"Верхняя одежда","Спортивная","Повседневная","Обувь"),CHOOSE(MOD(A373-1,4)+1,"Молочные","Мясные","Бакалея","Напитки"),CHOOSE(MOD(A373-1,4)+1,"Мягкая мебель","Корпусная","Офисная","Кухонная"))</f>
        <v>Аудио</v>
      </c>
      <c r="K373" s="12" t="n">
        <f aca="false">1000+MOD(A373*317+A373*A373*7,49001)</f>
        <v>9590</v>
      </c>
      <c r="L373" s="12" t="n">
        <f aca="false">1+MOD(A373*131,100)</f>
        <v>33</v>
      </c>
      <c r="M373" s="12" t="n">
        <f aca="false">INT(K373*(0.6+MOD(A373*43,21)/100))</f>
        <v>7192</v>
      </c>
      <c r="N373" s="12" t="n">
        <f aca="false">K373-M373</f>
        <v>2398</v>
      </c>
    </row>
    <row r="374" customFormat="false" ht="12.8" hidden="false" customHeight="false" outlineLevel="0" collapsed="false">
      <c r="A374" s="10" t="n">
        <f aca="false">A373+1</f>
        <v>373</v>
      </c>
      <c r="B374" s="11" t="n">
        <f aca="false">B373+1</f>
        <v>45299</v>
      </c>
      <c r="C374" s="10" t="n">
        <f aca="false">YEAR(B374)</f>
        <v>2024</v>
      </c>
      <c r="D374" s="10" t="n">
        <f aca="false">INT((MONTH(B374)-1)/3)+1</f>
        <v>1</v>
      </c>
      <c r="E374" s="10" t="n">
        <f aca="false">MONTH(B374)</f>
        <v>1</v>
      </c>
      <c r="F374" s="10" t="str">
        <f aca="false">CHOOSE(MOD(A374-1,5)+1,"Центр","Юг","Север","Запад","Восток")</f>
        <v>Север</v>
      </c>
      <c r="G374" s="10" t="str">
        <f aca="false">"Округ_"&amp;(MOD(A374-1,5)+1)&amp;"_"&amp;(MOD(INT((A374-1)/5),5)+1)</f>
        <v>Округ_3_5</v>
      </c>
      <c r="H374" s="10" t="str">
        <f aca="false">"Город_"&amp;(MOD(A374-1,5)+1)&amp;"_"&amp;(MOD(INT((A374-1)/5),5)+1)&amp;"_"&amp;(MOD(INT((A374-1)/25),10)+1)</f>
        <v>Город_3_5_5</v>
      </c>
      <c r="I374" s="10" t="str">
        <f aca="false">CHOOSE(MOD(A374-1,4)+1,"Электроника","Одежда","Продукты","Мебель")</f>
        <v>Электроника</v>
      </c>
      <c r="J374" s="10" t="str">
        <f aca="false">CHOOSE(MOD(INT((A374-1)/4),4)+1,CHOOSE(MOD(A374-1,4)+1,"Смартфоны","Ноутбуки","Аксессуары","Аудио"),CHOOSE(MOD(A374-1,4)+1,"Верхняя одежда","Спортивная","Повседневная","Обувь"),CHOOSE(MOD(A374-1,4)+1,"Молочные","Мясные","Бакалея","Напитки"),CHOOSE(MOD(A374-1,4)+1,"Мягкая мебель","Корпусная","Офисная","Кухонная"))</f>
        <v>Верхняя одежда</v>
      </c>
      <c r="K374" s="12" t="n">
        <f aca="false">1000+MOD(A374*317+A374*A374*7,49001)</f>
        <v>15122</v>
      </c>
      <c r="L374" s="12" t="n">
        <f aca="false">1+MOD(A374*131,100)</f>
        <v>64</v>
      </c>
      <c r="M374" s="12" t="n">
        <f aca="false">INT(K374*(0.6+MOD(A374*43,21)/100))</f>
        <v>11492</v>
      </c>
      <c r="N374" s="12" t="n">
        <f aca="false">K374-M374</f>
        <v>3630</v>
      </c>
    </row>
    <row r="375" customFormat="false" ht="12.8" hidden="false" customHeight="false" outlineLevel="0" collapsed="false">
      <c r="A375" s="10" t="n">
        <f aca="false">A374+1</f>
        <v>374</v>
      </c>
      <c r="B375" s="11" t="n">
        <f aca="false">B374+1</f>
        <v>45300</v>
      </c>
      <c r="C375" s="10" t="n">
        <f aca="false">YEAR(B375)</f>
        <v>2024</v>
      </c>
      <c r="D375" s="10" t="n">
        <f aca="false">INT((MONTH(B375)-1)/3)+1</f>
        <v>1</v>
      </c>
      <c r="E375" s="10" t="n">
        <f aca="false">MONTH(B375)</f>
        <v>1</v>
      </c>
      <c r="F375" s="10" t="str">
        <f aca="false">CHOOSE(MOD(A375-1,5)+1,"Центр","Юг","Север","Запад","Восток")</f>
        <v>Запад</v>
      </c>
      <c r="G375" s="10" t="str">
        <f aca="false">"Округ_"&amp;(MOD(A375-1,5)+1)&amp;"_"&amp;(MOD(INT((A375-1)/5),5)+1)</f>
        <v>Округ_4_5</v>
      </c>
      <c r="H375" s="10" t="str">
        <f aca="false">"Город_"&amp;(MOD(A375-1,5)+1)&amp;"_"&amp;(MOD(INT((A375-1)/5),5)+1)&amp;"_"&amp;(MOD(INT((A375-1)/25),10)+1)</f>
        <v>Город_4_5_5</v>
      </c>
      <c r="I375" s="10" t="str">
        <f aca="false">CHOOSE(MOD(A375-1,4)+1,"Электроника","Одежда","Продукты","Мебель")</f>
        <v>Одежда</v>
      </c>
      <c r="J375" s="10" t="str">
        <f aca="false">CHOOSE(MOD(INT((A375-1)/4),4)+1,CHOOSE(MOD(A375-1,4)+1,"Смартфоны","Ноутбуки","Аксессуары","Аудио"),CHOOSE(MOD(A375-1,4)+1,"Верхняя одежда","Спортивная","Повседневная","Обувь"),CHOOSE(MOD(A375-1,4)+1,"Молочные","Мясные","Бакалея","Напитки"),CHOOSE(MOD(A375-1,4)+1,"Мягкая мебель","Корпусная","Офисная","Кухонная"))</f>
        <v>Спортивная</v>
      </c>
      <c r="K375" s="12" t="n">
        <f aca="false">1000+MOD(A375*317+A375*A375*7,49001)</f>
        <v>20668</v>
      </c>
      <c r="L375" s="12" t="n">
        <f aca="false">1+MOD(A375*131,100)</f>
        <v>95</v>
      </c>
      <c r="M375" s="12" t="n">
        <f aca="false">INT(K375*(0.6+MOD(A375*43,21)/100))</f>
        <v>15914</v>
      </c>
      <c r="N375" s="12" t="n">
        <f aca="false">K375-M375</f>
        <v>4754</v>
      </c>
    </row>
    <row r="376" customFormat="false" ht="12.8" hidden="false" customHeight="false" outlineLevel="0" collapsed="false">
      <c r="A376" s="10" t="n">
        <f aca="false">A375+1</f>
        <v>375</v>
      </c>
      <c r="B376" s="11" t="n">
        <f aca="false">B375+1</f>
        <v>45301</v>
      </c>
      <c r="C376" s="10" t="n">
        <f aca="false">YEAR(B376)</f>
        <v>2024</v>
      </c>
      <c r="D376" s="10" t="n">
        <f aca="false">INT((MONTH(B376)-1)/3)+1</f>
        <v>1</v>
      </c>
      <c r="E376" s="10" t="n">
        <f aca="false">MONTH(B376)</f>
        <v>1</v>
      </c>
      <c r="F376" s="10" t="str">
        <f aca="false">CHOOSE(MOD(A376-1,5)+1,"Центр","Юг","Север","Запад","Восток")</f>
        <v>Восток</v>
      </c>
      <c r="G376" s="10" t="str">
        <f aca="false">"Округ_"&amp;(MOD(A376-1,5)+1)&amp;"_"&amp;(MOD(INT((A376-1)/5),5)+1)</f>
        <v>Округ_5_5</v>
      </c>
      <c r="H376" s="10" t="str">
        <f aca="false">"Город_"&amp;(MOD(A376-1,5)+1)&amp;"_"&amp;(MOD(INT((A376-1)/5),5)+1)&amp;"_"&amp;(MOD(INT((A376-1)/25),10)+1)</f>
        <v>Город_5_5_5</v>
      </c>
      <c r="I376" s="10" t="str">
        <f aca="false">CHOOSE(MOD(A376-1,4)+1,"Электроника","Одежда","Продукты","Мебель")</f>
        <v>Продукты</v>
      </c>
      <c r="J376" s="10" t="str">
        <f aca="false">CHOOSE(MOD(INT((A376-1)/4),4)+1,CHOOSE(MOD(A376-1,4)+1,"Смартфоны","Ноутбуки","Аксессуары","Аудио"),CHOOSE(MOD(A376-1,4)+1,"Верхняя одежда","Спортивная","Повседневная","Обувь"),CHOOSE(MOD(A376-1,4)+1,"Молочные","Мясные","Бакалея","Напитки"),CHOOSE(MOD(A376-1,4)+1,"Мягкая мебель","Корпусная","Офисная","Кухонная"))</f>
        <v>Повседневная</v>
      </c>
      <c r="K376" s="12" t="n">
        <f aca="false">1000+MOD(A376*317+A376*A376*7,49001)</f>
        <v>26228</v>
      </c>
      <c r="L376" s="12" t="n">
        <f aca="false">1+MOD(A376*131,100)</f>
        <v>26</v>
      </c>
      <c r="M376" s="12" t="n">
        <f aca="false">INT(K376*(0.6+MOD(A376*43,21)/100))</f>
        <v>20457</v>
      </c>
      <c r="N376" s="12" t="n">
        <f aca="false">K376-M376</f>
        <v>5771</v>
      </c>
    </row>
    <row r="377" customFormat="false" ht="12.8" hidden="false" customHeight="false" outlineLevel="0" collapsed="false">
      <c r="A377" s="10" t="n">
        <f aca="false">A376+1</f>
        <v>376</v>
      </c>
      <c r="B377" s="11" t="n">
        <f aca="false">B376+1</f>
        <v>45302</v>
      </c>
      <c r="C377" s="10" t="n">
        <f aca="false">YEAR(B377)</f>
        <v>2024</v>
      </c>
      <c r="D377" s="10" t="n">
        <f aca="false">INT((MONTH(B377)-1)/3)+1</f>
        <v>1</v>
      </c>
      <c r="E377" s="10" t="n">
        <f aca="false">MONTH(B377)</f>
        <v>1</v>
      </c>
      <c r="F377" s="10" t="str">
        <f aca="false">CHOOSE(MOD(A377-1,5)+1,"Центр","Юг","Север","Запад","Восток")</f>
        <v>Центр</v>
      </c>
      <c r="G377" s="10" t="str">
        <f aca="false">"Округ_"&amp;(MOD(A377-1,5)+1)&amp;"_"&amp;(MOD(INT((A377-1)/5),5)+1)</f>
        <v>Округ_1_1</v>
      </c>
      <c r="H377" s="10" t="str">
        <f aca="false">"Город_"&amp;(MOD(A377-1,5)+1)&amp;"_"&amp;(MOD(INT((A377-1)/5),5)+1)&amp;"_"&amp;(MOD(INT((A377-1)/25),10)+1)</f>
        <v>Город_1_1_6</v>
      </c>
      <c r="I377" s="10" t="str">
        <f aca="false">CHOOSE(MOD(A377-1,4)+1,"Электроника","Одежда","Продукты","Мебель")</f>
        <v>Мебель</v>
      </c>
      <c r="J377" s="10" t="str">
        <f aca="false">CHOOSE(MOD(INT((A377-1)/4),4)+1,CHOOSE(MOD(A377-1,4)+1,"Смартфоны","Ноутбуки","Аксессуары","Аудио"),CHOOSE(MOD(A377-1,4)+1,"Верхняя одежда","Спортивная","Повседневная","Обувь"),CHOOSE(MOD(A377-1,4)+1,"Молочные","Мясные","Бакалея","Напитки"),CHOOSE(MOD(A377-1,4)+1,"Мягкая мебель","Корпусная","Офисная","Кухонная"))</f>
        <v>Обувь</v>
      </c>
      <c r="K377" s="12" t="n">
        <f aca="false">1000+MOD(A377*317+A377*A377*7,49001)</f>
        <v>31802</v>
      </c>
      <c r="L377" s="12" t="n">
        <f aca="false">1+MOD(A377*131,100)</f>
        <v>57</v>
      </c>
      <c r="M377" s="12" t="n">
        <f aca="false">INT(K377*(0.6+MOD(A377*43,21)/100))</f>
        <v>25123</v>
      </c>
      <c r="N377" s="12" t="n">
        <f aca="false">K377-M377</f>
        <v>6679</v>
      </c>
    </row>
    <row r="378" customFormat="false" ht="12.8" hidden="false" customHeight="false" outlineLevel="0" collapsed="false">
      <c r="A378" s="10" t="n">
        <f aca="false">A377+1</f>
        <v>377</v>
      </c>
      <c r="B378" s="11" t="n">
        <f aca="false">B377+1</f>
        <v>45303</v>
      </c>
      <c r="C378" s="10" t="n">
        <f aca="false">YEAR(B378)</f>
        <v>2024</v>
      </c>
      <c r="D378" s="10" t="n">
        <f aca="false">INT((MONTH(B378)-1)/3)+1</f>
        <v>1</v>
      </c>
      <c r="E378" s="10" t="n">
        <f aca="false">MONTH(B378)</f>
        <v>1</v>
      </c>
      <c r="F378" s="10" t="str">
        <f aca="false">CHOOSE(MOD(A378-1,5)+1,"Центр","Юг","Север","Запад","Восток")</f>
        <v>Юг</v>
      </c>
      <c r="G378" s="10" t="str">
        <f aca="false">"Округ_"&amp;(MOD(A378-1,5)+1)&amp;"_"&amp;(MOD(INT((A378-1)/5),5)+1)</f>
        <v>Округ_2_1</v>
      </c>
      <c r="H378" s="10" t="str">
        <f aca="false">"Город_"&amp;(MOD(A378-1,5)+1)&amp;"_"&amp;(MOD(INT((A378-1)/5),5)+1)&amp;"_"&amp;(MOD(INT((A378-1)/25),10)+1)</f>
        <v>Город_2_1_6</v>
      </c>
      <c r="I378" s="10" t="str">
        <f aca="false">CHOOSE(MOD(A378-1,4)+1,"Электроника","Одежда","Продукты","Мебель")</f>
        <v>Электроника</v>
      </c>
      <c r="J378" s="10" t="str">
        <f aca="false">CHOOSE(MOD(INT((A378-1)/4),4)+1,CHOOSE(MOD(A378-1,4)+1,"Смартфоны","Ноутбуки","Аксессуары","Аудио"),CHOOSE(MOD(A378-1,4)+1,"Верхняя одежда","Спортивная","Повседневная","Обувь"),CHOOSE(MOD(A378-1,4)+1,"Молочные","Мясные","Бакалея","Напитки"),CHOOSE(MOD(A378-1,4)+1,"Мягкая мебель","Корпусная","Офисная","Кухонная"))</f>
        <v>Молочные</v>
      </c>
      <c r="K378" s="12" t="n">
        <f aca="false">1000+MOD(A378*317+A378*A378*7,49001)</f>
        <v>37390</v>
      </c>
      <c r="L378" s="12" t="n">
        <f aca="false">1+MOD(A378*131,100)</f>
        <v>88</v>
      </c>
      <c r="M378" s="12" t="n">
        <f aca="false">INT(K378*(0.6+MOD(A378*43,21)/100))</f>
        <v>29912</v>
      </c>
      <c r="N378" s="12" t="n">
        <f aca="false">K378-M378</f>
        <v>7478</v>
      </c>
    </row>
    <row r="379" customFormat="false" ht="12.8" hidden="false" customHeight="false" outlineLevel="0" collapsed="false">
      <c r="A379" s="10" t="n">
        <f aca="false">A378+1</f>
        <v>378</v>
      </c>
      <c r="B379" s="11" t="n">
        <f aca="false">B378+1</f>
        <v>45304</v>
      </c>
      <c r="C379" s="10" t="n">
        <f aca="false">YEAR(B379)</f>
        <v>2024</v>
      </c>
      <c r="D379" s="10" t="n">
        <f aca="false">INT((MONTH(B379)-1)/3)+1</f>
        <v>1</v>
      </c>
      <c r="E379" s="10" t="n">
        <f aca="false">MONTH(B379)</f>
        <v>1</v>
      </c>
      <c r="F379" s="10" t="str">
        <f aca="false">CHOOSE(MOD(A379-1,5)+1,"Центр","Юг","Север","Запад","Восток")</f>
        <v>Север</v>
      </c>
      <c r="G379" s="10" t="str">
        <f aca="false">"Округ_"&amp;(MOD(A379-1,5)+1)&amp;"_"&amp;(MOD(INT((A379-1)/5),5)+1)</f>
        <v>Округ_3_1</v>
      </c>
      <c r="H379" s="10" t="str">
        <f aca="false">"Город_"&amp;(MOD(A379-1,5)+1)&amp;"_"&amp;(MOD(INT((A379-1)/5),5)+1)&amp;"_"&amp;(MOD(INT((A379-1)/25),10)+1)</f>
        <v>Город_3_1_6</v>
      </c>
      <c r="I379" s="10" t="str">
        <f aca="false">CHOOSE(MOD(A379-1,4)+1,"Электроника","Одежда","Продукты","Мебель")</f>
        <v>Одежда</v>
      </c>
      <c r="J379" s="10" t="str">
        <f aca="false">CHOOSE(MOD(INT((A379-1)/4),4)+1,CHOOSE(MOD(A379-1,4)+1,"Смартфоны","Ноутбуки","Аксессуары","Аудио"),CHOOSE(MOD(A379-1,4)+1,"Верхняя одежда","Спортивная","Повседневная","Обувь"),CHOOSE(MOD(A379-1,4)+1,"Молочные","Мясные","Бакалея","Напитки"),CHOOSE(MOD(A379-1,4)+1,"Мягкая мебель","Корпусная","Офисная","Кухонная"))</f>
        <v>Мясные</v>
      </c>
      <c r="K379" s="12" t="n">
        <f aca="false">1000+MOD(A379*317+A379*A379*7,49001)</f>
        <v>42992</v>
      </c>
      <c r="L379" s="12" t="n">
        <f aca="false">1+MOD(A379*131,100)</f>
        <v>19</v>
      </c>
      <c r="M379" s="12" t="n">
        <f aca="false">INT(K379*(0.6+MOD(A379*43,21)/100))</f>
        <v>25795</v>
      </c>
      <c r="N379" s="12" t="n">
        <f aca="false">K379-M379</f>
        <v>17197</v>
      </c>
    </row>
    <row r="380" customFormat="false" ht="12.8" hidden="false" customHeight="false" outlineLevel="0" collapsed="false">
      <c r="A380" s="10" t="n">
        <f aca="false">A379+1</f>
        <v>379</v>
      </c>
      <c r="B380" s="11" t="n">
        <f aca="false">B379+1</f>
        <v>45305</v>
      </c>
      <c r="C380" s="10" t="n">
        <f aca="false">YEAR(B380)</f>
        <v>2024</v>
      </c>
      <c r="D380" s="10" t="n">
        <f aca="false">INT((MONTH(B380)-1)/3)+1</f>
        <v>1</v>
      </c>
      <c r="E380" s="10" t="n">
        <f aca="false">MONTH(B380)</f>
        <v>1</v>
      </c>
      <c r="F380" s="10" t="str">
        <f aca="false">CHOOSE(MOD(A380-1,5)+1,"Центр","Юг","Север","Запад","Восток")</f>
        <v>Запад</v>
      </c>
      <c r="G380" s="10" t="str">
        <f aca="false">"Округ_"&amp;(MOD(A380-1,5)+1)&amp;"_"&amp;(MOD(INT((A380-1)/5),5)+1)</f>
        <v>Округ_4_1</v>
      </c>
      <c r="H380" s="10" t="str">
        <f aca="false">"Город_"&amp;(MOD(A380-1,5)+1)&amp;"_"&amp;(MOD(INT((A380-1)/5),5)+1)&amp;"_"&amp;(MOD(INT((A380-1)/25),10)+1)</f>
        <v>Город_4_1_6</v>
      </c>
      <c r="I380" s="10" t="str">
        <f aca="false">CHOOSE(MOD(A380-1,4)+1,"Электроника","Одежда","Продукты","Мебель")</f>
        <v>Продукты</v>
      </c>
      <c r="J380" s="10" t="str">
        <f aca="false">CHOOSE(MOD(INT((A380-1)/4),4)+1,CHOOSE(MOD(A380-1,4)+1,"Смартфоны","Ноутбуки","Аксессуары","Аудио"),CHOOSE(MOD(A380-1,4)+1,"Верхняя одежда","Спортивная","Повседневная","Обувь"),CHOOSE(MOD(A380-1,4)+1,"Молочные","Мясные","Бакалея","Напитки"),CHOOSE(MOD(A380-1,4)+1,"Мягкая мебель","Корпусная","Офисная","Кухонная"))</f>
        <v>Бакалея</v>
      </c>
      <c r="K380" s="12" t="n">
        <f aca="false">1000+MOD(A380*317+A380*A380*7,49001)</f>
        <v>48608</v>
      </c>
      <c r="L380" s="12" t="n">
        <f aca="false">1+MOD(A380*131,100)</f>
        <v>50</v>
      </c>
      <c r="M380" s="12" t="n">
        <f aca="false">INT(K380*(0.6+MOD(A380*43,21)/100))</f>
        <v>29650</v>
      </c>
      <c r="N380" s="12" t="n">
        <f aca="false">K380-M380</f>
        <v>18958</v>
      </c>
    </row>
    <row r="381" customFormat="false" ht="12.8" hidden="false" customHeight="false" outlineLevel="0" collapsed="false">
      <c r="A381" s="10" t="n">
        <f aca="false">A380+1</f>
        <v>380</v>
      </c>
      <c r="B381" s="11" t="n">
        <f aca="false">B380+1</f>
        <v>45306</v>
      </c>
      <c r="C381" s="10" t="n">
        <f aca="false">YEAR(B381)</f>
        <v>2024</v>
      </c>
      <c r="D381" s="10" t="n">
        <f aca="false">INT((MONTH(B381)-1)/3)+1</f>
        <v>1</v>
      </c>
      <c r="E381" s="10" t="n">
        <f aca="false">MONTH(B381)</f>
        <v>1</v>
      </c>
      <c r="F381" s="10" t="str">
        <f aca="false">CHOOSE(MOD(A381-1,5)+1,"Центр","Юг","Север","Запад","Восток")</f>
        <v>Восток</v>
      </c>
      <c r="G381" s="10" t="str">
        <f aca="false">"Округ_"&amp;(MOD(A381-1,5)+1)&amp;"_"&amp;(MOD(INT((A381-1)/5),5)+1)</f>
        <v>Округ_5_1</v>
      </c>
      <c r="H381" s="10" t="str">
        <f aca="false">"Город_"&amp;(MOD(A381-1,5)+1)&amp;"_"&amp;(MOD(INT((A381-1)/5),5)+1)&amp;"_"&amp;(MOD(INT((A381-1)/25),10)+1)</f>
        <v>Город_5_1_6</v>
      </c>
      <c r="I381" s="10" t="str">
        <f aca="false">CHOOSE(MOD(A381-1,4)+1,"Электроника","Одежда","Продукты","Мебель")</f>
        <v>Мебель</v>
      </c>
      <c r="J381" s="10" t="str">
        <f aca="false">CHOOSE(MOD(INT((A381-1)/4),4)+1,CHOOSE(MOD(A381-1,4)+1,"Смартфоны","Ноутбуки","Аксессуары","Аудио"),CHOOSE(MOD(A381-1,4)+1,"Верхняя одежда","Спортивная","Повседневная","Обувь"),CHOOSE(MOD(A381-1,4)+1,"Молочные","Мясные","Бакалея","Напитки"),CHOOSE(MOD(A381-1,4)+1,"Мягкая мебель","Корпусная","Офисная","Кухонная"))</f>
        <v>Напитки</v>
      </c>
      <c r="K381" s="12" t="n">
        <f aca="false">1000+MOD(A381*317+A381*A381*7,49001)</f>
        <v>5237</v>
      </c>
      <c r="L381" s="12" t="n">
        <f aca="false">1+MOD(A381*131,100)</f>
        <v>81</v>
      </c>
      <c r="M381" s="12" t="n">
        <f aca="false">INT(K381*(0.6+MOD(A381*43,21)/100))</f>
        <v>3246</v>
      </c>
      <c r="N381" s="12" t="n">
        <f aca="false">K381-M381</f>
        <v>1991</v>
      </c>
    </row>
    <row r="382" customFormat="false" ht="12.8" hidden="false" customHeight="false" outlineLevel="0" collapsed="false">
      <c r="A382" s="10" t="n">
        <f aca="false">A381+1</f>
        <v>381</v>
      </c>
      <c r="B382" s="11" t="n">
        <f aca="false">B381+1</f>
        <v>45307</v>
      </c>
      <c r="C382" s="10" t="n">
        <f aca="false">YEAR(B382)</f>
        <v>2024</v>
      </c>
      <c r="D382" s="10" t="n">
        <f aca="false">INT((MONTH(B382)-1)/3)+1</f>
        <v>1</v>
      </c>
      <c r="E382" s="10" t="n">
        <f aca="false">MONTH(B382)</f>
        <v>1</v>
      </c>
      <c r="F382" s="10" t="str">
        <f aca="false">CHOOSE(MOD(A382-1,5)+1,"Центр","Юг","Север","Запад","Восток")</f>
        <v>Центр</v>
      </c>
      <c r="G382" s="10" t="str">
        <f aca="false">"Округ_"&amp;(MOD(A382-1,5)+1)&amp;"_"&amp;(MOD(INT((A382-1)/5),5)+1)</f>
        <v>Округ_1_2</v>
      </c>
      <c r="H382" s="10" t="str">
        <f aca="false">"Город_"&amp;(MOD(A382-1,5)+1)&amp;"_"&amp;(MOD(INT((A382-1)/5),5)+1)&amp;"_"&amp;(MOD(INT((A382-1)/25),10)+1)</f>
        <v>Город_1_2_6</v>
      </c>
      <c r="I382" s="10" t="str">
        <f aca="false">CHOOSE(MOD(A382-1,4)+1,"Электроника","Одежда","Продукты","Мебель")</f>
        <v>Электроника</v>
      </c>
      <c r="J382" s="10" t="str">
        <f aca="false">CHOOSE(MOD(INT((A382-1)/4),4)+1,CHOOSE(MOD(A382-1,4)+1,"Смартфоны","Ноутбуки","Аксессуары","Аудио"),CHOOSE(MOD(A382-1,4)+1,"Верхняя одежда","Спортивная","Повседневная","Обувь"),CHOOSE(MOD(A382-1,4)+1,"Молочные","Мясные","Бакалея","Напитки"),CHOOSE(MOD(A382-1,4)+1,"Мягкая мебель","Корпусная","Офисная","Кухонная"))</f>
        <v>Мягкая мебель</v>
      </c>
      <c r="K382" s="12" t="n">
        <f aca="false">1000+MOD(A382*317+A382*A382*7,49001)</f>
        <v>10881</v>
      </c>
      <c r="L382" s="12" t="n">
        <f aca="false">1+MOD(A382*131,100)</f>
        <v>12</v>
      </c>
      <c r="M382" s="12" t="n">
        <f aca="false">INT(K382*(0.6+MOD(A382*43,21)/100))</f>
        <v>6855</v>
      </c>
      <c r="N382" s="12" t="n">
        <f aca="false">K382-M382</f>
        <v>4026</v>
      </c>
    </row>
    <row r="383" customFormat="false" ht="12.8" hidden="false" customHeight="false" outlineLevel="0" collapsed="false">
      <c r="A383" s="10" t="n">
        <f aca="false">A382+1</f>
        <v>382</v>
      </c>
      <c r="B383" s="11" t="n">
        <f aca="false">B382+1</f>
        <v>45308</v>
      </c>
      <c r="C383" s="10" t="n">
        <f aca="false">YEAR(B383)</f>
        <v>2024</v>
      </c>
      <c r="D383" s="10" t="n">
        <f aca="false">INT((MONTH(B383)-1)/3)+1</f>
        <v>1</v>
      </c>
      <c r="E383" s="10" t="n">
        <f aca="false">MONTH(B383)</f>
        <v>1</v>
      </c>
      <c r="F383" s="10" t="str">
        <f aca="false">CHOOSE(MOD(A383-1,5)+1,"Центр","Юг","Север","Запад","Восток")</f>
        <v>Юг</v>
      </c>
      <c r="G383" s="10" t="str">
        <f aca="false">"Округ_"&amp;(MOD(A383-1,5)+1)&amp;"_"&amp;(MOD(INT((A383-1)/5),5)+1)</f>
        <v>Округ_2_2</v>
      </c>
      <c r="H383" s="10" t="str">
        <f aca="false">"Город_"&amp;(MOD(A383-1,5)+1)&amp;"_"&amp;(MOD(INT((A383-1)/5),5)+1)&amp;"_"&amp;(MOD(INT((A383-1)/25),10)+1)</f>
        <v>Город_2_2_6</v>
      </c>
      <c r="I383" s="10" t="str">
        <f aca="false">CHOOSE(MOD(A383-1,4)+1,"Электроника","Одежда","Продукты","Мебель")</f>
        <v>Одежда</v>
      </c>
      <c r="J383" s="10" t="str">
        <f aca="false">CHOOSE(MOD(INT((A383-1)/4),4)+1,CHOOSE(MOD(A383-1,4)+1,"Смартфоны","Ноутбуки","Аксессуары","Аудио"),CHOOSE(MOD(A383-1,4)+1,"Верхняя одежда","Спортивная","Повседневная","Обувь"),CHOOSE(MOD(A383-1,4)+1,"Молочные","Мясные","Бакалея","Напитки"),CHOOSE(MOD(A383-1,4)+1,"Мягкая мебель","Корпусная","Офисная","Кухонная"))</f>
        <v>Корпусная</v>
      </c>
      <c r="K383" s="12" t="n">
        <f aca="false">1000+MOD(A383*317+A383*A383*7,49001)</f>
        <v>16539</v>
      </c>
      <c r="L383" s="12" t="n">
        <f aca="false">1+MOD(A383*131,100)</f>
        <v>43</v>
      </c>
      <c r="M383" s="12" t="n">
        <f aca="false">INT(K383*(0.6+MOD(A383*43,21)/100))</f>
        <v>10584</v>
      </c>
      <c r="N383" s="12" t="n">
        <f aca="false">K383-M383</f>
        <v>5955</v>
      </c>
    </row>
    <row r="384" customFormat="false" ht="12.8" hidden="false" customHeight="false" outlineLevel="0" collapsed="false">
      <c r="A384" s="10" t="n">
        <f aca="false">A383+1</f>
        <v>383</v>
      </c>
      <c r="B384" s="11" t="n">
        <f aca="false">B383+1</f>
        <v>45309</v>
      </c>
      <c r="C384" s="10" t="n">
        <f aca="false">YEAR(B384)</f>
        <v>2024</v>
      </c>
      <c r="D384" s="10" t="n">
        <f aca="false">INT((MONTH(B384)-1)/3)+1</f>
        <v>1</v>
      </c>
      <c r="E384" s="10" t="n">
        <f aca="false">MONTH(B384)</f>
        <v>1</v>
      </c>
      <c r="F384" s="10" t="str">
        <f aca="false">CHOOSE(MOD(A384-1,5)+1,"Центр","Юг","Север","Запад","Восток")</f>
        <v>Север</v>
      </c>
      <c r="G384" s="10" t="str">
        <f aca="false">"Округ_"&amp;(MOD(A384-1,5)+1)&amp;"_"&amp;(MOD(INT((A384-1)/5),5)+1)</f>
        <v>Округ_3_2</v>
      </c>
      <c r="H384" s="10" t="str">
        <f aca="false">"Город_"&amp;(MOD(A384-1,5)+1)&amp;"_"&amp;(MOD(INT((A384-1)/5),5)+1)&amp;"_"&amp;(MOD(INT((A384-1)/25),10)+1)</f>
        <v>Город_3_2_6</v>
      </c>
      <c r="I384" s="10" t="str">
        <f aca="false">CHOOSE(MOD(A384-1,4)+1,"Электроника","Одежда","Продукты","Мебель")</f>
        <v>Продукты</v>
      </c>
      <c r="J384" s="10" t="str">
        <f aca="false">CHOOSE(MOD(INT((A384-1)/4),4)+1,CHOOSE(MOD(A384-1,4)+1,"Смартфоны","Ноутбуки","Аксессуары","Аудио"),CHOOSE(MOD(A384-1,4)+1,"Верхняя одежда","Спортивная","Повседневная","Обувь"),CHOOSE(MOD(A384-1,4)+1,"Молочные","Мясные","Бакалея","Напитки"),CHOOSE(MOD(A384-1,4)+1,"Мягкая мебель","Корпусная","Офисная","Кухонная"))</f>
        <v>Офисная</v>
      </c>
      <c r="K384" s="12" t="n">
        <f aca="false">1000+MOD(A384*317+A384*A384*7,49001)</f>
        <v>22211</v>
      </c>
      <c r="L384" s="12" t="n">
        <f aca="false">1+MOD(A384*131,100)</f>
        <v>74</v>
      </c>
      <c r="M384" s="12" t="n">
        <f aca="false">INT(K384*(0.6+MOD(A384*43,21)/100))</f>
        <v>14437</v>
      </c>
      <c r="N384" s="12" t="n">
        <f aca="false">K384-M384</f>
        <v>7774</v>
      </c>
    </row>
    <row r="385" customFormat="false" ht="12.8" hidden="false" customHeight="false" outlineLevel="0" collapsed="false">
      <c r="A385" s="10" t="n">
        <f aca="false">A384+1</f>
        <v>384</v>
      </c>
      <c r="B385" s="11" t="n">
        <f aca="false">B384+1</f>
        <v>45310</v>
      </c>
      <c r="C385" s="10" t="n">
        <f aca="false">YEAR(B385)</f>
        <v>2024</v>
      </c>
      <c r="D385" s="10" t="n">
        <f aca="false">INT((MONTH(B385)-1)/3)+1</f>
        <v>1</v>
      </c>
      <c r="E385" s="10" t="n">
        <f aca="false">MONTH(B385)</f>
        <v>1</v>
      </c>
      <c r="F385" s="10" t="str">
        <f aca="false">CHOOSE(MOD(A385-1,5)+1,"Центр","Юг","Север","Запад","Восток")</f>
        <v>Запад</v>
      </c>
      <c r="G385" s="10" t="str">
        <f aca="false">"Округ_"&amp;(MOD(A385-1,5)+1)&amp;"_"&amp;(MOD(INT((A385-1)/5),5)+1)</f>
        <v>Округ_4_2</v>
      </c>
      <c r="H385" s="10" t="str">
        <f aca="false">"Город_"&amp;(MOD(A385-1,5)+1)&amp;"_"&amp;(MOD(INT((A385-1)/5),5)+1)&amp;"_"&amp;(MOD(INT((A385-1)/25),10)+1)</f>
        <v>Город_4_2_6</v>
      </c>
      <c r="I385" s="10" t="str">
        <f aca="false">CHOOSE(MOD(A385-1,4)+1,"Электроника","Одежда","Продукты","Мебель")</f>
        <v>Мебель</v>
      </c>
      <c r="J385" s="10" t="str">
        <f aca="false">CHOOSE(MOD(INT((A385-1)/4),4)+1,CHOOSE(MOD(A385-1,4)+1,"Смартфоны","Ноутбуки","Аксессуары","Аудио"),CHOOSE(MOD(A385-1,4)+1,"Верхняя одежда","Спортивная","Повседневная","Обувь"),CHOOSE(MOD(A385-1,4)+1,"Молочные","Мясные","Бакалея","Напитки"),CHOOSE(MOD(A385-1,4)+1,"Мягкая мебель","Корпусная","Офисная","Кухонная"))</f>
        <v>Кухонная</v>
      </c>
      <c r="K385" s="12" t="n">
        <f aca="false">1000+MOD(A385*317+A385*A385*7,49001)</f>
        <v>27897</v>
      </c>
      <c r="L385" s="12" t="n">
        <f aca="false">1+MOD(A385*131,100)</f>
        <v>5</v>
      </c>
      <c r="M385" s="12" t="n">
        <f aca="false">INT(K385*(0.6+MOD(A385*43,21)/100))</f>
        <v>18412</v>
      </c>
      <c r="N385" s="12" t="n">
        <f aca="false">K385-M385</f>
        <v>9485</v>
      </c>
    </row>
    <row r="386" customFormat="false" ht="12.8" hidden="false" customHeight="false" outlineLevel="0" collapsed="false">
      <c r="A386" s="10" t="n">
        <f aca="false">A385+1</f>
        <v>385</v>
      </c>
      <c r="B386" s="11" t="n">
        <f aca="false">B385+1</f>
        <v>45311</v>
      </c>
      <c r="C386" s="10" t="n">
        <f aca="false">YEAR(B386)</f>
        <v>2024</v>
      </c>
      <c r="D386" s="10" t="n">
        <f aca="false">INT((MONTH(B386)-1)/3)+1</f>
        <v>1</v>
      </c>
      <c r="E386" s="10" t="n">
        <f aca="false">MONTH(B386)</f>
        <v>1</v>
      </c>
      <c r="F386" s="10" t="str">
        <f aca="false">CHOOSE(MOD(A386-1,5)+1,"Центр","Юг","Север","Запад","Восток")</f>
        <v>Восток</v>
      </c>
      <c r="G386" s="10" t="str">
        <f aca="false">"Округ_"&amp;(MOD(A386-1,5)+1)&amp;"_"&amp;(MOD(INT((A386-1)/5),5)+1)</f>
        <v>Округ_5_2</v>
      </c>
      <c r="H386" s="10" t="str">
        <f aca="false">"Город_"&amp;(MOD(A386-1,5)+1)&amp;"_"&amp;(MOD(INT((A386-1)/5),5)+1)&amp;"_"&amp;(MOD(INT((A386-1)/25),10)+1)</f>
        <v>Город_5_2_6</v>
      </c>
      <c r="I386" s="10" t="str">
        <f aca="false">CHOOSE(MOD(A386-1,4)+1,"Электроника","Одежда","Продукты","Мебель")</f>
        <v>Электроника</v>
      </c>
      <c r="J386" s="10" t="str">
        <f aca="false">CHOOSE(MOD(INT((A386-1)/4),4)+1,CHOOSE(MOD(A386-1,4)+1,"Смартфоны","Ноутбуки","Аксессуары","Аудио"),CHOOSE(MOD(A386-1,4)+1,"Верхняя одежда","Спортивная","Повседневная","Обувь"),CHOOSE(MOD(A386-1,4)+1,"Молочные","Мясные","Бакалея","Напитки"),CHOOSE(MOD(A386-1,4)+1,"Мягкая мебель","Корпусная","Офисная","Кухонная"))</f>
        <v>Смартфоны</v>
      </c>
      <c r="K386" s="12" t="n">
        <f aca="false">1000+MOD(A386*317+A386*A386*7,49001)</f>
        <v>33597</v>
      </c>
      <c r="L386" s="12" t="n">
        <f aca="false">1+MOD(A386*131,100)</f>
        <v>36</v>
      </c>
      <c r="M386" s="12" t="n">
        <f aca="false">INT(K386*(0.6+MOD(A386*43,21)/100))</f>
        <v>22509</v>
      </c>
      <c r="N386" s="12" t="n">
        <f aca="false">K386-M386</f>
        <v>11088</v>
      </c>
    </row>
    <row r="387" customFormat="false" ht="12.8" hidden="false" customHeight="false" outlineLevel="0" collapsed="false">
      <c r="A387" s="10" t="n">
        <f aca="false">A386+1</f>
        <v>386</v>
      </c>
      <c r="B387" s="11" t="n">
        <f aca="false">B386+1</f>
        <v>45312</v>
      </c>
      <c r="C387" s="10" t="n">
        <f aca="false">YEAR(B387)</f>
        <v>2024</v>
      </c>
      <c r="D387" s="10" t="n">
        <f aca="false">INT((MONTH(B387)-1)/3)+1</f>
        <v>1</v>
      </c>
      <c r="E387" s="10" t="n">
        <f aca="false">MONTH(B387)</f>
        <v>1</v>
      </c>
      <c r="F387" s="10" t="str">
        <f aca="false">CHOOSE(MOD(A387-1,5)+1,"Центр","Юг","Север","Запад","Восток")</f>
        <v>Центр</v>
      </c>
      <c r="G387" s="10" t="str">
        <f aca="false">"Округ_"&amp;(MOD(A387-1,5)+1)&amp;"_"&amp;(MOD(INT((A387-1)/5),5)+1)</f>
        <v>Округ_1_3</v>
      </c>
      <c r="H387" s="10" t="str">
        <f aca="false">"Город_"&amp;(MOD(A387-1,5)+1)&amp;"_"&amp;(MOD(INT((A387-1)/5),5)+1)&amp;"_"&amp;(MOD(INT((A387-1)/25),10)+1)</f>
        <v>Город_1_3_6</v>
      </c>
      <c r="I387" s="10" t="str">
        <f aca="false">CHOOSE(MOD(A387-1,4)+1,"Электроника","Одежда","Продукты","Мебель")</f>
        <v>Одежда</v>
      </c>
      <c r="J387" s="10" t="str">
        <f aca="false">CHOOSE(MOD(INT((A387-1)/4),4)+1,CHOOSE(MOD(A387-1,4)+1,"Смартфоны","Ноутбуки","Аксессуары","Аудио"),CHOOSE(MOD(A387-1,4)+1,"Верхняя одежда","Спортивная","Повседневная","Обувь"),CHOOSE(MOD(A387-1,4)+1,"Молочные","Мясные","Бакалея","Напитки"),CHOOSE(MOD(A387-1,4)+1,"Мягкая мебель","Корпусная","Офисная","Кухонная"))</f>
        <v>Ноутбуки</v>
      </c>
      <c r="K387" s="12" t="n">
        <f aca="false">1000+MOD(A387*317+A387*A387*7,49001)</f>
        <v>39311</v>
      </c>
      <c r="L387" s="12" t="n">
        <f aca="false">1+MOD(A387*131,100)</f>
        <v>67</v>
      </c>
      <c r="M387" s="12" t="n">
        <f aca="false">INT(K387*(0.6+MOD(A387*43,21)/100))</f>
        <v>26731</v>
      </c>
      <c r="N387" s="12" t="n">
        <f aca="false">K387-M387</f>
        <v>12580</v>
      </c>
    </row>
    <row r="388" customFormat="false" ht="12.8" hidden="false" customHeight="false" outlineLevel="0" collapsed="false">
      <c r="A388" s="10" t="n">
        <f aca="false">A387+1</f>
        <v>387</v>
      </c>
      <c r="B388" s="11" t="n">
        <f aca="false">B387+1</f>
        <v>45313</v>
      </c>
      <c r="C388" s="10" t="n">
        <f aca="false">YEAR(B388)</f>
        <v>2024</v>
      </c>
      <c r="D388" s="10" t="n">
        <f aca="false">INT((MONTH(B388)-1)/3)+1</f>
        <v>1</v>
      </c>
      <c r="E388" s="10" t="n">
        <f aca="false">MONTH(B388)</f>
        <v>1</v>
      </c>
      <c r="F388" s="10" t="str">
        <f aca="false">CHOOSE(MOD(A388-1,5)+1,"Центр","Юг","Север","Запад","Восток")</f>
        <v>Юг</v>
      </c>
      <c r="G388" s="10" t="str">
        <f aca="false">"Округ_"&amp;(MOD(A388-1,5)+1)&amp;"_"&amp;(MOD(INT((A388-1)/5),5)+1)</f>
        <v>Округ_2_3</v>
      </c>
      <c r="H388" s="10" t="str">
        <f aca="false">"Город_"&amp;(MOD(A388-1,5)+1)&amp;"_"&amp;(MOD(INT((A388-1)/5),5)+1)&amp;"_"&amp;(MOD(INT((A388-1)/25),10)+1)</f>
        <v>Город_2_3_6</v>
      </c>
      <c r="I388" s="10" t="str">
        <f aca="false">CHOOSE(MOD(A388-1,4)+1,"Электроника","Одежда","Продукты","Мебель")</f>
        <v>Продукты</v>
      </c>
      <c r="J388" s="10" t="str">
        <f aca="false">CHOOSE(MOD(INT((A388-1)/4),4)+1,CHOOSE(MOD(A388-1,4)+1,"Смартфоны","Ноутбуки","Аксессуары","Аудио"),CHOOSE(MOD(A388-1,4)+1,"Верхняя одежда","Спортивная","Повседневная","Обувь"),CHOOSE(MOD(A388-1,4)+1,"Молочные","Мясные","Бакалея","Напитки"),CHOOSE(MOD(A388-1,4)+1,"Мягкая мебель","Корпусная","Офисная","Кухонная"))</f>
        <v>Аксессуары</v>
      </c>
      <c r="K388" s="12" t="n">
        <f aca="false">1000+MOD(A388*317+A388*A388*7,49001)</f>
        <v>45039</v>
      </c>
      <c r="L388" s="12" t="n">
        <f aca="false">1+MOD(A388*131,100)</f>
        <v>98</v>
      </c>
      <c r="M388" s="12" t="n">
        <f aca="false">INT(K388*(0.6+MOD(A388*43,21)/100))</f>
        <v>31076</v>
      </c>
      <c r="N388" s="12" t="n">
        <f aca="false">K388-M388</f>
        <v>13963</v>
      </c>
    </row>
    <row r="389" customFormat="false" ht="12.8" hidden="false" customHeight="false" outlineLevel="0" collapsed="false">
      <c r="A389" s="10" t="n">
        <f aca="false">A388+1</f>
        <v>388</v>
      </c>
      <c r="B389" s="11" t="n">
        <f aca="false">B388+1</f>
        <v>45314</v>
      </c>
      <c r="C389" s="10" t="n">
        <f aca="false">YEAR(B389)</f>
        <v>2024</v>
      </c>
      <c r="D389" s="10" t="n">
        <f aca="false">INT((MONTH(B389)-1)/3)+1</f>
        <v>1</v>
      </c>
      <c r="E389" s="10" t="n">
        <f aca="false">MONTH(B389)</f>
        <v>1</v>
      </c>
      <c r="F389" s="10" t="str">
        <f aca="false">CHOOSE(MOD(A389-1,5)+1,"Центр","Юг","Север","Запад","Восток")</f>
        <v>Север</v>
      </c>
      <c r="G389" s="10" t="str">
        <f aca="false">"Округ_"&amp;(MOD(A389-1,5)+1)&amp;"_"&amp;(MOD(INT((A389-1)/5),5)+1)</f>
        <v>Округ_3_3</v>
      </c>
      <c r="H389" s="10" t="str">
        <f aca="false">"Город_"&amp;(MOD(A389-1,5)+1)&amp;"_"&amp;(MOD(INT((A389-1)/5),5)+1)&amp;"_"&amp;(MOD(INT((A389-1)/25),10)+1)</f>
        <v>Город_3_3_6</v>
      </c>
      <c r="I389" s="10" t="str">
        <f aca="false">CHOOSE(MOD(A389-1,4)+1,"Электроника","Одежда","Продукты","Мебель")</f>
        <v>Мебель</v>
      </c>
      <c r="J389" s="10" t="str">
        <f aca="false">CHOOSE(MOD(INT((A389-1)/4),4)+1,CHOOSE(MOD(A389-1,4)+1,"Смартфоны","Ноутбуки","Аксессуары","Аудио"),CHOOSE(MOD(A389-1,4)+1,"Верхняя одежда","Спортивная","Повседневная","Обувь"),CHOOSE(MOD(A389-1,4)+1,"Молочные","Мясные","Бакалея","Напитки"),CHOOSE(MOD(A389-1,4)+1,"Мягкая мебель","Корпусная","Офисная","Кухонная"))</f>
        <v>Аудио</v>
      </c>
      <c r="K389" s="12" t="n">
        <f aca="false">1000+MOD(A389*317+A389*A389*7,49001)</f>
        <v>1780</v>
      </c>
      <c r="L389" s="12" t="n">
        <f aca="false">1+MOD(A389*131,100)</f>
        <v>29</v>
      </c>
      <c r="M389" s="12" t="n">
        <f aca="false">INT(K389*(0.6+MOD(A389*43,21)/100))</f>
        <v>1246</v>
      </c>
      <c r="N389" s="12" t="n">
        <f aca="false">K389-M389</f>
        <v>534</v>
      </c>
    </row>
    <row r="390" customFormat="false" ht="12.8" hidden="false" customHeight="false" outlineLevel="0" collapsed="false">
      <c r="A390" s="10" t="n">
        <f aca="false">A389+1</f>
        <v>389</v>
      </c>
      <c r="B390" s="11" t="n">
        <f aca="false">B389+1</f>
        <v>45315</v>
      </c>
      <c r="C390" s="10" t="n">
        <f aca="false">YEAR(B390)</f>
        <v>2024</v>
      </c>
      <c r="D390" s="10" t="n">
        <f aca="false">INT((MONTH(B390)-1)/3)+1</f>
        <v>1</v>
      </c>
      <c r="E390" s="10" t="n">
        <f aca="false">MONTH(B390)</f>
        <v>1</v>
      </c>
      <c r="F390" s="10" t="str">
        <f aca="false">CHOOSE(MOD(A390-1,5)+1,"Центр","Юг","Север","Запад","Восток")</f>
        <v>Запад</v>
      </c>
      <c r="G390" s="10" t="str">
        <f aca="false">"Округ_"&amp;(MOD(A390-1,5)+1)&amp;"_"&amp;(MOD(INT((A390-1)/5),5)+1)</f>
        <v>Округ_4_3</v>
      </c>
      <c r="H390" s="10" t="str">
        <f aca="false">"Город_"&amp;(MOD(A390-1,5)+1)&amp;"_"&amp;(MOD(INT((A390-1)/5),5)+1)&amp;"_"&amp;(MOD(INT((A390-1)/25),10)+1)</f>
        <v>Город_4_3_6</v>
      </c>
      <c r="I390" s="10" t="str">
        <f aca="false">CHOOSE(MOD(A390-1,4)+1,"Электроника","Одежда","Продукты","Мебель")</f>
        <v>Электроника</v>
      </c>
      <c r="J390" s="10" t="str">
        <f aca="false">CHOOSE(MOD(INT((A390-1)/4),4)+1,CHOOSE(MOD(A390-1,4)+1,"Смартфоны","Ноутбуки","Аксессуары","Аудио"),CHOOSE(MOD(A390-1,4)+1,"Верхняя одежда","Спортивная","Повседневная","Обувь"),CHOOSE(MOD(A390-1,4)+1,"Молочные","Мясные","Бакалея","Напитки"),CHOOSE(MOD(A390-1,4)+1,"Мягкая мебель","Корпусная","Офисная","Кухонная"))</f>
        <v>Верхняя одежда</v>
      </c>
      <c r="K390" s="12" t="n">
        <f aca="false">1000+MOD(A390*317+A390*A390*7,49001)</f>
        <v>7536</v>
      </c>
      <c r="L390" s="12" t="n">
        <f aca="false">1+MOD(A390*131,100)</f>
        <v>60</v>
      </c>
      <c r="M390" s="12" t="n">
        <f aca="false">INT(K390*(0.6+MOD(A390*43,21)/100))</f>
        <v>5350</v>
      </c>
      <c r="N390" s="12" t="n">
        <f aca="false">K390-M390</f>
        <v>2186</v>
      </c>
    </row>
    <row r="391" customFormat="false" ht="12.8" hidden="false" customHeight="false" outlineLevel="0" collapsed="false">
      <c r="A391" s="10" t="n">
        <f aca="false">A390+1</f>
        <v>390</v>
      </c>
      <c r="B391" s="11" t="n">
        <f aca="false">B390+1</f>
        <v>45316</v>
      </c>
      <c r="C391" s="10" t="n">
        <f aca="false">YEAR(B391)</f>
        <v>2024</v>
      </c>
      <c r="D391" s="10" t="n">
        <f aca="false">INT((MONTH(B391)-1)/3)+1</f>
        <v>1</v>
      </c>
      <c r="E391" s="10" t="n">
        <f aca="false">MONTH(B391)</f>
        <v>1</v>
      </c>
      <c r="F391" s="10" t="str">
        <f aca="false">CHOOSE(MOD(A391-1,5)+1,"Центр","Юг","Север","Запад","Восток")</f>
        <v>Восток</v>
      </c>
      <c r="G391" s="10" t="str">
        <f aca="false">"Округ_"&amp;(MOD(A391-1,5)+1)&amp;"_"&amp;(MOD(INT((A391-1)/5),5)+1)</f>
        <v>Округ_5_3</v>
      </c>
      <c r="H391" s="10" t="str">
        <f aca="false">"Город_"&amp;(MOD(A391-1,5)+1)&amp;"_"&amp;(MOD(INT((A391-1)/5),5)+1)&amp;"_"&amp;(MOD(INT((A391-1)/25),10)+1)</f>
        <v>Город_5_3_6</v>
      </c>
      <c r="I391" s="10" t="str">
        <f aca="false">CHOOSE(MOD(A391-1,4)+1,"Электроника","Одежда","Продукты","Мебель")</f>
        <v>Одежда</v>
      </c>
      <c r="J391" s="10" t="str">
        <f aca="false">CHOOSE(MOD(INT((A391-1)/4),4)+1,CHOOSE(MOD(A391-1,4)+1,"Смартфоны","Ноутбуки","Аксессуары","Аудио"),CHOOSE(MOD(A391-1,4)+1,"Верхняя одежда","Спортивная","Повседневная","Обувь"),CHOOSE(MOD(A391-1,4)+1,"Молочные","Мясные","Бакалея","Напитки"),CHOOSE(MOD(A391-1,4)+1,"Мягкая мебель","Корпусная","Офисная","Кухонная"))</f>
        <v>Спортивная</v>
      </c>
      <c r="K391" s="12" t="n">
        <f aca="false">1000+MOD(A391*317+A391*A391*7,49001)</f>
        <v>13306</v>
      </c>
      <c r="L391" s="12" t="n">
        <f aca="false">1+MOD(A391*131,100)</f>
        <v>91</v>
      </c>
      <c r="M391" s="12" t="n">
        <f aca="false">INT(K391*(0.6+MOD(A391*43,21)/100))</f>
        <v>9580</v>
      </c>
      <c r="N391" s="12" t="n">
        <f aca="false">K391-M391</f>
        <v>3726</v>
      </c>
    </row>
    <row r="392" customFormat="false" ht="12.8" hidden="false" customHeight="false" outlineLevel="0" collapsed="false">
      <c r="A392" s="10" t="n">
        <f aca="false">A391+1</f>
        <v>391</v>
      </c>
      <c r="B392" s="11" t="n">
        <f aca="false">B391+1</f>
        <v>45317</v>
      </c>
      <c r="C392" s="10" t="n">
        <f aca="false">YEAR(B392)</f>
        <v>2024</v>
      </c>
      <c r="D392" s="10" t="n">
        <f aca="false">INT((MONTH(B392)-1)/3)+1</f>
        <v>1</v>
      </c>
      <c r="E392" s="10" t="n">
        <f aca="false">MONTH(B392)</f>
        <v>1</v>
      </c>
      <c r="F392" s="10" t="str">
        <f aca="false">CHOOSE(MOD(A392-1,5)+1,"Центр","Юг","Север","Запад","Восток")</f>
        <v>Центр</v>
      </c>
      <c r="G392" s="10" t="str">
        <f aca="false">"Округ_"&amp;(MOD(A392-1,5)+1)&amp;"_"&amp;(MOD(INT((A392-1)/5),5)+1)</f>
        <v>Округ_1_4</v>
      </c>
      <c r="H392" s="10" t="str">
        <f aca="false">"Город_"&amp;(MOD(A392-1,5)+1)&amp;"_"&amp;(MOD(INT((A392-1)/5),5)+1)&amp;"_"&amp;(MOD(INT((A392-1)/25),10)+1)</f>
        <v>Город_1_4_6</v>
      </c>
      <c r="I392" s="10" t="str">
        <f aca="false">CHOOSE(MOD(A392-1,4)+1,"Электроника","Одежда","Продукты","Мебель")</f>
        <v>Продукты</v>
      </c>
      <c r="J392" s="10" t="str">
        <f aca="false">CHOOSE(MOD(INT((A392-1)/4),4)+1,CHOOSE(MOD(A392-1,4)+1,"Смартфоны","Ноутбуки","Аксессуары","Аудио"),CHOOSE(MOD(A392-1,4)+1,"Верхняя одежда","Спортивная","Повседневная","Обувь"),CHOOSE(MOD(A392-1,4)+1,"Молочные","Мясные","Бакалея","Напитки"),CHOOSE(MOD(A392-1,4)+1,"Мягкая мебель","Корпусная","Офисная","Кухонная"))</f>
        <v>Повседневная</v>
      </c>
      <c r="K392" s="12" t="n">
        <f aca="false">1000+MOD(A392*317+A392*A392*7,49001)</f>
        <v>19090</v>
      </c>
      <c r="L392" s="12" t="n">
        <f aca="false">1+MOD(A392*131,100)</f>
        <v>22</v>
      </c>
      <c r="M392" s="12" t="n">
        <f aca="false">INT(K392*(0.6+MOD(A392*43,21)/100))</f>
        <v>13935</v>
      </c>
      <c r="N392" s="12" t="n">
        <f aca="false">K392-M392</f>
        <v>5155</v>
      </c>
    </row>
    <row r="393" customFormat="false" ht="12.8" hidden="false" customHeight="false" outlineLevel="0" collapsed="false">
      <c r="A393" s="10" t="n">
        <f aca="false">A392+1</f>
        <v>392</v>
      </c>
      <c r="B393" s="11" t="n">
        <f aca="false">B392+1</f>
        <v>45318</v>
      </c>
      <c r="C393" s="10" t="n">
        <f aca="false">YEAR(B393)</f>
        <v>2024</v>
      </c>
      <c r="D393" s="10" t="n">
        <f aca="false">INT((MONTH(B393)-1)/3)+1</f>
        <v>1</v>
      </c>
      <c r="E393" s="10" t="n">
        <f aca="false">MONTH(B393)</f>
        <v>1</v>
      </c>
      <c r="F393" s="10" t="str">
        <f aca="false">CHOOSE(MOD(A393-1,5)+1,"Центр","Юг","Север","Запад","Восток")</f>
        <v>Юг</v>
      </c>
      <c r="G393" s="10" t="str">
        <f aca="false">"Округ_"&amp;(MOD(A393-1,5)+1)&amp;"_"&amp;(MOD(INT((A393-1)/5),5)+1)</f>
        <v>Округ_2_4</v>
      </c>
      <c r="H393" s="10" t="str">
        <f aca="false">"Город_"&amp;(MOD(A393-1,5)+1)&amp;"_"&amp;(MOD(INT((A393-1)/5),5)+1)&amp;"_"&amp;(MOD(INT((A393-1)/25),10)+1)</f>
        <v>Город_2_4_6</v>
      </c>
      <c r="I393" s="10" t="str">
        <f aca="false">CHOOSE(MOD(A393-1,4)+1,"Электроника","Одежда","Продукты","Мебель")</f>
        <v>Мебель</v>
      </c>
      <c r="J393" s="10" t="str">
        <f aca="false">CHOOSE(MOD(INT((A393-1)/4),4)+1,CHOOSE(MOD(A393-1,4)+1,"Смартфоны","Ноутбуки","Аксессуары","Аудио"),CHOOSE(MOD(A393-1,4)+1,"Верхняя одежда","Спортивная","Повседневная","Обувь"),CHOOSE(MOD(A393-1,4)+1,"Молочные","Мясные","Бакалея","Напитки"),CHOOSE(MOD(A393-1,4)+1,"Мягкая мебель","Корпусная","Офисная","Кухонная"))</f>
        <v>Обувь</v>
      </c>
      <c r="K393" s="12" t="n">
        <f aca="false">1000+MOD(A393*317+A393*A393*7,49001)</f>
        <v>24888</v>
      </c>
      <c r="L393" s="12" t="n">
        <f aca="false">1+MOD(A393*131,100)</f>
        <v>53</v>
      </c>
      <c r="M393" s="12" t="n">
        <f aca="false">INT(K393*(0.6+MOD(A393*43,21)/100))</f>
        <v>18417</v>
      </c>
      <c r="N393" s="12" t="n">
        <f aca="false">K393-M393</f>
        <v>6471</v>
      </c>
    </row>
    <row r="394" customFormat="false" ht="12.8" hidden="false" customHeight="false" outlineLevel="0" collapsed="false">
      <c r="A394" s="10" t="n">
        <f aca="false">A393+1</f>
        <v>393</v>
      </c>
      <c r="B394" s="11" t="n">
        <f aca="false">B393+1</f>
        <v>45319</v>
      </c>
      <c r="C394" s="10" t="n">
        <f aca="false">YEAR(B394)</f>
        <v>2024</v>
      </c>
      <c r="D394" s="10" t="n">
        <f aca="false">INT((MONTH(B394)-1)/3)+1</f>
        <v>1</v>
      </c>
      <c r="E394" s="10" t="n">
        <f aca="false">MONTH(B394)</f>
        <v>1</v>
      </c>
      <c r="F394" s="10" t="str">
        <f aca="false">CHOOSE(MOD(A394-1,5)+1,"Центр","Юг","Север","Запад","Восток")</f>
        <v>Север</v>
      </c>
      <c r="G394" s="10" t="str">
        <f aca="false">"Округ_"&amp;(MOD(A394-1,5)+1)&amp;"_"&amp;(MOD(INT((A394-1)/5),5)+1)</f>
        <v>Округ_3_4</v>
      </c>
      <c r="H394" s="10" t="str">
        <f aca="false">"Город_"&amp;(MOD(A394-1,5)+1)&amp;"_"&amp;(MOD(INT((A394-1)/5),5)+1)&amp;"_"&amp;(MOD(INT((A394-1)/25),10)+1)</f>
        <v>Город_3_4_6</v>
      </c>
      <c r="I394" s="10" t="str">
        <f aca="false">CHOOSE(MOD(A394-1,4)+1,"Электроника","Одежда","Продукты","Мебель")</f>
        <v>Электроника</v>
      </c>
      <c r="J394" s="10" t="str">
        <f aca="false">CHOOSE(MOD(INT((A394-1)/4),4)+1,CHOOSE(MOD(A394-1,4)+1,"Смартфоны","Ноутбуки","Аксессуары","Аудио"),CHOOSE(MOD(A394-1,4)+1,"Верхняя одежда","Спортивная","Повседневная","Обувь"),CHOOSE(MOD(A394-1,4)+1,"Молочные","Мясные","Бакалея","Напитки"),CHOOSE(MOD(A394-1,4)+1,"Мягкая мебель","Корпусная","Офисная","Кухонная"))</f>
        <v>Молочные</v>
      </c>
      <c r="K394" s="12" t="n">
        <f aca="false">1000+MOD(A394*317+A394*A394*7,49001)</f>
        <v>30700</v>
      </c>
      <c r="L394" s="12" t="n">
        <f aca="false">1+MOD(A394*131,100)</f>
        <v>84</v>
      </c>
      <c r="M394" s="12" t="n">
        <f aca="false">INT(K394*(0.6+MOD(A394*43,21)/100))</f>
        <v>23025</v>
      </c>
      <c r="N394" s="12" t="n">
        <f aca="false">K394-M394</f>
        <v>7675</v>
      </c>
    </row>
    <row r="395" customFormat="false" ht="12.8" hidden="false" customHeight="false" outlineLevel="0" collapsed="false">
      <c r="A395" s="10" t="n">
        <f aca="false">A394+1</f>
        <v>394</v>
      </c>
      <c r="B395" s="11" t="n">
        <f aca="false">B394+1</f>
        <v>45320</v>
      </c>
      <c r="C395" s="10" t="n">
        <f aca="false">YEAR(B395)</f>
        <v>2024</v>
      </c>
      <c r="D395" s="10" t="n">
        <f aca="false">INT((MONTH(B395)-1)/3)+1</f>
        <v>1</v>
      </c>
      <c r="E395" s="10" t="n">
        <f aca="false">MONTH(B395)</f>
        <v>1</v>
      </c>
      <c r="F395" s="10" t="str">
        <f aca="false">CHOOSE(MOD(A395-1,5)+1,"Центр","Юг","Север","Запад","Восток")</f>
        <v>Запад</v>
      </c>
      <c r="G395" s="10" t="str">
        <f aca="false">"Округ_"&amp;(MOD(A395-1,5)+1)&amp;"_"&amp;(MOD(INT((A395-1)/5),5)+1)</f>
        <v>Округ_4_4</v>
      </c>
      <c r="H395" s="10" t="str">
        <f aca="false">"Город_"&amp;(MOD(A395-1,5)+1)&amp;"_"&amp;(MOD(INT((A395-1)/5),5)+1)&amp;"_"&amp;(MOD(INT((A395-1)/25),10)+1)</f>
        <v>Город_4_4_6</v>
      </c>
      <c r="I395" s="10" t="str">
        <f aca="false">CHOOSE(MOD(A395-1,4)+1,"Электроника","Одежда","Продукты","Мебель")</f>
        <v>Одежда</v>
      </c>
      <c r="J395" s="10" t="str">
        <f aca="false">CHOOSE(MOD(INT((A395-1)/4),4)+1,CHOOSE(MOD(A395-1,4)+1,"Смартфоны","Ноутбуки","Аксессуары","Аудио"),CHOOSE(MOD(A395-1,4)+1,"Верхняя одежда","Спортивная","Повседневная","Обувь"),CHOOSE(MOD(A395-1,4)+1,"Молочные","Мясные","Бакалея","Напитки"),CHOOSE(MOD(A395-1,4)+1,"Мягкая мебель","Корпусная","Офисная","Кухонная"))</f>
        <v>Мясные</v>
      </c>
      <c r="K395" s="12" t="n">
        <f aca="false">1000+MOD(A395*317+A395*A395*7,49001)</f>
        <v>36526</v>
      </c>
      <c r="L395" s="12" t="n">
        <f aca="false">1+MOD(A395*131,100)</f>
        <v>15</v>
      </c>
      <c r="M395" s="12" t="n">
        <f aca="false">INT(K395*(0.6+MOD(A395*43,21)/100))</f>
        <v>27759</v>
      </c>
      <c r="N395" s="12" t="n">
        <f aca="false">K395-M395</f>
        <v>8767</v>
      </c>
    </row>
    <row r="396" customFormat="false" ht="12.8" hidden="false" customHeight="false" outlineLevel="0" collapsed="false">
      <c r="A396" s="10" t="n">
        <f aca="false">A395+1</f>
        <v>395</v>
      </c>
      <c r="B396" s="11" t="n">
        <f aca="false">B395+1</f>
        <v>45321</v>
      </c>
      <c r="C396" s="10" t="n">
        <f aca="false">YEAR(B396)</f>
        <v>2024</v>
      </c>
      <c r="D396" s="10" t="n">
        <f aca="false">INT((MONTH(B396)-1)/3)+1</f>
        <v>1</v>
      </c>
      <c r="E396" s="10" t="n">
        <f aca="false">MONTH(B396)</f>
        <v>1</v>
      </c>
      <c r="F396" s="10" t="str">
        <f aca="false">CHOOSE(MOD(A396-1,5)+1,"Центр","Юг","Север","Запад","Восток")</f>
        <v>Восток</v>
      </c>
      <c r="G396" s="10" t="str">
        <f aca="false">"Округ_"&amp;(MOD(A396-1,5)+1)&amp;"_"&amp;(MOD(INT((A396-1)/5),5)+1)</f>
        <v>Округ_5_4</v>
      </c>
      <c r="H396" s="10" t="str">
        <f aca="false">"Город_"&amp;(MOD(A396-1,5)+1)&amp;"_"&amp;(MOD(INT((A396-1)/5),5)+1)&amp;"_"&amp;(MOD(INT((A396-1)/25),10)+1)</f>
        <v>Город_5_4_6</v>
      </c>
      <c r="I396" s="10" t="str">
        <f aca="false">CHOOSE(MOD(A396-1,4)+1,"Электроника","Одежда","Продукты","Мебель")</f>
        <v>Продукты</v>
      </c>
      <c r="J396" s="10" t="str">
        <f aca="false">CHOOSE(MOD(INT((A396-1)/4),4)+1,CHOOSE(MOD(A396-1,4)+1,"Смартфоны","Ноутбуки","Аксессуары","Аудио"),CHOOSE(MOD(A396-1,4)+1,"Верхняя одежда","Спортивная","Повседневная","Обувь"),CHOOSE(MOD(A396-1,4)+1,"Молочные","Мясные","Бакалея","Напитки"),CHOOSE(MOD(A396-1,4)+1,"Мягкая мебель","Корпусная","Офисная","Кухонная"))</f>
        <v>Бакалея</v>
      </c>
      <c r="K396" s="12" t="n">
        <f aca="false">1000+MOD(A396*317+A396*A396*7,49001)</f>
        <v>42366</v>
      </c>
      <c r="L396" s="12" t="n">
        <f aca="false">1+MOD(A396*131,100)</f>
        <v>46</v>
      </c>
      <c r="M396" s="12" t="n">
        <f aca="false">INT(K396*(0.6+MOD(A396*43,21)/100))</f>
        <v>32621</v>
      </c>
      <c r="N396" s="12" t="n">
        <f aca="false">K396-M396</f>
        <v>9745</v>
      </c>
    </row>
    <row r="397" customFormat="false" ht="12.8" hidden="false" customHeight="false" outlineLevel="0" collapsed="false">
      <c r="A397" s="10" t="n">
        <f aca="false">A396+1</f>
        <v>396</v>
      </c>
      <c r="B397" s="11" t="n">
        <f aca="false">B396+1</f>
        <v>45322</v>
      </c>
      <c r="C397" s="10" t="n">
        <f aca="false">YEAR(B397)</f>
        <v>2024</v>
      </c>
      <c r="D397" s="10" t="n">
        <f aca="false">INT((MONTH(B397)-1)/3)+1</f>
        <v>1</v>
      </c>
      <c r="E397" s="10" t="n">
        <f aca="false">MONTH(B397)</f>
        <v>1</v>
      </c>
      <c r="F397" s="10" t="str">
        <f aca="false">CHOOSE(MOD(A397-1,5)+1,"Центр","Юг","Север","Запад","Восток")</f>
        <v>Центр</v>
      </c>
      <c r="G397" s="10" t="str">
        <f aca="false">"Округ_"&amp;(MOD(A397-1,5)+1)&amp;"_"&amp;(MOD(INT((A397-1)/5),5)+1)</f>
        <v>Округ_1_5</v>
      </c>
      <c r="H397" s="10" t="str">
        <f aca="false">"Город_"&amp;(MOD(A397-1,5)+1)&amp;"_"&amp;(MOD(INT((A397-1)/5),5)+1)&amp;"_"&amp;(MOD(INT((A397-1)/25),10)+1)</f>
        <v>Город_1_5_6</v>
      </c>
      <c r="I397" s="10" t="str">
        <f aca="false">CHOOSE(MOD(A397-1,4)+1,"Электроника","Одежда","Продукты","Мебель")</f>
        <v>Мебель</v>
      </c>
      <c r="J397" s="10" t="str">
        <f aca="false">CHOOSE(MOD(INT((A397-1)/4),4)+1,CHOOSE(MOD(A397-1,4)+1,"Смартфоны","Ноутбуки","Аксессуары","Аудио"),CHOOSE(MOD(A397-1,4)+1,"Верхняя одежда","Спортивная","Повседневная","Обувь"),CHOOSE(MOD(A397-1,4)+1,"Молочные","Мясные","Бакалея","Напитки"),CHOOSE(MOD(A397-1,4)+1,"Мягкая мебель","Корпусная","Офисная","Кухонная"))</f>
        <v>Напитки</v>
      </c>
      <c r="K397" s="12" t="n">
        <f aca="false">1000+MOD(A397*317+A397*A397*7,49001)</f>
        <v>48220</v>
      </c>
      <c r="L397" s="12" t="n">
        <f aca="false">1+MOD(A397*131,100)</f>
        <v>77</v>
      </c>
      <c r="M397" s="12" t="n">
        <f aca="false">INT(K397*(0.6+MOD(A397*43,21)/100))</f>
        <v>37611</v>
      </c>
      <c r="N397" s="12" t="n">
        <f aca="false">K397-M397</f>
        <v>10609</v>
      </c>
    </row>
    <row r="398" customFormat="false" ht="12.8" hidden="false" customHeight="false" outlineLevel="0" collapsed="false">
      <c r="A398" s="10" t="n">
        <f aca="false">A397+1</f>
        <v>397</v>
      </c>
      <c r="B398" s="11" t="n">
        <f aca="false">B397+1</f>
        <v>45323</v>
      </c>
      <c r="C398" s="10" t="n">
        <f aca="false">YEAR(B398)</f>
        <v>2024</v>
      </c>
      <c r="D398" s="10" t="n">
        <f aca="false">INT((MONTH(B398)-1)/3)+1</f>
        <v>1</v>
      </c>
      <c r="E398" s="10" t="n">
        <f aca="false">MONTH(B398)</f>
        <v>2</v>
      </c>
      <c r="F398" s="10" t="str">
        <f aca="false">CHOOSE(MOD(A398-1,5)+1,"Центр","Юг","Север","Запад","Восток")</f>
        <v>Юг</v>
      </c>
      <c r="G398" s="10" t="str">
        <f aca="false">"Округ_"&amp;(MOD(A398-1,5)+1)&amp;"_"&amp;(MOD(INT((A398-1)/5),5)+1)</f>
        <v>Округ_2_5</v>
      </c>
      <c r="H398" s="10" t="str">
        <f aca="false">"Город_"&amp;(MOD(A398-1,5)+1)&amp;"_"&amp;(MOD(INT((A398-1)/5),5)+1)&amp;"_"&amp;(MOD(INT((A398-1)/25),10)+1)</f>
        <v>Город_2_5_6</v>
      </c>
      <c r="I398" s="10" t="str">
        <f aca="false">CHOOSE(MOD(A398-1,4)+1,"Электроника","Одежда","Продукты","Мебель")</f>
        <v>Электроника</v>
      </c>
      <c r="J398" s="10" t="str">
        <f aca="false">CHOOSE(MOD(INT((A398-1)/4),4)+1,CHOOSE(MOD(A398-1,4)+1,"Смартфоны","Ноутбуки","Аксессуары","Аудио"),CHOOSE(MOD(A398-1,4)+1,"Верхняя одежда","Спортивная","Повседневная","Обувь"),CHOOSE(MOD(A398-1,4)+1,"Молочные","Мясные","Бакалея","Напитки"),CHOOSE(MOD(A398-1,4)+1,"Мягкая мебель","Корпусная","Офисная","Кухонная"))</f>
        <v>Мягкая мебель</v>
      </c>
      <c r="K398" s="12" t="n">
        <f aca="false">1000+MOD(A398*317+A398*A398*7,49001)</f>
        <v>5087</v>
      </c>
      <c r="L398" s="12" t="n">
        <f aca="false">1+MOD(A398*131,100)</f>
        <v>8</v>
      </c>
      <c r="M398" s="12" t="n">
        <f aca="false">INT(K398*(0.6+MOD(A398*43,21)/100))</f>
        <v>4018</v>
      </c>
      <c r="N398" s="12" t="n">
        <f aca="false">K398-M398</f>
        <v>1069</v>
      </c>
    </row>
    <row r="399" customFormat="false" ht="12.8" hidden="false" customHeight="false" outlineLevel="0" collapsed="false">
      <c r="A399" s="10" t="n">
        <f aca="false">A398+1</f>
        <v>398</v>
      </c>
      <c r="B399" s="11" t="n">
        <f aca="false">B398+1</f>
        <v>45324</v>
      </c>
      <c r="C399" s="10" t="n">
        <f aca="false">YEAR(B399)</f>
        <v>2024</v>
      </c>
      <c r="D399" s="10" t="n">
        <f aca="false">INT((MONTH(B399)-1)/3)+1</f>
        <v>1</v>
      </c>
      <c r="E399" s="10" t="n">
        <f aca="false">MONTH(B399)</f>
        <v>2</v>
      </c>
      <c r="F399" s="10" t="str">
        <f aca="false">CHOOSE(MOD(A399-1,5)+1,"Центр","Юг","Север","Запад","Восток")</f>
        <v>Север</v>
      </c>
      <c r="G399" s="10" t="str">
        <f aca="false">"Округ_"&amp;(MOD(A399-1,5)+1)&amp;"_"&amp;(MOD(INT((A399-1)/5),5)+1)</f>
        <v>Округ_3_5</v>
      </c>
      <c r="H399" s="10" t="str">
        <f aca="false">"Город_"&amp;(MOD(A399-1,5)+1)&amp;"_"&amp;(MOD(INT((A399-1)/5),5)+1)&amp;"_"&amp;(MOD(INT((A399-1)/25),10)+1)</f>
        <v>Город_3_5_6</v>
      </c>
      <c r="I399" s="10" t="str">
        <f aca="false">CHOOSE(MOD(A399-1,4)+1,"Электроника","Одежда","Продукты","Мебель")</f>
        <v>Одежда</v>
      </c>
      <c r="J399" s="10" t="str">
        <f aca="false">CHOOSE(MOD(INT((A399-1)/4),4)+1,CHOOSE(MOD(A399-1,4)+1,"Смартфоны","Ноутбуки","Аксессуары","Аудио"),CHOOSE(MOD(A399-1,4)+1,"Верхняя одежда","Спортивная","Повседневная","Обувь"),CHOOSE(MOD(A399-1,4)+1,"Молочные","Мясные","Бакалея","Напитки"),CHOOSE(MOD(A399-1,4)+1,"Мягкая мебель","Корпусная","Офисная","Кухонная"))</f>
        <v>Корпусная</v>
      </c>
      <c r="K399" s="12" t="n">
        <f aca="false">1000+MOD(A399*317+A399*A399*7,49001)</f>
        <v>10969</v>
      </c>
      <c r="L399" s="12" t="n">
        <f aca="false">1+MOD(A399*131,100)</f>
        <v>39</v>
      </c>
      <c r="M399" s="12" t="n">
        <f aca="false">INT(K399*(0.6+MOD(A399*43,21)/100))</f>
        <v>8775</v>
      </c>
      <c r="N399" s="12" t="n">
        <f aca="false">K399-M399</f>
        <v>2194</v>
      </c>
    </row>
    <row r="400" customFormat="false" ht="12.8" hidden="false" customHeight="false" outlineLevel="0" collapsed="false">
      <c r="A400" s="10" t="n">
        <f aca="false">A399+1</f>
        <v>399</v>
      </c>
      <c r="B400" s="11" t="n">
        <f aca="false">B399+1</f>
        <v>45325</v>
      </c>
      <c r="C400" s="10" t="n">
        <f aca="false">YEAR(B400)</f>
        <v>2024</v>
      </c>
      <c r="D400" s="10" t="n">
        <f aca="false">INT((MONTH(B400)-1)/3)+1</f>
        <v>1</v>
      </c>
      <c r="E400" s="10" t="n">
        <f aca="false">MONTH(B400)</f>
        <v>2</v>
      </c>
      <c r="F400" s="10" t="str">
        <f aca="false">CHOOSE(MOD(A400-1,5)+1,"Центр","Юг","Север","Запад","Восток")</f>
        <v>Запад</v>
      </c>
      <c r="G400" s="10" t="str">
        <f aca="false">"Округ_"&amp;(MOD(A400-1,5)+1)&amp;"_"&amp;(MOD(INT((A400-1)/5),5)+1)</f>
        <v>Округ_4_5</v>
      </c>
      <c r="H400" s="10" t="str">
        <f aca="false">"Город_"&amp;(MOD(A400-1,5)+1)&amp;"_"&amp;(MOD(INT((A400-1)/5),5)+1)&amp;"_"&amp;(MOD(INT((A400-1)/25),10)+1)</f>
        <v>Город_4_5_6</v>
      </c>
      <c r="I400" s="10" t="str">
        <f aca="false">CHOOSE(MOD(A400-1,4)+1,"Электроника","Одежда","Продукты","Мебель")</f>
        <v>Продукты</v>
      </c>
      <c r="J400" s="10" t="str">
        <f aca="false">CHOOSE(MOD(INT((A400-1)/4),4)+1,CHOOSE(MOD(A400-1,4)+1,"Смартфоны","Ноутбуки","Аксессуары","Аудио"),CHOOSE(MOD(A400-1,4)+1,"Верхняя одежда","Спортивная","Повседневная","Обувь"),CHOOSE(MOD(A400-1,4)+1,"Молочные","Мясные","Бакалея","Напитки"),CHOOSE(MOD(A400-1,4)+1,"Мягкая мебель","Корпусная","Офисная","Кухонная"))</f>
        <v>Офисная</v>
      </c>
      <c r="K400" s="12" t="n">
        <f aca="false">1000+MOD(A400*317+A400*A400*7,49001)</f>
        <v>16865</v>
      </c>
      <c r="L400" s="12" t="n">
        <f aca="false">1+MOD(A400*131,100)</f>
        <v>70</v>
      </c>
      <c r="M400" s="12" t="n">
        <f aca="false">INT(K400*(0.6+MOD(A400*43,21)/100))</f>
        <v>10119</v>
      </c>
      <c r="N400" s="12" t="n">
        <f aca="false">K400-M400</f>
        <v>6746</v>
      </c>
    </row>
    <row r="401" customFormat="false" ht="12.8" hidden="false" customHeight="false" outlineLevel="0" collapsed="false">
      <c r="A401" s="10" t="n">
        <f aca="false">A400+1</f>
        <v>400</v>
      </c>
      <c r="B401" s="11" t="n">
        <f aca="false">B400+1</f>
        <v>45326</v>
      </c>
      <c r="C401" s="10" t="n">
        <f aca="false">YEAR(B401)</f>
        <v>2024</v>
      </c>
      <c r="D401" s="10" t="n">
        <f aca="false">INT((MONTH(B401)-1)/3)+1</f>
        <v>1</v>
      </c>
      <c r="E401" s="10" t="n">
        <f aca="false">MONTH(B401)</f>
        <v>2</v>
      </c>
      <c r="F401" s="10" t="str">
        <f aca="false">CHOOSE(MOD(A401-1,5)+1,"Центр","Юг","Север","Запад","Восток")</f>
        <v>Восток</v>
      </c>
      <c r="G401" s="10" t="str">
        <f aca="false">"Округ_"&amp;(MOD(A401-1,5)+1)&amp;"_"&amp;(MOD(INT((A401-1)/5),5)+1)</f>
        <v>Округ_5_5</v>
      </c>
      <c r="H401" s="10" t="str">
        <f aca="false">"Город_"&amp;(MOD(A401-1,5)+1)&amp;"_"&amp;(MOD(INT((A401-1)/5),5)+1)&amp;"_"&amp;(MOD(INT((A401-1)/25),10)+1)</f>
        <v>Город_5_5_6</v>
      </c>
      <c r="I401" s="10" t="str">
        <f aca="false">CHOOSE(MOD(A401-1,4)+1,"Электроника","Одежда","Продукты","Мебель")</f>
        <v>Мебель</v>
      </c>
      <c r="J401" s="10" t="str">
        <f aca="false">CHOOSE(MOD(INT((A401-1)/4),4)+1,CHOOSE(MOD(A401-1,4)+1,"Смартфоны","Ноутбуки","Аксессуары","Аудио"),CHOOSE(MOD(A401-1,4)+1,"Верхняя одежда","Спортивная","Повседневная","Обувь"),CHOOSE(MOD(A401-1,4)+1,"Молочные","Мясные","Бакалея","Напитки"),CHOOSE(MOD(A401-1,4)+1,"Мягкая мебель","Корпусная","Офисная","Кухонная"))</f>
        <v>Кухонная</v>
      </c>
      <c r="K401" s="12" t="n">
        <f aca="false">1000+MOD(A401*317+A401*A401*7,49001)</f>
        <v>22775</v>
      </c>
      <c r="L401" s="12" t="n">
        <f aca="false">1+MOD(A401*131,100)</f>
        <v>1</v>
      </c>
      <c r="M401" s="12" t="n">
        <f aca="false">INT(K401*(0.6+MOD(A401*43,21)/100))</f>
        <v>13892</v>
      </c>
      <c r="N401" s="12" t="n">
        <f aca="false">K401-M401</f>
        <v>8883</v>
      </c>
    </row>
    <row r="402" customFormat="false" ht="12.8" hidden="false" customHeight="false" outlineLevel="0" collapsed="false">
      <c r="A402" s="10" t="n">
        <f aca="false">A401+1</f>
        <v>401</v>
      </c>
      <c r="B402" s="11" t="n">
        <f aca="false">B401+1</f>
        <v>45327</v>
      </c>
      <c r="C402" s="10" t="n">
        <f aca="false">YEAR(B402)</f>
        <v>2024</v>
      </c>
      <c r="D402" s="10" t="n">
        <f aca="false">INT((MONTH(B402)-1)/3)+1</f>
        <v>1</v>
      </c>
      <c r="E402" s="10" t="n">
        <f aca="false">MONTH(B402)</f>
        <v>2</v>
      </c>
      <c r="F402" s="10" t="str">
        <f aca="false">CHOOSE(MOD(A402-1,5)+1,"Центр","Юг","Север","Запад","Восток")</f>
        <v>Центр</v>
      </c>
      <c r="G402" s="10" t="str">
        <f aca="false">"Округ_"&amp;(MOD(A402-1,5)+1)&amp;"_"&amp;(MOD(INT((A402-1)/5),5)+1)</f>
        <v>Округ_1_1</v>
      </c>
      <c r="H402" s="10" t="str">
        <f aca="false">"Город_"&amp;(MOD(A402-1,5)+1)&amp;"_"&amp;(MOD(INT((A402-1)/5),5)+1)&amp;"_"&amp;(MOD(INT((A402-1)/25),10)+1)</f>
        <v>Город_1_1_7</v>
      </c>
      <c r="I402" s="10" t="str">
        <f aca="false">CHOOSE(MOD(A402-1,4)+1,"Электроника","Одежда","Продукты","Мебель")</f>
        <v>Электроника</v>
      </c>
      <c r="J402" s="10" t="str">
        <f aca="false">CHOOSE(MOD(INT((A402-1)/4),4)+1,CHOOSE(MOD(A402-1,4)+1,"Смартфоны","Ноутбуки","Аксессуары","Аудио"),CHOOSE(MOD(A402-1,4)+1,"Верхняя одежда","Спортивная","Повседневная","Обувь"),CHOOSE(MOD(A402-1,4)+1,"Молочные","Мясные","Бакалея","Напитки"),CHOOSE(MOD(A402-1,4)+1,"Мягкая мебель","Корпусная","Офисная","Кухонная"))</f>
        <v>Смартфоны</v>
      </c>
      <c r="K402" s="12" t="n">
        <f aca="false">1000+MOD(A402*317+A402*A402*7,49001)</f>
        <v>28699</v>
      </c>
      <c r="L402" s="12" t="n">
        <f aca="false">1+MOD(A402*131,100)</f>
        <v>32</v>
      </c>
      <c r="M402" s="12" t="n">
        <f aca="false">INT(K402*(0.6+MOD(A402*43,21)/100))</f>
        <v>17793</v>
      </c>
      <c r="N402" s="12" t="n">
        <f aca="false">K402-M402</f>
        <v>10906</v>
      </c>
    </row>
    <row r="403" customFormat="false" ht="12.8" hidden="false" customHeight="false" outlineLevel="0" collapsed="false">
      <c r="A403" s="10" t="n">
        <f aca="false">A402+1</f>
        <v>402</v>
      </c>
      <c r="B403" s="11" t="n">
        <f aca="false">B402+1</f>
        <v>45328</v>
      </c>
      <c r="C403" s="10" t="n">
        <f aca="false">YEAR(B403)</f>
        <v>2024</v>
      </c>
      <c r="D403" s="10" t="n">
        <f aca="false">INT((MONTH(B403)-1)/3)+1</f>
        <v>1</v>
      </c>
      <c r="E403" s="10" t="n">
        <f aca="false">MONTH(B403)</f>
        <v>2</v>
      </c>
      <c r="F403" s="10" t="str">
        <f aca="false">CHOOSE(MOD(A403-1,5)+1,"Центр","Юг","Север","Запад","Восток")</f>
        <v>Юг</v>
      </c>
      <c r="G403" s="10" t="str">
        <f aca="false">"Округ_"&amp;(MOD(A403-1,5)+1)&amp;"_"&amp;(MOD(INT((A403-1)/5),5)+1)</f>
        <v>Округ_2_1</v>
      </c>
      <c r="H403" s="10" t="str">
        <f aca="false">"Город_"&amp;(MOD(A403-1,5)+1)&amp;"_"&amp;(MOD(INT((A403-1)/5),5)+1)&amp;"_"&amp;(MOD(INT((A403-1)/25),10)+1)</f>
        <v>Город_2_1_7</v>
      </c>
      <c r="I403" s="10" t="str">
        <f aca="false">CHOOSE(MOD(A403-1,4)+1,"Электроника","Одежда","Продукты","Мебель")</f>
        <v>Одежда</v>
      </c>
      <c r="J403" s="10" t="str">
        <f aca="false">CHOOSE(MOD(INT((A403-1)/4),4)+1,CHOOSE(MOD(A403-1,4)+1,"Смартфоны","Ноутбуки","Аксессуары","Аудио"),CHOOSE(MOD(A403-1,4)+1,"Верхняя одежда","Спортивная","Повседневная","Обувь"),CHOOSE(MOD(A403-1,4)+1,"Молочные","Мясные","Бакалея","Напитки"),CHOOSE(MOD(A403-1,4)+1,"Мягкая мебель","Корпусная","Офисная","Кухонная"))</f>
        <v>Ноутбуки</v>
      </c>
      <c r="K403" s="12" t="n">
        <f aca="false">1000+MOD(A403*317+A403*A403*7,49001)</f>
        <v>34637</v>
      </c>
      <c r="L403" s="12" t="n">
        <f aca="false">1+MOD(A403*131,100)</f>
        <v>63</v>
      </c>
      <c r="M403" s="12" t="n">
        <f aca="false">INT(K403*(0.6+MOD(A403*43,21)/100))</f>
        <v>21821</v>
      </c>
      <c r="N403" s="12" t="n">
        <f aca="false">K403-M403</f>
        <v>12816</v>
      </c>
    </row>
    <row r="404" customFormat="false" ht="12.8" hidden="false" customHeight="false" outlineLevel="0" collapsed="false">
      <c r="A404" s="10" t="n">
        <f aca="false">A403+1</f>
        <v>403</v>
      </c>
      <c r="B404" s="11" t="n">
        <f aca="false">B403+1</f>
        <v>45329</v>
      </c>
      <c r="C404" s="10" t="n">
        <f aca="false">YEAR(B404)</f>
        <v>2024</v>
      </c>
      <c r="D404" s="10" t="n">
        <f aca="false">INT((MONTH(B404)-1)/3)+1</f>
        <v>1</v>
      </c>
      <c r="E404" s="10" t="n">
        <f aca="false">MONTH(B404)</f>
        <v>2</v>
      </c>
      <c r="F404" s="10" t="str">
        <f aca="false">CHOOSE(MOD(A404-1,5)+1,"Центр","Юг","Север","Запад","Восток")</f>
        <v>Север</v>
      </c>
      <c r="G404" s="10" t="str">
        <f aca="false">"Округ_"&amp;(MOD(A404-1,5)+1)&amp;"_"&amp;(MOD(INT((A404-1)/5),5)+1)</f>
        <v>Округ_3_1</v>
      </c>
      <c r="H404" s="10" t="str">
        <f aca="false">"Город_"&amp;(MOD(A404-1,5)+1)&amp;"_"&amp;(MOD(INT((A404-1)/5),5)+1)&amp;"_"&amp;(MOD(INT((A404-1)/25),10)+1)</f>
        <v>Город_3_1_7</v>
      </c>
      <c r="I404" s="10" t="str">
        <f aca="false">CHOOSE(MOD(A404-1,4)+1,"Электроника","Одежда","Продукты","Мебель")</f>
        <v>Продукты</v>
      </c>
      <c r="J404" s="10" t="str">
        <f aca="false">CHOOSE(MOD(INT((A404-1)/4),4)+1,CHOOSE(MOD(A404-1,4)+1,"Смартфоны","Ноутбуки","Аксессуары","Аудио"),CHOOSE(MOD(A404-1,4)+1,"Верхняя одежда","Спортивная","Повседневная","Обувь"),CHOOSE(MOD(A404-1,4)+1,"Молочные","Мясные","Бакалея","Напитки"),CHOOSE(MOD(A404-1,4)+1,"Мягкая мебель","Корпусная","Офисная","Кухонная"))</f>
        <v>Аксессуары</v>
      </c>
      <c r="K404" s="12" t="n">
        <f aca="false">1000+MOD(A404*317+A404*A404*7,49001)</f>
        <v>40589</v>
      </c>
      <c r="L404" s="12" t="n">
        <f aca="false">1+MOD(A404*131,100)</f>
        <v>94</v>
      </c>
      <c r="M404" s="12" t="n">
        <f aca="false">INT(K404*(0.6+MOD(A404*43,21)/100))</f>
        <v>25976</v>
      </c>
      <c r="N404" s="12" t="n">
        <f aca="false">K404-M404</f>
        <v>14613</v>
      </c>
    </row>
    <row r="405" customFormat="false" ht="12.8" hidden="false" customHeight="false" outlineLevel="0" collapsed="false">
      <c r="A405" s="10" t="n">
        <f aca="false">A404+1</f>
        <v>404</v>
      </c>
      <c r="B405" s="11" t="n">
        <f aca="false">B404+1</f>
        <v>45330</v>
      </c>
      <c r="C405" s="10" t="n">
        <f aca="false">YEAR(B405)</f>
        <v>2024</v>
      </c>
      <c r="D405" s="10" t="n">
        <f aca="false">INT((MONTH(B405)-1)/3)+1</f>
        <v>1</v>
      </c>
      <c r="E405" s="10" t="n">
        <f aca="false">MONTH(B405)</f>
        <v>2</v>
      </c>
      <c r="F405" s="10" t="str">
        <f aca="false">CHOOSE(MOD(A405-1,5)+1,"Центр","Юг","Север","Запад","Восток")</f>
        <v>Запад</v>
      </c>
      <c r="G405" s="10" t="str">
        <f aca="false">"Округ_"&amp;(MOD(A405-1,5)+1)&amp;"_"&amp;(MOD(INT((A405-1)/5),5)+1)</f>
        <v>Округ_4_1</v>
      </c>
      <c r="H405" s="10" t="str">
        <f aca="false">"Город_"&amp;(MOD(A405-1,5)+1)&amp;"_"&amp;(MOD(INT((A405-1)/5),5)+1)&amp;"_"&amp;(MOD(INT((A405-1)/25),10)+1)</f>
        <v>Город_4_1_7</v>
      </c>
      <c r="I405" s="10" t="str">
        <f aca="false">CHOOSE(MOD(A405-1,4)+1,"Электроника","Одежда","Продукты","Мебель")</f>
        <v>Мебель</v>
      </c>
      <c r="J405" s="10" t="str">
        <f aca="false">CHOOSE(MOD(INT((A405-1)/4),4)+1,CHOOSE(MOD(A405-1,4)+1,"Смартфоны","Ноутбуки","Аксессуары","Аудио"),CHOOSE(MOD(A405-1,4)+1,"Верхняя одежда","Спортивная","Повседневная","Обувь"),CHOOSE(MOD(A405-1,4)+1,"Молочные","Мясные","Бакалея","Напитки"),CHOOSE(MOD(A405-1,4)+1,"Мягкая мебель","Корпусная","Офисная","Кухонная"))</f>
        <v>Аудио</v>
      </c>
      <c r="K405" s="12" t="n">
        <f aca="false">1000+MOD(A405*317+A405*A405*7,49001)</f>
        <v>46555</v>
      </c>
      <c r="L405" s="12" t="n">
        <f aca="false">1+MOD(A405*131,100)</f>
        <v>25</v>
      </c>
      <c r="M405" s="12" t="n">
        <f aca="false">INT(K405*(0.6+MOD(A405*43,21)/100))</f>
        <v>30260</v>
      </c>
      <c r="N405" s="12" t="n">
        <f aca="false">K405-M405</f>
        <v>16295</v>
      </c>
    </row>
    <row r="406" customFormat="false" ht="12.8" hidden="false" customHeight="false" outlineLevel="0" collapsed="false">
      <c r="A406" s="10" t="n">
        <f aca="false">A405+1</f>
        <v>405</v>
      </c>
      <c r="B406" s="11" t="n">
        <f aca="false">B405+1</f>
        <v>45331</v>
      </c>
      <c r="C406" s="10" t="n">
        <f aca="false">YEAR(B406)</f>
        <v>2024</v>
      </c>
      <c r="D406" s="10" t="n">
        <f aca="false">INT((MONTH(B406)-1)/3)+1</f>
        <v>1</v>
      </c>
      <c r="E406" s="10" t="n">
        <f aca="false">MONTH(B406)</f>
        <v>2</v>
      </c>
      <c r="F406" s="10" t="str">
        <f aca="false">CHOOSE(MOD(A406-1,5)+1,"Центр","Юг","Север","Запад","Восток")</f>
        <v>Восток</v>
      </c>
      <c r="G406" s="10" t="str">
        <f aca="false">"Округ_"&amp;(MOD(A406-1,5)+1)&amp;"_"&amp;(MOD(INT((A406-1)/5),5)+1)</f>
        <v>Округ_5_1</v>
      </c>
      <c r="H406" s="10" t="str">
        <f aca="false">"Город_"&amp;(MOD(A406-1,5)+1)&amp;"_"&amp;(MOD(INT((A406-1)/5),5)+1)&amp;"_"&amp;(MOD(INT((A406-1)/25),10)+1)</f>
        <v>Город_5_1_7</v>
      </c>
      <c r="I406" s="10" t="str">
        <f aca="false">CHOOSE(MOD(A406-1,4)+1,"Электроника","Одежда","Продукты","Мебель")</f>
        <v>Электроника</v>
      </c>
      <c r="J406" s="10" t="str">
        <f aca="false">CHOOSE(MOD(INT((A406-1)/4),4)+1,CHOOSE(MOD(A406-1,4)+1,"Смартфоны","Ноутбуки","Аксессуары","Аудио"),CHOOSE(MOD(A406-1,4)+1,"Верхняя одежда","Спортивная","Повседневная","Обувь"),CHOOSE(MOD(A406-1,4)+1,"Молочные","Мясные","Бакалея","Напитки"),CHOOSE(MOD(A406-1,4)+1,"Мягкая мебель","Корпусная","Офисная","Кухонная"))</f>
        <v>Верхняя одежда</v>
      </c>
      <c r="K406" s="12" t="n">
        <f aca="false">1000+MOD(A406*317+A406*A406*7,49001)</f>
        <v>3534</v>
      </c>
      <c r="L406" s="12" t="n">
        <f aca="false">1+MOD(A406*131,100)</f>
        <v>56</v>
      </c>
      <c r="M406" s="12" t="n">
        <f aca="false">INT(K406*(0.6+MOD(A406*43,21)/100))</f>
        <v>2332</v>
      </c>
      <c r="N406" s="12" t="n">
        <f aca="false">K406-M406</f>
        <v>1202</v>
      </c>
    </row>
    <row r="407" customFormat="false" ht="12.8" hidden="false" customHeight="false" outlineLevel="0" collapsed="false">
      <c r="A407" s="10" t="n">
        <f aca="false">A406+1</f>
        <v>406</v>
      </c>
      <c r="B407" s="11" t="n">
        <f aca="false">B406+1</f>
        <v>45332</v>
      </c>
      <c r="C407" s="10" t="n">
        <f aca="false">YEAR(B407)</f>
        <v>2024</v>
      </c>
      <c r="D407" s="10" t="n">
        <f aca="false">INT((MONTH(B407)-1)/3)+1</f>
        <v>1</v>
      </c>
      <c r="E407" s="10" t="n">
        <f aca="false">MONTH(B407)</f>
        <v>2</v>
      </c>
      <c r="F407" s="10" t="str">
        <f aca="false">CHOOSE(MOD(A407-1,5)+1,"Центр","Юг","Север","Запад","Восток")</f>
        <v>Центр</v>
      </c>
      <c r="G407" s="10" t="str">
        <f aca="false">"Округ_"&amp;(MOD(A407-1,5)+1)&amp;"_"&amp;(MOD(INT((A407-1)/5),5)+1)</f>
        <v>Округ_1_2</v>
      </c>
      <c r="H407" s="10" t="str">
        <f aca="false">"Город_"&amp;(MOD(A407-1,5)+1)&amp;"_"&amp;(MOD(INT((A407-1)/5),5)+1)&amp;"_"&amp;(MOD(INT((A407-1)/25),10)+1)</f>
        <v>Город_1_2_7</v>
      </c>
      <c r="I407" s="10" t="str">
        <f aca="false">CHOOSE(MOD(A407-1,4)+1,"Электроника","Одежда","Продукты","Мебель")</f>
        <v>Одежда</v>
      </c>
      <c r="J407" s="10" t="str">
        <f aca="false">CHOOSE(MOD(INT((A407-1)/4),4)+1,CHOOSE(MOD(A407-1,4)+1,"Смартфоны","Ноутбуки","Аксессуары","Аудио"),CHOOSE(MOD(A407-1,4)+1,"Верхняя одежда","Спортивная","Повседневная","Обувь"),CHOOSE(MOD(A407-1,4)+1,"Молочные","Мясные","Бакалея","Напитки"),CHOOSE(MOD(A407-1,4)+1,"Мягкая мебель","Корпусная","Офисная","Кухонная"))</f>
        <v>Спортивная</v>
      </c>
      <c r="K407" s="12" t="n">
        <f aca="false">1000+MOD(A407*317+A407*A407*7,49001)</f>
        <v>9528</v>
      </c>
      <c r="L407" s="12" t="n">
        <f aca="false">1+MOD(A407*131,100)</f>
        <v>87</v>
      </c>
      <c r="M407" s="12" t="n">
        <f aca="false">INT(K407*(0.6+MOD(A407*43,21)/100))</f>
        <v>6383</v>
      </c>
      <c r="N407" s="12" t="n">
        <f aca="false">K407-M407</f>
        <v>3145</v>
      </c>
    </row>
    <row r="408" customFormat="false" ht="12.8" hidden="false" customHeight="false" outlineLevel="0" collapsed="false">
      <c r="A408" s="10" t="n">
        <f aca="false">A407+1</f>
        <v>407</v>
      </c>
      <c r="B408" s="11" t="n">
        <f aca="false">B407+1</f>
        <v>45333</v>
      </c>
      <c r="C408" s="10" t="n">
        <f aca="false">YEAR(B408)</f>
        <v>2024</v>
      </c>
      <c r="D408" s="10" t="n">
        <f aca="false">INT((MONTH(B408)-1)/3)+1</f>
        <v>1</v>
      </c>
      <c r="E408" s="10" t="n">
        <f aca="false">MONTH(B408)</f>
        <v>2</v>
      </c>
      <c r="F408" s="10" t="str">
        <f aca="false">CHOOSE(MOD(A408-1,5)+1,"Центр","Юг","Север","Запад","Восток")</f>
        <v>Юг</v>
      </c>
      <c r="G408" s="10" t="str">
        <f aca="false">"Округ_"&amp;(MOD(A408-1,5)+1)&amp;"_"&amp;(MOD(INT((A408-1)/5),5)+1)</f>
        <v>Округ_2_2</v>
      </c>
      <c r="H408" s="10" t="str">
        <f aca="false">"Город_"&amp;(MOD(A408-1,5)+1)&amp;"_"&amp;(MOD(INT((A408-1)/5),5)+1)&amp;"_"&amp;(MOD(INT((A408-1)/25),10)+1)</f>
        <v>Город_2_2_7</v>
      </c>
      <c r="I408" s="10" t="str">
        <f aca="false">CHOOSE(MOD(A408-1,4)+1,"Электроника","Одежда","Продукты","Мебель")</f>
        <v>Продукты</v>
      </c>
      <c r="J408" s="10" t="str">
        <f aca="false">CHOOSE(MOD(INT((A408-1)/4),4)+1,CHOOSE(MOD(A408-1,4)+1,"Смартфоны","Ноутбуки","Аксессуары","Аудио"),CHOOSE(MOD(A408-1,4)+1,"Верхняя одежда","Спортивная","Повседневная","Обувь"),CHOOSE(MOD(A408-1,4)+1,"Молочные","Мясные","Бакалея","Напитки"),CHOOSE(MOD(A408-1,4)+1,"Мягкая мебель","Корпусная","Офисная","Кухонная"))</f>
        <v>Повседневная</v>
      </c>
      <c r="K408" s="12" t="n">
        <f aca="false">1000+MOD(A408*317+A408*A408*7,49001)</f>
        <v>15536</v>
      </c>
      <c r="L408" s="12" t="n">
        <f aca="false">1+MOD(A408*131,100)</f>
        <v>18</v>
      </c>
      <c r="M408" s="12" t="n">
        <f aca="false">INT(K408*(0.6+MOD(A408*43,21)/100))</f>
        <v>10564</v>
      </c>
      <c r="N408" s="12" t="n">
        <f aca="false">K408-M408</f>
        <v>4972</v>
      </c>
    </row>
    <row r="409" customFormat="false" ht="12.8" hidden="false" customHeight="false" outlineLevel="0" collapsed="false">
      <c r="A409" s="10" t="n">
        <f aca="false">A408+1</f>
        <v>408</v>
      </c>
      <c r="B409" s="11" t="n">
        <f aca="false">B408+1</f>
        <v>45334</v>
      </c>
      <c r="C409" s="10" t="n">
        <f aca="false">YEAR(B409)</f>
        <v>2024</v>
      </c>
      <c r="D409" s="10" t="n">
        <f aca="false">INT((MONTH(B409)-1)/3)+1</f>
        <v>1</v>
      </c>
      <c r="E409" s="10" t="n">
        <f aca="false">MONTH(B409)</f>
        <v>2</v>
      </c>
      <c r="F409" s="10" t="str">
        <f aca="false">CHOOSE(MOD(A409-1,5)+1,"Центр","Юг","Север","Запад","Восток")</f>
        <v>Север</v>
      </c>
      <c r="G409" s="10" t="str">
        <f aca="false">"Округ_"&amp;(MOD(A409-1,5)+1)&amp;"_"&amp;(MOD(INT((A409-1)/5),5)+1)</f>
        <v>Округ_3_2</v>
      </c>
      <c r="H409" s="10" t="str">
        <f aca="false">"Город_"&amp;(MOD(A409-1,5)+1)&amp;"_"&amp;(MOD(INT((A409-1)/5),5)+1)&amp;"_"&amp;(MOD(INT((A409-1)/25),10)+1)</f>
        <v>Город_3_2_7</v>
      </c>
      <c r="I409" s="10" t="str">
        <f aca="false">CHOOSE(MOD(A409-1,4)+1,"Электроника","Одежда","Продукты","Мебель")</f>
        <v>Мебель</v>
      </c>
      <c r="J409" s="10" t="str">
        <f aca="false">CHOOSE(MOD(INT((A409-1)/4),4)+1,CHOOSE(MOD(A409-1,4)+1,"Смартфоны","Ноутбуки","Аксессуары","Аудио"),CHOOSE(MOD(A409-1,4)+1,"Верхняя одежда","Спортивная","Повседневная","Обувь"),CHOOSE(MOD(A409-1,4)+1,"Молочные","Мясные","Бакалея","Напитки"),CHOOSE(MOD(A409-1,4)+1,"Мягкая мебель","Корпусная","Офисная","Кухонная"))</f>
        <v>Обувь</v>
      </c>
      <c r="K409" s="12" t="n">
        <f aca="false">1000+MOD(A409*317+A409*A409*7,49001)</f>
        <v>21558</v>
      </c>
      <c r="L409" s="12" t="n">
        <f aca="false">1+MOD(A409*131,100)</f>
        <v>49</v>
      </c>
      <c r="M409" s="12" t="n">
        <f aca="false">INT(K409*(0.6+MOD(A409*43,21)/100))</f>
        <v>14875</v>
      </c>
      <c r="N409" s="12" t="n">
        <f aca="false">K409-M409</f>
        <v>6683</v>
      </c>
    </row>
    <row r="410" customFormat="false" ht="12.8" hidden="false" customHeight="false" outlineLevel="0" collapsed="false">
      <c r="A410" s="10" t="n">
        <f aca="false">A409+1</f>
        <v>409</v>
      </c>
      <c r="B410" s="11" t="n">
        <f aca="false">B409+1</f>
        <v>45335</v>
      </c>
      <c r="C410" s="10" t="n">
        <f aca="false">YEAR(B410)</f>
        <v>2024</v>
      </c>
      <c r="D410" s="10" t="n">
        <f aca="false">INT((MONTH(B410)-1)/3)+1</f>
        <v>1</v>
      </c>
      <c r="E410" s="10" t="n">
        <f aca="false">MONTH(B410)</f>
        <v>2</v>
      </c>
      <c r="F410" s="10" t="str">
        <f aca="false">CHOOSE(MOD(A410-1,5)+1,"Центр","Юг","Север","Запад","Восток")</f>
        <v>Запад</v>
      </c>
      <c r="G410" s="10" t="str">
        <f aca="false">"Округ_"&amp;(MOD(A410-1,5)+1)&amp;"_"&amp;(MOD(INT((A410-1)/5),5)+1)</f>
        <v>Округ_4_2</v>
      </c>
      <c r="H410" s="10" t="str">
        <f aca="false">"Город_"&amp;(MOD(A410-1,5)+1)&amp;"_"&amp;(MOD(INT((A410-1)/5),5)+1)&amp;"_"&amp;(MOD(INT((A410-1)/25),10)+1)</f>
        <v>Город_4_2_7</v>
      </c>
      <c r="I410" s="10" t="str">
        <f aca="false">CHOOSE(MOD(A410-1,4)+1,"Электроника","Одежда","Продукты","Мебель")</f>
        <v>Электроника</v>
      </c>
      <c r="J410" s="10" t="str">
        <f aca="false">CHOOSE(MOD(INT((A410-1)/4),4)+1,CHOOSE(MOD(A410-1,4)+1,"Смартфоны","Ноутбуки","Аксессуары","Аудио"),CHOOSE(MOD(A410-1,4)+1,"Верхняя одежда","Спортивная","Повседневная","Обувь"),CHOOSE(MOD(A410-1,4)+1,"Молочные","Мясные","Бакалея","Напитки"),CHOOSE(MOD(A410-1,4)+1,"Мягкая мебель","Корпусная","Офисная","Кухонная"))</f>
        <v>Молочные</v>
      </c>
      <c r="K410" s="12" t="n">
        <f aca="false">1000+MOD(A410*317+A410*A410*7,49001)</f>
        <v>27594</v>
      </c>
      <c r="L410" s="12" t="n">
        <f aca="false">1+MOD(A410*131,100)</f>
        <v>80</v>
      </c>
      <c r="M410" s="12" t="n">
        <f aca="false">INT(K410*(0.6+MOD(A410*43,21)/100))</f>
        <v>19315</v>
      </c>
      <c r="N410" s="12" t="n">
        <f aca="false">K410-M410</f>
        <v>8279</v>
      </c>
    </row>
    <row r="411" customFormat="false" ht="12.8" hidden="false" customHeight="false" outlineLevel="0" collapsed="false">
      <c r="A411" s="10" t="n">
        <f aca="false">A410+1</f>
        <v>410</v>
      </c>
      <c r="B411" s="11" t="n">
        <f aca="false">B410+1</f>
        <v>45336</v>
      </c>
      <c r="C411" s="10" t="n">
        <f aca="false">YEAR(B411)</f>
        <v>2024</v>
      </c>
      <c r="D411" s="10" t="n">
        <f aca="false">INT((MONTH(B411)-1)/3)+1</f>
        <v>1</v>
      </c>
      <c r="E411" s="10" t="n">
        <f aca="false">MONTH(B411)</f>
        <v>2</v>
      </c>
      <c r="F411" s="10" t="str">
        <f aca="false">CHOOSE(MOD(A411-1,5)+1,"Центр","Юг","Север","Запад","Восток")</f>
        <v>Восток</v>
      </c>
      <c r="G411" s="10" t="str">
        <f aca="false">"Округ_"&amp;(MOD(A411-1,5)+1)&amp;"_"&amp;(MOD(INT((A411-1)/5),5)+1)</f>
        <v>Округ_5_2</v>
      </c>
      <c r="H411" s="10" t="str">
        <f aca="false">"Город_"&amp;(MOD(A411-1,5)+1)&amp;"_"&amp;(MOD(INT((A411-1)/5),5)+1)&amp;"_"&amp;(MOD(INT((A411-1)/25),10)+1)</f>
        <v>Город_5_2_7</v>
      </c>
      <c r="I411" s="10" t="str">
        <f aca="false">CHOOSE(MOD(A411-1,4)+1,"Электроника","Одежда","Продукты","Мебель")</f>
        <v>Одежда</v>
      </c>
      <c r="J411" s="10" t="str">
        <f aca="false">CHOOSE(MOD(INT((A411-1)/4),4)+1,CHOOSE(MOD(A411-1,4)+1,"Смартфоны","Ноутбуки","Аксессуары","Аудио"),CHOOSE(MOD(A411-1,4)+1,"Верхняя одежда","Спортивная","Повседневная","Обувь"),CHOOSE(MOD(A411-1,4)+1,"Молочные","Мясные","Бакалея","Напитки"),CHOOSE(MOD(A411-1,4)+1,"Мягкая мебель","Корпусная","Офисная","Кухонная"))</f>
        <v>Мясные</v>
      </c>
      <c r="K411" s="12" t="n">
        <f aca="false">1000+MOD(A411*317+A411*A411*7,49001)</f>
        <v>33644</v>
      </c>
      <c r="L411" s="12" t="n">
        <f aca="false">1+MOD(A411*131,100)</f>
        <v>11</v>
      </c>
      <c r="M411" s="12" t="n">
        <f aca="false">INT(K411*(0.6+MOD(A411*43,21)/100))</f>
        <v>23887</v>
      </c>
      <c r="N411" s="12" t="n">
        <f aca="false">K411-M411</f>
        <v>9757</v>
      </c>
    </row>
    <row r="412" customFormat="false" ht="12.8" hidden="false" customHeight="false" outlineLevel="0" collapsed="false">
      <c r="A412" s="10" t="n">
        <f aca="false">A411+1</f>
        <v>411</v>
      </c>
      <c r="B412" s="11" t="n">
        <f aca="false">B411+1</f>
        <v>45337</v>
      </c>
      <c r="C412" s="10" t="n">
        <f aca="false">YEAR(B412)</f>
        <v>2024</v>
      </c>
      <c r="D412" s="10" t="n">
        <f aca="false">INT((MONTH(B412)-1)/3)+1</f>
        <v>1</v>
      </c>
      <c r="E412" s="10" t="n">
        <f aca="false">MONTH(B412)</f>
        <v>2</v>
      </c>
      <c r="F412" s="10" t="str">
        <f aca="false">CHOOSE(MOD(A412-1,5)+1,"Центр","Юг","Север","Запад","Восток")</f>
        <v>Центр</v>
      </c>
      <c r="G412" s="10" t="str">
        <f aca="false">"Округ_"&amp;(MOD(A412-1,5)+1)&amp;"_"&amp;(MOD(INT((A412-1)/5),5)+1)</f>
        <v>Округ_1_3</v>
      </c>
      <c r="H412" s="10" t="str">
        <f aca="false">"Город_"&amp;(MOD(A412-1,5)+1)&amp;"_"&amp;(MOD(INT((A412-1)/5),5)+1)&amp;"_"&amp;(MOD(INT((A412-1)/25),10)+1)</f>
        <v>Город_1_3_7</v>
      </c>
      <c r="I412" s="10" t="str">
        <f aca="false">CHOOSE(MOD(A412-1,4)+1,"Электроника","Одежда","Продукты","Мебель")</f>
        <v>Продукты</v>
      </c>
      <c r="J412" s="10" t="str">
        <f aca="false">CHOOSE(MOD(INT((A412-1)/4),4)+1,CHOOSE(MOD(A412-1,4)+1,"Смартфоны","Ноутбуки","Аксессуары","Аудио"),CHOOSE(MOD(A412-1,4)+1,"Верхняя одежда","Спортивная","Повседневная","Обувь"),CHOOSE(MOD(A412-1,4)+1,"Молочные","Мясные","Бакалея","Напитки"),CHOOSE(MOD(A412-1,4)+1,"Мягкая мебель","Корпусная","Офисная","Кухонная"))</f>
        <v>Бакалея</v>
      </c>
      <c r="K412" s="12" t="n">
        <f aca="false">1000+MOD(A412*317+A412*A412*7,49001)</f>
        <v>39708</v>
      </c>
      <c r="L412" s="12" t="n">
        <f aca="false">1+MOD(A412*131,100)</f>
        <v>42</v>
      </c>
      <c r="M412" s="12" t="n">
        <f aca="false">INT(K412*(0.6+MOD(A412*43,21)/100))</f>
        <v>28589</v>
      </c>
      <c r="N412" s="12" t="n">
        <f aca="false">K412-M412</f>
        <v>11119</v>
      </c>
    </row>
    <row r="413" customFormat="false" ht="12.8" hidden="false" customHeight="false" outlineLevel="0" collapsed="false">
      <c r="A413" s="10" t="n">
        <f aca="false">A412+1</f>
        <v>412</v>
      </c>
      <c r="B413" s="11" t="n">
        <f aca="false">B412+1</f>
        <v>45338</v>
      </c>
      <c r="C413" s="10" t="n">
        <f aca="false">YEAR(B413)</f>
        <v>2024</v>
      </c>
      <c r="D413" s="10" t="n">
        <f aca="false">INT((MONTH(B413)-1)/3)+1</f>
        <v>1</v>
      </c>
      <c r="E413" s="10" t="n">
        <f aca="false">MONTH(B413)</f>
        <v>2</v>
      </c>
      <c r="F413" s="10" t="str">
        <f aca="false">CHOOSE(MOD(A413-1,5)+1,"Центр","Юг","Север","Запад","Восток")</f>
        <v>Юг</v>
      </c>
      <c r="G413" s="10" t="str">
        <f aca="false">"Округ_"&amp;(MOD(A413-1,5)+1)&amp;"_"&amp;(MOD(INT((A413-1)/5),5)+1)</f>
        <v>Округ_2_3</v>
      </c>
      <c r="H413" s="10" t="str">
        <f aca="false">"Город_"&amp;(MOD(A413-1,5)+1)&amp;"_"&amp;(MOD(INT((A413-1)/5),5)+1)&amp;"_"&amp;(MOD(INT((A413-1)/25),10)+1)</f>
        <v>Город_2_3_7</v>
      </c>
      <c r="I413" s="10" t="str">
        <f aca="false">CHOOSE(MOD(A413-1,4)+1,"Электроника","Одежда","Продукты","Мебель")</f>
        <v>Мебель</v>
      </c>
      <c r="J413" s="10" t="str">
        <f aca="false">CHOOSE(MOD(INT((A413-1)/4),4)+1,CHOOSE(MOD(A413-1,4)+1,"Смартфоны","Ноутбуки","Аксессуары","Аудио"),CHOOSE(MOD(A413-1,4)+1,"Верхняя одежда","Спортивная","Повседневная","Обувь"),CHOOSE(MOD(A413-1,4)+1,"Молочные","Мясные","Бакалея","Напитки"),CHOOSE(MOD(A413-1,4)+1,"Мягкая мебель","Корпусная","Офисная","Кухонная"))</f>
        <v>Напитки</v>
      </c>
      <c r="K413" s="12" t="n">
        <f aca="false">1000+MOD(A413*317+A413*A413*7,49001)</f>
        <v>45786</v>
      </c>
      <c r="L413" s="12" t="n">
        <f aca="false">1+MOD(A413*131,100)</f>
        <v>73</v>
      </c>
      <c r="M413" s="12" t="n">
        <f aca="false">INT(K413*(0.6+MOD(A413*43,21)/100))</f>
        <v>33423</v>
      </c>
      <c r="N413" s="12" t="n">
        <f aca="false">K413-M413</f>
        <v>12363</v>
      </c>
    </row>
    <row r="414" customFormat="false" ht="12.8" hidden="false" customHeight="false" outlineLevel="0" collapsed="false">
      <c r="A414" s="10" t="n">
        <f aca="false">A413+1</f>
        <v>413</v>
      </c>
      <c r="B414" s="11" t="n">
        <f aca="false">B413+1</f>
        <v>45339</v>
      </c>
      <c r="C414" s="10" t="n">
        <f aca="false">YEAR(B414)</f>
        <v>2024</v>
      </c>
      <c r="D414" s="10" t="n">
        <f aca="false">INT((MONTH(B414)-1)/3)+1</f>
        <v>1</v>
      </c>
      <c r="E414" s="10" t="n">
        <f aca="false">MONTH(B414)</f>
        <v>2</v>
      </c>
      <c r="F414" s="10" t="str">
        <f aca="false">CHOOSE(MOD(A414-1,5)+1,"Центр","Юг","Север","Запад","Восток")</f>
        <v>Север</v>
      </c>
      <c r="G414" s="10" t="str">
        <f aca="false">"Округ_"&amp;(MOD(A414-1,5)+1)&amp;"_"&amp;(MOD(INT((A414-1)/5),5)+1)</f>
        <v>Округ_3_3</v>
      </c>
      <c r="H414" s="10" t="str">
        <f aca="false">"Город_"&amp;(MOD(A414-1,5)+1)&amp;"_"&amp;(MOD(INT((A414-1)/5),5)+1)&amp;"_"&amp;(MOD(INT((A414-1)/25),10)+1)</f>
        <v>Город_3_3_7</v>
      </c>
      <c r="I414" s="10" t="str">
        <f aca="false">CHOOSE(MOD(A414-1,4)+1,"Электроника","Одежда","Продукты","Мебель")</f>
        <v>Электроника</v>
      </c>
      <c r="J414" s="10" t="str">
        <f aca="false">CHOOSE(MOD(INT((A414-1)/4),4)+1,CHOOSE(MOD(A414-1,4)+1,"Смартфоны","Ноутбуки","Аксессуары","Аудио"),CHOOSE(MOD(A414-1,4)+1,"Верхняя одежда","Спортивная","Повседневная","Обувь"),CHOOSE(MOD(A414-1,4)+1,"Молочные","Мясные","Бакалея","Напитки"),CHOOSE(MOD(A414-1,4)+1,"Мягкая мебель","Корпусная","Офисная","Кухонная"))</f>
        <v>Мягкая мебель</v>
      </c>
      <c r="K414" s="12" t="n">
        <f aca="false">1000+MOD(A414*317+A414*A414*7,49001)</f>
        <v>2877</v>
      </c>
      <c r="L414" s="12" t="n">
        <f aca="false">1+MOD(A414*131,100)</f>
        <v>4</v>
      </c>
      <c r="M414" s="12" t="n">
        <f aca="false">INT(K414*(0.6+MOD(A414*43,21)/100))</f>
        <v>2128</v>
      </c>
      <c r="N414" s="12" t="n">
        <f aca="false">K414-M414</f>
        <v>749</v>
      </c>
    </row>
    <row r="415" customFormat="false" ht="12.8" hidden="false" customHeight="false" outlineLevel="0" collapsed="false">
      <c r="A415" s="10" t="n">
        <f aca="false">A414+1</f>
        <v>414</v>
      </c>
      <c r="B415" s="11" t="n">
        <f aca="false">B414+1</f>
        <v>45340</v>
      </c>
      <c r="C415" s="10" t="n">
        <f aca="false">YEAR(B415)</f>
        <v>2024</v>
      </c>
      <c r="D415" s="10" t="n">
        <f aca="false">INT((MONTH(B415)-1)/3)+1</f>
        <v>1</v>
      </c>
      <c r="E415" s="10" t="n">
        <f aca="false">MONTH(B415)</f>
        <v>2</v>
      </c>
      <c r="F415" s="10" t="str">
        <f aca="false">CHOOSE(MOD(A415-1,5)+1,"Центр","Юг","Север","Запад","Восток")</f>
        <v>Запад</v>
      </c>
      <c r="G415" s="10" t="str">
        <f aca="false">"Округ_"&amp;(MOD(A415-1,5)+1)&amp;"_"&amp;(MOD(INT((A415-1)/5),5)+1)</f>
        <v>Округ_4_3</v>
      </c>
      <c r="H415" s="10" t="str">
        <f aca="false">"Город_"&amp;(MOD(A415-1,5)+1)&amp;"_"&amp;(MOD(INT((A415-1)/5),5)+1)&amp;"_"&amp;(MOD(INT((A415-1)/25),10)+1)</f>
        <v>Город_4_3_7</v>
      </c>
      <c r="I415" s="10" t="str">
        <f aca="false">CHOOSE(MOD(A415-1,4)+1,"Электроника","Одежда","Продукты","Мебель")</f>
        <v>Одежда</v>
      </c>
      <c r="J415" s="10" t="str">
        <f aca="false">CHOOSE(MOD(INT((A415-1)/4),4)+1,CHOOSE(MOD(A415-1,4)+1,"Смартфоны","Ноутбуки","Аксессуары","Аудио"),CHOOSE(MOD(A415-1,4)+1,"Верхняя одежда","Спортивная","Повседневная","Обувь"),CHOOSE(MOD(A415-1,4)+1,"Молочные","Мясные","Бакалея","Напитки"),CHOOSE(MOD(A415-1,4)+1,"Мягкая мебель","Корпусная","Офисная","Кухонная"))</f>
        <v>Корпусная</v>
      </c>
      <c r="K415" s="12" t="n">
        <f aca="false">1000+MOD(A415*317+A415*A415*7,49001)</f>
        <v>8983</v>
      </c>
      <c r="L415" s="12" t="n">
        <f aca="false">1+MOD(A415*131,100)</f>
        <v>35</v>
      </c>
      <c r="M415" s="12" t="n">
        <f aca="false">INT(K415*(0.6+MOD(A415*43,21)/100))</f>
        <v>6737</v>
      </c>
      <c r="N415" s="12" t="n">
        <f aca="false">K415-M415</f>
        <v>2246</v>
      </c>
    </row>
    <row r="416" customFormat="false" ht="12.8" hidden="false" customHeight="false" outlineLevel="0" collapsed="false">
      <c r="A416" s="10" t="n">
        <f aca="false">A415+1</f>
        <v>415</v>
      </c>
      <c r="B416" s="11" t="n">
        <f aca="false">B415+1</f>
        <v>45341</v>
      </c>
      <c r="C416" s="10" t="n">
        <f aca="false">YEAR(B416)</f>
        <v>2024</v>
      </c>
      <c r="D416" s="10" t="n">
        <f aca="false">INT((MONTH(B416)-1)/3)+1</f>
        <v>1</v>
      </c>
      <c r="E416" s="10" t="n">
        <f aca="false">MONTH(B416)</f>
        <v>2</v>
      </c>
      <c r="F416" s="10" t="str">
        <f aca="false">CHOOSE(MOD(A416-1,5)+1,"Центр","Юг","Север","Запад","Восток")</f>
        <v>Восток</v>
      </c>
      <c r="G416" s="10" t="str">
        <f aca="false">"Округ_"&amp;(MOD(A416-1,5)+1)&amp;"_"&amp;(MOD(INT((A416-1)/5),5)+1)</f>
        <v>Округ_5_3</v>
      </c>
      <c r="H416" s="10" t="str">
        <f aca="false">"Город_"&amp;(MOD(A416-1,5)+1)&amp;"_"&amp;(MOD(INT((A416-1)/5),5)+1)&amp;"_"&amp;(MOD(INT((A416-1)/25),10)+1)</f>
        <v>Город_5_3_7</v>
      </c>
      <c r="I416" s="10" t="str">
        <f aca="false">CHOOSE(MOD(A416-1,4)+1,"Электроника","Одежда","Продукты","Мебель")</f>
        <v>Продукты</v>
      </c>
      <c r="J416" s="10" t="str">
        <f aca="false">CHOOSE(MOD(INT((A416-1)/4),4)+1,CHOOSE(MOD(A416-1,4)+1,"Смартфоны","Ноутбуки","Аксессуары","Аудио"),CHOOSE(MOD(A416-1,4)+1,"Верхняя одежда","Спортивная","Повседневная","Обувь"),CHOOSE(MOD(A416-1,4)+1,"Молочные","Мясные","Бакалея","Напитки"),CHOOSE(MOD(A416-1,4)+1,"Мягкая мебель","Корпусная","Офисная","Кухонная"))</f>
        <v>Офисная</v>
      </c>
      <c r="K416" s="12" t="n">
        <f aca="false">1000+MOD(A416*317+A416*A416*7,49001)</f>
        <v>15103</v>
      </c>
      <c r="L416" s="12" t="n">
        <f aca="false">1+MOD(A416*131,100)</f>
        <v>66</v>
      </c>
      <c r="M416" s="12" t="n">
        <f aca="false">INT(K416*(0.6+MOD(A416*43,21)/100))</f>
        <v>11478</v>
      </c>
      <c r="N416" s="12" t="n">
        <f aca="false">K416-M416</f>
        <v>3625</v>
      </c>
    </row>
    <row r="417" customFormat="false" ht="12.8" hidden="false" customHeight="false" outlineLevel="0" collapsed="false">
      <c r="A417" s="10" t="n">
        <f aca="false">A416+1</f>
        <v>416</v>
      </c>
      <c r="B417" s="11" t="n">
        <f aca="false">B416+1</f>
        <v>45342</v>
      </c>
      <c r="C417" s="10" t="n">
        <f aca="false">YEAR(B417)</f>
        <v>2024</v>
      </c>
      <c r="D417" s="10" t="n">
        <f aca="false">INT((MONTH(B417)-1)/3)+1</f>
        <v>1</v>
      </c>
      <c r="E417" s="10" t="n">
        <f aca="false">MONTH(B417)</f>
        <v>2</v>
      </c>
      <c r="F417" s="10" t="str">
        <f aca="false">CHOOSE(MOD(A417-1,5)+1,"Центр","Юг","Север","Запад","Восток")</f>
        <v>Центр</v>
      </c>
      <c r="G417" s="10" t="str">
        <f aca="false">"Округ_"&amp;(MOD(A417-1,5)+1)&amp;"_"&amp;(MOD(INT((A417-1)/5),5)+1)</f>
        <v>Округ_1_4</v>
      </c>
      <c r="H417" s="10" t="str">
        <f aca="false">"Город_"&amp;(MOD(A417-1,5)+1)&amp;"_"&amp;(MOD(INT((A417-1)/5),5)+1)&amp;"_"&amp;(MOD(INT((A417-1)/25),10)+1)</f>
        <v>Город_1_4_7</v>
      </c>
      <c r="I417" s="10" t="str">
        <f aca="false">CHOOSE(MOD(A417-1,4)+1,"Электроника","Одежда","Продукты","Мебель")</f>
        <v>Мебель</v>
      </c>
      <c r="J417" s="10" t="str">
        <f aca="false">CHOOSE(MOD(INT((A417-1)/4),4)+1,CHOOSE(MOD(A417-1,4)+1,"Смартфоны","Ноутбуки","Аксессуары","Аудио"),CHOOSE(MOD(A417-1,4)+1,"Верхняя одежда","Спортивная","Повседневная","Обувь"),CHOOSE(MOD(A417-1,4)+1,"Молочные","Мясные","Бакалея","Напитки"),CHOOSE(MOD(A417-1,4)+1,"Мягкая мебель","Корпусная","Офисная","Кухонная"))</f>
        <v>Кухонная</v>
      </c>
      <c r="K417" s="12" t="n">
        <f aca="false">1000+MOD(A417*317+A417*A417*7,49001)</f>
        <v>21237</v>
      </c>
      <c r="L417" s="12" t="n">
        <f aca="false">1+MOD(A417*131,100)</f>
        <v>97</v>
      </c>
      <c r="M417" s="12" t="n">
        <f aca="false">INT(K417*(0.6+MOD(A417*43,21)/100))</f>
        <v>16352</v>
      </c>
      <c r="N417" s="12" t="n">
        <f aca="false">K417-M417</f>
        <v>4885</v>
      </c>
    </row>
    <row r="418" customFormat="false" ht="12.8" hidden="false" customHeight="false" outlineLevel="0" collapsed="false">
      <c r="A418" s="10" t="n">
        <f aca="false">A417+1</f>
        <v>417</v>
      </c>
      <c r="B418" s="11" t="n">
        <f aca="false">B417+1</f>
        <v>45343</v>
      </c>
      <c r="C418" s="10" t="n">
        <f aca="false">YEAR(B418)</f>
        <v>2024</v>
      </c>
      <c r="D418" s="10" t="n">
        <f aca="false">INT((MONTH(B418)-1)/3)+1</f>
        <v>1</v>
      </c>
      <c r="E418" s="10" t="n">
        <f aca="false">MONTH(B418)</f>
        <v>2</v>
      </c>
      <c r="F418" s="10" t="str">
        <f aca="false">CHOOSE(MOD(A418-1,5)+1,"Центр","Юг","Север","Запад","Восток")</f>
        <v>Юг</v>
      </c>
      <c r="G418" s="10" t="str">
        <f aca="false">"Округ_"&amp;(MOD(A418-1,5)+1)&amp;"_"&amp;(MOD(INT((A418-1)/5),5)+1)</f>
        <v>Округ_2_4</v>
      </c>
      <c r="H418" s="10" t="str">
        <f aca="false">"Город_"&amp;(MOD(A418-1,5)+1)&amp;"_"&amp;(MOD(INT((A418-1)/5),5)+1)&amp;"_"&amp;(MOD(INT((A418-1)/25),10)+1)</f>
        <v>Город_2_4_7</v>
      </c>
      <c r="I418" s="10" t="str">
        <f aca="false">CHOOSE(MOD(A418-1,4)+1,"Электроника","Одежда","Продукты","Мебель")</f>
        <v>Электроника</v>
      </c>
      <c r="J418" s="10" t="str">
        <f aca="false">CHOOSE(MOD(INT((A418-1)/4),4)+1,CHOOSE(MOD(A418-1,4)+1,"Смартфоны","Ноутбуки","Аксессуары","Аудио"),CHOOSE(MOD(A418-1,4)+1,"Верхняя одежда","Спортивная","Повседневная","Обувь"),CHOOSE(MOD(A418-1,4)+1,"Молочные","Мясные","Бакалея","Напитки"),CHOOSE(MOD(A418-1,4)+1,"Мягкая мебель","Корпусная","Офисная","Кухонная"))</f>
        <v>Смартфоны</v>
      </c>
      <c r="K418" s="12" t="n">
        <f aca="false">1000+MOD(A418*317+A418*A418*7,49001)</f>
        <v>27385</v>
      </c>
      <c r="L418" s="12" t="n">
        <f aca="false">1+MOD(A418*131,100)</f>
        <v>28</v>
      </c>
      <c r="M418" s="12" t="n">
        <f aca="false">INT(K418*(0.6+MOD(A418*43,21)/100))</f>
        <v>21360</v>
      </c>
      <c r="N418" s="12" t="n">
        <f aca="false">K418-M418</f>
        <v>6025</v>
      </c>
    </row>
    <row r="419" customFormat="false" ht="12.8" hidden="false" customHeight="false" outlineLevel="0" collapsed="false">
      <c r="A419" s="10" t="n">
        <f aca="false">A418+1</f>
        <v>418</v>
      </c>
      <c r="B419" s="11" t="n">
        <f aca="false">B418+1</f>
        <v>45344</v>
      </c>
      <c r="C419" s="10" t="n">
        <f aca="false">YEAR(B419)</f>
        <v>2024</v>
      </c>
      <c r="D419" s="10" t="n">
        <f aca="false">INT((MONTH(B419)-1)/3)+1</f>
        <v>1</v>
      </c>
      <c r="E419" s="10" t="n">
        <f aca="false">MONTH(B419)</f>
        <v>2</v>
      </c>
      <c r="F419" s="10" t="str">
        <f aca="false">CHOOSE(MOD(A419-1,5)+1,"Центр","Юг","Север","Запад","Восток")</f>
        <v>Север</v>
      </c>
      <c r="G419" s="10" t="str">
        <f aca="false">"Округ_"&amp;(MOD(A419-1,5)+1)&amp;"_"&amp;(MOD(INT((A419-1)/5),5)+1)</f>
        <v>Округ_3_4</v>
      </c>
      <c r="H419" s="10" t="str">
        <f aca="false">"Город_"&amp;(MOD(A419-1,5)+1)&amp;"_"&amp;(MOD(INT((A419-1)/5),5)+1)&amp;"_"&amp;(MOD(INT((A419-1)/25),10)+1)</f>
        <v>Город_3_4_7</v>
      </c>
      <c r="I419" s="10" t="str">
        <f aca="false">CHOOSE(MOD(A419-1,4)+1,"Электроника","Одежда","Продукты","Мебель")</f>
        <v>Одежда</v>
      </c>
      <c r="J419" s="10" t="str">
        <f aca="false">CHOOSE(MOD(INT((A419-1)/4),4)+1,CHOOSE(MOD(A419-1,4)+1,"Смартфоны","Ноутбуки","Аксессуары","Аудио"),CHOOSE(MOD(A419-1,4)+1,"Верхняя одежда","Спортивная","Повседневная","Обувь"),CHOOSE(MOD(A419-1,4)+1,"Молочные","Мясные","Бакалея","Напитки"),CHOOSE(MOD(A419-1,4)+1,"Мягкая мебель","Корпусная","Офисная","Кухонная"))</f>
        <v>Ноутбуки</v>
      </c>
      <c r="K419" s="12" t="n">
        <f aca="false">1000+MOD(A419*317+A419*A419*7,49001)</f>
        <v>33547</v>
      </c>
      <c r="L419" s="12" t="n">
        <f aca="false">1+MOD(A419*131,100)</f>
        <v>59</v>
      </c>
      <c r="M419" s="12" t="n">
        <f aca="false">INT(K419*(0.6+MOD(A419*43,21)/100))</f>
        <v>26502</v>
      </c>
      <c r="N419" s="12" t="n">
        <f aca="false">K419-M419</f>
        <v>7045</v>
      </c>
    </row>
    <row r="420" customFormat="false" ht="12.8" hidden="false" customHeight="false" outlineLevel="0" collapsed="false">
      <c r="A420" s="10" t="n">
        <f aca="false">A419+1</f>
        <v>419</v>
      </c>
      <c r="B420" s="11" t="n">
        <f aca="false">B419+1</f>
        <v>45345</v>
      </c>
      <c r="C420" s="10" t="n">
        <f aca="false">YEAR(B420)</f>
        <v>2024</v>
      </c>
      <c r="D420" s="10" t="n">
        <f aca="false">INT((MONTH(B420)-1)/3)+1</f>
        <v>1</v>
      </c>
      <c r="E420" s="10" t="n">
        <f aca="false">MONTH(B420)</f>
        <v>2</v>
      </c>
      <c r="F420" s="10" t="str">
        <f aca="false">CHOOSE(MOD(A420-1,5)+1,"Центр","Юг","Север","Запад","Восток")</f>
        <v>Запад</v>
      </c>
      <c r="G420" s="10" t="str">
        <f aca="false">"Округ_"&amp;(MOD(A420-1,5)+1)&amp;"_"&amp;(MOD(INT((A420-1)/5),5)+1)</f>
        <v>Округ_4_4</v>
      </c>
      <c r="H420" s="10" t="str">
        <f aca="false">"Город_"&amp;(MOD(A420-1,5)+1)&amp;"_"&amp;(MOD(INT((A420-1)/5),5)+1)&amp;"_"&amp;(MOD(INT((A420-1)/25),10)+1)</f>
        <v>Город_4_4_7</v>
      </c>
      <c r="I420" s="10" t="str">
        <f aca="false">CHOOSE(MOD(A420-1,4)+1,"Электроника","Одежда","Продукты","Мебель")</f>
        <v>Продукты</v>
      </c>
      <c r="J420" s="10" t="str">
        <f aca="false">CHOOSE(MOD(INT((A420-1)/4),4)+1,CHOOSE(MOD(A420-1,4)+1,"Смартфоны","Ноутбуки","Аксессуары","Аудио"),CHOOSE(MOD(A420-1,4)+1,"Верхняя одежда","Спортивная","Повседневная","Обувь"),CHOOSE(MOD(A420-1,4)+1,"Молочные","Мясные","Бакалея","Напитки"),CHOOSE(MOD(A420-1,4)+1,"Мягкая мебель","Корпусная","Офисная","Кухонная"))</f>
        <v>Аксессуары</v>
      </c>
      <c r="K420" s="12" t="n">
        <f aca="false">1000+MOD(A420*317+A420*A420*7,49001)</f>
        <v>39723</v>
      </c>
      <c r="L420" s="12" t="n">
        <f aca="false">1+MOD(A420*131,100)</f>
        <v>90</v>
      </c>
      <c r="M420" s="12" t="n">
        <f aca="false">INT(K420*(0.6+MOD(A420*43,21)/100))</f>
        <v>31778</v>
      </c>
      <c r="N420" s="12" t="n">
        <f aca="false">K420-M420</f>
        <v>7945</v>
      </c>
    </row>
    <row r="421" customFormat="false" ht="12.8" hidden="false" customHeight="false" outlineLevel="0" collapsed="false">
      <c r="A421" s="10" t="n">
        <f aca="false">A420+1</f>
        <v>420</v>
      </c>
      <c r="B421" s="11" t="n">
        <f aca="false">B420+1</f>
        <v>45346</v>
      </c>
      <c r="C421" s="10" t="n">
        <f aca="false">YEAR(B421)</f>
        <v>2024</v>
      </c>
      <c r="D421" s="10" t="n">
        <f aca="false">INT((MONTH(B421)-1)/3)+1</f>
        <v>1</v>
      </c>
      <c r="E421" s="10" t="n">
        <f aca="false">MONTH(B421)</f>
        <v>2</v>
      </c>
      <c r="F421" s="10" t="str">
        <f aca="false">CHOOSE(MOD(A421-1,5)+1,"Центр","Юг","Север","Запад","Восток")</f>
        <v>Восток</v>
      </c>
      <c r="G421" s="10" t="str">
        <f aca="false">"Округ_"&amp;(MOD(A421-1,5)+1)&amp;"_"&amp;(MOD(INT((A421-1)/5),5)+1)</f>
        <v>Округ_5_4</v>
      </c>
      <c r="H421" s="10" t="str">
        <f aca="false">"Город_"&amp;(MOD(A421-1,5)+1)&amp;"_"&amp;(MOD(INT((A421-1)/5),5)+1)&amp;"_"&amp;(MOD(INT((A421-1)/25),10)+1)</f>
        <v>Город_5_4_7</v>
      </c>
      <c r="I421" s="10" t="str">
        <f aca="false">CHOOSE(MOD(A421-1,4)+1,"Электроника","Одежда","Продукты","Мебель")</f>
        <v>Мебель</v>
      </c>
      <c r="J421" s="10" t="str">
        <f aca="false">CHOOSE(MOD(INT((A421-1)/4),4)+1,CHOOSE(MOD(A421-1,4)+1,"Смартфоны","Ноутбуки","Аксессуары","Аудио"),CHOOSE(MOD(A421-1,4)+1,"Верхняя одежда","Спортивная","Повседневная","Обувь"),CHOOSE(MOD(A421-1,4)+1,"Молочные","Мясные","Бакалея","Напитки"),CHOOSE(MOD(A421-1,4)+1,"Мягкая мебель","Корпусная","Офисная","Кухонная"))</f>
        <v>Аудио</v>
      </c>
      <c r="K421" s="12" t="n">
        <f aca="false">1000+MOD(A421*317+A421*A421*7,49001)</f>
        <v>45913</v>
      </c>
      <c r="L421" s="12" t="n">
        <f aca="false">1+MOD(A421*131,100)</f>
        <v>21</v>
      </c>
      <c r="M421" s="12" t="n">
        <f aca="false">INT(K421*(0.6+MOD(A421*43,21)/100))</f>
        <v>27547</v>
      </c>
      <c r="N421" s="12" t="n">
        <f aca="false">K421-M421</f>
        <v>18366</v>
      </c>
    </row>
    <row r="422" customFormat="false" ht="12.8" hidden="false" customHeight="false" outlineLevel="0" collapsed="false">
      <c r="A422" s="10" t="n">
        <f aca="false">A421+1</f>
        <v>421</v>
      </c>
      <c r="B422" s="11" t="n">
        <f aca="false">B421+1</f>
        <v>45347</v>
      </c>
      <c r="C422" s="10" t="n">
        <f aca="false">YEAR(B422)</f>
        <v>2024</v>
      </c>
      <c r="D422" s="10" t="n">
        <f aca="false">INT((MONTH(B422)-1)/3)+1</f>
        <v>1</v>
      </c>
      <c r="E422" s="10" t="n">
        <f aca="false">MONTH(B422)</f>
        <v>2</v>
      </c>
      <c r="F422" s="10" t="str">
        <f aca="false">CHOOSE(MOD(A422-1,5)+1,"Центр","Юг","Север","Запад","Восток")</f>
        <v>Центр</v>
      </c>
      <c r="G422" s="10" t="str">
        <f aca="false">"Округ_"&amp;(MOD(A422-1,5)+1)&amp;"_"&amp;(MOD(INT((A422-1)/5),5)+1)</f>
        <v>Округ_1_5</v>
      </c>
      <c r="H422" s="10" t="str">
        <f aca="false">"Город_"&amp;(MOD(A422-1,5)+1)&amp;"_"&amp;(MOD(INT((A422-1)/5),5)+1)&amp;"_"&amp;(MOD(INT((A422-1)/25),10)+1)</f>
        <v>Город_1_5_7</v>
      </c>
      <c r="I422" s="10" t="str">
        <f aca="false">CHOOSE(MOD(A422-1,4)+1,"Электроника","Одежда","Продукты","Мебель")</f>
        <v>Электроника</v>
      </c>
      <c r="J422" s="10" t="str">
        <f aca="false">CHOOSE(MOD(INT((A422-1)/4),4)+1,CHOOSE(MOD(A422-1,4)+1,"Смартфоны","Ноутбуки","Аксессуары","Аудио"),CHOOSE(MOD(A422-1,4)+1,"Верхняя одежда","Спортивная","Повседневная","Обувь"),CHOOSE(MOD(A422-1,4)+1,"Молочные","Мясные","Бакалея","Напитки"),CHOOSE(MOD(A422-1,4)+1,"Мягкая мебель","Корпусная","Офисная","Кухонная"))</f>
        <v>Верхняя одежда</v>
      </c>
      <c r="K422" s="12" t="n">
        <f aca="false">1000+MOD(A422*317+A422*A422*7,49001)</f>
        <v>3116</v>
      </c>
      <c r="L422" s="12" t="n">
        <f aca="false">1+MOD(A422*131,100)</f>
        <v>52</v>
      </c>
      <c r="M422" s="12" t="n">
        <f aca="false">INT(K422*(0.6+MOD(A422*43,21)/100))</f>
        <v>1900</v>
      </c>
      <c r="N422" s="12" t="n">
        <f aca="false">K422-M422</f>
        <v>1216</v>
      </c>
    </row>
    <row r="423" customFormat="false" ht="12.8" hidden="false" customHeight="false" outlineLevel="0" collapsed="false">
      <c r="A423" s="10" t="n">
        <f aca="false">A422+1</f>
        <v>422</v>
      </c>
      <c r="B423" s="11" t="n">
        <f aca="false">B422+1</f>
        <v>45348</v>
      </c>
      <c r="C423" s="10" t="n">
        <f aca="false">YEAR(B423)</f>
        <v>2024</v>
      </c>
      <c r="D423" s="10" t="n">
        <f aca="false">INT((MONTH(B423)-1)/3)+1</f>
        <v>1</v>
      </c>
      <c r="E423" s="10" t="n">
        <f aca="false">MONTH(B423)</f>
        <v>2</v>
      </c>
      <c r="F423" s="10" t="str">
        <f aca="false">CHOOSE(MOD(A423-1,5)+1,"Центр","Юг","Север","Запад","Восток")</f>
        <v>Юг</v>
      </c>
      <c r="G423" s="10" t="str">
        <f aca="false">"Округ_"&amp;(MOD(A423-1,5)+1)&amp;"_"&amp;(MOD(INT((A423-1)/5),5)+1)</f>
        <v>Округ_2_5</v>
      </c>
      <c r="H423" s="10" t="str">
        <f aca="false">"Город_"&amp;(MOD(A423-1,5)+1)&amp;"_"&amp;(MOD(INT((A423-1)/5),5)+1)&amp;"_"&amp;(MOD(INT((A423-1)/25),10)+1)</f>
        <v>Город_2_5_7</v>
      </c>
      <c r="I423" s="10" t="str">
        <f aca="false">CHOOSE(MOD(A423-1,4)+1,"Электроника","Одежда","Продукты","Мебель")</f>
        <v>Одежда</v>
      </c>
      <c r="J423" s="10" t="str">
        <f aca="false">CHOOSE(MOD(INT((A423-1)/4),4)+1,CHOOSE(MOD(A423-1,4)+1,"Смартфоны","Ноутбуки","Аксессуары","Аудио"),CHOOSE(MOD(A423-1,4)+1,"Верхняя одежда","Спортивная","Повседневная","Обувь"),CHOOSE(MOD(A423-1,4)+1,"Молочные","Мясные","Бакалея","Напитки"),CHOOSE(MOD(A423-1,4)+1,"Мягкая мебель","Корпусная","Офисная","Кухонная"))</f>
        <v>Спортивная</v>
      </c>
      <c r="K423" s="12" t="n">
        <f aca="false">1000+MOD(A423*317+A423*A423*7,49001)</f>
        <v>9334</v>
      </c>
      <c r="L423" s="12" t="n">
        <f aca="false">1+MOD(A423*131,100)</f>
        <v>83</v>
      </c>
      <c r="M423" s="12" t="n">
        <f aca="false">INT(K423*(0.6+MOD(A423*43,21)/100))</f>
        <v>5787</v>
      </c>
      <c r="N423" s="12" t="n">
        <f aca="false">K423-M423</f>
        <v>3547</v>
      </c>
    </row>
    <row r="424" customFormat="false" ht="12.8" hidden="false" customHeight="false" outlineLevel="0" collapsed="false">
      <c r="A424" s="10" t="n">
        <f aca="false">A423+1</f>
        <v>423</v>
      </c>
      <c r="B424" s="11" t="n">
        <f aca="false">B423+1</f>
        <v>45349</v>
      </c>
      <c r="C424" s="10" t="n">
        <f aca="false">YEAR(B424)</f>
        <v>2024</v>
      </c>
      <c r="D424" s="10" t="n">
        <f aca="false">INT((MONTH(B424)-1)/3)+1</f>
        <v>1</v>
      </c>
      <c r="E424" s="10" t="n">
        <f aca="false">MONTH(B424)</f>
        <v>2</v>
      </c>
      <c r="F424" s="10" t="str">
        <f aca="false">CHOOSE(MOD(A424-1,5)+1,"Центр","Юг","Север","Запад","Восток")</f>
        <v>Север</v>
      </c>
      <c r="G424" s="10" t="str">
        <f aca="false">"Округ_"&amp;(MOD(A424-1,5)+1)&amp;"_"&amp;(MOD(INT((A424-1)/5),5)+1)</f>
        <v>Округ_3_5</v>
      </c>
      <c r="H424" s="10" t="str">
        <f aca="false">"Город_"&amp;(MOD(A424-1,5)+1)&amp;"_"&amp;(MOD(INT((A424-1)/5),5)+1)&amp;"_"&amp;(MOD(INT((A424-1)/25),10)+1)</f>
        <v>Город_3_5_7</v>
      </c>
      <c r="I424" s="10" t="str">
        <f aca="false">CHOOSE(MOD(A424-1,4)+1,"Электроника","Одежда","Продукты","Мебель")</f>
        <v>Продукты</v>
      </c>
      <c r="J424" s="10" t="str">
        <f aca="false">CHOOSE(MOD(INT((A424-1)/4),4)+1,CHOOSE(MOD(A424-1,4)+1,"Смартфоны","Ноутбуки","Аксессуары","Аудио"),CHOOSE(MOD(A424-1,4)+1,"Верхняя одежда","Спортивная","Повседневная","Обувь"),CHOOSE(MOD(A424-1,4)+1,"Молочные","Мясные","Бакалея","Напитки"),CHOOSE(MOD(A424-1,4)+1,"Мягкая мебель","Корпусная","Офисная","Кухонная"))</f>
        <v>Повседневная</v>
      </c>
      <c r="K424" s="12" t="n">
        <f aca="false">1000+MOD(A424*317+A424*A424*7,49001)</f>
        <v>15566</v>
      </c>
      <c r="L424" s="12" t="n">
        <f aca="false">1+MOD(A424*131,100)</f>
        <v>14</v>
      </c>
      <c r="M424" s="12" t="n">
        <f aca="false">INT(K424*(0.6+MOD(A424*43,21)/100))</f>
        <v>9806</v>
      </c>
      <c r="N424" s="12" t="n">
        <f aca="false">K424-M424</f>
        <v>5760</v>
      </c>
    </row>
    <row r="425" customFormat="false" ht="12.8" hidden="false" customHeight="false" outlineLevel="0" collapsed="false">
      <c r="A425" s="10" t="n">
        <f aca="false">A424+1</f>
        <v>424</v>
      </c>
      <c r="B425" s="11" t="n">
        <f aca="false">B424+1</f>
        <v>45350</v>
      </c>
      <c r="C425" s="10" t="n">
        <f aca="false">YEAR(B425)</f>
        <v>2024</v>
      </c>
      <c r="D425" s="10" t="n">
        <f aca="false">INT((MONTH(B425)-1)/3)+1</f>
        <v>1</v>
      </c>
      <c r="E425" s="10" t="n">
        <f aca="false">MONTH(B425)</f>
        <v>2</v>
      </c>
      <c r="F425" s="10" t="str">
        <f aca="false">CHOOSE(MOD(A425-1,5)+1,"Центр","Юг","Север","Запад","Восток")</f>
        <v>Запад</v>
      </c>
      <c r="G425" s="10" t="str">
        <f aca="false">"Округ_"&amp;(MOD(A425-1,5)+1)&amp;"_"&amp;(MOD(INT((A425-1)/5),5)+1)</f>
        <v>Округ_4_5</v>
      </c>
      <c r="H425" s="10" t="str">
        <f aca="false">"Город_"&amp;(MOD(A425-1,5)+1)&amp;"_"&amp;(MOD(INT((A425-1)/5),5)+1)&amp;"_"&amp;(MOD(INT((A425-1)/25),10)+1)</f>
        <v>Город_4_5_7</v>
      </c>
      <c r="I425" s="10" t="str">
        <f aca="false">CHOOSE(MOD(A425-1,4)+1,"Электроника","Одежда","Продукты","Мебель")</f>
        <v>Мебель</v>
      </c>
      <c r="J425" s="10" t="str">
        <f aca="false">CHOOSE(MOD(INT((A425-1)/4),4)+1,CHOOSE(MOD(A425-1,4)+1,"Смартфоны","Ноутбуки","Аксессуары","Аудио"),CHOOSE(MOD(A425-1,4)+1,"Верхняя одежда","Спортивная","Повседневная","Обувь"),CHOOSE(MOD(A425-1,4)+1,"Молочные","Мясные","Бакалея","Напитки"),CHOOSE(MOD(A425-1,4)+1,"Мягкая мебель","Корпусная","Офисная","Кухонная"))</f>
        <v>Обувь</v>
      </c>
      <c r="K425" s="12" t="n">
        <f aca="false">1000+MOD(A425*317+A425*A425*7,49001)</f>
        <v>21812</v>
      </c>
      <c r="L425" s="12" t="n">
        <f aca="false">1+MOD(A425*131,100)</f>
        <v>45</v>
      </c>
      <c r="M425" s="12" t="n">
        <f aca="false">INT(K425*(0.6+MOD(A425*43,21)/100))</f>
        <v>13959</v>
      </c>
      <c r="N425" s="12" t="n">
        <f aca="false">K425-M425</f>
        <v>7853</v>
      </c>
    </row>
    <row r="426" customFormat="false" ht="12.8" hidden="false" customHeight="false" outlineLevel="0" collapsed="false">
      <c r="A426" s="10" t="n">
        <f aca="false">A425+1</f>
        <v>425</v>
      </c>
      <c r="B426" s="11" t="n">
        <f aca="false">B425+1</f>
        <v>45351</v>
      </c>
      <c r="C426" s="10" t="n">
        <f aca="false">YEAR(B426)</f>
        <v>2024</v>
      </c>
      <c r="D426" s="10" t="n">
        <f aca="false">INT((MONTH(B426)-1)/3)+1</f>
        <v>1</v>
      </c>
      <c r="E426" s="10" t="n">
        <f aca="false">MONTH(B426)</f>
        <v>2</v>
      </c>
      <c r="F426" s="10" t="str">
        <f aca="false">CHOOSE(MOD(A426-1,5)+1,"Центр","Юг","Север","Запад","Восток")</f>
        <v>Восток</v>
      </c>
      <c r="G426" s="10" t="str">
        <f aca="false">"Округ_"&amp;(MOD(A426-1,5)+1)&amp;"_"&amp;(MOD(INT((A426-1)/5),5)+1)</f>
        <v>Округ_5_5</v>
      </c>
      <c r="H426" s="10" t="str">
        <f aca="false">"Город_"&amp;(MOD(A426-1,5)+1)&amp;"_"&amp;(MOD(INT((A426-1)/5),5)+1)&amp;"_"&amp;(MOD(INT((A426-1)/25),10)+1)</f>
        <v>Город_5_5_7</v>
      </c>
      <c r="I426" s="10" t="str">
        <f aca="false">CHOOSE(MOD(A426-1,4)+1,"Электроника","Одежда","Продукты","Мебель")</f>
        <v>Электроника</v>
      </c>
      <c r="J426" s="10" t="str">
        <f aca="false">CHOOSE(MOD(INT((A426-1)/4),4)+1,CHOOSE(MOD(A426-1,4)+1,"Смартфоны","Ноутбуки","Аксессуары","Аудио"),CHOOSE(MOD(A426-1,4)+1,"Верхняя одежда","Спортивная","Повседневная","Обувь"),CHOOSE(MOD(A426-1,4)+1,"Молочные","Мясные","Бакалея","Напитки"),CHOOSE(MOD(A426-1,4)+1,"Мягкая мебель","Корпусная","Офисная","Кухонная"))</f>
        <v>Молочные</v>
      </c>
      <c r="K426" s="12" t="n">
        <f aca="false">1000+MOD(A426*317+A426*A426*7,49001)</f>
        <v>28072</v>
      </c>
      <c r="L426" s="12" t="n">
        <f aca="false">1+MOD(A426*131,100)</f>
        <v>76</v>
      </c>
      <c r="M426" s="12" t="n">
        <f aca="false">INT(K426*(0.6+MOD(A426*43,21)/100))</f>
        <v>18246</v>
      </c>
      <c r="N426" s="12" t="n">
        <f aca="false">K426-M426</f>
        <v>9826</v>
      </c>
    </row>
    <row r="427" customFormat="false" ht="12.8" hidden="false" customHeight="false" outlineLevel="0" collapsed="false">
      <c r="A427" s="10" t="n">
        <f aca="false">A426+1</f>
        <v>426</v>
      </c>
      <c r="B427" s="11" t="n">
        <f aca="false">B426+1</f>
        <v>45352</v>
      </c>
      <c r="C427" s="10" t="n">
        <f aca="false">YEAR(B427)</f>
        <v>2024</v>
      </c>
      <c r="D427" s="10" t="n">
        <f aca="false">INT((MONTH(B427)-1)/3)+1</f>
        <v>1</v>
      </c>
      <c r="E427" s="10" t="n">
        <f aca="false">MONTH(B427)</f>
        <v>3</v>
      </c>
      <c r="F427" s="10" t="str">
        <f aca="false">CHOOSE(MOD(A427-1,5)+1,"Центр","Юг","Север","Запад","Восток")</f>
        <v>Центр</v>
      </c>
      <c r="G427" s="10" t="str">
        <f aca="false">"Округ_"&amp;(MOD(A427-1,5)+1)&amp;"_"&amp;(MOD(INT((A427-1)/5),5)+1)</f>
        <v>Округ_1_1</v>
      </c>
      <c r="H427" s="10" t="str">
        <f aca="false">"Город_"&amp;(MOD(A427-1,5)+1)&amp;"_"&amp;(MOD(INT((A427-1)/5),5)+1)&amp;"_"&amp;(MOD(INT((A427-1)/25),10)+1)</f>
        <v>Город_1_1_8</v>
      </c>
      <c r="I427" s="10" t="str">
        <f aca="false">CHOOSE(MOD(A427-1,4)+1,"Электроника","Одежда","Продукты","Мебель")</f>
        <v>Одежда</v>
      </c>
      <c r="J427" s="10" t="str">
        <f aca="false">CHOOSE(MOD(INT((A427-1)/4),4)+1,CHOOSE(MOD(A427-1,4)+1,"Смартфоны","Ноутбуки","Аксессуары","Аудио"),CHOOSE(MOD(A427-1,4)+1,"Верхняя одежда","Спортивная","Повседневная","Обувь"),CHOOSE(MOD(A427-1,4)+1,"Молочные","Мясные","Бакалея","Напитки"),CHOOSE(MOD(A427-1,4)+1,"Мягкая мебель","Корпусная","Офисная","Кухонная"))</f>
        <v>Мясные</v>
      </c>
      <c r="K427" s="12" t="n">
        <f aca="false">1000+MOD(A427*317+A427*A427*7,49001)</f>
        <v>34346</v>
      </c>
      <c r="L427" s="12" t="n">
        <f aca="false">1+MOD(A427*131,100)</f>
        <v>7</v>
      </c>
      <c r="M427" s="12" t="n">
        <f aca="false">INT(K427*(0.6+MOD(A427*43,21)/100))</f>
        <v>22668</v>
      </c>
      <c r="N427" s="12" t="n">
        <f aca="false">K427-M427</f>
        <v>11678</v>
      </c>
    </row>
    <row r="428" customFormat="false" ht="12.8" hidden="false" customHeight="false" outlineLevel="0" collapsed="false">
      <c r="A428" s="10" t="n">
        <f aca="false">A427+1</f>
        <v>427</v>
      </c>
      <c r="B428" s="11" t="n">
        <f aca="false">B427+1</f>
        <v>45353</v>
      </c>
      <c r="C428" s="10" t="n">
        <f aca="false">YEAR(B428)</f>
        <v>2024</v>
      </c>
      <c r="D428" s="10" t="n">
        <f aca="false">INT((MONTH(B428)-1)/3)+1</f>
        <v>1</v>
      </c>
      <c r="E428" s="10" t="n">
        <f aca="false">MONTH(B428)</f>
        <v>3</v>
      </c>
      <c r="F428" s="10" t="str">
        <f aca="false">CHOOSE(MOD(A428-1,5)+1,"Центр","Юг","Север","Запад","Восток")</f>
        <v>Юг</v>
      </c>
      <c r="G428" s="10" t="str">
        <f aca="false">"Округ_"&amp;(MOD(A428-1,5)+1)&amp;"_"&amp;(MOD(INT((A428-1)/5),5)+1)</f>
        <v>Округ_2_1</v>
      </c>
      <c r="H428" s="10" t="str">
        <f aca="false">"Город_"&amp;(MOD(A428-1,5)+1)&amp;"_"&amp;(MOD(INT((A428-1)/5),5)+1)&amp;"_"&amp;(MOD(INT((A428-1)/25),10)+1)</f>
        <v>Город_2_1_8</v>
      </c>
      <c r="I428" s="10" t="str">
        <f aca="false">CHOOSE(MOD(A428-1,4)+1,"Электроника","Одежда","Продукты","Мебель")</f>
        <v>Продукты</v>
      </c>
      <c r="J428" s="10" t="str">
        <f aca="false">CHOOSE(MOD(INT((A428-1)/4),4)+1,CHOOSE(MOD(A428-1,4)+1,"Смартфоны","Ноутбуки","Аксессуары","Аудио"),CHOOSE(MOD(A428-1,4)+1,"Верхняя одежда","Спортивная","Повседневная","Обувь"),CHOOSE(MOD(A428-1,4)+1,"Молочные","Мясные","Бакалея","Напитки"),CHOOSE(MOD(A428-1,4)+1,"Мягкая мебель","Корпусная","Офисная","Кухонная"))</f>
        <v>Бакалея</v>
      </c>
      <c r="K428" s="12" t="n">
        <f aca="false">1000+MOD(A428*317+A428*A428*7,49001)</f>
        <v>40634</v>
      </c>
      <c r="L428" s="12" t="n">
        <f aca="false">1+MOD(A428*131,100)</f>
        <v>38</v>
      </c>
      <c r="M428" s="12" t="n">
        <f aca="false">INT(K428*(0.6+MOD(A428*43,21)/100))</f>
        <v>27224</v>
      </c>
      <c r="N428" s="12" t="n">
        <f aca="false">K428-M428</f>
        <v>13410</v>
      </c>
    </row>
    <row r="429" customFormat="false" ht="12.8" hidden="false" customHeight="false" outlineLevel="0" collapsed="false">
      <c r="A429" s="10" t="n">
        <f aca="false">A428+1</f>
        <v>428</v>
      </c>
      <c r="B429" s="11" t="n">
        <f aca="false">B428+1</f>
        <v>45354</v>
      </c>
      <c r="C429" s="10" t="n">
        <f aca="false">YEAR(B429)</f>
        <v>2024</v>
      </c>
      <c r="D429" s="10" t="n">
        <f aca="false">INT((MONTH(B429)-1)/3)+1</f>
        <v>1</v>
      </c>
      <c r="E429" s="10" t="n">
        <f aca="false">MONTH(B429)</f>
        <v>3</v>
      </c>
      <c r="F429" s="10" t="str">
        <f aca="false">CHOOSE(MOD(A429-1,5)+1,"Центр","Юг","Север","Запад","Восток")</f>
        <v>Север</v>
      </c>
      <c r="G429" s="10" t="str">
        <f aca="false">"Округ_"&amp;(MOD(A429-1,5)+1)&amp;"_"&amp;(MOD(INT((A429-1)/5),5)+1)</f>
        <v>Округ_3_1</v>
      </c>
      <c r="H429" s="10" t="str">
        <f aca="false">"Город_"&amp;(MOD(A429-1,5)+1)&amp;"_"&amp;(MOD(INT((A429-1)/5),5)+1)&amp;"_"&amp;(MOD(INT((A429-1)/25),10)+1)</f>
        <v>Город_3_1_8</v>
      </c>
      <c r="I429" s="10" t="str">
        <f aca="false">CHOOSE(MOD(A429-1,4)+1,"Электроника","Одежда","Продукты","Мебель")</f>
        <v>Мебель</v>
      </c>
      <c r="J429" s="10" t="str">
        <f aca="false">CHOOSE(MOD(INT((A429-1)/4),4)+1,CHOOSE(MOD(A429-1,4)+1,"Смартфоны","Ноутбуки","Аксессуары","Аудио"),CHOOSE(MOD(A429-1,4)+1,"Верхняя одежда","Спортивная","Повседневная","Обувь"),CHOOSE(MOD(A429-1,4)+1,"Молочные","Мясные","Бакалея","Напитки"),CHOOSE(MOD(A429-1,4)+1,"Мягкая мебель","Корпусная","Офисная","Кухонная"))</f>
        <v>Напитки</v>
      </c>
      <c r="K429" s="12" t="n">
        <f aca="false">1000+MOD(A429*317+A429*A429*7,49001)</f>
        <v>46936</v>
      </c>
      <c r="L429" s="12" t="n">
        <f aca="false">1+MOD(A429*131,100)</f>
        <v>69</v>
      </c>
      <c r="M429" s="12" t="n">
        <f aca="false">INT(K429*(0.6+MOD(A429*43,21)/100))</f>
        <v>31916</v>
      </c>
      <c r="N429" s="12" t="n">
        <f aca="false">K429-M429</f>
        <v>15020</v>
      </c>
    </row>
    <row r="430" customFormat="false" ht="12.8" hidden="false" customHeight="false" outlineLevel="0" collapsed="false">
      <c r="A430" s="10" t="n">
        <f aca="false">A429+1</f>
        <v>429</v>
      </c>
      <c r="B430" s="11" t="n">
        <f aca="false">B429+1</f>
        <v>45355</v>
      </c>
      <c r="C430" s="10" t="n">
        <f aca="false">YEAR(B430)</f>
        <v>2024</v>
      </c>
      <c r="D430" s="10" t="n">
        <f aca="false">INT((MONTH(B430)-1)/3)+1</f>
        <v>1</v>
      </c>
      <c r="E430" s="10" t="n">
        <f aca="false">MONTH(B430)</f>
        <v>3</v>
      </c>
      <c r="F430" s="10" t="str">
        <f aca="false">CHOOSE(MOD(A430-1,5)+1,"Центр","Юг","Север","Запад","Восток")</f>
        <v>Запад</v>
      </c>
      <c r="G430" s="10" t="str">
        <f aca="false">"Округ_"&amp;(MOD(A430-1,5)+1)&amp;"_"&amp;(MOD(INT((A430-1)/5),5)+1)</f>
        <v>Округ_4_1</v>
      </c>
      <c r="H430" s="10" t="str">
        <f aca="false">"Город_"&amp;(MOD(A430-1,5)+1)&amp;"_"&amp;(MOD(INT((A430-1)/5),5)+1)&amp;"_"&amp;(MOD(INT((A430-1)/25),10)+1)</f>
        <v>Город_4_1_8</v>
      </c>
      <c r="I430" s="10" t="str">
        <f aca="false">CHOOSE(MOD(A430-1,4)+1,"Электроника","Одежда","Продукты","Мебель")</f>
        <v>Электроника</v>
      </c>
      <c r="J430" s="10" t="str">
        <f aca="false">CHOOSE(MOD(INT((A430-1)/4),4)+1,CHOOSE(MOD(A430-1,4)+1,"Смартфоны","Ноутбуки","Аксессуары","Аудио"),CHOOSE(MOD(A430-1,4)+1,"Верхняя одежда","Спортивная","Повседневная","Обувь"),CHOOSE(MOD(A430-1,4)+1,"Молочные","Мясные","Бакалея","Напитки"),CHOOSE(MOD(A430-1,4)+1,"Мягкая мебель","Корпусная","Офисная","Кухонная"))</f>
        <v>Мягкая мебель</v>
      </c>
      <c r="K430" s="12" t="n">
        <f aca="false">1000+MOD(A430*317+A430*A430*7,49001)</f>
        <v>4251</v>
      </c>
      <c r="L430" s="12" t="n">
        <f aca="false">1+MOD(A430*131,100)</f>
        <v>100</v>
      </c>
      <c r="M430" s="12" t="n">
        <f aca="false">INT(K430*(0.6+MOD(A430*43,21)/100))</f>
        <v>2933</v>
      </c>
      <c r="N430" s="12" t="n">
        <f aca="false">K430-M430</f>
        <v>1318</v>
      </c>
    </row>
    <row r="431" customFormat="false" ht="12.8" hidden="false" customHeight="false" outlineLevel="0" collapsed="false">
      <c r="A431" s="10" t="n">
        <f aca="false">A430+1</f>
        <v>430</v>
      </c>
      <c r="B431" s="11" t="n">
        <f aca="false">B430+1</f>
        <v>45356</v>
      </c>
      <c r="C431" s="10" t="n">
        <f aca="false">YEAR(B431)</f>
        <v>2024</v>
      </c>
      <c r="D431" s="10" t="n">
        <f aca="false">INT((MONTH(B431)-1)/3)+1</f>
        <v>1</v>
      </c>
      <c r="E431" s="10" t="n">
        <f aca="false">MONTH(B431)</f>
        <v>3</v>
      </c>
      <c r="F431" s="10" t="str">
        <f aca="false">CHOOSE(MOD(A431-1,5)+1,"Центр","Юг","Север","Запад","Восток")</f>
        <v>Восток</v>
      </c>
      <c r="G431" s="10" t="str">
        <f aca="false">"Округ_"&amp;(MOD(A431-1,5)+1)&amp;"_"&amp;(MOD(INT((A431-1)/5),5)+1)</f>
        <v>Округ_5_1</v>
      </c>
      <c r="H431" s="10" t="str">
        <f aca="false">"Город_"&amp;(MOD(A431-1,5)+1)&amp;"_"&amp;(MOD(INT((A431-1)/5),5)+1)&amp;"_"&amp;(MOD(INT((A431-1)/25),10)+1)</f>
        <v>Город_5_1_8</v>
      </c>
      <c r="I431" s="10" t="str">
        <f aca="false">CHOOSE(MOD(A431-1,4)+1,"Электроника","Одежда","Продукты","Мебель")</f>
        <v>Одежда</v>
      </c>
      <c r="J431" s="10" t="str">
        <f aca="false">CHOOSE(MOD(INT((A431-1)/4),4)+1,CHOOSE(MOD(A431-1,4)+1,"Смартфоны","Ноутбуки","Аксессуары","Аудио"),CHOOSE(MOD(A431-1,4)+1,"Верхняя одежда","Спортивная","Повседневная","Обувь"),CHOOSE(MOD(A431-1,4)+1,"Молочные","Мясные","Бакалея","Напитки"),CHOOSE(MOD(A431-1,4)+1,"Мягкая мебель","Корпусная","Офисная","Кухонная"))</f>
        <v>Корпусная</v>
      </c>
      <c r="K431" s="12" t="n">
        <f aca="false">1000+MOD(A431*317+A431*A431*7,49001)</f>
        <v>10581</v>
      </c>
      <c r="L431" s="12" t="n">
        <f aca="false">1+MOD(A431*131,100)</f>
        <v>31</v>
      </c>
      <c r="M431" s="12" t="n">
        <f aca="false">INT(K431*(0.6+MOD(A431*43,21)/100))</f>
        <v>7406</v>
      </c>
      <c r="N431" s="12" t="n">
        <f aca="false">K431-M431</f>
        <v>3175</v>
      </c>
    </row>
    <row r="432" customFormat="false" ht="12.8" hidden="false" customHeight="false" outlineLevel="0" collapsed="false">
      <c r="A432" s="10" t="n">
        <f aca="false">A431+1</f>
        <v>431</v>
      </c>
      <c r="B432" s="11" t="n">
        <f aca="false">B431+1</f>
        <v>45357</v>
      </c>
      <c r="C432" s="10" t="n">
        <f aca="false">YEAR(B432)</f>
        <v>2024</v>
      </c>
      <c r="D432" s="10" t="n">
        <f aca="false">INT((MONTH(B432)-1)/3)+1</f>
        <v>1</v>
      </c>
      <c r="E432" s="10" t="n">
        <f aca="false">MONTH(B432)</f>
        <v>3</v>
      </c>
      <c r="F432" s="10" t="str">
        <f aca="false">CHOOSE(MOD(A432-1,5)+1,"Центр","Юг","Север","Запад","Восток")</f>
        <v>Центр</v>
      </c>
      <c r="G432" s="10" t="str">
        <f aca="false">"Округ_"&amp;(MOD(A432-1,5)+1)&amp;"_"&amp;(MOD(INT((A432-1)/5),5)+1)</f>
        <v>Округ_1_2</v>
      </c>
      <c r="H432" s="10" t="str">
        <f aca="false">"Город_"&amp;(MOD(A432-1,5)+1)&amp;"_"&amp;(MOD(INT((A432-1)/5),5)+1)&amp;"_"&amp;(MOD(INT((A432-1)/25),10)+1)</f>
        <v>Город_1_2_8</v>
      </c>
      <c r="I432" s="10" t="str">
        <f aca="false">CHOOSE(MOD(A432-1,4)+1,"Электроника","Одежда","Продукты","Мебель")</f>
        <v>Продукты</v>
      </c>
      <c r="J432" s="10" t="str">
        <f aca="false">CHOOSE(MOD(INT((A432-1)/4),4)+1,CHOOSE(MOD(A432-1,4)+1,"Смартфоны","Ноутбуки","Аксессуары","Аудио"),CHOOSE(MOD(A432-1,4)+1,"Верхняя одежда","Спортивная","Повседневная","Обувь"),CHOOSE(MOD(A432-1,4)+1,"Молочные","Мясные","Бакалея","Напитки"),CHOOSE(MOD(A432-1,4)+1,"Мягкая мебель","Корпусная","Офисная","Кухонная"))</f>
        <v>Офисная</v>
      </c>
      <c r="K432" s="12" t="n">
        <f aca="false">1000+MOD(A432*317+A432*A432*7,49001)</f>
        <v>16925</v>
      </c>
      <c r="L432" s="12" t="n">
        <f aca="false">1+MOD(A432*131,100)</f>
        <v>62</v>
      </c>
      <c r="M432" s="12" t="n">
        <f aca="false">INT(K432*(0.6+MOD(A432*43,21)/100))</f>
        <v>12016</v>
      </c>
      <c r="N432" s="12" t="n">
        <f aca="false">K432-M432</f>
        <v>4909</v>
      </c>
    </row>
    <row r="433" customFormat="false" ht="12.8" hidden="false" customHeight="false" outlineLevel="0" collapsed="false">
      <c r="A433" s="10" t="n">
        <f aca="false">A432+1</f>
        <v>432</v>
      </c>
      <c r="B433" s="11" t="n">
        <f aca="false">B432+1</f>
        <v>45358</v>
      </c>
      <c r="C433" s="10" t="n">
        <f aca="false">YEAR(B433)</f>
        <v>2024</v>
      </c>
      <c r="D433" s="10" t="n">
        <f aca="false">INT((MONTH(B433)-1)/3)+1</f>
        <v>1</v>
      </c>
      <c r="E433" s="10" t="n">
        <f aca="false">MONTH(B433)</f>
        <v>3</v>
      </c>
      <c r="F433" s="10" t="str">
        <f aca="false">CHOOSE(MOD(A433-1,5)+1,"Центр","Юг","Север","Запад","Восток")</f>
        <v>Юг</v>
      </c>
      <c r="G433" s="10" t="str">
        <f aca="false">"Округ_"&amp;(MOD(A433-1,5)+1)&amp;"_"&amp;(MOD(INT((A433-1)/5),5)+1)</f>
        <v>Округ_2_2</v>
      </c>
      <c r="H433" s="10" t="str">
        <f aca="false">"Город_"&amp;(MOD(A433-1,5)+1)&amp;"_"&amp;(MOD(INT((A433-1)/5),5)+1)&amp;"_"&amp;(MOD(INT((A433-1)/25),10)+1)</f>
        <v>Город_2_2_8</v>
      </c>
      <c r="I433" s="10" t="str">
        <f aca="false">CHOOSE(MOD(A433-1,4)+1,"Электроника","Одежда","Продукты","Мебель")</f>
        <v>Мебель</v>
      </c>
      <c r="J433" s="10" t="str">
        <f aca="false">CHOOSE(MOD(INT((A433-1)/4),4)+1,CHOOSE(MOD(A433-1,4)+1,"Смартфоны","Ноутбуки","Аксессуары","Аудио"),CHOOSE(MOD(A433-1,4)+1,"Верхняя одежда","Спортивная","Повседневная","Обувь"),CHOOSE(MOD(A433-1,4)+1,"Молочные","Мясные","Бакалея","Напитки"),CHOOSE(MOD(A433-1,4)+1,"Мягкая мебель","Корпусная","Офисная","Кухонная"))</f>
        <v>Кухонная</v>
      </c>
      <c r="K433" s="12" t="n">
        <f aca="false">1000+MOD(A433*317+A433*A433*7,49001)</f>
        <v>23283</v>
      </c>
      <c r="L433" s="12" t="n">
        <f aca="false">1+MOD(A433*131,100)</f>
        <v>93</v>
      </c>
      <c r="M433" s="12" t="n">
        <f aca="false">INT(K433*(0.6+MOD(A433*43,21)/100))</f>
        <v>16763</v>
      </c>
      <c r="N433" s="12" t="n">
        <f aca="false">K433-M433</f>
        <v>6520</v>
      </c>
    </row>
    <row r="434" customFormat="false" ht="12.8" hidden="false" customHeight="false" outlineLevel="0" collapsed="false">
      <c r="A434" s="10" t="n">
        <f aca="false">A433+1</f>
        <v>433</v>
      </c>
      <c r="B434" s="11" t="n">
        <f aca="false">B433+1</f>
        <v>45359</v>
      </c>
      <c r="C434" s="10" t="n">
        <f aca="false">YEAR(B434)</f>
        <v>2024</v>
      </c>
      <c r="D434" s="10" t="n">
        <f aca="false">INT((MONTH(B434)-1)/3)+1</f>
        <v>1</v>
      </c>
      <c r="E434" s="10" t="n">
        <f aca="false">MONTH(B434)</f>
        <v>3</v>
      </c>
      <c r="F434" s="10" t="str">
        <f aca="false">CHOOSE(MOD(A434-1,5)+1,"Центр","Юг","Север","Запад","Восток")</f>
        <v>Север</v>
      </c>
      <c r="G434" s="10" t="str">
        <f aca="false">"Округ_"&amp;(MOD(A434-1,5)+1)&amp;"_"&amp;(MOD(INT((A434-1)/5),5)+1)</f>
        <v>Округ_3_2</v>
      </c>
      <c r="H434" s="10" t="str">
        <f aca="false">"Город_"&amp;(MOD(A434-1,5)+1)&amp;"_"&amp;(MOD(INT((A434-1)/5),5)+1)&amp;"_"&amp;(MOD(INT((A434-1)/25),10)+1)</f>
        <v>Город_3_2_8</v>
      </c>
      <c r="I434" s="10" t="str">
        <f aca="false">CHOOSE(MOD(A434-1,4)+1,"Электроника","Одежда","Продукты","Мебель")</f>
        <v>Электроника</v>
      </c>
      <c r="J434" s="10" t="str">
        <f aca="false">CHOOSE(MOD(INT((A434-1)/4),4)+1,CHOOSE(MOD(A434-1,4)+1,"Смартфоны","Ноутбуки","Аксессуары","Аудио"),CHOOSE(MOD(A434-1,4)+1,"Верхняя одежда","Спортивная","Повседневная","Обувь"),CHOOSE(MOD(A434-1,4)+1,"Молочные","Мясные","Бакалея","Напитки"),CHOOSE(MOD(A434-1,4)+1,"Мягкая мебель","Корпусная","Офисная","Кухонная"))</f>
        <v>Смартфоны</v>
      </c>
      <c r="K434" s="12" t="n">
        <f aca="false">1000+MOD(A434*317+A434*A434*7,49001)</f>
        <v>29655</v>
      </c>
      <c r="L434" s="12" t="n">
        <f aca="false">1+MOD(A434*131,100)</f>
        <v>24</v>
      </c>
      <c r="M434" s="12" t="n">
        <f aca="false">INT(K434*(0.6+MOD(A434*43,21)/100))</f>
        <v>21648</v>
      </c>
      <c r="N434" s="12" t="n">
        <f aca="false">K434-M434</f>
        <v>8007</v>
      </c>
    </row>
    <row r="435" customFormat="false" ht="12.8" hidden="false" customHeight="false" outlineLevel="0" collapsed="false">
      <c r="A435" s="10" t="n">
        <f aca="false">A434+1</f>
        <v>434</v>
      </c>
      <c r="B435" s="11" t="n">
        <f aca="false">B434+1</f>
        <v>45360</v>
      </c>
      <c r="C435" s="10" t="n">
        <f aca="false">YEAR(B435)</f>
        <v>2024</v>
      </c>
      <c r="D435" s="10" t="n">
        <f aca="false">INT((MONTH(B435)-1)/3)+1</f>
        <v>1</v>
      </c>
      <c r="E435" s="10" t="n">
        <f aca="false">MONTH(B435)</f>
        <v>3</v>
      </c>
      <c r="F435" s="10" t="str">
        <f aca="false">CHOOSE(MOD(A435-1,5)+1,"Центр","Юг","Север","Запад","Восток")</f>
        <v>Запад</v>
      </c>
      <c r="G435" s="10" t="str">
        <f aca="false">"Округ_"&amp;(MOD(A435-1,5)+1)&amp;"_"&amp;(MOD(INT((A435-1)/5),5)+1)</f>
        <v>Округ_4_2</v>
      </c>
      <c r="H435" s="10" t="str">
        <f aca="false">"Город_"&amp;(MOD(A435-1,5)+1)&amp;"_"&amp;(MOD(INT((A435-1)/5),5)+1)&amp;"_"&amp;(MOD(INT((A435-1)/25),10)+1)</f>
        <v>Город_4_2_8</v>
      </c>
      <c r="I435" s="10" t="str">
        <f aca="false">CHOOSE(MOD(A435-1,4)+1,"Электроника","Одежда","Продукты","Мебель")</f>
        <v>Одежда</v>
      </c>
      <c r="J435" s="10" t="str">
        <f aca="false">CHOOSE(MOD(INT((A435-1)/4),4)+1,CHOOSE(MOD(A435-1,4)+1,"Смартфоны","Ноутбуки","Аксессуары","Аудио"),CHOOSE(MOD(A435-1,4)+1,"Верхняя одежда","Спортивная","Повседневная","Обувь"),CHOOSE(MOD(A435-1,4)+1,"Молочные","Мясные","Бакалея","Напитки"),CHOOSE(MOD(A435-1,4)+1,"Мягкая мебель","Корпусная","Офисная","Кухонная"))</f>
        <v>Ноутбуки</v>
      </c>
      <c r="K435" s="12" t="n">
        <f aca="false">1000+MOD(A435*317+A435*A435*7,49001)</f>
        <v>36041</v>
      </c>
      <c r="L435" s="12" t="n">
        <f aca="false">1+MOD(A435*131,100)</f>
        <v>55</v>
      </c>
      <c r="M435" s="12" t="n">
        <f aca="false">INT(K435*(0.6+MOD(A435*43,21)/100))</f>
        <v>26670</v>
      </c>
      <c r="N435" s="12" t="n">
        <f aca="false">K435-M435</f>
        <v>9371</v>
      </c>
    </row>
    <row r="436" customFormat="false" ht="12.8" hidden="false" customHeight="false" outlineLevel="0" collapsed="false">
      <c r="A436" s="10" t="n">
        <f aca="false">A435+1</f>
        <v>435</v>
      </c>
      <c r="B436" s="11" t="n">
        <f aca="false">B435+1</f>
        <v>45361</v>
      </c>
      <c r="C436" s="10" t="n">
        <f aca="false">YEAR(B436)</f>
        <v>2024</v>
      </c>
      <c r="D436" s="10" t="n">
        <f aca="false">INT((MONTH(B436)-1)/3)+1</f>
        <v>1</v>
      </c>
      <c r="E436" s="10" t="n">
        <f aca="false">MONTH(B436)</f>
        <v>3</v>
      </c>
      <c r="F436" s="10" t="str">
        <f aca="false">CHOOSE(MOD(A436-1,5)+1,"Центр","Юг","Север","Запад","Восток")</f>
        <v>Восток</v>
      </c>
      <c r="G436" s="10" t="str">
        <f aca="false">"Округ_"&amp;(MOD(A436-1,5)+1)&amp;"_"&amp;(MOD(INT((A436-1)/5),5)+1)</f>
        <v>Округ_5_2</v>
      </c>
      <c r="H436" s="10" t="str">
        <f aca="false">"Город_"&amp;(MOD(A436-1,5)+1)&amp;"_"&amp;(MOD(INT((A436-1)/5),5)+1)&amp;"_"&amp;(MOD(INT((A436-1)/25),10)+1)</f>
        <v>Город_5_2_8</v>
      </c>
      <c r="I436" s="10" t="str">
        <f aca="false">CHOOSE(MOD(A436-1,4)+1,"Электроника","Одежда","Продукты","Мебель")</f>
        <v>Продукты</v>
      </c>
      <c r="J436" s="10" t="str">
        <f aca="false">CHOOSE(MOD(INT((A436-1)/4),4)+1,CHOOSE(MOD(A436-1,4)+1,"Смартфоны","Ноутбуки","Аксессуары","Аудио"),CHOOSE(MOD(A436-1,4)+1,"Верхняя одежда","Спортивная","Повседневная","Обувь"),CHOOSE(MOD(A436-1,4)+1,"Молочные","Мясные","Бакалея","Напитки"),CHOOSE(MOD(A436-1,4)+1,"Мягкая мебель","Корпусная","Офисная","Кухонная"))</f>
        <v>Аксессуары</v>
      </c>
      <c r="K436" s="12" t="n">
        <f aca="false">1000+MOD(A436*317+A436*A436*7,49001)</f>
        <v>42441</v>
      </c>
      <c r="L436" s="12" t="n">
        <f aca="false">1+MOD(A436*131,100)</f>
        <v>86</v>
      </c>
      <c r="M436" s="12" t="n">
        <f aca="false">INT(K436*(0.6+MOD(A436*43,21)/100))</f>
        <v>31830</v>
      </c>
      <c r="N436" s="12" t="n">
        <f aca="false">K436-M436</f>
        <v>10611</v>
      </c>
    </row>
    <row r="437" customFormat="false" ht="12.8" hidden="false" customHeight="false" outlineLevel="0" collapsed="false">
      <c r="A437" s="10" t="n">
        <f aca="false">A436+1</f>
        <v>436</v>
      </c>
      <c r="B437" s="11" t="n">
        <f aca="false">B436+1</f>
        <v>45362</v>
      </c>
      <c r="C437" s="10" t="n">
        <f aca="false">YEAR(B437)</f>
        <v>2024</v>
      </c>
      <c r="D437" s="10" t="n">
        <f aca="false">INT((MONTH(B437)-1)/3)+1</f>
        <v>1</v>
      </c>
      <c r="E437" s="10" t="n">
        <f aca="false">MONTH(B437)</f>
        <v>3</v>
      </c>
      <c r="F437" s="10" t="str">
        <f aca="false">CHOOSE(MOD(A437-1,5)+1,"Центр","Юг","Север","Запад","Восток")</f>
        <v>Центр</v>
      </c>
      <c r="G437" s="10" t="str">
        <f aca="false">"Округ_"&amp;(MOD(A437-1,5)+1)&amp;"_"&amp;(MOD(INT((A437-1)/5),5)+1)</f>
        <v>Округ_1_3</v>
      </c>
      <c r="H437" s="10" t="str">
        <f aca="false">"Город_"&amp;(MOD(A437-1,5)+1)&amp;"_"&amp;(MOD(INT((A437-1)/5),5)+1)&amp;"_"&amp;(MOD(INT((A437-1)/25),10)+1)</f>
        <v>Город_1_3_8</v>
      </c>
      <c r="I437" s="10" t="str">
        <f aca="false">CHOOSE(MOD(A437-1,4)+1,"Электроника","Одежда","Продукты","Мебель")</f>
        <v>Мебель</v>
      </c>
      <c r="J437" s="10" t="str">
        <f aca="false">CHOOSE(MOD(INT((A437-1)/4),4)+1,CHOOSE(MOD(A437-1,4)+1,"Смартфоны","Ноутбуки","Аксессуары","Аудио"),CHOOSE(MOD(A437-1,4)+1,"Верхняя одежда","Спортивная","Повседневная","Обувь"),CHOOSE(MOD(A437-1,4)+1,"Молочные","Мясные","Бакалея","Напитки"),CHOOSE(MOD(A437-1,4)+1,"Мягкая мебель","Корпусная","Офисная","Кухонная"))</f>
        <v>Аудио</v>
      </c>
      <c r="K437" s="12" t="n">
        <f aca="false">1000+MOD(A437*317+A437*A437*7,49001)</f>
        <v>48855</v>
      </c>
      <c r="L437" s="12" t="n">
        <f aca="false">1+MOD(A437*131,100)</f>
        <v>17</v>
      </c>
      <c r="M437" s="12" t="n">
        <f aca="false">INT(K437*(0.6+MOD(A437*43,21)/100))</f>
        <v>37129</v>
      </c>
      <c r="N437" s="12" t="n">
        <f aca="false">K437-M437</f>
        <v>11726</v>
      </c>
    </row>
    <row r="438" customFormat="false" ht="12.8" hidden="false" customHeight="false" outlineLevel="0" collapsed="false">
      <c r="A438" s="10" t="n">
        <f aca="false">A437+1</f>
        <v>437</v>
      </c>
      <c r="B438" s="11" t="n">
        <f aca="false">B437+1</f>
        <v>45363</v>
      </c>
      <c r="C438" s="10" t="n">
        <f aca="false">YEAR(B438)</f>
        <v>2024</v>
      </c>
      <c r="D438" s="10" t="n">
        <f aca="false">INT((MONTH(B438)-1)/3)+1</f>
        <v>1</v>
      </c>
      <c r="E438" s="10" t="n">
        <f aca="false">MONTH(B438)</f>
        <v>3</v>
      </c>
      <c r="F438" s="10" t="str">
        <f aca="false">CHOOSE(MOD(A438-1,5)+1,"Центр","Юг","Север","Запад","Восток")</f>
        <v>Юг</v>
      </c>
      <c r="G438" s="10" t="str">
        <f aca="false">"Округ_"&amp;(MOD(A438-1,5)+1)&amp;"_"&amp;(MOD(INT((A438-1)/5),5)+1)</f>
        <v>Округ_2_3</v>
      </c>
      <c r="H438" s="10" t="str">
        <f aca="false">"Город_"&amp;(MOD(A438-1,5)+1)&amp;"_"&amp;(MOD(INT((A438-1)/5),5)+1)&amp;"_"&amp;(MOD(INT((A438-1)/25),10)+1)</f>
        <v>Город_2_3_8</v>
      </c>
      <c r="I438" s="10" t="str">
        <f aca="false">CHOOSE(MOD(A438-1,4)+1,"Электроника","Одежда","Продукты","Мебель")</f>
        <v>Электроника</v>
      </c>
      <c r="J438" s="10" t="str">
        <f aca="false">CHOOSE(MOD(INT((A438-1)/4),4)+1,CHOOSE(MOD(A438-1,4)+1,"Смартфоны","Ноутбуки","Аксессуары","Аудио"),CHOOSE(MOD(A438-1,4)+1,"Верхняя одежда","Спортивная","Повседневная","Обувь"),CHOOSE(MOD(A438-1,4)+1,"Молочные","Мясные","Бакалея","Напитки"),CHOOSE(MOD(A438-1,4)+1,"Мягкая мебель","Корпусная","Офисная","Кухонная"))</f>
        <v>Верхняя одежда</v>
      </c>
      <c r="K438" s="12" t="n">
        <f aca="false">1000+MOD(A438*317+A438*A438*7,49001)</f>
        <v>6282</v>
      </c>
      <c r="L438" s="12" t="n">
        <f aca="false">1+MOD(A438*131,100)</f>
        <v>48</v>
      </c>
      <c r="M438" s="12" t="n">
        <f aca="false">INT(K438*(0.6+MOD(A438*43,21)/100))</f>
        <v>4837</v>
      </c>
      <c r="N438" s="12" t="n">
        <f aca="false">K438-M438</f>
        <v>1445</v>
      </c>
    </row>
    <row r="439" customFormat="false" ht="12.8" hidden="false" customHeight="false" outlineLevel="0" collapsed="false">
      <c r="A439" s="10" t="n">
        <f aca="false">A438+1</f>
        <v>438</v>
      </c>
      <c r="B439" s="11" t="n">
        <f aca="false">B438+1</f>
        <v>45364</v>
      </c>
      <c r="C439" s="10" t="n">
        <f aca="false">YEAR(B439)</f>
        <v>2024</v>
      </c>
      <c r="D439" s="10" t="n">
        <f aca="false">INT((MONTH(B439)-1)/3)+1</f>
        <v>1</v>
      </c>
      <c r="E439" s="10" t="n">
        <f aca="false">MONTH(B439)</f>
        <v>3</v>
      </c>
      <c r="F439" s="10" t="str">
        <f aca="false">CHOOSE(MOD(A439-1,5)+1,"Центр","Юг","Север","Запад","Восток")</f>
        <v>Север</v>
      </c>
      <c r="G439" s="10" t="str">
        <f aca="false">"Округ_"&amp;(MOD(A439-1,5)+1)&amp;"_"&amp;(MOD(INT((A439-1)/5),5)+1)</f>
        <v>Округ_3_3</v>
      </c>
      <c r="H439" s="10" t="str">
        <f aca="false">"Город_"&amp;(MOD(A439-1,5)+1)&amp;"_"&amp;(MOD(INT((A439-1)/5),5)+1)&amp;"_"&amp;(MOD(INT((A439-1)/25),10)+1)</f>
        <v>Город_3_3_8</v>
      </c>
      <c r="I439" s="10" t="str">
        <f aca="false">CHOOSE(MOD(A439-1,4)+1,"Электроника","Одежда","Продукты","Мебель")</f>
        <v>Одежда</v>
      </c>
      <c r="J439" s="10" t="str">
        <f aca="false">CHOOSE(MOD(INT((A439-1)/4),4)+1,CHOOSE(MOD(A439-1,4)+1,"Смартфоны","Ноутбуки","Аксессуары","Аудио"),CHOOSE(MOD(A439-1,4)+1,"Верхняя одежда","Спортивная","Повседневная","Обувь"),CHOOSE(MOD(A439-1,4)+1,"Молочные","Мясные","Бакалея","Напитки"),CHOOSE(MOD(A439-1,4)+1,"Мягкая мебель","Корпусная","Офисная","Кухонная"))</f>
        <v>Спортивная</v>
      </c>
      <c r="K439" s="12" t="n">
        <f aca="false">1000+MOD(A439*317+A439*A439*7,49001)</f>
        <v>12724</v>
      </c>
      <c r="L439" s="12" t="n">
        <f aca="false">1+MOD(A439*131,100)</f>
        <v>79</v>
      </c>
      <c r="M439" s="12" t="n">
        <f aca="false">INT(K439*(0.6+MOD(A439*43,21)/100))</f>
        <v>9924</v>
      </c>
      <c r="N439" s="12" t="n">
        <f aca="false">K439-M439</f>
        <v>2800</v>
      </c>
    </row>
    <row r="440" customFormat="false" ht="12.8" hidden="false" customHeight="false" outlineLevel="0" collapsed="false">
      <c r="A440" s="10" t="n">
        <f aca="false">A439+1</f>
        <v>439</v>
      </c>
      <c r="B440" s="11" t="n">
        <f aca="false">B439+1</f>
        <v>45365</v>
      </c>
      <c r="C440" s="10" t="n">
        <f aca="false">YEAR(B440)</f>
        <v>2024</v>
      </c>
      <c r="D440" s="10" t="n">
        <f aca="false">INT((MONTH(B440)-1)/3)+1</f>
        <v>1</v>
      </c>
      <c r="E440" s="10" t="n">
        <f aca="false">MONTH(B440)</f>
        <v>3</v>
      </c>
      <c r="F440" s="10" t="str">
        <f aca="false">CHOOSE(MOD(A440-1,5)+1,"Центр","Юг","Север","Запад","Восток")</f>
        <v>Запад</v>
      </c>
      <c r="G440" s="10" t="str">
        <f aca="false">"Округ_"&amp;(MOD(A440-1,5)+1)&amp;"_"&amp;(MOD(INT((A440-1)/5),5)+1)</f>
        <v>Округ_4_3</v>
      </c>
      <c r="H440" s="10" t="str">
        <f aca="false">"Город_"&amp;(MOD(A440-1,5)+1)&amp;"_"&amp;(MOD(INT((A440-1)/5),5)+1)&amp;"_"&amp;(MOD(INT((A440-1)/25),10)+1)</f>
        <v>Город_4_3_8</v>
      </c>
      <c r="I440" s="10" t="str">
        <f aca="false">CHOOSE(MOD(A440-1,4)+1,"Электроника","Одежда","Продукты","Мебель")</f>
        <v>Продукты</v>
      </c>
      <c r="J440" s="10" t="str">
        <f aca="false">CHOOSE(MOD(INT((A440-1)/4),4)+1,CHOOSE(MOD(A440-1,4)+1,"Смартфоны","Ноутбуки","Аксессуары","Аудио"),CHOOSE(MOD(A440-1,4)+1,"Верхняя одежда","Спортивная","Повседневная","Обувь"),CHOOSE(MOD(A440-1,4)+1,"Молочные","Мясные","Бакалея","Напитки"),CHOOSE(MOD(A440-1,4)+1,"Мягкая мебель","Корпусная","Офисная","Кухонная"))</f>
        <v>Повседневная</v>
      </c>
      <c r="K440" s="12" t="n">
        <f aca="false">1000+MOD(A440*317+A440*A440*7,49001)</f>
        <v>19180</v>
      </c>
      <c r="L440" s="12" t="n">
        <f aca="false">1+MOD(A440*131,100)</f>
        <v>10</v>
      </c>
      <c r="M440" s="12" t="n">
        <f aca="false">INT(K440*(0.6+MOD(A440*43,21)/100))</f>
        <v>15152</v>
      </c>
      <c r="N440" s="12" t="n">
        <f aca="false">K440-M440</f>
        <v>4028</v>
      </c>
    </row>
    <row r="441" customFormat="false" ht="12.8" hidden="false" customHeight="false" outlineLevel="0" collapsed="false">
      <c r="A441" s="10" t="n">
        <f aca="false">A440+1</f>
        <v>440</v>
      </c>
      <c r="B441" s="11" t="n">
        <f aca="false">B440+1</f>
        <v>45366</v>
      </c>
      <c r="C441" s="10" t="n">
        <f aca="false">YEAR(B441)</f>
        <v>2024</v>
      </c>
      <c r="D441" s="10" t="n">
        <f aca="false">INT((MONTH(B441)-1)/3)+1</f>
        <v>1</v>
      </c>
      <c r="E441" s="10" t="n">
        <f aca="false">MONTH(B441)</f>
        <v>3</v>
      </c>
      <c r="F441" s="10" t="str">
        <f aca="false">CHOOSE(MOD(A441-1,5)+1,"Центр","Юг","Север","Запад","Восток")</f>
        <v>Восток</v>
      </c>
      <c r="G441" s="10" t="str">
        <f aca="false">"Округ_"&amp;(MOD(A441-1,5)+1)&amp;"_"&amp;(MOD(INT((A441-1)/5),5)+1)</f>
        <v>Округ_5_3</v>
      </c>
      <c r="H441" s="10" t="str">
        <f aca="false">"Город_"&amp;(MOD(A441-1,5)+1)&amp;"_"&amp;(MOD(INT((A441-1)/5),5)+1)&amp;"_"&amp;(MOD(INT((A441-1)/25),10)+1)</f>
        <v>Город_5_3_8</v>
      </c>
      <c r="I441" s="10" t="str">
        <f aca="false">CHOOSE(MOD(A441-1,4)+1,"Электроника","Одежда","Продукты","Мебель")</f>
        <v>Мебель</v>
      </c>
      <c r="J441" s="10" t="str">
        <f aca="false">CHOOSE(MOD(INT((A441-1)/4),4)+1,CHOOSE(MOD(A441-1,4)+1,"Смартфоны","Ноутбуки","Аксессуары","Аудио"),CHOOSE(MOD(A441-1,4)+1,"Верхняя одежда","Спортивная","Повседневная","Обувь"),CHOOSE(MOD(A441-1,4)+1,"Молочные","Мясные","Бакалея","Напитки"),CHOOSE(MOD(A441-1,4)+1,"Мягкая мебель","Корпусная","Офисная","Кухонная"))</f>
        <v>Обувь</v>
      </c>
      <c r="K441" s="12" t="n">
        <f aca="false">1000+MOD(A441*317+A441*A441*7,49001)</f>
        <v>25650</v>
      </c>
      <c r="L441" s="12" t="n">
        <f aca="false">1+MOD(A441*131,100)</f>
        <v>41</v>
      </c>
      <c r="M441" s="12" t="n">
        <f aca="false">INT(K441*(0.6+MOD(A441*43,21)/100))</f>
        <v>20520</v>
      </c>
      <c r="N441" s="12" t="n">
        <f aca="false">K441-M441</f>
        <v>5130</v>
      </c>
    </row>
    <row r="442" customFormat="false" ht="12.8" hidden="false" customHeight="false" outlineLevel="0" collapsed="false">
      <c r="A442" s="10" t="n">
        <f aca="false">A441+1</f>
        <v>441</v>
      </c>
      <c r="B442" s="11" t="n">
        <f aca="false">B441+1</f>
        <v>45367</v>
      </c>
      <c r="C442" s="10" t="n">
        <f aca="false">YEAR(B442)</f>
        <v>2024</v>
      </c>
      <c r="D442" s="10" t="n">
        <f aca="false">INT((MONTH(B442)-1)/3)+1</f>
        <v>1</v>
      </c>
      <c r="E442" s="10" t="n">
        <f aca="false">MONTH(B442)</f>
        <v>3</v>
      </c>
      <c r="F442" s="10" t="str">
        <f aca="false">CHOOSE(MOD(A442-1,5)+1,"Центр","Юг","Север","Запад","Восток")</f>
        <v>Центр</v>
      </c>
      <c r="G442" s="10" t="str">
        <f aca="false">"Округ_"&amp;(MOD(A442-1,5)+1)&amp;"_"&amp;(MOD(INT((A442-1)/5),5)+1)</f>
        <v>Округ_1_4</v>
      </c>
      <c r="H442" s="10" t="str">
        <f aca="false">"Город_"&amp;(MOD(A442-1,5)+1)&amp;"_"&amp;(MOD(INT((A442-1)/5),5)+1)&amp;"_"&amp;(MOD(INT((A442-1)/25),10)+1)</f>
        <v>Город_1_4_8</v>
      </c>
      <c r="I442" s="10" t="str">
        <f aca="false">CHOOSE(MOD(A442-1,4)+1,"Электроника","Одежда","Продукты","Мебель")</f>
        <v>Электроника</v>
      </c>
      <c r="J442" s="10" t="str">
        <f aca="false">CHOOSE(MOD(INT((A442-1)/4),4)+1,CHOOSE(MOD(A442-1,4)+1,"Смартфоны","Ноутбуки","Аксессуары","Аудио"),CHOOSE(MOD(A442-1,4)+1,"Верхняя одежда","Спортивная","Повседневная","Обувь"),CHOOSE(MOD(A442-1,4)+1,"Молочные","Мясные","Бакалея","Напитки"),CHOOSE(MOD(A442-1,4)+1,"Мягкая мебель","Корпусная","Офисная","Кухонная"))</f>
        <v>Молочные</v>
      </c>
      <c r="K442" s="12" t="n">
        <f aca="false">1000+MOD(A442*317+A442*A442*7,49001)</f>
        <v>32134</v>
      </c>
      <c r="L442" s="12" t="n">
        <f aca="false">1+MOD(A442*131,100)</f>
        <v>72</v>
      </c>
      <c r="M442" s="12" t="n">
        <f aca="false">INT(K442*(0.6+MOD(A442*43,21)/100))</f>
        <v>19280</v>
      </c>
      <c r="N442" s="12" t="n">
        <f aca="false">K442-M442</f>
        <v>12854</v>
      </c>
    </row>
    <row r="443" customFormat="false" ht="12.8" hidden="false" customHeight="false" outlineLevel="0" collapsed="false">
      <c r="A443" s="10" t="n">
        <f aca="false">A442+1</f>
        <v>442</v>
      </c>
      <c r="B443" s="11" t="n">
        <f aca="false">B442+1</f>
        <v>45368</v>
      </c>
      <c r="C443" s="10" t="n">
        <f aca="false">YEAR(B443)</f>
        <v>2024</v>
      </c>
      <c r="D443" s="10" t="n">
        <f aca="false">INT((MONTH(B443)-1)/3)+1</f>
        <v>1</v>
      </c>
      <c r="E443" s="10" t="n">
        <f aca="false">MONTH(B443)</f>
        <v>3</v>
      </c>
      <c r="F443" s="10" t="str">
        <f aca="false">CHOOSE(MOD(A443-1,5)+1,"Центр","Юг","Север","Запад","Восток")</f>
        <v>Юг</v>
      </c>
      <c r="G443" s="10" t="str">
        <f aca="false">"Округ_"&amp;(MOD(A443-1,5)+1)&amp;"_"&amp;(MOD(INT((A443-1)/5),5)+1)</f>
        <v>Округ_2_4</v>
      </c>
      <c r="H443" s="10" t="str">
        <f aca="false">"Город_"&amp;(MOD(A443-1,5)+1)&amp;"_"&amp;(MOD(INT((A443-1)/5),5)+1)&amp;"_"&amp;(MOD(INT((A443-1)/25),10)+1)</f>
        <v>Город_2_4_8</v>
      </c>
      <c r="I443" s="10" t="str">
        <f aca="false">CHOOSE(MOD(A443-1,4)+1,"Электроника","Одежда","Продукты","Мебель")</f>
        <v>Одежда</v>
      </c>
      <c r="J443" s="10" t="str">
        <f aca="false">CHOOSE(MOD(INT((A443-1)/4),4)+1,CHOOSE(MOD(A443-1,4)+1,"Смартфоны","Ноутбуки","Аксессуары","Аудио"),CHOOSE(MOD(A443-1,4)+1,"Верхняя одежда","Спортивная","Повседневная","Обувь"),CHOOSE(MOD(A443-1,4)+1,"Молочные","Мясные","Бакалея","Напитки"),CHOOSE(MOD(A443-1,4)+1,"Мягкая мебель","Корпусная","Офисная","Кухонная"))</f>
        <v>Мясные</v>
      </c>
      <c r="K443" s="12" t="n">
        <f aca="false">1000+MOD(A443*317+A443*A443*7,49001)</f>
        <v>38632</v>
      </c>
      <c r="L443" s="12" t="n">
        <f aca="false">1+MOD(A443*131,100)</f>
        <v>3</v>
      </c>
      <c r="M443" s="12" t="n">
        <f aca="false">INT(K443*(0.6+MOD(A443*43,21)/100))</f>
        <v>23565</v>
      </c>
      <c r="N443" s="12" t="n">
        <f aca="false">K443-M443</f>
        <v>15067</v>
      </c>
    </row>
    <row r="444" customFormat="false" ht="12.8" hidden="false" customHeight="false" outlineLevel="0" collapsed="false">
      <c r="A444" s="10" t="n">
        <f aca="false">A443+1</f>
        <v>443</v>
      </c>
      <c r="B444" s="11" t="n">
        <f aca="false">B443+1</f>
        <v>45369</v>
      </c>
      <c r="C444" s="10" t="n">
        <f aca="false">YEAR(B444)</f>
        <v>2024</v>
      </c>
      <c r="D444" s="10" t="n">
        <f aca="false">INT((MONTH(B444)-1)/3)+1</f>
        <v>1</v>
      </c>
      <c r="E444" s="10" t="n">
        <f aca="false">MONTH(B444)</f>
        <v>3</v>
      </c>
      <c r="F444" s="10" t="str">
        <f aca="false">CHOOSE(MOD(A444-1,5)+1,"Центр","Юг","Север","Запад","Восток")</f>
        <v>Север</v>
      </c>
      <c r="G444" s="10" t="str">
        <f aca="false">"Округ_"&amp;(MOD(A444-1,5)+1)&amp;"_"&amp;(MOD(INT((A444-1)/5),5)+1)</f>
        <v>Округ_3_4</v>
      </c>
      <c r="H444" s="10" t="str">
        <f aca="false">"Город_"&amp;(MOD(A444-1,5)+1)&amp;"_"&amp;(MOD(INT((A444-1)/5),5)+1)&amp;"_"&amp;(MOD(INT((A444-1)/25),10)+1)</f>
        <v>Город_3_4_8</v>
      </c>
      <c r="I444" s="10" t="str">
        <f aca="false">CHOOSE(MOD(A444-1,4)+1,"Электроника","Одежда","Продукты","Мебель")</f>
        <v>Продукты</v>
      </c>
      <c r="J444" s="10" t="str">
        <f aca="false">CHOOSE(MOD(INT((A444-1)/4),4)+1,CHOOSE(MOD(A444-1,4)+1,"Смартфоны","Ноутбуки","Аксессуары","Аудио"),CHOOSE(MOD(A444-1,4)+1,"Верхняя одежда","Спортивная","Повседневная","Обувь"),CHOOSE(MOD(A444-1,4)+1,"Молочные","Мясные","Бакалея","Напитки"),CHOOSE(MOD(A444-1,4)+1,"Мягкая мебель","Корпусная","Офисная","Кухонная"))</f>
        <v>Бакалея</v>
      </c>
      <c r="K444" s="12" t="n">
        <f aca="false">1000+MOD(A444*317+A444*A444*7,49001)</f>
        <v>45144</v>
      </c>
      <c r="L444" s="12" t="n">
        <f aca="false">1+MOD(A444*131,100)</f>
        <v>34</v>
      </c>
      <c r="M444" s="12" t="n">
        <f aca="false">INT(K444*(0.6+MOD(A444*43,21)/100))</f>
        <v>27989</v>
      </c>
      <c r="N444" s="12" t="n">
        <f aca="false">K444-M444</f>
        <v>17155</v>
      </c>
    </row>
    <row r="445" customFormat="false" ht="12.8" hidden="false" customHeight="false" outlineLevel="0" collapsed="false">
      <c r="A445" s="10" t="n">
        <f aca="false">A444+1</f>
        <v>444</v>
      </c>
      <c r="B445" s="11" t="n">
        <f aca="false">B444+1</f>
        <v>45370</v>
      </c>
      <c r="C445" s="10" t="n">
        <f aca="false">YEAR(B445)</f>
        <v>2024</v>
      </c>
      <c r="D445" s="10" t="n">
        <f aca="false">INT((MONTH(B445)-1)/3)+1</f>
        <v>1</v>
      </c>
      <c r="E445" s="10" t="n">
        <f aca="false">MONTH(B445)</f>
        <v>3</v>
      </c>
      <c r="F445" s="10" t="str">
        <f aca="false">CHOOSE(MOD(A445-1,5)+1,"Центр","Юг","Север","Запад","Восток")</f>
        <v>Запад</v>
      </c>
      <c r="G445" s="10" t="str">
        <f aca="false">"Округ_"&amp;(MOD(A445-1,5)+1)&amp;"_"&amp;(MOD(INT((A445-1)/5),5)+1)</f>
        <v>Округ_4_4</v>
      </c>
      <c r="H445" s="10" t="str">
        <f aca="false">"Город_"&amp;(MOD(A445-1,5)+1)&amp;"_"&amp;(MOD(INT((A445-1)/5),5)+1)&amp;"_"&amp;(MOD(INT((A445-1)/25),10)+1)</f>
        <v>Город_4_4_8</v>
      </c>
      <c r="I445" s="10" t="str">
        <f aca="false">CHOOSE(MOD(A445-1,4)+1,"Электроника","Одежда","Продукты","Мебель")</f>
        <v>Мебель</v>
      </c>
      <c r="J445" s="10" t="str">
        <f aca="false">CHOOSE(MOD(INT((A445-1)/4),4)+1,CHOOSE(MOD(A445-1,4)+1,"Смартфоны","Ноутбуки","Аксессуары","Аудио"),CHOOSE(MOD(A445-1,4)+1,"Верхняя одежда","Спортивная","Повседневная","Обувь"),CHOOSE(MOD(A445-1,4)+1,"Молочные","Мясные","Бакалея","Напитки"),CHOOSE(MOD(A445-1,4)+1,"Мягкая мебель","Корпусная","Офисная","Кухонная"))</f>
        <v>Напитки</v>
      </c>
      <c r="K445" s="12" t="n">
        <f aca="false">1000+MOD(A445*317+A445*A445*7,49001)</f>
        <v>2669</v>
      </c>
      <c r="L445" s="12" t="n">
        <f aca="false">1+MOD(A445*131,100)</f>
        <v>65</v>
      </c>
      <c r="M445" s="12" t="n">
        <f aca="false">INT(K445*(0.6+MOD(A445*43,21)/100))</f>
        <v>1681</v>
      </c>
      <c r="N445" s="12" t="n">
        <f aca="false">K445-M445</f>
        <v>988</v>
      </c>
    </row>
    <row r="446" customFormat="false" ht="12.8" hidden="false" customHeight="false" outlineLevel="0" collapsed="false">
      <c r="A446" s="10" t="n">
        <f aca="false">A445+1</f>
        <v>445</v>
      </c>
      <c r="B446" s="11" t="n">
        <f aca="false">B445+1</f>
        <v>45371</v>
      </c>
      <c r="C446" s="10" t="n">
        <f aca="false">YEAR(B446)</f>
        <v>2024</v>
      </c>
      <c r="D446" s="10" t="n">
        <f aca="false">INT((MONTH(B446)-1)/3)+1</f>
        <v>1</v>
      </c>
      <c r="E446" s="10" t="n">
        <f aca="false">MONTH(B446)</f>
        <v>3</v>
      </c>
      <c r="F446" s="10" t="str">
        <f aca="false">CHOOSE(MOD(A446-1,5)+1,"Центр","Юг","Север","Запад","Восток")</f>
        <v>Восток</v>
      </c>
      <c r="G446" s="10" t="str">
        <f aca="false">"Округ_"&amp;(MOD(A446-1,5)+1)&amp;"_"&amp;(MOD(INT((A446-1)/5),5)+1)</f>
        <v>Округ_5_4</v>
      </c>
      <c r="H446" s="10" t="str">
        <f aca="false">"Город_"&amp;(MOD(A446-1,5)+1)&amp;"_"&amp;(MOD(INT((A446-1)/5),5)+1)&amp;"_"&amp;(MOD(INT((A446-1)/25),10)+1)</f>
        <v>Город_5_4_8</v>
      </c>
      <c r="I446" s="10" t="str">
        <f aca="false">CHOOSE(MOD(A446-1,4)+1,"Электроника","Одежда","Продукты","Мебель")</f>
        <v>Электроника</v>
      </c>
      <c r="J446" s="10" t="str">
        <f aca="false">CHOOSE(MOD(INT((A446-1)/4),4)+1,CHOOSE(MOD(A446-1,4)+1,"Смартфоны","Ноутбуки","Аксессуары","Аудио"),CHOOSE(MOD(A446-1,4)+1,"Верхняя одежда","Спортивная","Повседневная","Обувь"),CHOOSE(MOD(A446-1,4)+1,"Молочные","Мясные","Бакалея","Напитки"),CHOOSE(MOD(A446-1,4)+1,"Мягкая мебель","Корпусная","Офисная","Кухонная"))</f>
        <v>Мягкая мебель</v>
      </c>
      <c r="K446" s="12" t="n">
        <f aca="false">1000+MOD(A446*317+A446*A446*7,49001)</f>
        <v>9209</v>
      </c>
      <c r="L446" s="12" t="n">
        <f aca="false">1+MOD(A446*131,100)</f>
        <v>96</v>
      </c>
      <c r="M446" s="12" t="n">
        <f aca="false">INT(K446*(0.6+MOD(A446*43,21)/100))</f>
        <v>5893</v>
      </c>
      <c r="N446" s="12" t="n">
        <f aca="false">K446-M446</f>
        <v>3316</v>
      </c>
    </row>
    <row r="447" customFormat="false" ht="12.8" hidden="false" customHeight="false" outlineLevel="0" collapsed="false">
      <c r="A447" s="10" t="n">
        <f aca="false">A446+1</f>
        <v>446</v>
      </c>
      <c r="B447" s="11" t="n">
        <f aca="false">B446+1</f>
        <v>45372</v>
      </c>
      <c r="C447" s="10" t="n">
        <f aca="false">YEAR(B447)</f>
        <v>2024</v>
      </c>
      <c r="D447" s="10" t="n">
        <f aca="false">INT((MONTH(B447)-1)/3)+1</f>
        <v>1</v>
      </c>
      <c r="E447" s="10" t="n">
        <f aca="false">MONTH(B447)</f>
        <v>3</v>
      </c>
      <c r="F447" s="10" t="str">
        <f aca="false">CHOOSE(MOD(A447-1,5)+1,"Центр","Юг","Север","Запад","Восток")</f>
        <v>Центр</v>
      </c>
      <c r="G447" s="10" t="str">
        <f aca="false">"Округ_"&amp;(MOD(A447-1,5)+1)&amp;"_"&amp;(MOD(INT((A447-1)/5),5)+1)</f>
        <v>Округ_1_5</v>
      </c>
      <c r="H447" s="10" t="str">
        <f aca="false">"Город_"&amp;(MOD(A447-1,5)+1)&amp;"_"&amp;(MOD(INT((A447-1)/5),5)+1)&amp;"_"&amp;(MOD(INT((A447-1)/25),10)+1)</f>
        <v>Город_1_5_8</v>
      </c>
      <c r="I447" s="10" t="str">
        <f aca="false">CHOOSE(MOD(A447-1,4)+1,"Электроника","Одежда","Продукты","Мебель")</f>
        <v>Одежда</v>
      </c>
      <c r="J447" s="10" t="str">
        <f aca="false">CHOOSE(MOD(INT((A447-1)/4),4)+1,CHOOSE(MOD(A447-1,4)+1,"Смартфоны","Ноутбуки","Аксессуары","Аудио"),CHOOSE(MOD(A447-1,4)+1,"Верхняя одежда","Спортивная","Повседневная","Обувь"),CHOOSE(MOD(A447-1,4)+1,"Молочные","Мясные","Бакалея","Напитки"),CHOOSE(MOD(A447-1,4)+1,"Мягкая мебель","Корпусная","Офисная","Кухонная"))</f>
        <v>Корпусная</v>
      </c>
      <c r="K447" s="12" t="n">
        <f aca="false">1000+MOD(A447*317+A447*A447*7,49001)</f>
        <v>15763</v>
      </c>
      <c r="L447" s="12" t="n">
        <f aca="false">1+MOD(A447*131,100)</f>
        <v>27</v>
      </c>
      <c r="M447" s="12" t="n">
        <f aca="false">INT(K447*(0.6+MOD(A447*43,21)/100))</f>
        <v>10245</v>
      </c>
      <c r="N447" s="12" t="n">
        <f aca="false">K447-M447</f>
        <v>5518</v>
      </c>
    </row>
    <row r="448" customFormat="false" ht="12.8" hidden="false" customHeight="false" outlineLevel="0" collapsed="false">
      <c r="A448" s="10" t="n">
        <f aca="false">A447+1</f>
        <v>447</v>
      </c>
      <c r="B448" s="11" t="n">
        <f aca="false">B447+1</f>
        <v>45373</v>
      </c>
      <c r="C448" s="10" t="n">
        <f aca="false">YEAR(B448)</f>
        <v>2024</v>
      </c>
      <c r="D448" s="10" t="n">
        <f aca="false">INT((MONTH(B448)-1)/3)+1</f>
        <v>1</v>
      </c>
      <c r="E448" s="10" t="n">
        <f aca="false">MONTH(B448)</f>
        <v>3</v>
      </c>
      <c r="F448" s="10" t="str">
        <f aca="false">CHOOSE(MOD(A448-1,5)+1,"Центр","Юг","Север","Запад","Восток")</f>
        <v>Юг</v>
      </c>
      <c r="G448" s="10" t="str">
        <f aca="false">"Округ_"&amp;(MOD(A448-1,5)+1)&amp;"_"&amp;(MOD(INT((A448-1)/5),5)+1)</f>
        <v>Округ_2_5</v>
      </c>
      <c r="H448" s="10" t="str">
        <f aca="false">"Город_"&amp;(MOD(A448-1,5)+1)&amp;"_"&amp;(MOD(INT((A448-1)/5),5)+1)&amp;"_"&amp;(MOD(INT((A448-1)/25),10)+1)</f>
        <v>Город_2_5_8</v>
      </c>
      <c r="I448" s="10" t="str">
        <f aca="false">CHOOSE(MOD(A448-1,4)+1,"Электроника","Одежда","Продукты","Мебель")</f>
        <v>Продукты</v>
      </c>
      <c r="J448" s="10" t="str">
        <f aca="false">CHOOSE(MOD(INT((A448-1)/4),4)+1,CHOOSE(MOD(A448-1,4)+1,"Смартфоны","Ноутбуки","Аксессуары","Аудио"),CHOOSE(MOD(A448-1,4)+1,"Верхняя одежда","Спортивная","Повседневная","Обувь"),CHOOSE(MOD(A448-1,4)+1,"Молочные","Мясные","Бакалея","Напитки"),CHOOSE(MOD(A448-1,4)+1,"Мягкая мебель","Корпусная","Офисная","Кухонная"))</f>
        <v>Офисная</v>
      </c>
      <c r="K448" s="12" t="n">
        <f aca="false">1000+MOD(A448*317+A448*A448*7,49001)</f>
        <v>22331</v>
      </c>
      <c r="L448" s="12" t="n">
        <f aca="false">1+MOD(A448*131,100)</f>
        <v>58</v>
      </c>
      <c r="M448" s="12" t="n">
        <f aca="false">INT(K448*(0.6+MOD(A448*43,21)/100))</f>
        <v>14738</v>
      </c>
      <c r="N448" s="12" t="n">
        <f aca="false">K448-M448</f>
        <v>7593</v>
      </c>
    </row>
    <row r="449" customFormat="false" ht="12.8" hidden="false" customHeight="false" outlineLevel="0" collapsed="false">
      <c r="A449" s="10" t="n">
        <f aca="false">A448+1</f>
        <v>448</v>
      </c>
      <c r="B449" s="11" t="n">
        <f aca="false">B448+1</f>
        <v>45374</v>
      </c>
      <c r="C449" s="10" t="n">
        <f aca="false">YEAR(B449)</f>
        <v>2024</v>
      </c>
      <c r="D449" s="10" t="n">
        <f aca="false">INT((MONTH(B449)-1)/3)+1</f>
        <v>1</v>
      </c>
      <c r="E449" s="10" t="n">
        <f aca="false">MONTH(B449)</f>
        <v>3</v>
      </c>
      <c r="F449" s="10" t="str">
        <f aca="false">CHOOSE(MOD(A449-1,5)+1,"Центр","Юг","Север","Запад","Восток")</f>
        <v>Север</v>
      </c>
      <c r="G449" s="10" t="str">
        <f aca="false">"Округ_"&amp;(MOD(A449-1,5)+1)&amp;"_"&amp;(MOD(INT((A449-1)/5),5)+1)</f>
        <v>Округ_3_5</v>
      </c>
      <c r="H449" s="10" t="str">
        <f aca="false">"Город_"&amp;(MOD(A449-1,5)+1)&amp;"_"&amp;(MOD(INT((A449-1)/5),5)+1)&amp;"_"&amp;(MOD(INT((A449-1)/25),10)+1)</f>
        <v>Город_3_5_8</v>
      </c>
      <c r="I449" s="10" t="str">
        <f aca="false">CHOOSE(MOD(A449-1,4)+1,"Электроника","Одежда","Продукты","Мебель")</f>
        <v>Мебель</v>
      </c>
      <c r="J449" s="10" t="str">
        <f aca="false">CHOOSE(MOD(INT((A449-1)/4),4)+1,CHOOSE(MOD(A449-1,4)+1,"Смартфоны","Ноутбуки","Аксессуары","Аудио"),CHOOSE(MOD(A449-1,4)+1,"Верхняя одежда","Спортивная","Повседневная","Обувь"),CHOOSE(MOD(A449-1,4)+1,"Молочные","Мясные","Бакалея","Напитки"),CHOOSE(MOD(A449-1,4)+1,"Мягкая мебель","Корпусная","Офисная","Кухонная"))</f>
        <v>Кухонная</v>
      </c>
      <c r="K449" s="12" t="n">
        <f aca="false">1000+MOD(A449*317+A449*A449*7,49001)</f>
        <v>28913</v>
      </c>
      <c r="L449" s="12" t="n">
        <f aca="false">1+MOD(A449*131,100)</f>
        <v>89</v>
      </c>
      <c r="M449" s="12" t="n">
        <f aca="false">INT(K449*(0.6+MOD(A449*43,21)/100))</f>
        <v>19371</v>
      </c>
      <c r="N449" s="12" t="n">
        <f aca="false">K449-M449</f>
        <v>9542</v>
      </c>
    </row>
    <row r="450" customFormat="false" ht="12.8" hidden="false" customHeight="false" outlineLevel="0" collapsed="false">
      <c r="A450" s="10" t="n">
        <f aca="false">A449+1</f>
        <v>449</v>
      </c>
      <c r="B450" s="11" t="n">
        <f aca="false">B449+1</f>
        <v>45375</v>
      </c>
      <c r="C450" s="10" t="n">
        <f aca="false">YEAR(B450)</f>
        <v>2024</v>
      </c>
      <c r="D450" s="10" t="n">
        <f aca="false">INT((MONTH(B450)-1)/3)+1</f>
        <v>1</v>
      </c>
      <c r="E450" s="10" t="n">
        <f aca="false">MONTH(B450)</f>
        <v>3</v>
      </c>
      <c r="F450" s="10" t="str">
        <f aca="false">CHOOSE(MOD(A450-1,5)+1,"Центр","Юг","Север","Запад","Восток")</f>
        <v>Запад</v>
      </c>
      <c r="G450" s="10" t="str">
        <f aca="false">"Округ_"&amp;(MOD(A450-1,5)+1)&amp;"_"&amp;(MOD(INT((A450-1)/5),5)+1)</f>
        <v>Округ_4_5</v>
      </c>
      <c r="H450" s="10" t="str">
        <f aca="false">"Город_"&amp;(MOD(A450-1,5)+1)&amp;"_"&amp;(MOD(INT((A450-1)/5),5)+1)&amp;"_"&amp;(MOD(INT((A450-1)/25),10)+1)</f>
        <v>Город_4_5_8</v>
      </c>
      <c r="I450" s="10" t="str">
        <f aca="false">CHOOSE(MOD(A450-1,4)+1,"Электроника","Одежда","Продукты","Мебель")</f>
        <v>Электроника</v>
      </c>
      <c r="J450" s="10" t="str">
        <f aca="false">CHOOSE(MOD(INT((A450-1)/4),4)+1,CHOOSE(MOD(A450-1,4)+1,"Смартфоны","Ноутбуки","Аксессуары","Аудио"),CHOOSE(MOD(A450-1,4)+1,"Верхняя одежда","Спортивная","Повседневная","Обувь"),CHOOSE(MOD(A450-1,4)+1,"Молочные","Мясные","Бакалея","Напитки"),CHOOSE(MOD(A450-1,4)+1,"Мягкая мебель","Корпусная","Офисная","Кухонная"))</f>
        <v>Смартфоны</v>
      </c>
      <c r="K450" s="12" t="n">
        <f aca="false">1000+MOD(A450*317+A450*A450*7,49001)</f>
        <v>35509</v>
      </c>
      <c r="L450" s="12" t="n">
        <f aca="false">1+MOD(A450*131,100)</f>
        <v>20</v>
      </c>
      <c r="M450" s="12" t="n">
        <f aca="false">INT(K450*(0.6+MOD(A450*43,21)/100))</f>
        <v>24146</v>
      </c>
      <c r="N450" s="12" t="n">
        <f aca="false">K450-M450</f>
        <v>11363</v>
      </c>
    </row>
    <row r="451" customFormat="false" ht="12.8" hidden="false" customHeight="false" outlineLevel="0" collapsed="false">
      <c r="A451" s="10" t="n">
        <f aca="false">A450+1</f>
        <v>450</v>
      </c>
      <c r="B451" s="11" t="n">
        <f aca="false">B450+1</f>
        <v>45376</v>
      </c>
      <c r="C451" s="10" t="n">
        <f aca="false">YEAR(B451)</f>
        <v>2024</v>
      </c>
      <c r="D451" s="10" t="n">
        <f aca="false">INT((MONTH(B451)-1)/3)+1</f>
        <v>1</v>
      </c>
      <c r="E451" s="10" t="n">
        <f aca="false">MONTH(B451)</f>
        <v>3</v>
      </c>
      <c r="F451" s="10" t="str">
        <f aca="false">CHOOSE(MOD(A451-1,5)+1,"Центр","Юг","Север","Запад","Восток")</f>
        <v>Восток</v>
      </c>
      <c r="G451" s="10" t="str">
        <f aca="false">"Округ_"&amp;(MOD(A451-1,5)+1)&amp;"_"&amp;(MOD(INT((A451-1)/5),5)+1)</f>
        <v>Округ_5_5</v>
      </c>
      <c r="H451" s="10" t="str">
        <f aca="false">"Город_"&amp;(MOD(A451-1,5)+1)&amp;"_"&amp;(MOD(INT((A451-1)/5),5)+1)&amp;"_"&amp;(MOD(INT((A451-1)/25),10)+1)</f>
        <v>Город_5_5_8</v>
      </c>
      <c r="I451" s="10" t="str">
        <f aca="false">CHOOSE(MOD(A451-1,4)+1,"Электроника","Одежда","Продукты","Мебель")</f>
        <v>Одежда</v>
      </c>
      <c r="J451" s="10" t="str">
        <f aca="false">CHOOSE(MOD(INT((A451-1)/4),4)+1,CHOOSE(MOD(A451-1,4)+1,"Смартфоны","Ноутбуки","Аксессуары","Аудио"),CHOOSE(MOD(A451-1,4)+1,"Верхняя одежда","Спортивная","Повседневная","Обувь"),CHOOSE(MOD(A451-1,4)+1,"Молочные","Мясные","Бакалея","Напитки"),CHOOSE(MOD(A451-1,4)+1,"Мягкая мебель","Корпусная","Офисная","Кухонная"))</f>
        <v>Ноутбуки</v>
      </c>
      <c r="K451" s="12" t="n">
        <f aca="false">1000+MOD(A451*317+A451*A451*7,49001)</f>
        <v>42119</v>
      </c>
      <c r="L451" s="12" t="n">
        <f aca="false">1+MOD(A451*131,100)</f>
        <v>51</v>
      </c>
      <c r="M451" s="12" t="n">
        <f aca="false">INT(K451*(0.6+MOD(A451*43,21)/100))</f>
        <v>29062</v>
      </c>
      <c r="N451" s="12" t="n">
        <f aca="false">K451-M451</f>
        <v>13057</v>
      </c>
    </row>
    <row r="452" customFormat="false" ht="12.8" hidden="false" customHeight="false" outlineLevel="0" collapsed="false">
      <c r="A452" s="10" t="n">
        <f aca="false">A451+1</f>
        <v>451</v>
      </c>
      <c r="B452" s="11" t="n">
        <f aca="false">B451+1</f>
        <v>45377</v>
      </c>
      <c r="C452" s="10" t="n">
        <f aca="false">YEAR(B452)</f>
        <v>2024</v>
      </c>
      <c r="D452" s="10" t="n">
        <f aca="false">INT((MONTH(B452)-1)/3)+1</f>
        <v>1</v>
      </c>
      <c r="E452" s="10" t="n">
        <f aca="false">MONTH(B452)</f>
        <v>3</v>
      </c>
      <c r="F452" s="10" t="str">
        <f aca="false">CHOOSE(MOD(A452-1,5)+1,"Центр","Юг","Север","Запад","Восток")</f>
        <v>Центр</v>
      </c>
      <c r="G452" s="10" t="str">
        <f aca="false">"Округ_"&amp;(MOD(A452-1,5)+1)&amp;"_"&amp;(MOD(INT((A452-1)/5),5)+1)</f>
        <v>Округ_1_1</v>
      </c>
      <c r="H452" s="10" t="str">
        <f aca="false">"Город_"&amp;(MOD(A452-1,5)+1)&amp;"_"&amp;(MOD(INT((A452-1)/5),5)+1)&amp;"_"&amp;(MOD(INT((A452-1)/25),10)+1)</f>
        <v>Город_1_1_9</v>
      </c>
      <c r="I452" s="10" t="str">
        <f aca="false">CHOOSE(MOD(A452-1,4)+1,"Электроника","Одежда","Продукты","Мебель")</f>
        <v>Продукты</v>
      </c>
      <c r="J452" s="10" t="str">
        <f aca="false">CHOOSE(MOD(INT((A452-1)/4),4)+1,CHOOSE(MOD(A452-1,4)+1,"Смартфоны","Ноутбуки","Аксессуары","Аудио"),CHOOSE(MOD(A452-1,4)+1,"Верхняя одежда","Спортивная","Повседневная","Обувь"),CHOOSE(MOD(A452-1,4)+1,"Молочные","Мясные","Бакалея","Напитки"),CHOOSE(MOD(A452-1,4)+1,"Мягкая мебель","Корпусная","Офисная","Кухонная"))</f>
        <v>Аксессуары</v>
      </c>
      <c r="K452" s="12" t="n">
        <f aca="false">1000+MOD(A452*317+A452*A452*7,49001)</f>
        <v>48743</v>
      </c>
      <c r="L452" s="12" t="n">
        <f aca="false">1+MOD(A452*131,100)</f>
        <v>82</v>
      </c>
      <c r="M452" s="12" t="n">
        <f aca="false">INT(K452*(0.6+MOD(A452*43,21)/100))</f>
        <v>34120</v>
      </c>
      <c r="N452" s="12" t="n">
        <f aca="false">K452-M452</f>
        <v>14623</v>
      </c>
    </row>
    <row r="453" customFormat="false" ht="12.8" hidden="false" customHeight="false" outlineLevel="0" collapsed="false">
      <c r="A453" s="10" t="n">
        <f aca="false">A452+1</f>
        <v>452</v>
      </c>
      <c r="B453" s="11" t="n">
        <f aca="false">B452+1</f>
        <v>45378</v>
      </c>
      <c r="C453" s="10" t="n">
        <f aca="false">YEAR(B453)</f>
        <v>2024</v>
      </c>
      <c r="D453" s="10" t="n">
        <f aca="false">INT((MONTH(B453)-1)/3)+1</f>
        <v>1</v>
      </c>
      <c r="E453" s="10" t="n">
        <f aca="false">MONTH(B453)</f>
        <v>3</v>
      </c>
      <c r="F453" s="10" t="str">
        <f aca="false">CHOOSE(MOD(A453-1,5)+1,"Центр","Юг","Север","Запад","Восток")</f>
        <v>Юг</v>
      </c>
      <c r="G453" s="10" t="str">
        <f aca="false">"Округ_"&amp;(MOD(A453-1,5)+1)&amp;"_"&amp;(MOD(INT((A453-1)/5),5)+1)</f>
        <v>Округ_2_1</v>
      </c>
      <c r="H453" s="10" t="str">
        <f aca="false">"Город_"&amp;(MOD(A453-1,5)+1)&amp;"_"&amp;(MOD(INT((A453-1)/5),5)+1)&amp;"_"&amp;(MOD(INT((A453-1)/25),10)+1)</f>
        <v>Город_2_1_9</v>
      </c>
      <c r="I453" s="10" t="str">
        <f aca="false">CHOOSE(MOD(A453-1,4)+1,"Электроника","Одежда","Продукты","Мебель")</f>
        <v>Мебель</v>
      </c>
      <c r="J453" s="10" t="str">
        <f aca="false">CHOOSE(MOD(INT((A453-1)/4),4)+1,CHOOSE(MOD(A453-1,4)+1,"Смартфоны","Ноутбуки","Аксессуары","Аудио"),CHOOSE(MOD(A453-1,4)+1,"Верхняя одежда","Спортивная","Повседневная","Обувь"),CHOOSE(MOD(A453-1,4)+1,"Молочные","Мясные","Бакалея","Напитки"),CHOOSE(MOD(A453-1,4)+1,"Мягкая мебель","Корпусная","Офисная","Кухонная"))</f>
        <v>Аудио</v>
      </c>
      <c r="K453" s="12" t="n">
        <f aca="false">1000+MOD(A453*317+A453*A453*7,49001)</f>
        <v>6380</v>
      </c>
      <c r="L453" s="12" t="n">
        <f aca="false">1+MOD(A453*131,100)</f>
        <v>13</v>
      </c>
      <c r="M453" s="12" t="n">
        <f aca="false">INT(K453*(0.6+MOD(A453*43,21)/100))</f>
        <v>4529</v>
      </c>
      <c r="N453" s="12" t="n">
        <f aca="false">K453-M453</f>
        <v>1851</v>
      </c>
    </row>
    <row r="454" customFormat="false" ht="12.8" hidden="false" customHeight="false" outlineLevel="0" collapsed="false">
      <c r="A454" s="10" t="n">
        <f aca="false">A453+1</f>
        <v>453</v>
      </c>
      <c r="B454" s="11" t="n">
        <f aca="false">B453+1</f>
        <v>45379</v>
      </c>
      <c r="C454" s="10" t="n">
        <f aca="false">YEAR(B454)</f>
        <v>2024</v>
      </c>
      <c r="D454" s="10" t="n">
        <f aca="false">INT((MONTH(B454)-1)/3)+1</f>
        <v>1</v>
      </c>
      <c r="E454" s="10" t="n">
        <f aca="false">MONTH(B454)</f>
        <v>3</v>
      </c>
      <c r="F454" s="10" t="str">
        <f aca="false">CHOOSE(MOD(A454-1,5)+1,"Центр","Юг","Север","Запад","Восток")</f>
        <v>Север</v>
      </c>
      <c r="G454" s="10" t="str">
        <f aca="false">"Округ_"&amp;(MOD(A454-1,5)+1)&amp;"_"&amp;(MOD(INT((A454-1)/5),5)+1)</f>
        <v>Округ_3_1</v>
      </c>
      <c r="H454" s="10" t="str">
        <f aca="false">"Город_"&amp;(MOD(A454-1,5)+1)&amp;"_"&amp;(MOD(INT((A454-1)/5),5)+1)&amp;"_"&amp;(MOD(INT((A454-1)/25),10)+1)</f>
        <v>Город_3_1_9</v>
      </c>
      <c r="I454" s="10" t="str">
        <f aca="false">CHOOSE(MOD(A454-1,4)+1,"Электроника","Одежда","Продукты","Мебель")</f>
        <v>Электроника</v>
      </c>
      <c r="J454" s="10" t="str">
        <f aca="false">CHOOSE(MOD(INT((A454-1)/4),4)+1,CHOOSE(MOD(A454-1,4)+1,"Смартфоны","Ноутбуки","Аксессуары","Аудио"),CHOOSE(MOD(A454-1,4)+1,"Верхняя одежда","Спортивная","Повседневная","Обувь"),CHOOSE(MOD(A454-1,4)+1,"Молочные","Мясные","Бакалея","Напитки"),CHOOSE(MOD(A454-1,4)+1,"Мягкая мебель","Корпусная","Офисная","Кухонная"))</f>
        <v>Верхняя одежда</v>
      </c>
      <c r="K454" s="12" t="n">
        <f aca="false">1000+MOD(A454*317+A454*A454*7,49001)</f>
        <v>13032</v>
      </c>
      <c r="L454" s="12" t="n">
        <f aca="false">1+MOD(A454*131,100)</f>
        <v>44</v>
      </c>
      <c r="M454" s="12" t="n">
        <f aca="false">INT(K454*(0.6+MOD(A454*43,21)/100))</f>
        <v>9383</v>
      </c>
      <c r="N454" s="12" t="n">
        <f aca="false">K454-M454</f>
        <v>3649</v>
      </c>
    </row>
    <row r="455" customFormat="false" ht="12.8" hidden="false" customHeight="false" outlineLevel="0" collapsed="false">
      <c r="A455" s="10" t="n">
        <f aca="false">A454+1</f>
        <v>454</v>
      </c>
      <c r="B455" s="11" t="n">
        <f aca="false">B454+1</f>
        <v>45380</v>
      </c>
      <c r="C455" s="10" t="n">
        <f aca="false">YEAR(B455)</f>
        <v>2024</v>
      </c>
      <c r="D455" s="10" t="n">
        <f aca="false">INT((MONTH(B455)-1)/3)+1</f>
        <v>1</v>
      </c>
      <c r="E455" s="10" t="n">
        <f aca="false">MONTH(B455)</f>
        <v>3</v>
      </c>
      <c r="F455" s="10" t="str">
        <f aca="false">CHOOSE(MOD(A455-1,5)+1,"Центр","Юг","Север","Запад","Восток")</f>
        <v>Запад</v>
      </c>
      <c r="G455" s="10" t="str">
        <f aca="false">"Округ_"&amp;(MOD(A455-1,5)+1)&amp;"_"&amp;(MOD(INT((A455-1)/5),5)+1)</f>
        <v>Округ_4_1</v>
      </c>
      <c r="H455" s="10" t="str">
        <f aca="false">"Город_"&amp;(MOD(A455-1,5)+1)&amp;"_"&amp;(MOD(INT((A455-1)/5),5)+1)&amp;"_"&amp;(MOD(INT((A455-1)/25),10)+1)</f>
        <v>Город_4_1_9</v>
      </c>
      <c r="I455" s="10" t="str">
        <f aca="false">CHOOSE(MOD(A455-1,4)+1,"Электроника","Одежда","Продукты","Мебель")</f>
        <v>Одежда</v>
      </c>
      <c r="J455" s="10" t="str">
        <f aca="false">CHOOSE(MOD(INT((A455-1)/4),4)+1,CHOOSE(MOD(A455-1,4)+1,"Смартфоны","Ноутбуки","Аксессуары","Аудио"),CHOOSE(MOD(A455-1,4)+1,"Верхняя одежда","Спортивная","Повседневная","Обувь"),CHOOSE(MOD(A455-1,4)+1,"Молочные","Мясные","Бакалея","Напитки"),CHOOSE(MOD(A455-1,4)+1,"Мягкая мебель","Корпусная","Офисная","Кухонная"))</f>
        <v>Спортивная</v>
      </c>
      <c r="K455" s="12" t="n">
        <f aca="false">1000+MOD(A455*317+A455*A455*7,49001)</f>
        <v>19698</v>
      </c>
      <c r="L455" s="12" t="n">
        <f aca="false">1+MOD(A455*131,100)</f>
        <v>75</v>
      </c>
      <c r="M455" s="12" t="n">
        <f aca="false">INT(K455*(0.6+MOD(A455*43,21)/100))</f>
        <v>14379</v>
      </c>
      <c r="N455" s="12" t="n">
        <f aca="false">K455-M455</f>
        <v>5319</v>
      </c>
    </row>
    <row r="456" customFormat="false" ht="12.8" hidden="false" customHeight="false" outlineLevel="0" collapsed="false">
      <c r="A456" s="10" t="n">
        <f aca="false">A455+1</f>
        <v>455</v>
      </c>
      <c r="B456" s="11" t="n">
        <f aca="false">B455+1</f>
        <v>45381</v>
      </c>
      <c r="C456" s="10" t="n">
        <f aca="false">YEAR(B456)</f>
        <v>2024</v>
      </c>
      <c r="D456" s="10" t="n">
        <f aca="false">INT((MONTH(B456)-1)/3)+1</f>
        <v>1</v>
      </c>
      <c r="E456" s="10" t="n">
        <f aca="false">MONTH(B456)</f>
        <v>3</v>
      </c>
      <c r="F456" s="10" t="str">
        <f aca="false">CHOOSE(MOD(A456-1,5)+1,"Центр","Юг","Север","Запад","Восток")</f>
        <v>Восток</v>
      </c>
      <c r="G456" s="10" t="str">
        <f aca="false">"Округ_"&amp;(MOD(A456-1,5)+1)&amp;"_"&amp;(MOD(INT((A456-1)/5),5)+1)</f>
        <v>Округ_5_1</v>
      </c>
      <c r="H456" s="10" t="str">
        <f aca="false">"Город_"&amp;(MOD(A456-1,5)+1)&amp;"_"&amp;(MOD(INT((A456-1)/5),5)+1)&amp;"_"&amp;(MOD(INT((A456-1)/25),10)+1)</f>
        <v>Город_5_1_9</v>
      </c>
      <c r="I456" s="10" t="str">
        <f aca="false">CHOOSE(MOD(A456-1,4)+1,"Электроника","Одежда","Продукты","Мебель")</f>
        <v>Продукты</v>
      </c>
      <c r="J456" s="10" t="str">
        <f aca="false">CHOOSE(MOD(INT((A456-1)/4),4)+1,CHOOSE(MOD(A456-1,4)+1,"Смартфоны","Ноутбуки","Аксессуары","Аудио"),CHOOSE(MOD(A456-1,4)+1,"Верхняя одежда","Спортивная","Повседневная","Обувь"),CHOOSE(MOD(A456-1,4)+1,"Молочные","Мясные","Бакалея","Напитки"),CHOOSE(MOD(A456-1,4)+1,"Мягкая мебель","Корпусная","Офисная","Кухонная"))</f>
        <v>Повседневная</v>
      </c>
      <c r="K456" s="12" t="n">
        <f aca="false">1000+MOD(A456*317+A456*A456*7,49001)</f>
        <v>26378</v>
      </c>
      <c r="L456" s="12" t="n">
        <f aca="false">1+MOD(A456*131,100)</f>
        <v>6</v>
      </c>
      <c r="M456" s="12" t="n">
        <f aca="false">INT(K456*(0.6+MOD(A456*43,21)/100))</f>
        <v>19519</v>
      </c>
      <c r="N456" s="12" t="n">
        <f aca="false">K456-M456</f>
        <v>6859</v>
      </c>
    </row>
    <row r="457" customFormat="false" ht="12.8" hidden="false" customHeight="false" outlineLevel="0" collapsed="false">
      <c r="A457" s="10" t="n">
        <f aca="false">A456+1</f>
        <v>456</v>
      </c>
      <c r="B457" s="11" t="n">
        <f aca="false">B456+1</f>
        <v>45382</v>
      </c>
      <c r="C457" s="10" t="n">
        <f aca="false">YEAR(B457)</f>
        <v>2024</v>
      </c>
      <c r="D457" s="10" t="n">
        <f aca="false">INT((MONTH(B457)-1)/3)+1</f>
        <v>1</v>
      </c>
      <c r="E457" s="10" t="n">
        <f aca="false">MONTH(B457)</f>
        <v>3</v>
      </c>
      <c r="F457" s="10" t="str">
        <f aca="false">CHOOSE(MOD(A457-1,5)+1,"Центр","Юг","Север","Запад","Восток")</f>
        <v>Центр</v>
      </c>
      <c r="G457" s="10" t="str">
        <f aca="false">"Округ_"&amp;(MOD(A457-1,5)+1)&amp;"_"&amp;(MOD(INT((A457-1)/5),5)+1)</f>
        <v>Округ_1_2</v>
      </c>
      <c r="H457" s="10" t="str">
        <f aca="false">"Город_"&amp;(MOD(A457-1,5)+1)&amp;"_"&amp;(MOD(INT((A457-1)/5),5)+1)&amp;"_"&amp;(MOD(INT((A457-1)/25),10)+1)</f>
        <v>Город_1_2_9</v>
      </c>
      <c r="I457" s="10" t="str">
        <f aca="false">CHOOSE(MOD(A457-1,4)+1,"Электроника","Одежда","Продукты","Мебель")</f>
        <v>Мебель</v>
      </c>
      <c r="J457" s="10" t="str">
        <f aca="false">CHOOSE(MOD(INT((A457-1)/4),4)+1,CHOOSE(MOD(A457-1,4)+1,"Смартфоны","Ноутбуки","Аксессуары","Аудио"),CHOOSE(MOD(A457-1,4)+1,"Верхняя одежда","Спортивная","Повседневная","Обувь"),CHOOSE(MOD(A457-1,4)+1,"Молочные","Мясные","Бакалея","Напитки"),CHOOSE(MOD(A457-1,4)+1,"Мягкая мебель","Корпусная","Офисная","Кухонная"))</f>
        <v>Обувь</v>
      </c>
      <c r="K457" s="12" t="n">
        <f aca="false">1000+MOD(A457*317+A457*A457*7,49001)</f>
        <v>33072</v>
      </c>
      <c r="L457" s="12" t="n">
        <f aca="false">1+MOD(A457*131,100)</f>
        <v>37</v>
      </c>
      <c r="M457" s="12" t="n">
        <f aca="false">INT(K457*(0.6+MOD(A457*43,21)/100))</f>
        <v>24804</v>
      </c>
      <c r="N457" s="12" t="n">
        <f aca="false">K457-M457</f>
        <v>8268</v>
      </c>
    </row>
    <row r="458" customFormat="false" ht="12.8" hidden="false" customHeight="false" outlineLevel="0" collapsed="false">
      <c r="A458" s="10" t="n">
        <f aca="false">A457+1</f>
        <v>457</v>
      </c>
      <c r="B458" s="11" t="n">
        <f aca="false">B457+1</f>
        <v>45383</v>
      </c>
      <c r="C458" s="10" t="n">
        <f aca="false">YEAR(B458)</f>
        <v>2024</v>
      </c>
      <c r="D458" s="10" t="n">
        <f aca="false">INT((MONTH(B458)-1)/3)+1</f>
        <v>2</v>
      </c>
      <c r="E458" s="10" t="n">
        <f aca="false">MONTH(B458)</f>
        <v>4</v>
      </c>
      <c r="F458" s="10" t="str">
        <f aca="false">CHOOSE(MOD(A458-1,5)+1,"Центр","Юг","Север","Запад","Восток")</f>
        <v>Юг</v>
      </c>
      <c r="G458" s="10" t="str">
        <f aca="false">"Округ_"&amp;(MOD(A458-1,5)+1)&amp;"_"&amp;(MOD(INT((A458-1)/5),5)+1)</f>
        <v>Округ_2_2</v>
      </c>
      <c r="H458" s="10" t="str">
        <f aca="false">"Город_"&amp;(MOD(A458-1,5)+1)&amp;"_"&amp;(MOD(INT((A458-1)/5),5)+1)&amp;"_"&amp;(MOD(INT((A458-1)/25),10)+1)</f>
        <v>Город_2_2_9</v>
      </c>
      <c r="I458" s="10" t="str">
        <f aca="false">CHOOSE(MOD(A458-1,4)+1,"Электроника","Одежда","Продукты","Мебель")</f>
        <v>Электроника</v>
      </c>
      <c r="J458" s="10" t="str">
        <f aca="false">CHOOSE(MOD(INT((A458-1)/4),4)+1,CHOOSE(MOD(A458-1,4)+1,"Смартфоны","Ноутбуки","Аксессуары","Аудио"),CHOOSE(MOD(A458-1,4)+1,"Верхняя одежда","Спортивная","Повседневная","Обувь"),CHOOSE(MOD(A458-1,4)+1,"Молочные","Мясные","Бакалея","Напитки"),CHOOSE(MOD(A458-1,4)+1,"Мягкая мебель","Корпусная","Офисная","Кухонная"))</f>
        <v>Молочные</v>
      </c>
      <c r="K458" s="12" t="n">
        <f aca="false">1000+MOD(A458*317+A458*A458*7,49001)</f>
        <v>39780</v>
      </c>
      <c r="L458" s="12" t="n">
        <f aca="false">1+MOD(A458*131,100)</f>
        <v>68</v>
      </c>
      <c r="M458" s="12" t="n">
        <f aca="false">INT(K458*(0.6+MOD(A458*43,21)/100))</f>
        <v>30232</v>
      </c>
      <c r="N458" s="12" t="n">
        <f aca="false">K458-M458</f>
        <v>9548</v>
      </c>
    </row>
    <row r="459" customFormat="false" ht="12.8" hidden="false" customHeight="false" outlineLevel="0" collapsed="false">
      <c r="A459" s="10" t="n">
        <f aca="false">A458+1</f>
        <v>458</v>
      </c>
      <c r="B459" s="11" t="n">
        <f aca="false">B458+1</f>
        <v>45384</v>
      </c>
      <c r="C459" s="10" t="n">
        <f aca="false">YEAR(B459)</f>
        <v>2024</v>
      </c>
      <c r="D459" s="10" t="n">
        <f aca="false">INT((MONTH(B459)-1)/3)+1</f>
        <v>2</v>
      </c>
      <c r="E459" s="10" t="n">
        <f aca="false">MONTH(B459)</f>
        <v>4</v>
      </c>
      <c r="F459" s="10" t="str">
        <f aca="false">CHOOSE(MOD(A459-1,5)+1,"Центр","Юг","Север","Запад","Восток")</f>
        <v>Север</v>
      </c>
      <c r="G459" s="10" t="str">
        <f aca="false">"Округ_"&amp;(MOD(A459-1,5)+1)&amp;"_"&amp;(MOD(INT((A459-1)/5),5)+1)</f>
        <v>Округ_3_2</v>
      </c>
      <c r="H459" s="10" t="str">
        <f aca="false">"Город_"&amp;(MOD(A459-1,5)+1)&amp;"_"&amp;(MOD(INT((A459-1)/5),5)+1)&amp;"_"&amp;(MOD(INT((A459-1)/25),10)+1)</f>
        <v>Город_3_2_9</v>
      </c>
      <c r="I459" s="10" t="str">
        <f aca="false">CHOOSE(MOD(A459-1,4)+1,"Электроника","Одежда","Продукты","Мебель")</f>
        <v>Одежда</v>
      </c>
      <c r="J459" s="10" t="str">
        <f aca="false">CHOOSE(MOD(INT((A459-1)/4),4)+1,CHOOSE(MOD(A459-1,4)+1,"Смартфоны","Ноутбуки","Аксессуары","Аудио"),CHOOSE(MOD(A459-1,4)+1,"Верхняя одежда","Спортивная","Повседневная","Обувь"),CHOOSE(MOD(A459-1,4)+1,"Молочные","Мясные","Бакалея","Напитки"),CHOOSE(MOD(A459-1,4)+1,"Мягкая мебель","Корпусная","Офисная","Кухонная"))</f>
        <v>Мясные</v>
      </c>
      <c r="K459" s="12" t="n">
        <f aca="false">1000+MOD(A459*317+A459*A459*7,49001)</f>
        <v>46502</v>
      </c>
      <c r="L459" s="12" t="n">
        <f aca="false">1+MOD(A459*131,100)</f>
        <v>99</v>
      </c>
      <c r="M459" s="12" t="n">
        <f aca="false">INT(K459*(0.6+MOD(A459*43,21)/100))</f>
        <v>35806</v>
      </c>
      <c r="N459" s="12" t="n">
        <f aca="false">K459-M459</f>
        <v>10696</v>
      </c>
    </row>
    <row r="460" customFormat="false" ht="12.8" hidden="false" customHeight="false" outlineLevel="0" collapsed="false">
      <c r="A460" s="10" t="n">
        <f aca="false">A459+1</f>
        <v>459</v>
      </c>
      <c r="B460" s="11" t="n">
        <f aca="false">B459+1</f>
        <v>45385</v>
      </c>
      <c r="C460" s="10" t="n">
        <f aca="false">YEAR(B460)</f>
        <v>2024</v>
      </c>
      <c r="D460" s="10" t="n">
        <f aca="false">INT((MONTH(B460)-1)/3)+1</f>
        <v>2</v>
      </c>
      <c r="E460" s="10" t="n">
        <f aca="false">MONTH(B460)</f>
        <v>4</v>
      </c>
      <c r="F460" s="10" t="str">
        <f aca="false">CHOOSE(MOD(A460-1,5)+1,"Центр","Юг","Север","Запад","Восток")</f>
        <v>Запад</v>
      </c>
      <c r="G460" s="10" t="str">
        <f aca="false">"Округ_"&amp;(MOD(A460-1,5)+1)&amp;"_"&amp;(MOD(INT((A460-1)/5),5)+1)</f>
        <v>Округ_4_2</v>
      </c>
      <c r="H460" s="10" t="str">
        <f aca="false">"Город_"&amp;(MOD(A460-1,5)+1)&amp;"_"&amp;(MOD(INT((A460-1)/5),5)+1)&amp;"_"&amp;(MOD(INT((A460-1)/25),10)+1)</f>
        <v>Город_4_2_9</v>
      </c>
      <c r="I460" s="10" t="str">
        <f aca="false">CHOOSE(MOD(A460-1,4)+1,"Электроника","Одежда","Продукты","Мебель")</f>
        <v>Продукты</v>
      </c>
      <c r="J460" s="10" t="str">
        <f aca="false">CHOOSE(MOD(INT((A460-1)/4),4)+1,CHOOSE(MOD(A460-1,4)+1,"Смартфоны","Ноутбуки","Аксессуары","Аудио"),CHOOSE(MOD(A460-1,4)+1,"Верхняя одежда","Спортивная","Повседневная","Обувь"),CHOOSE(MOD(A460-1,4)+1,"Молочные","Мясные","Бакалея","Напитки"),CHOOSE(MOD(A460-1,4)+1,"Мягкая мебель","Корпусная","Офисная","Кухонная"))</f>
        <v>Бакалея</v>
      </c>
      <c r="K460" s="12" t="n">
        <f aca="false">1000+MOD(A460*317+A460*A460*7,49001)</f>
        <v>4237</v>
      </c>
      <c r="L460" s="12" t="n">
        <f aca="false">1+MOD(A460*131,100)</f>
        <v>30</v>
      </c>
      <c r="M460" s="12" t="n">
        <f aca="false">INT(K460*(0.6+MOD(A460*43,21)/100))</f>
        <v>3304</v>
      </c>
      <c r="N460" s="12" t="n">
        <f aca="false">K460-M460</f>
        <v>933</v>
      </c>
    </row>
    <row r="461" customFormat="false" ht="12.8" hidden="false" customHeight="false" outlineLevel="0" collapsed="false">
      <c r="A461" s="10" t="n">
        <f aca="false">A460+1</f>
        <v>460</v>
      </c>
      <c r="B461" s="11" t="n">
        <f aca="false">B460+1</f>
        <v>45386</v>
      </c>
      <c r="C461" s="10" t="n">
        <f aca="false">YEAR(B461)</f>
        <v>2024</v>
      </c>
      <c r="D461" s="10" t="n">
        <f aca="false">INT((MONTH(B461)-1)/3)+1</f>
        <v>2</v>
      </c>
      <c r="E461" s="10" t="n">
        <f aca="false">MONTH(B461)</f>
        <v>4</v>
      </c>
      <c r="F461" s="10" t="str">
        <f aca="false">CHOOSE(MOD(A461-1,5)+1,"Центр","Юг","Север","Запад","Восток")</f>
        <v>Восток</v>
      </c>
      <c r="G461" s="10" t="str">
        <f aca="false">"Округ_"&amp;(MOD(A461-1,5)+1)&amp;"_"&amp;(MOD(INT((A461-1)/5),5)+1)</f>
        <v>Округ_5_2</v>
      </c>
      <c r="H461" s="10" t="str">
        <f aca="false">"Город_"&amp;(MOD(A461-1,5)+1)&amp;"_"&amp;(MOD(INT((A461-1)/5),5)+1)&amp;"_"&amp;(MOD(INT((A461-1)/25),10)+1)</f>
        <v>Город_5_2_9</v>
      </c>
      <c r="I461" s="10" t="str">
        <f aca="false">CHOOSE(MOD(A461-1,4)+1,"Электроника","Одежда","Продукты","Мебель")</f>
        <v>Мебель</v>
      </c>
      <c r="J461" s="10" t="str">
        <f aca="false">CHOOSE(MOD(INT((A461-1)/4),4)+1,CHOOSE(MOD(A461-1,4)+1,"Смартфоны","Ноутбуки","Аксессуары","Аудио"),CHOOSE(MOD(A461-1,4)+1,"Верхняя одежда","Спортивная","Повседневная","Обувь"),CHOOSE(MOD(A461-1,4)+1,"Молочные","Мясные","Бакалея","Напитки"),CHOOSE(MOD(A461-1,4)+1,"Мягкая мебель","Корпусная","Офисная","Кухонная"))</f>
        <v>Напитки</v>
      </c>
      <c r="K461" s="12" t="n">
        <f aca="false">1000+MOD(A461*317+A461*A461*7,49001)</f>
        <v>10987</v>
      </c>
      <c r="L461" s="12" t="n">
        <f aca="false">1+MOD(A461*131,100)</f>
        <v>61</v>
      </c>
      <c r="M461" s="12" t="n">
        <f aca="false">INT(K461*(0.6+MOD(A461*43,21)/100))</f>
        <v>8679</v>
      </c>
      <c r="N461" s="12" t="n">
        <f aca="false">K461-M461</f>
        <v>2308</v>
      </c>
    </row>
    <row r="462" customFormat="false" ht="12.8" hidden="false" customHeight="false" outlineLevel="0" collapsed="false">
      <c r="A462" s="10" t="n">
        <f aca="false">A461+1</f>
        <v>461</v>
      </c>
      <c r="B462" s="11" t="n">
        <f aca="false">B461+1</f>
        <v>45387</v>
      </c>
      <c r="C462" s="10" t="n">
        <f aca="false">YEAR(B462)</f>
        <v>2024</v>
      </c>
      <c r="D462" s="10" t="n">
        <f aca="false">INT((MONTH(B462)-1)/3)+1</f>
        <v>2</v>
      </c>
      <c r="E462" s="10" t="n">
        <f aca="false">MONTH(B462)</f>
        <v>4</v>
      </c>
      <c r="F462" s="10" t="str">
        <f aca="false">CHOOSE(MOD(A462-1,5)+1,"Центр","Юг","Север","Запад","Восток")</f>
        <v>Центр</v>
      </c>
      <c r="G462" s="10" t="str">
        <f aca="false">"Округ_"&amp;(MOD(A462-1,5)+1)&amp;"_"&amp;(MOD(INT((A462-1)/5),5)+1)</f>
        <v>Округ_1_3</v>
      </c>
      <c r="H462" s="10" t="str">
        <f aca="false">"Город_"&amp;(MOD(A462-1,5)+1)&amp;"_"&amp;(MOD(INT((A462-1)/5),5)+1)&amp;"_"&amp;(MOD(INT((A462-1)/25),10)+1)</f>
        <v>Город_1_3_9</v>
      </c>
      <c r="I462" s="10" t="str">
        <f aca="false">CHOOSE(MOD(A462-1,4)+1,"Электроника","Одежда","Продукты","Мебель")</f>
        <v>Электроника</v>
      </c>
      <c r="J462" s="10" t="str">
        <f aca="false">CHOOSE(MOD(INT((A462-1)/4),4)+1,CHOOSE(MOD(A462-1,4)+1,"Смартфоны","Ноутбуки","Аксессуары","Аудио"),CHOOSE(MOD(A462-1,4)+1,"Верхняя одежда","Спортивная","Повседневная","Обувь"),CHOOSE(MOD(A462-1,4)+1,"Молочные","Мясные","Бакалея","Напитки"),CHOOSE(MOD(A462-1,4)+1,"Мягкая мебель","Корпусная","Офисная","Кухонная"))</f>
        <v>Мягкая мебель</v>
      </c>
      <c r="K462" s="12" t="n">
        <f aca="false">1000+MOD(A462*317+A462*A462*7,49001)</f>
        <v>17751</v>
      </c>
      <c r="L462" s="12" t="n">
        <f aca="false">1+MOD(A462*131,100)</f>
        <v>92</v>
      </c>
      <c r="M462" s="12" t="n">
        <f aca="false">INT(K462*(0.6+MOD(A462*43,21)/100))</f>
        <v>14200</v>
      </c>
      <c r="N462" s="12" t="n">
        <f aca="false">K462-M462</f>
        <v>3551</v>
      </c>
    </row>
    <row r="463" customFormat="false" ht="12.8" hidden="false" customHeight="false" outlineLevel="0" collapsed="false">
      <c r="A463" s="10" t="n">
        <f aca="false">A462+1</f>
        <v>462</v>
      </c>
      <c r="B463" s="11" t="n">
        <f aca="false">B462+1</f>
        <v>45388</v>
      </c>
      <c r="C463" s="10" t="n">
        <f aca="false">YEAR(B463)</f>
        <v>2024</v>
      </c>
      <c r="D463" s="10" t="n">
        <f aca="false">INT((MONTH(B463)-1)/3)+1</f>
        <v>2</v>
      </c>
      <c r="E463" s="10" t="n">
        <f aca="false">MONTH(B463)</f>
        <v>4</v>
      </c>
      <c r="F463" s="10" t="str">
        <f aca="false">CHOOSE(MOD(A463-1,5)+1,"Центр","Юг","Север","Запад","Восток")</f>
        <v>Юг</v>
      </c>
      <c r="G463" s="10" t="str">
        <f aca="false">"Округ_"&amp;(MOD(A463-1,5)+1)&amp;"_"&amp;(MOD(INT((A463-1)/5),5)+1)</f>
        <v>Округ_2_3</v>
      </c>
      <c r="H463" s="10" t="str">
        <f aca="false">"Город_"&amp;(MOD(A463-1,5)+1)&amp;"_"&amp;(MOD(INT((A463-1)/5),5)+1)&amp;"_"&amp;(MOD(INT((A463-1)/25),10)+1)</f>
        <v>Город_2_3_9</v>
      </c>
      <c r="I463" s="10" t="str">
        <f aca="false">CHOOSE(MOD(A463-1,4)+1,"Электроника","Одежда","Продукты","Мебель")</f>
        <v>Одежда</v>
      </c>
      <c r="J463" s="10" t="str">
        <f aca="false">CHOOSE(MOD(INT((A463-1)/4),4)+1,CHOOSE(MOD(A463-1,4)+1,"Смартфоны","Ноутбуки","Аксессуары","Аудио"),CHOOSE(MOD(A463-1,4)+1,"Верхняя одежда","Спортивная","Повседневная","Обувь"),CHOOSE(MOD(A463-1,4)+1,"Молочные","Мясные","Бакалея","Напитки"),CHOOSE(MOD(A463-1,4)+1,"Мягкая мебель","Корпусная","Офисная","Кухонная"))</f>
        <v>Корпусная</v>
      </c>
      <c r="K463" s="12" t="n">
        <f aca="false">1000+MOD(A463*317+A463*A463*7,49001)</f>
        <v>24529</v>
      </c>
      <c r="L463" s="12" t="n">
        <f aca="false">1+MOD(A463*131,100)</f>
        <v>23</v>
      </c>
      <c r="M463" s="12" t="n">
        <f aca="false">INT(K463*(0.6+MOD(A463*43,21)/100))</f>
        <v>14717</v>
      </c>
      <c r="N463" s="12" t="n">
        <f aca="false">K463-M463</f>
        <v>9812</v>
      </c>
    </row>
    <row r="464" customFormat="false" ht="12.8" hidden="false" customHeight="false" outlineLevel="0" collapsed="false">
      <c r="A464" s="10" t="n">
        <f aca="false">A463+1</f>
        <v>463</v>
      </c>
      <c r="B464" s="11" t="n">
        <f aca="false">B463+1</f>
        <v>45389</v>
      </c>
      <c r="C464" s="10" t="n">
        <f aca="false">YEAR(B464)</f>
        <v>2024</v>
      </c>
      <c r="D464" s="10" t="n">
        <f aca="false">INT((MONTH(B464)-1)/3)+1</f>
        <v>2</v>
      </c>
      <c r="E464" s="10" t="n">
        <f aca="false">MONTH(B464)</f>
        <v>4</v>
      </c>
      <c r="F464" s="10" t="str">
        <f aca="false">CHOOSE(MOD(A464-1,5)+1,"Центр","Юг","Север","Запад","Восток")</f>
        <v>Север</v>
      </c>
      <c r="G464" s="10" t="str">
        <f aca="false">"Округ_"&amp;(MOD(A464-1,5)+1)&amp;"_"&amp;(MOD(INT((A464-1)/5),5)+1)</f>
        <v>Округ_3_3</v>
      </c>
      <c r="H464" s="10" t="str">
        <f aca="false">"Город_"&amp;(MOD(A464-1,5)+1)&amp;"_"&amp;(MOD(INT((A464-1)/5),5)+1)&amp;"_"&amp;(MOD(INT((A464-1)/25),10)+1)</f>
        <v>Город_3_3_9</v>
      </c>
      <c r="I464" s="10" t="str">
        <f aca="false">CHOOSE(MOD(A464-1,4)+1,"Электроника","Одежда","Продукты","Мебель")</f>
        <v>Продукты</v>
      </c>
      <c r="J464" s="10" t="str">
        <f aca="false">CHOOSE(MOD(INT((A464-1)/4),4)+1,CHOOSE(MOD(A464-1,4)+1,"Смартфоны","Ноутбуки","Аксессуары","Аудио"),CHOOSE(MOD(A464-1,4)+1,"Верхняя одежда","Спортивная","Повседневная","Обувь"),CHOOSE(MOD(A464-1,4)+1,"Молочные","Мясные","Бакалея","Напитки"),CHOOSE(MOD(A464-1,4)+1,"Мягкая мебель","Корпусная","Офисная","Кухонная"))</f>
        <v>Офисная</v>
      </c>
      <c r="K464" s="12" t="n">
        <f aca="false">1000+MOD(A464*317+A464*A464*7,49001)</f>
        <v>31321</v>
      </c>
      <c r="L464" s="12" t="n">
        <f aca="false">1+MOD(A464*131,100)</f>
        <v>54</v>
      </c>
      <c r="M464" s="12" t="n">
        <f aca="false">INT(K464*(0.6+MOD(A464*43,21)/100))</f>
        <v>19105</v>
      </c>
      <c r="N464" s="12" t="n">
        <f aca="false">K464-M464</f>
        <v>12216</v>
      </c>
    </row>
    <row r="465" customFormat="false" ht="12.8" hidden="false" customHeight="false" outlineLevel="0" collapsed="false">
      <c r="A465" s="10" t="n">
        <f aca="false">A464+1</f>
        <v>464</v>
      </c>
      <c r="B465" s="11" t="n">
        <f aca="false">B464+1</f>
        <v>45390</v>
      </c>
      <c r="C465" s="10" t="n">
        <f aca="false">YEAR(B465)</f>
        <v>2024</v>
      </c>
      <c r="D465" s="10" t="n">
        <f aca="false">INT((MONTH(B465)-1)/3)+1</f>
        <v>2</v>
      </c>
      <c r="E465" s="10" t="n">
        <f aca="false">MONTH(B465)</f>
        <v>4</v>
      </c>
      <c r="F465" s="10" t="str">
        <f aca="false">CHOOSE(MOD(A465-1,5)+1,"Центр","Юг","Север","Запад","Восток")</f>
        <v>Запад</v>
      </c>
      <c r="G465" s="10" t="str">
        <f aca="false">"Округ_"&amp;(MOD(A465-1,5)+1)&amp;"_"&amp;(MOD(INT((A465-1)/5),5)+1)</f>
        <v>Округ_4_3</v>
      </c>
      <c r="H465" s="10" t="str">
        <f aca="false">"Город_"&amp;(MOD(A465-1,5)+1)&amp;"_"&amp;(MOD(INT((A465-1)/5),5)+1)&amp;"_"&amp;(MOD(INT((A465-1)/25),10)+1)</f>
        <v>Город_4_3_9</v>
      </c>
      <c r="I465" s="10" t="str">
        <f aca="false">CHOOSE(MOD(A465-1,4)+1,"Электроника","Одежда","Продукты","Мебель")</f>
        <v>Мебель</v>
      </c>
      <c r="J465" s="10" t="str">
        <f aca="false">CHOOSE(MOD(INT((A465-1)/4),4)+1,CHOOSE(MOD(A465-1,4)+1,"Смартфоны","Ноутбуки","Аксессуары","Аудио"),CHOOSE(MOD(A465-1,4)+1,"Верхняя одежда","Спортивная","Повседневная","Обувь"),CHOOSE(MOD(A465-1,4)+1,"Молочные","Мясные","Бакалея","Напитки"),CHOOSE(MOD(A465-1,4)+1,"Мягкая мебель","Корпусная","Офисная","Кухонная"))</f>
        <v>Кухонная</v>
      </c>
      <c r="K465" s="12" t="n">
        <f aca="false">1000+MOD(A465*317+A465*A465*7,49001)</f>
        <v>38127</v>
      </c>
      <c r="L465" s="12" t="n">
        <f aca="false">1+MOD(A465*131,100)</f>
        <v>85</v>
      </c>
      <c r="M465" s="12" t="n">
        <f aca="false">INT(K465*(0.6+MOD(A465*43,21)/100))</f>
        <v>23638</v>
      </c>
      <c r="N465" s="12" t="n">
        <f aca="false">K465-M465</f>
        <v>14489</v>
      </c>
    </row>
    <row r="466" customFormat="false" ht="12.8" hidden="false" customHeight="false" outlineLevel="0" collapsed="false">
      <c r="A466" s="10" t="n">
        <f aca="false">A465+1</f>
        <v>465</v>
      </c>
      <c r="B466" s="11" t="n">
        <f aca="false">B465+1</f>
        <v>45391</v>
      </c>
      <c r="C466" s="10" t="n">
        <f aca="false">YEAR(B466)</f>
        <v>2024</v>
      </c>
      <c r="D466" s="10" t="n">
        <f aca="false">INT((MONTH(B466)-1)/3)+1</f>
        <v>2</v>
      </c>
      <c r="E466" s="10" t="n">
        <f aca="false">MONTH(B466)</f>
        <v>4</v>
      </c>
      <c r="F466" s="10" t="str">
        <f aca="false">CHOOSE(MOD(A466-1,5)+1,"Центр","Юг","Север","Запад","Восток")</f>
        <v>Восток</v>
      </c>
      <c r="G466" s="10" t="str">
        <f aca="false">"Округ_"&amp;(MOD(A466-1,5)+1)&amp;"_"&amp;(MOD(INT((A466-1)/5),5)+1)</f>
        <v>Округ_5_3</v>
      </c>
      <c r="H466" s="10" t="str">
        <f aca="false">"Город_"&amp;(MOD(A466-1,5)+1)&amp;"_"&amp;(MOD(INT((A466-1)/5),5)+1)&amp;"_"&amp;(MOD(INT((A466-1)/25),10)+1)</f>
        <v>Город_5_3_9</v>
      </c>
      <c r="I466" s="10" t="str">
        <f aca="false">CHOOSE(MOD(A466-1,4)+1,"Электроника","Одежда","Продукты","Мебель")</f>
        <v>Электроника</v>
      </c>
      <c r="J466" s="10" t="str">
        <f aca="false">CHOOSE(MOD(INT((A466-1)/4),4)+1,CHOOSE(MOD(A466-1,4)+1,"Смартфоны","Ноутбуки","Аксессуары","Аудио"),CHOOSE(MOD(A466-1,4)+1,"Верхняя одежда","Спортивная","Повседневная","Обувь"),CHOOSE(MOD(A466-1,4)+1,"Молочные","Мясные","Бакалея","Напитки"),CHOOSE(MOD(A466-1,4)+1,"Мягкая мебель","Корпусная","Офисная","Кухонная"))</f>
        <v>Смартфоны</v>
      </c>
      <c r="K466" s="12" t="n">
        <f aca="false">1000+MOD(A466*317+A466*A466*7,49001)</f>
        <v>44947</v>
      </c>
      <c r="L466" s="12" t="n">
        <f aca="false">1+MOD(A466*131,100)</f>
        <v>16</v>
      </c>
      <c r="M466" s="12" t="n">
        <f aca="false">INT(K466*(0.6+MOD(A466*43,21)/100))</f>
        <v>28316</v>
      </c>
      <c r="N466" s="12" t="n">
        <f aca="false">K466-M466</f>
        <v>16631</v>
      </c>
    </row>
    <row r="467" customFormat="false" ht="12.8" hidden="false" customHeight="false" outlineLevel="0" collapsed="false">
      <c r="A467" s="10" t="n">
        <f aca="false">A466+1</f>
        <v>466</v>
      </c>
      <c r="B467" s="11" t="n">
        <f aca="false">B466+1</f>
        <v>45392</v>
      </c>
      <c r="C467" s="10" t="n">
        <f aca="false">YEAR(B467)</f>
        <v>2024</v>
      </c>
      <c r="D467" s="10" t="n">
        <f aca="false">INT((MONTH(B467)-1)/3)+1</f>
        <v>2</v>
      </c>
      <c r="E467" s="10" t="n">
        <f aca="false">MONTH(B467)</f>
        <v>4</v>
      </c>
      <c r="F467" s="10" t="str">
        <f aca="false">CHOOSE(MOD(A467-1,5)+1,"Центр","Юг","Север","Запад","Восток")</f>
        <v>Центр</v>
      </c>
      <c r="G467" s="10" t="str">
        <f aca="false">"Округ_"&amp;(MOD(A467-1,5)+1)&amp;"_"&amp;(MOD(INT((A467-1)/5),5)+1)</f>
        <v>Округ_1_4</v>
      </c>
      <c r="H467" s="10" t="str">
        <f aca="false">"Город_"&amp;(MOD(A467-1,5)+1)&amp;"_"&amp;(MOD(INT((A467-1)/5),5)+1)&amp;"_"&amp;(MOD(INT((A467-1)/25),10)+1)</f>
        <v>Город_1_4_9</v>
      </c>
      <c r="I467" s="10" t="str">
        <f aca="false">CHOOSE(MOD(A467-1,4)+1,"Электроника","Одежда","Продукты","Мебель")</f>
        <v>Одежда</v>
      </c>
      <c r="J467" s="10" t="str">
        <f aca="false">CHOOSE(MOD(INT((A467-1)/4),4)+1,CHOOSE(MOD(A467-1,4)+1,"Смартфоны","Ноутбуки","Аксессуары","Аудио"),CHOOSE(MOD(A467-1,4)+1,"Верхняя одежда","Спортивная","Повседневная","Обувь"),CHOOSE(MOD(A467-1,4)+1,"Молочные","Мясные","Бакалея","Напитки"),CHOOSE(MOD(A467-1,4)+1,"Мягкая мебель","Корпусная","Офисная","Кухонная"))</f>
        <v>Ноутбуки</v>
      </c>
      <c r="K467" s="12" t="n">
        <f aca="false">1000+MOD(A467*317+A467*A467*7,49001)</f>
        <v>2780</v>
      </c>
      <c r="L467" s="12" t="n">
        <f aca="false">1+MOD(A467*131,100)</f>
        <v>47</v>
      </c>
      <c r="M467" s="12" t="n">
        <f aca="false">INT(K467*(0.6+MOD(A467*43,21)/100))</f>
        <v>1779</v>
      </c>
      <c r="N467" s="12" t="n">
        <f aca="false">K467-M467</f>
        <v>1001</v>
      </c>
    </row>
    <row r="468" customFormat="false" ht="12.8" hidden="false" customHeight="false" outlineLevel="0" collapsed="false">
      <c r="A468" s="10" t="n">
        <f aca="false">A467+1</f>
        <v>467</v>
      </c>
      <c r="B468" s="11" t="n">
        <f aca="false">B467+1</f>
        <v>45393</v>
      </c>
      <c r="C468" s="10" t="n">
        <f aca="false">YEAR(B468)</f>
        <v>2024</v>
      </c>
      <c r="D468" s="10" t="n">
        <f aca="false">INT((MONTH(B468)-1)/3)+1</f>
        <v>2</v>
      </c>
      <c r="E468" s="10" t="n">
        <f aca="false">MONTH(B468)</f>
        <v>4</v>
      </c>
      <c r="F468" s="10" t="str">
        <f aca="false">CHOOSE(MOD(A468-1,5)+1,"Центр","Юг","Север","Запад","Восток")</f>
        <v>Юг</v>
      </c>
      <c r="G468" s="10" t="str">
        <f aca="false">"Округ_"&amp;(MOD(A468-1,5)+1)&amp;"_"&amp;(MOD(INT((A468-1)/5),5)+1)</f>
        <v>Округ_2_4</v>
      </c>
      <c r="H468" s="10" t="str">
        <f aca="false">"Город_"&amp;(MOD(A468-1,5)+1)&amp;"_"&amp;(MOD(INT((A468-1)/5),5)+1)&amp;"_"&amp;(MOD(INT((A468-1)/25),10)+1)</f>
        <v>Город_2_4_9</v>
      </c>
      <c r="I468" s="10" t="str">
        <f aca="false">CHOOSE(MOD(A468-1,4)+1,"Электроника","Одежда","Продукты","Мебель")</f>
        <v>Продукты</v>
      </c>
      <c r="J468" s="10" t="str">
        <f aca="false">CHOOSE(MOD(INT((A468-1)/4),4)+1,CHOOSE(MOD(A468-1,4)+1,"Смартфоны","Ноутбуки","Аксессуары","Аудио"),CHOOSE(MOD(A468-1,4)+1,"Верхняя одежда","Спортивная","Повседневная","Обувь"),CHOOSE(MOD(A468-1,4)+1,"Молочные","Мясные","Бакалея","Напитки"),CHOOSE(MOD(A468-1,4)+1,"Мягкая мебель","Корпусная","Офисная","Кухонная"))</f>
        <v>Аксессуары</v>
      </c>
      <c r="K468" s="12" t="n">
        <f aca="false">1000+MOD(A468*317+A468*A468*7,49001)</f>
        <v>9628</v>
      </c>
      <c r="L468" s="12" t="n">
        <f aca="false">1+MOD(A468*131,100)</f>
        <v>78</v>
      </c>
      <c r="M468" s="12" t="n">
        <f aca="false">INT(K468*(0.6+MOD(A468*43,21)/100))</f>
        <v>6258</v>
      </c>
      <c r="N468" s="12" t="n">
        <f aca="false">K468-M468</f>
        <v>3370</v>
      </c>
    </row>
    <row r="469" customFormat="false" ht="12.8" hidden="false" customHeight="false" outlineLevel="0" collapsed="false">
      <c r="A469" s="10" t="n">
        <f aca="false">A468+1</f>
        <v>468</v>
      </c>
      <c r="B469" s="11" t="n">
        <f aca="false">B468+1</f>
        <v>45394</v>
      </c>
      <c r="C469" s="10" t="n">
        <f aca="false">YEAR(B469)</f>
        <v>2024</v>
      </c>
      <c r="D469" s="10" t="n">
        <f aca="false">INT((MONTH(B469)-1)/3)+1</f>
        <v>2</v>
      </c>
      <c r="E469" s="10" t="n">
        <f aca="false">MONTH(B469)</f>
        <v>4</v>
      </c>
      <c r="F469" s="10" t="str">
        <f aca="false">CHOOSE(MOD(A469-1,5)+1,"Центр","Юг","Север","Запад","Восток")</f>
        <v>Север</v>
      </c>
      <c r="G469" s="10" t="str">
        <f aca="false">"Округ_"&amp;(MOD(A469-1,5)+1)&amp;"_"&amp;(MOD(INT((A469-1)/5),5)+1)</f>
        <v>Округ_3_4</v>
      </c>
      <c r="H469" s="10" t="str">
        <f aca="false">"Город_"&amp;(MOD(A469-1,5)+1)&amp;"_"&amp;(MOD(INT((A469-1)/5),5)+1)&amp;"_"&amp;(MOD(INT((A469-1)/25),10)+1)</f>
        <v>Город_3_4_9</v>
      </c>
      <c r="I469" s="10" t="str">
        <f aca="false">CHOOSE(MOD(A469-1,4)+1,"Электроника","Одежда","Продукты","Мебель")</f>
        <v>Мебель</v>
      </c>
      <c r="J469" s="10" t="str">
        <f aca="false">CHOOSE(MOD(INT((A469-1)/4),4)+1,CHOOSE(MOD(A469-1,4)+1,"Смартфоны","Ноутбуки","Аксессуары","Аудио"),CHOOSE(MOD(A469-1,4)+1,"Верхняя одежда","Спортивная","Повседневная","Обувь"),CHOOSE(MOD(A469-1,4)+1,"Молочные","Мясные","Бакалея","Напитки"),CHOOSE(MOD(A469-1,4)+1,"Мягкая мебель","Корпусная","Офисная","Кухонная"))</f>
        <v>Аудио</v>
      </c>
      <c r="K469" s="12" t="n">
        <f aca="false">1000+MOD(A469*317+A469*A469*7,49001)</f>
        <v>16490</v>
      </c>
      <c r="L469" s="12" t="n">
        <f aca="false">1+MOD(A469*131,100)</f>
        <v>9</v>
      </c>
      <c r="M469" s="12" t="n">
        <f aca="false">INT(K469*(0.6+MOD(A469*43,21)/100))</f>
        <v>10883</v>
      </c>
      <c r="N469" s="12" t="n">
        <f aca="false">K469-M469</f>
        <v>5607</v>
      </c>
    </row>
    <row r="470" customFormat="false" ht="12.8" hidden="false" customHeight="false" outlineLevel="0" collapsed="false">
      <c r="A470" s="10" t="n">
        <f aca="false">A469+1</f>
        <v>469</v>
      </c>
      <c r="B470" s="11" t="n">
        <f aca="false">B469+1</f>
        <v>45395</v>
      </c>
      <c r="C470" s="10" t="n">
        <f aca="false">YEAR(B470)</f>
        <v>2024</v>
      </c>
      <c r="D470" s="10" t="n">
        <f aca="false">INT((MONTH(B470)-1)/3)+1</f>
        <v>2</v>
      </c>
      <c r="E470" s="10" t="n">
        <f aca="false">MONTH(B470)</f>
        <v>4</v>
      </c>
      <c r="F470" s="10" t="str">
        <f aca="false">CHOOSE(MOD(A470-1,5)+1,"Центр","Юг","Север","Запад","Восток")</f>
        <v>Запад</v>
      </c>
      <c r="G470" s="10" t="str">
        <f aca="false">"Округ_"&amp;(MOD(A470-1,5)+1)&amp;"_"&amp;(MOD(INT((A470-1)/5),5)+1)</f>
        <v>Округ_4_4</v>
      </c>
      <c r="H470" s="10" t="str">
        <f aca="false">"Город_"&amp;(MOD(A470-1,5)+1)&amp;"_"&amp;(MOD(INT((A470-1)/5),5)+1)&amp;"_"&amp;(MOD(INT((A470-1)/25),10)+1)</f>
        <v>Город_4_4_9</v>
      </c>
      <c r="I470" s="10" t="str">
        <f aca="false">CHOOSE(MOD(A470-1,4)+1,"Электроника","Одежда","Продукты","Мебель")</f>
        <v>Электроника</v>
      </c>
      <c r="J470" s="10" t="str">
        <f aca="false">CHOOSE(MOD(INT((A470-1)/4),4)+1,CHOOSE(MOD(A470-1,4)+1,"Смартфоны","Ноутбуки","Аксессуары","Аудио"),CHOOSE(MOD(A470-1,4)+1,"Верхняя одежда","Спортивная","Повседневная","Обувь"),CHOOSE(MOD(A470-1,4)+1,"Молочные","Мясные","Бакалея","Напитки"),CHOOSE(MOD(A470-1,4)+1,"Мягкая мебель","Корпусная","Офисная","Кухонная"))</f>
        <v>Верхняя одежда</v>
      </c>
      <c r="K470" s="12" t="n">
        <f aca="false">1000+MOD(A470*317+A470*A470*7,49001)</f>
        <v>23366</v>
      </c>
      <c r="L470" s="12" t="n">
        <f aca="false">1+MOD(A470*131,100)</f>
        <v>40</v>
      </c>
      <c r="M470" s="12" t="n">
        <f aca="false">INT(K470*(0.6+MOD(A470*43,21)/100))</f>
        <v>15655</v>
      </c>
      <c r="N470" s="12" t="n">
        <f aca="false">K470-M470</f>
        <v>7711</v>
      </c>
    </row>
    <row r="471" customFormat="false" ht="12.8" hidden="false" customHeight="false" outlineLevel="0" collapsed="false">
      <c r="A471" s="10" t="n">
        <f aca="false">A470+1</f>
        <v>470</v>
      </c>
      <c r="B471" s="11" t="n">
        <f aca="false">B470+1</f>
        <v>45396</v>
      </c>
      <c r="C471" s="10" t="n">
        <f aca="false">YEAR(B471)</f>
        <v>2024</v>
      </c>
      <c r="D471" s="10" t="n">
        <f aca="false">INT((MONTH(B471)-1)/3)+1</f>
        <v>2</v>
      </c>
      <c r="E471" s="10" t="n">
        <f aca="false">MONTH(B471)</f>
        <v>4</v>
      </c>
      <c r="F471" s="10" t="str">
        <f aca="false">CHOOSE(MOD(A471-1,5)+1,"Центр","Юг","Север","Запад","Восток")</f>
        <v>Восток</v>
      </c>
      <c r="G471" s="10" t="str">
        <f aca="false">"Округ_"&amp;(MOD(A471-1,5)+1)&amp;"_"&amp;(MOD(INT((A471-1)/5),5)+1)</f>
        <v>Округ_5_4</v>
      </c>
      <c r="H471" s="10" t="str">
        <f aca="false">"Город_"&amp;(MOD(A471-1,5)+1)&amp;"_"&amp;(MOD(INT((A471-1)/5),5)+1)&amp;"_"&amp;(MOD(INT((A471-1)/25),10)+1)</f>
        <v>Город_5_4_9</v>
      </c>
      <c r="I471" s="10" t="str">
        <f aca="false">CHOOSE(MOD(A471-1,4)+1,"Электроника","Одежда","Продукты","Мебель")</f>
        <v>Одежда</v>
      </c>
      <c r="J471" s="10" t="str">
        <f aca="false">CHOOSE(MOD(INT((A471-1)/4),4)+1,CHOOSE(MOD(A471-1,4)+1,"Смартфоны","Ноутбуки","Аксессуары","Аудио"),CHOOSE(MOD(A471-1,4)+1,"Верхняя одежда","Спортивная","Повседневная","Обувь"),CHOOSE(MOD(A471-1,4)+1,"Молочные","Мясные","Бакалея","Напитки"),CHOOSE(MOD(A471-1,4)+1,"Мягкая мебель","Корпусная","Офисная","Кухонная"))</f>
        <v>Спортивная</v>
      </c>
      <c r="K471" s="12" t="n">
        <f aca="false">1000+MOD(A471*317+A471*A471*7,49001)</f>
        <v>30256</v>
      </c>
      <c r="L471" s="12" t="n">
        <f aca="false">1+MOD(A471*131,100)</f>
        <v>71</v>
      </c>
      <c r="M471" s="12" t="n">
        <f aca="false">INT(K471*(0.6+MOD(A471*43,21)/100))</f>
        <v>20574</v>
      </c>
      <c r="N471" s="12" t="n">
        <f aca="false">K471-M471</f>
        <v>9682</v>
      </c>
    </row>
    <row r="472" customFormat="false" ht="12.8" hidden="false" customHeight="false" outlineLevel="0" collapsed="false">
      <c r="A472" s="10" t="n">
        <f aca="false">A471+1</f>
        <v>471</v>
      </c>
      <c r="B472" s="11" t="n">
        <f aca="false">B471+1</f>
        <v>45397</v>
      </c>
      <c r="C472" s="10" t="n">
        <f aca="false">YEAR(B472)</f>
        <v>2024</v>
      </c>
      <c r="D472" s="10" t="n">
        <f aca="false">INT((MONTH(B472)-1)/3)+1</f>
        <v>2</v>
      </c>
      <c r="E472" s="10" t="n">
        <f aca="false">MONTH(B472)</f>
        <v>4</v>
      </c>
      <c r="F472" s="10" t="str">
        <f aca="false">CHOOSE(MOD(A472-1,5)+1,"Центр","Юг","Север","Запад","Восток")</f>
        <v>Центр</v>
      </c>
      <c r="G472" s="10" t="str">
        <f aca="false">"Округ_"&amp;(MOD(A472-1,5)+1)&amp;"_"&amp;(MOD(INT((A472-1)/5),5)+1)</f>
        <v>Округ_1_5</v>
      </c>
      <c r="H472" s="10" t="str">
        <f aca="false">"Город_"&amp;(MOD(A472-1,5)+1)&amp;"_"&amp;(MOD(INT((A472-1)/5),5)+1)&amp;"_"&amp;(MOD(INT((A472-1)/25),10)+1)</f>
        <v>Город_1_5_9</v>
      </c>
      <c r="I472" s="10" t="str">
        <f aca="false">CHOOSE(MOD(A472-1,4)+1,"Электроника","Одежда","Продукты","Мебель")</f>
        <v>Продукты</v>
      </c>
      <c r="J472" s="10" t="str">
        <f aca="false">CHOOSE(MOD(INT((A472-1)/4),4)+1,CHOOSE(MOD(A472-1,4)+1,"Смартфоны","Ноутбуки","Аксессуары","Аудио"),CHOOSE(MOD(A472-1,4)+1,"Верхняя одежда","Спортивная","Повседневная","Обувь"),CHOOSE(MOD(A472-1,4)+1,"Молочные","Мясные","Бакалея","Напитки"),CHOOSE(MOD(A472-1,4)+1,"Мягкая мебель","Корпусная","Офисная","Кухонная"))</f>
        <v>Повседневная</v>
      </c>
      <c r="K472" s="12" t="n">
        <f aca="false">1000+MOD(A472*317+A472*A472*7,49001)</f>
        <v>37160</v>
      </c>
      <c r="L472" s="12" t="n">
        <f aca="false">1+MOD(A472*131,100)</f>
        <v>2</v>
      </c>
      <c r="M472" s="12" t="n">
        <f aca="false">INT(K472*(0.6+MOD(A472*43,21)/100))</f>
        <v>25640</v>
      </c>
      <c r="N472" s="12" t="n">
        <f aca="false">K472-M472</f>
        <v>11520</v>
      </c>
    </row>
    <row r="473" customFormat="false" ht="12.8" hidden="false" customHeight="false" outlineLevel="0" collapsed="false">
      <c r="A473" s="10" t="n">
        <f aca="false">A472+1</f>
        <v>472</v>
      </c>
      <c r="B473" s="11" t="n">
        <f aca="false">B472+1</f>
        <v>45398</v>
      </c>
      <c r="C473" s="10" t="n">
        <f aca="false">YEAR(B473)</f>
        <v>2024</v>
      </c>
      <c r="D473" s="10" t="n">
        <f aca="false">INT((MONTH(B473)-1)/3)+1</f>
        <v>2</v>
      </c>
      <c r="E473" s="10" t="n">
        <f aca="false">MONTH(B473)</f>
        <v>4</v>
      </c>
      <c r="F473" s="10" t="str">
        <f aca="false">CHOOSE(MOD(A473-1,5)+1,"Центр","Юг","Север","Запад","Восток")</f>
        <v>Юг</v>
      </c>
      <c r="G473" s="10" t="str">
        <f aca="false">"Округ_"&amp;(MOD(A473-1,5)+1)&amp;"_"&amp;(MOD(INT((A473-1)/5),5)+1)</f>
        <v>Округ_2_5</v>
      </c>
      <c r="H473" s="10" t="str">
        <f aca="false">"Город_"&amp;(MOD(A473-1,5)+1)&amp;"_"&amp;(MOD(INT((A473-1)/5),5)+1)&amp;"_"&amp;(MOD(INT((A473-1)/25),10)+1)</f>
        <v>Город_2_5_9</v>
      </c>
      <c r="I473" s="10" t="str">
        <f aca="false">CHOOSE(MOD(A473-1,4)+1,"Электроника","Одежда","Продукты","Мебель")</f>
        <v>Мебель</v>
      </c>
      <c r="J473" s="10" t="str">
        <f aca="false">CHOOSE(MOD(INT((A473-1)/4),4)+1,CHOOSE(MOD(A473-1,4)+1,"Смартфоны","Ноутбуки","Аксессуары","Аудио"),CHOOSE(MOD(A473-1,4)+1,"Верхняя одежда","Спортивная","Повседневная","Обувь"),CHOOSE(MOD(A473-1,4)+1,"Молочные","Мясные","Бакалея","Напитки"),CHOOSE(MOD(A473-1,4)+1,"Мягкая мебель","Корпусная","Офисная","Кухонная"))</f>
        <v>Обувь</v>
      </c>
      <c r="K473" s="12" t="n">
        <f aca="false">1000+MOD(A473*317+A473*A473*7,49001)</f>
        <v>44078</v>
      </c>
      <c r="L473" s="12" t="n">
        <f aca="false">1+MOD(A473*131,100)</f>
        <v>33</v>
      </c>
      <c r="M473" s="12" t="n">
        <f aca="false">INT(K473*(0.6+MOD(A473*43,21)/100))</f>
        <v>30854</v>
      </c>
      <c r="N473" s="12" t="n">
        <f aca="false">K473-M473</f>
        <v>13224</v>
      </c>
    </row>
    <row r="474" customFormat="false" ht="12.8" hidden="false" customHeight="false" outlineLevel="0" collapsed="false">
      <c r="A474" s="10" t="n">
        <f aca="false">A473+1</f>
        <v>473</v>
      </c>
      <c r="B474" s="11" t="n">
        <f aca="false">B473+1</f>
        <v>45399</v>
      </c>
      <c r="C474" s="10" t="n">
        <f aca="false">YEAR(B474)</f>
        <v>2024</v>
      </c>
      <c r="D474" s="10" t="n">
        <f aca="false">INT((MONTH(B474)-1)/3)+1</f>
        <v>2</v>
      </c>
      <c r="E474" s="10" t="n">
        <f aca="false">MONTH(B474)</f>
        <v>4</v>
      </c>
      <c r="F474" s="10" t="str">
        <f aca="false">CHOOSE(MOD(A474-1,5)+1,"Центр","Юг","Север","Запад","Восток")</f>
        <v>Север</v>
      </c>
      <c r="G474" s="10" t="str">
        <f aca="false">"Округ_"&amp;(MOD(A474-1,5)+1)&amp;"_"&amp;(MOD(INT((A474-1)/5),5)+1)</f>
        <v>Округ_3_5</v>
      </c>
      <c r="H474" s="10" t="str">
        <f aca="false">"Город_"&amp;(MOD(A474-1,5)+1)&amp;"_"&amp;(MOD(INT((A474-1)/5),5)+1)&amp;"_"&amp;(MOD(INT((A474-1)/25),10)+1)</f>
        <v>Город_3_5_9</v>
      </c>
      <c r="I474" s="10" t="str">
        <f aca="false">CHOOSE(MOD(A474-1,4)+1,"Электроника","Одежда","Продукты","Мебель")</f>
        <v>Электроника</v>
      </c>
      <c r="J474" s="10" t="str">
        <f aca="false">CHOOSE(MOD(INT((A474-1)/4),4)+1,CHOOSE(MOD(A474-1,4)+1,"Смартфоны","Ноутбуки","Аксессуары","Аудио"),CHOOSE(MOD(A474-1,4)+1,"Верхняя одежда","Спортивная","Повседневная","Обувь"),CHOOSE(MOD(A474-1,4)+1,"Молочные","Мясные","Бакалея","Напитки"),CHOOSE(MOD(A474-1,4)+1,"Мягкая мебель","Корпусная","Офисная","Кухонная"))</f>
        <v>Молочные</v>
      </c>
      <c r="K474" s="12" t="n">
        <f aca="false">1000+MOD(A474*317+A474*A474*7,49001)</f>
        <v>2009</v>
      </c>
      <c r="L474" s="12" t="n">
        <f aca="false">1+MOD(A474*131,100)</f>
        <v>64</v>
      </c>
      <c r="M474" s="12" t="n">
        <f aca="false">INT(K474*(0.6+MOD(A474*43,21)/100))</f>
        <v>1426</v>
      </c>
      <c r="N474" s="12" t="n">
        <f aca="false">K474-M474</f>
        <v>583</v>
      </c>
    </row>
    <row r="475" customFormat="false" ht="12.8" hidden="false" customHeight="false" outlineLevel="0" collapsed="false">
      <c r="A475" s="10" t="n">
        <f aca="false">A474+1</f>
        <v>474</v>
      </c>
      <c r="B475" s="11" t="n">
        <f aca="false">B474+1</f>
        <v>45400</v>
      </c>
      <c r="C475" s="10" t="n">
        <f aca="false">YEAR(B475)</f>
        <v>2024</v>
      </c>
      <c r="D475" s="10" t="n">
        <f aca="false">INT((MONTH(B475)-1)/3)+1</f>
        <v>2</v>
      </c>
      <c r="E475" s="10" t="n">
        <f aca="false">MONTH(B475)</f>
        <v>4</v>
      </c>
      <c r="F475" s="10" t="str">
        <f aca="false">CHOOSE(MOD(A475-1,5)+1,"Центр","Юг","Север","Запад","Восток")</f>
        <v>Запад</v>
      </c>
      <c r="G475" s="10" t="str">
        <f aca="false">"Округ_"&amp;(MOD(A475-1,5)+1)&amp;"_"&amp;(MOD(INT((A475-1)/5),5)+1)</f>
        <v>Округ_4_5</v>
      </c>
      <c r="H475" s="10" t="str">
        <f aca="false">"Город_"&amp;(MOD(A475-1,5)+1)&amp;"_"&amp;(MOD(INT((A475-1)/5),5)+1)&amp;"_"&amp;(MOD(INT((A475-1)/25),10)+1)</f>
        <v>Город_4_5_9</v>
      </c>
      <c r="I475" s="10" t="str">
        <f aca="false">CHOOSE(MOD(A475-1,4)+1,"Электроника","Одежда","Продукты","Мебель")</f>
        <v>Одежда</v>
      </c>
      <c r="J475" s="10" t="str">
        <f aca="false">CHOOSE(MOD(INT((A475-1)/4),4)+1,CHOOSE(MOD(A475-1,4)+1,"Смартфоны","Ноутбуки","Аксессуары","Аудио"),CHOOSE(MOD(A475-1,4)+1,"Верхняя одежда","Спортивная","Повседневная","Обувь"),CHOOSE(MOD(A475-1,4)+1,"Молочные","Мясные","Бакалея","Напитки"),CHOOSE(MOD(A475-1,4)+1,"Мягкая мебель","Корпусная","Офисная","Кухонная"))</f>
        <v>Мясные</v>
      </c>
      <c r="K475" s="12" t="n">
        <f aca="false">1000+MOD(A475*317+A475*A475*7,49001)</f>
        <v>8955</v>
      </c>
      <c r="L475" s="12" t="n">
        <f aca="false">1+MOD(A475*131,100)</f>
        <v>95</v>
      </c>
      <c r="M475" s="12" t="n">
        <f aca="false">INT(K475*(0.6+MOD(A475*43,21)/100))</f>
        <v>6447</v>
      </c>
      <c r="N475" s="12" t="n">
        <f aca="false">K475-M475</f>
        <v>2508</v>
      </c>
    </row>
    <row r="476" customFormat="false" ht="12.8" hidden="false" customHeight="false" outlineLevel="0" collapsed="false">
      <c r="A476" s="10" t="n">
        <f aca="false">A475+1</f>
        <v>475</v>
      </c>
      <c r="B476" s="11" t="n">
        <f aca="false">B475+1</f>
        <v>45401</v>
      </c>
      <c r="C476" s="10" t="n">
        <f aca="false">YEAR(B476)</f>
        <v>2024</v>
      </c>
      <c r="D476" s="10" t="n">
        <f aca="false">INT((MONTH(B476)-1)/3)+1</f>
        <v>2</v>
      </c>
      <c r="E476" s="10" t="n">
        <f aca="false">MONTH(B476)</f>
        <v>4</v>
      </c>
      <c r="F476" s="10" t="str">
        <f aca="false">CHOOSE(MOD(A476-1,5)+1,"Центр","Юг","Север","Запад","Восток")</f>
        <v>Восток</v>
      </c>
      <c r="G476" s="10" t="str">
        <f aca="false">"Округ_"&amp;(MOD(A476-1,5)+1)&amp;"_"&amp;(MOD(INT((A476-1)/5),5)+1)</f>
        <v>Округ_5_5</v>
      </c>
      <c r="H476" s="10" t="str">
        <f aca="false">"Город_"&amp;(MOD(A476-1,5)+1)&amp;"_"&amp;(MOD(INT((A476-1)/5),5)+1)&amp;"_"&amp;(MOD(INT((A476-1)/25),10)+1)</f>
        <v>Город_5_5_9</v>
      </c>
      <c r="I476" s="10" t="str">
        <f aca="false">CHOOSE(MOD(A476-1,4)+1,"Электроника","Одежда","Продукты","Мебель")</f>
        <v>Продукты</v>
      </c>
      <c r="J476" s="10" t="str">
        <f aca="false">CHOOSE(MOD(INT((A476-1)/4),4)+1,CHOOSE(MOD(A476-1,4)+1,"Смартфоны","Ноутбуки","Аксессуары","Аудио"),CHOOSE(MOD(A476-1,4)+1,"Верхняя одежда","Спортивная","Повседневная","Обувь"),CHOOSE(MOD(A476-1,4)+1,"Молочные","Мясные","Бакалея","Напитки"),CHOOSE(MOD(A476-1,4)+1,"Мягкая мебель","Корпусная","Офисная","Кухонная"))</f>
        <v>Бакалея</v>
      </c>
      <c r="K476" s="12" t="n">
        <f aca="false">1000+MOD(A476*317+A476*A476*7,49001)</f>
        <v>15915</v>
      </c>
      <c r="L476" s="12" t="n">
        <f aca="false">1+MOD(A476*131,100)</f>
        <v>26</v>
      </c>
      <c r="M476" s="12" t="n">
        <f aca="false">INT(K476*(0.6+MOD(A476*43,21)/100))</f>
        <v>11617</v>
      </c>
      <c r="N476" s="12" t="n">
        <f aca="false">K476-M476</f>
        <v>4298</v>
      </c>
    </row>
    <row r="477" customFormat="false" ht="12.8" hidden="false" customHeight="false" outlineLevel="0" collapsed="false">
      <c r="A477" s="10" t="n">
        <f aca="false">A476+1</f>
        <v>476</v>
      </c>
      <c r="B477" s="11" t="n">
        <f aca="false">B476+1</f>
        <v>45402</v>
      </c>
      <c r="C477" s="10" t="n">
        <f aca="false">YEAR(B477)</f>
        <v>2024</v>
      </c>
      <c r="D477" s="10" t="n">
        <f aca="false">INT((MONTH(B477)-1)/3)+1</f>
        <v>2</v>
      </c>
      <c r="E477" s="10" t="n">
        <f aca="false">MONTH(B477)</f>
        <v>4</v>
      </c>
      <c r="F477" s="10" t="str">
        <f aca="false">CHOOSE(MOD(A477-1,5)+1,"Центр","Юг","Север","Запад","Восток")</f>
        <v>Центр</v>
      </c>
      <c r="G477" s="10" t="str">
        <f aca="false">"Округ_"&amp;(MOD(A477-1,5)+1)&amp;"_"&amp;(MOD(INT((A477-1)/5),5)+1)</f>
        <v>Округ_1_1</v>
      </c>
      <c r="H477" s="10" t="str">
        <f aca="false">"Город_"&amp;(MOD(A477-1,5)+1)&amp;"_"&amp;(MOD(INT((A477-1)/5),5)+1)&amp;"_"&amp;(MOD(INT((A477-1)/25),10)+1)</f>
        <v>Город_1_1_10</v>
      </c>
      <c r="I477" s="10" t="str">
        <f aca="false">CHOOSE(MOD(A477-1,4)+1,"Электроника","Одежда","Продукты","Мебель")</f>
        <v>Мебель</v>
      </c>
      <c r="J477" s="10" t="str">
        <f aca="false">CHOOSE(MOD(INT((A477-1)/4),4)+1,CHOOSE(MOD(A477-1,4)+1,"Смартфоны","Ноутбуки","Аксессуары","Аудио"),CHOOSE(MOD(A477-1,4)+1,"Верхняя одежда","Спортивная","Повседневная","Обувь"),CHOOSE(MOD(A477-1,4)+1,"Молочные","Мясные","Бакалея","Напитки"),CHOOSE(MOD(A477-1,4)+1,"Мягкая мебель","Корпусная","Офисная","Кухонная"))</f>
        <v>Напитки</v>
      </c>
      <c r="K477" s="12" t="n">
        <f aca="false">1000+MOD(A477*317+A477*A477*7,49001)</f>
        <v>22889</v>
      </c>
      <c r="L477" s="12" t="n">
        <f aca="false">1+MOD(A477*131,100)</f>
        <v>57</v>
      </c>
      <c r="M477" s="12" t="n">
        <f aca="false">INT(K477*(0.6+MOD(A477*43,21)/100))</f>
        <v>16937</v>
      </c>
      <c r="N477" s="12" t="n">
        <f aca="false">K477-M477</f>
        <v>5952</v>
      </c>
    </row>
    <row r="478" customFormat="false" ht="12.8" hidden="false" customHeight="false" outlineLevel="0" collapsed="false">
      <c r="A478" s="10" t="n">
        <f aca="false">A477+1</f>
        <v>477</v>
      </c>
      <c r="B478" s="11" t="n">
        <f aca="false">B477+1</f>
        <v>45403</v>
      </c>
      <c r="C478" s="10" t="n">
        <f aca="false">YEAR(B478)</f>
        <v>2024</v>
      </c>
      <c r="D478" s="10" t="n">
        <f aca="false">INT((MONTH(B478)-1)/3)+1</f>
        <v>2</v>
      </c>
      <c r="E478" s="10" t="n">
        <f aca="false">MONTH(B478)</f>
        <v>4</v>
      </c>
      <c r="F478" s="10" t="str">
        <f aca="false">CHOOSE(MOD(A478-1,5)+1,"Центр","Юг","Север","Запад","Восток")</f>
        <v>Юг</v>
      </c>
      <c r="G478" s="10" t="str">
        <f aca="false">"Округ_"&amp;(MOD(A478-1,5)+1)&amp;"_"&amp;(MOD(INT((A478-1)/5),5)+1)</f>
        <v>Округ_2_1</v>
      </c>
      <c r="H478" s="10" t="str">
        <f aca="false">"Город_"&amp;(MOD(A478-1,5)+1)&amp;"_"&amp;(MOD(INT((A478-1)/5),5)+1)&amp;"_"&amp;(MOD(INT((A478-1)/25),10)+1)</f>
        <v>Город_2_1_10</v>
      </c>
      <c r="I478" s="10" t="str">
        <f aca="false">CHOOSE(MOD(A478-1,4)+1,"Электроника","Одежда","Продукты","Мебель")</f>
        <v>Электроника</v>
      </c>
      <c r="J478" s="10" t="str">
        <f aca="false">CHOOSE(MOD(INT((A478-1)/4),4)+1,CHOOSE(MOD(A478-1,4)+1,"Смартфоны","Ноутбуки","Аксессуары","Аудио"),CHOOSE(MOD(A478-1,4)+1,"Верхняя одежда","Спортивная","Повседневная","Обувь"),CHOOSE(MOD(A478-1,4)+1,"Молочные","Мясные","Бакалея","Напитки"),CHOOSE(MOD(A478-1,4)+1,"Мягкая мебель","Корпусная","Офисная","Кухонная"))</f>
        <v>Мягкая мебель</v>
      </c>
      <c r="K478" s="12" t="n">
        <f aca="false">1000+MOD(A478*317+A478*A478*7,49001)</f>
        <v>29877</v>
      </c>
      <c r="L478" s="12" t="n">
        <f aca="false">1+MOD(A478*131,100)</f>
        <v>88</v>
      </c>
      <c r="M478" s="12" t="n">
        <f aca="false">INT(K478*(0.6+MOD(A478*43,21)/100))</f>
        <v>22407</v>
      </c>
      <c r="N478" s="12" t="n">
        <f aca="false">K478-M478</f>
        <v>7470</v>
      </c>
    </row>
    <row r="479" customFormat="false" ht="12.8" hidden="false" customHeight="false" outlineLevel="0" collapsed="false">
      <c r="A479" s="10" t="n">
        <f aca="false">A478+1</f>
        <v>478</v>
      </c>
      <c r="B479" s="11" t="n">
        <f aca="false">B478+1</f>
        <v>45404</v>
      </c>
      <c r="C479" s="10" t="n">
        <f aca="false">YEAR(B479)</f>
        <v>2024</v>
      </c>
      <c r="D479" s="10" t="n">
        <f aca="false">INT((MONTH(B479)-1)/3)+1</f>
        <v>2</v>
      </c>
      <c r="E479" s="10" t="n">
        <f aca="false">MONTH(B479)</f>
        <v>4</v>
      </c>
      <c r="F479" s="10" t="str">
        <f aca="false">CHOOSE(MOD(A479-1,5)+1,"Центр","Юг","Север","Запад","Восток")</f>
        <v>Север</v>
      </c>
      <c r="G479" s="10" t="str">
        <f aca="false">"Округ_"&amp;(MOD(A479-1,5)+1)&amp;"_"&amp;(MOD(INT((A479-1)/5),5)+1)</f>
        <v>Округ_3_1</v>
      </c>
      <c r="H479" s="10" t="str">
        <f aca="false">"Город_"&amp;(MOD(A479-1,5)+1)&amp;"_"&amp;(MOD(INT((A479-1)/5),5)+1)&amp;"_"&amp;(MOD(INT((A479-1)/25),10)+1)</f>
        <v>Город_3_1_10</v>
      </c>
      <c r="I479" s="10" t="str">
        <f aca="false">CHOOSE(MOD(A479-1,4)+1,"Электроника","Одежда","Продукты","Мебель")</f>
        <v>Одежда</v>
      </c>
      <c r="J479" s="10" t="str">
        <f aca="false">CHOOSE(MOD(INT((A479-1)/4),4)+1,CHOOSE(MOD(A479-1,4)+1,"Смартфоны","Ноутбуки","Аксессуары","Аудио"),CHOOSE(MOD(A479-1,4)+1,"Верхняя одежда","Спортивная","Повседневная","Обувь"),CHOOSE(MOD(A479-1,4)+1,"Молочные","Мясные","Бакалея","Напитки"),CHOOSE(MOD(A479-1,4)+1,"Мягкая мебель","Корпусная","Офисная","Кухонная"))</f>
        <v>Корпусная</v>
      </c>
      <c r="K479" s="12" t="n">
        <f aca="false">1000+MOD(A479*317+A479*A479*7,49001)</f>
        <v>36879</v>
      </c>
      <c r="L479" s="12" t="n">
        <f aca="false">1+MOD(A479*131,100)</f>
        <v>19</v>
      </c>
      <c r="M479" s="12" t="n">
        <f aca="false">INT(K479*(0.6+MOD(A479*43,21)/100))</f>
        <v>28028</v>
      </c>
      <c r="N479" s="12" t="n">
        <f aca="false">K479-M479</f>
        <v>8851</v>
      </c>
    </row>
    <row r="480" customFormat="false" ht="12.8" hidden="false" customHeight="false" outlineLevel="0" collapsed="false">
      <c r="A480" s="10" t="n">
        <f aca="false">A479+1</f>
        <v>479</v>
      </c>
      <c r="B480" s="11" t="n">
        <f aca="false">B479+1</f>
        <v>45405</v>
      </c>
      <c r="C480" s="10" t="n">
        <f aca="false">YEAR(B480)</f>
        <v>2024</v>
      </c>
      <c r="D480" s="10" t="n">
        <f aca="false">INT((MONTH(B480)-1)/3)+1</f>
        <v>2</v>
      </c>
      <c r="E480" s="10" t="n">
        <f aca="false">MONTH(B480)</f>
        <v>4</v>
      </c>
      <c r="F480" s="10" t="str">
        <f aca="false">CHOOSE(MOD(A480-1,5)+1,"Центр","Юг","Север","Запад","Восток")</f>
        <v>Запад</v>
      </c>
      <c r="G480" s="10" t="str">
        <f aca="false">"Округ_"&amp;(MOD(A480-1,5)+1)&amp;"_"&amp;(MOD(INT((A480-1)/5),5)+1)</f>
        <v>Округ_4_1</v>
      </c>
      <c r="H480" s="10" t="str">
        <f aca="false">"Город_"&amp;(MOD(A480-1,5)+1)&amp;"_"&amp;(MOD(INT((A480-1)/5),5)+1)&amp;"_"&amp;(MOD(INT((A480-1)/25),10)+1)</f>
        <v>Город_4_1_10</v>
      </c>
      <c r="I480" s="10" t="str">
        <f aca="false">CHOOSE(MOD(A480-1,4)+1,"Электроника","Одежда","Продукты","Мебель")</f>
        <v>Продукты</v>
      </c>
      <c r="J480" s="10" t="str">
        <f aca="false">CHOOSE(MOD(INT((A480-1)/4),4)+1,CHOOSE(MOD(A480-1,4)+1,"Смартфоны","Ноутбуки","Аксессуары","Аудио"),CHOOSE(MOD(A480-1,4)+1,"Верхняя одежда","Спортивная","Повседневная","Обувь"),CHOOSE(MOD(A480-1,4)+1,"Молочные","Мясные","Бакалея","Напитки"),CHOOSE(MOD(A480-1,4)+1,"Мягкая мебель","Корпусная","Офисная","Кухонная"))</f>
        <v>Офисная</v>
      </c>
      <c r="K480" s="12" t="n">
        <f aca="false">1000+MOD(A480*317+A480*A480*7,49001)</f>
        <v>43895</v>
      </c>
      <c r="L480" s="12" t="n">
        <f aca="false">1+MOD(A480*131,100)</f>
        <v>50</v>
      </c>
      <c r="M480" s="12" t="n">
        <f aca="false">INT(K480*(0.6+MOD(A480*43,21)/100))</f>
        <v>33799</v>
      </c>
      <c r="N480" s="12" t="n">
        <f aca="false">K480-M480</f>
        <v>10096</v>
      </c>
    </row>
    <row r="481" customFormat="false" ht="12.8" hidden="false" customHeight="false" outlineLevel="0" collapsed="false">
      <c r="A481" s="10" t="n">
        <f aca="false">A480+1</f>
        <v>480</v>
      </c>
      <c r="B481" s="11" t="n">
        <f aca="false">B480+1</f>
        <v>45406</v>
      </c>
      <c r="C481" s="10" t="n">
        <f aca="false">YEAR(B481)</f>
        <v>2024</v>
      </c>
      <c r="D481" s="10" t="n">
        <f aca="false">INT((MONTH(B481)-1)/3)+1</f>
        <v>2</v>
      </c>
      <c r="E481" s="10" t="n">
        <f aca="false">MONTH(B481)</f>
        <v>4</v>
      </c>
      <c r="F481" s="10" t="str">
        <f aca="false">CHOOSE(MOD(A481-1,5)+1,"Центр","Юг","Север","Запад","Восток")</f>
        <v>Восток</v>
      </c>
      <c r="G481" s="10" t="str">
        <f aca="false">"Округ_"&amp;(MOD(A481-1,5)+1)&amp;"_"&amp;(MOD(INT((A481-1)/5),5)+1)</f>
        <v>Округ_5_1</v>
      </c>
      <c r="H481" s="10" t="str">
        <f aca="false">"Город_"&amp;(MOD(A481-1,5)+1)&amp;"_"&amp;(MOD(INT((A481-1)/5),5)+1)&amp;"_"&amp;(MOD(INT((A481-1)/25),10)+1)</f>
        <v>Город_5_1_10</v>
      </c>
      <c r="I481" s="10" t="str">
        <f aca="false">CHOOSE(MOD(A481-1,4)+1,"Электроника","Одежда","Продукты","Мебель")</f>
        <v>Мебель</v>
      </c>
      <c r="J481" s="10" t="str">
        <f aca="false">CHOOSE(MOD(INT((A481-1)/4),4)+1,CHOOSE(MOD(A481-1,4)+1,"Смартфоны","Ноутбуки","Аксессуары","Аудио"),CHOOSE(MOD(A481-1,4)+1,"Верхняя одежда","Спортивная","Повседневная","Обувь"),CHOOSE(MOD(A481-1,4)+1,"Молочные","Мясные","Бакалея","Напитки"),CHOOSE(MOD(A481-1,4)+1,"Мягкая мебель","Корпусная","Офисная","Кухонная"))</f>
        <v>Кухонная</v>
      </c>
      <c r="K481" s="12" t="n">
        <f aca="false">1000+MOD(A481*317+A481*A481*7,49001)</f>
        <v>1924</v>
      </c>
      <c r="L481" s="12" t="n">
        <f aca="false">1+MOD(A481*131,100)</f>
        <v>81</v>
      </c>
      <c r="M481" s="12" t="n">
        <f aca="false">INT(K481*(0.6+MOD(A481*43,21)/100))</f>
        <v>1500</v>
      </c>
      <c r="N481" s="12" t="n">
        <f aca="false">K481-M481</f>
        <v>424</v>
      </c>
    </row>
    <row r="482" customFormat="false" ht="12.8" hidden="false" customHeight="false" outlineLevel="0" collapsed="false">
      <c r="A482" s="10" t="n">
        <f aca="false">A481+1</f>
        <v>481</v>
      </c>
      <c r="B482" s="11" t="n">
        <f aca="false">B481+1</f>
        <v>45407</v>
      </c>
      <c r="C482" s="10" t="n">
        <f aca="false">YEAR(B482)</f>
        <v>2024</v>
      </c>
      <c r="D482" s="10" t="n">
        <f aca="false">INT((MONTH(B482)-1)/3)+1</f>
        <v>2</v>
      </c>
      <c r="E482" s="10" t="n">
        <f aca="false">MONTH(B482)</f>
        <v>4</v>
      </c>
      <c r="F482" s="10" t="str">
        <f aca="false">CHOOSE(MOD(A482-1,5)+1,"Центр","Юг","Север","Запад","Восток")</f>
        <v>Центр</v>
      </c>
      <c r="G482" s="10" t="str">
        <f aca="false">"Округ_"&amp;(MOD(A482-1,5)+1)&amp;"_"&amp;(MOD(INT((A482-1)/5),5)+1)</f>
        <v>Округ_1_2</v>
      </c>
      <c r="H482" s="10" t="str">
        <f aca="false">"Город_"&amp;(MOD(A482-1,5)+1)&amp;"_"&amp;(MOD(INT((A482-1)/5),5)+1)&amp;"_"&amp;(MOD(INT((A482-1)/25),10)+1)</f>
        <v>Город_1_2_10</v>
      </c>
      <c r="I482" s="10" t="str">
        <f aca="false">CHOOSE(MOD(A482-1,4)+1,"Электроника","Одежда","Продукты","Мебель")</f>
        <v>Электроника</v>
      </c>
      <c r="J482" s="10" t="str">
        <f aca="false">CHOOSE(MOD(INT((A482-1)/4),4)+1,CHOOSE(MOD(A482-1,4)+1,"Смартфоны","Ноутбуки","Аксессуары","Аудио"),CHOOSE(MOD(A482-1,4)+1,"Верхняя одежда","Спортивная","Повседневная","Обувь"),CHOOSE(MOD(A482-1,4)+1,"Молочные","Мясные","Бакалея","Напитки"),CHOOSE(MOD(A482-1,4)+1,"Мягкая мебель","Корпусная","Офисная","Кухонная"))</f>
        <v>Смартфоны</v>
      </c>
      <c r="K482" s="12" t="n">
        <f aca="false">1000+MOD(A482*317+A482*A482*7,49001)</f>
        <v>8968</v>
      </c>
      <c r="L482" s="12" t="n">
        <f aca="false">1+MOD(A482*131,100)</f>
        <v>12</v>
      </c>
      <c r="M482" s="12" t="n">
        <f aca="false">INT(K482*(0.6+MOD(A482*43,21)/100))</f>
        <v>7084</v>
      </c>
      <c r="N482" s="12" t="n">
        <f aca="false">K482-M482</f>
        <v>1884</v>
      </c>
    </row>
    <row r="483" customFormat="false" ht="12.8" hidden="false" customHeight="false" outlineLevel="0" collapsed="false">
      <c r="A483" s="10" t="n">
        <f aca="false">A482+1</f>
        <v>482</v>
      </c>
      <c r="B483" s="11" t="n">
        <f aca="false">B482+1</f>
        <v>45408</v>
      </c>
      <c r="C483" s="10" t="n">
        <f aca="false">YEAR(B483)</f>
        <v>2024</v>
      </c>
      <c r="D483" s="10" t="n">
        <f aca="false">INT((MONTH(B483)-1)/3)+1</f>
        <v>2</v>
      </c>
      <c r="E483" s="10" t="n">
        <f aca="false">MONTH(B483)</f>
        <v>4</v>
      </c>
      <c r="F483" s="10" t="str">
        <f aca="false">CHOOSE(MOD(A483-1,5)+1,"Центр","Юг","Север","Запад","Восток")</f>
        <v>Юг</v>
      </c>
      <c r="G483" s="10" t="str">
        <f aca="false">"Округ_"&amp;(MOD(A483-1,5)+1)&amp;"_"&amp;(MOD(INT((A483-1)/5),5)+1)</f>
        <v>Округ_2_2</v>
      </c>
      <c r="H483" s="10" t="str">
        <f aca="false">"Город_"&amp;(MOD(A483-1,5)+1)&amp;"_"&amp;(MOD(INT((A483-1)/5),5)+1)&amp;"_"&amp;(MOD(INT((A483-1)/25),10)+1)</f>
        <v>Город_2_2_10</v>
      </c>
      <c r="I483" s="10" t="str">
        <f aca="false">CHOOSE(MOD(A483-1,4)+1,"Электроника","Одежда","Продукты","Мебель")</f>
        <v>Одежда</v>
      </c>
      <c r="J483" s="10" t="str">
        <f aca="false">CHOOSE(MOD(INT((A483-1)/4),4)+1,CHOOSE(MOD(A483-1,4)+1,"Смартфоны","Ноутбуки","Аксессуары","Аудио"),CHOOSE(MOD(A483-1,4)+1,"Верхняя одежда","Спортивная","Повседневная","Обувь"),CHOOSE(MOD(A483-1,4)+1,"Молочные","Мясные","Бакалея","Напитки"),CHOOSE(MOD(A483-1,4)+1,"Мягкая мебель","Корпусная","Офисная","Кухонная"))</f>
        <v>Ноутбуки</v>
      </c>
      <c r="K483" s="12" t="n">
        <f aca="false">1000+MOD(A483*317+A483*A483*7,49001)</f>
        <v>16026</v>
      </c>
      <c r="L483" s="12" t="n">
        <f aca="false">1+MOD(A483*131,100)</f>
        <v>43</v>
      </c>
      <c r="M483" s="12" t="n">
        <f aca="false">INT(K483*(0.6+MOD(A483*43,21)/100))</f>
        <v>12820</v>
      </c>
      <c r="N483" s="12" t="n">
        <f aca="false">K483-M483</f>
        <v>3206</v>
      </c>
    </row>
    <row r="484" customFormat="false" ht="12.8" hidden="false" customHeight="false" outlineLevel="0" collapsed="false">
      <c r="A484" s="10" t="n">
        <f aca="false">A483+1</f>
        <v>483</v>
      </c>
      <c r="B484" s="11" t="n">
        <f aca="false">B483+1</f>
        <v>45409</v>
      </c>
      <c r="C484" s="10" t="n">
        <f aca="false">YEAR(B484)</f>
        <v>2024</v>
      </c>
      <c r="D484" s="10" t="n">
        <f aca="false">INT((MONTH(B484)-1)/3)+1</f>
        <v>2</v>
      </c>
      <c r="E484" s="10" t="n">
        <f aca="false">MONTH(B484)</f>
        <v>4</v>
      </c>
      <c r="F484" s="10" t="str">
        <f aca="false">CHOOSE(MOD(A484-1,5)+1,"Центр","Юг","Север","Запад","Восток")</f>
        <v>Север</v>
      </c>
      <c r="G484" s="10" t="str">
        <f aca="false">"Округ_"&amp;(MOD(A484-1,5)+1)&amp;"_"&amp;(MOD(INT((A484-1)/5),5)+1)</f>
        <v>Округ_3_2</v>
      </c>
      <c r="H484" s="10" t="str">
        <f aca="false">"Город_"&amp;(MOD(A484-1,5)+1)&amp;"_"&amp;(MOD(INT((A484-1)/5),5)+1)&amp;"_"&amp;(MOD(INT((A484-1)/25),10)+1)</f>
        <v>Город_3_2_10</v>
      </c>
      <c r="I484" s="10" t="str">
        <f aca="false">CHOOSE(MOD(A484-1,4)+1,"Электроника","Одежда","Продукты","Мебель")</f>
        <v>Продукты</v>
      </c>
      <c r="J484" s="10" t="str">
        <f aca="false">CHOOSE(MOD(INT((A484-1)/4),4)+1,CHOOSE(MOD(A484-1,4)+1,"Смартфоны","Ноутбуки","Аксессуары","Аудио"),CHOOSE(MOD(A484-1,4)+1,"Верхняя одежда","Спортивная","Повседневная","Обувь"),CHOOSE(MOD(A484-1,4)+1,"Молочные","Мясные","Бакалея","Напитки"),CHOOSE(MOD(A484-1,4)+1,"Мягкая мебель","Корпусная","Офисная","Кухонная"))</f>
        <v>Аксессуары</v>
      </c>
      <c r="K484" s="12" t="n">
        <f aca="false">1000+MOD(A484*317+A484*A484*7,49001)</f>
        <v>23098</v>
      </c>
      <c r="L484" s="12" t="n">
        <f aca="false">1+MOD(A484*131,100)</f>
        <v>74</v>
      </c>
      <c r="M484" s="12" t="n">
        <f aca="false">INT(K484*(0.6+MOD(A484*43,21)/100))</f>
        <v>13858</v>
      </c>
      <c r="N484" s="12" t="n">
        <f aca="false">K484-M484</f>
        <v>9240</v>
      </c>
    </row>
    <row r="485" customFormat="false" ht="12.8" hidden="false" customHeight="false" outlineLevel="0" collapsed="false">
      <c r="A485" s="10" t="n">
        <f aca="false">A484+1</f>
        <v>484</v>
      </c>
      <c r="B485" s="11" t="n">
        <f aca="false">B484+1</f>
        <v>45410</v>
      </c>
      <c r="C485" s="10" t="n">
        <f aca="false">YEAR(B485)</f>
        <v>2024</v>
      </c>
      <c r="D485" s="10" t="n">
        <f aca="false">INT((MONTH(B485)-1)/3)+1</f>
        <v>2</v>
      </c>
      <c r="E485" s="10" t="n">
        <f aca="false">MONTH(B485)</f>
        <v>4</v>
      </c>
      <c r="F485" s="10" t="str">
        <f aca="false">CHOOSE(MOD(A485-1,5)+1,"Центр","Юг","Север","Запад","Восток")</f>
        <v>Запад</v>
      </c>
      <c r="G485" s="10" t="str">
        <f aca="false">"Округ_"&amp;(MOD(A485-1,5)+1)&amp;"_"&amp;(MOD(INT((A485-1)/5),5)+1)</f>
        <v>Округ_4_2</v>
      </c>
      <c r="H485" s="10" t="str">
        <f aca="false">"Город_"&amp;(MOD(A485-1,5)+1)&amp;"_"&amp;(MOD(INT((A485-1)/5),5)+1)&amp;"_"&amp;(MOD(INT((A485-1)/25),10)+1)</f>
        <v>Город_4_2_10</v>
      </c>
      <c r="I485" s="10" t="str">
        <f aca="false">CHOOSE(MOD(A485-1,4)+1,"Электроника","Одежда","Продукты","Мебель")</f>
        <v>Мебель</v>
      </c>
      <c r="J485" s="10" t="str">
        <f aca="false">CHOOSE(MOD(INT((A485-1)/4),4)+1,CHOOSE(MOD(A485-1,4)+1,"Смартфоны","Ноутбуки","Аксессуары","Аудио"),CHOOSE(MOD(A485-1,4)+1,"Верхняя одежда","Спортивная","Повседневная","Обувь"),CHOOSE(MOD(A485-1,4)+1,"Молочные","Мясные","Бакалея","Напитки"),CHOOSE(MOD(A485-1,4)+1,"Мягкая мебель","Корпусная","Офисная","Кухонная"))</f>
        <v>Аудио</v>
      </c>
      <c r="K485" s="12" t="n">
        <f aca="false">1000+MOD(A485*317+A485*A485*7,49001)</f>
        <v>30184</v>
      </c>
      <c r="L485" s="12" t="n">
        <f aca="false">1+MOD(A485*131,100)</f>
        <v>5</v>
      </c>
      <c r="M485" s="12" t="n">
        <f aca="false">INT(K485*(0.6+MOD(A485*43,21)/100))</f>
        <v>18412</v>
      </c>
      <c r="N485" s="12" t="n">
        <f aca="false">K485-M485</f>
        <v>11772</v>
      </c>
    </row>
    <row r="486" customFormat="false" ht="12.8" hidden="false" customHeight="false" outlineLevel="0" collapsed="false">
      <c r="A486" s="10" t="n">
        <f aca="false">A485+1</f>
        <v>485</v>
      </c>
      <c r="B486" s="11" t="n">
        <f aca="false">B485+1</f>
        <v>45411</v>
      </c>
      <c r="C486" s="10" t="n">
        <f aca="false">YEAR(B486)</f>
        <v>2024</v>
      </c>
      <c r="D486" s="10" t="n">
        <f aca="false">INT((MONTH(B486)-1)/3)+1</f>
        <v>2</v>
      </c>
      <c r="E486" s="10" t="n">
        <f aca="false">MONTH(B486)</f>
        <v>4</v>
      </c>
      <c r="F486" s="10" t="str">
        <f aca="false">CHOOSE(MOD(A486-1,5)+1,"Центр","Юг","Север","Запад","Восток")</f>
        <v>Восток</v>
      </c>
      <c r="G486" s="10" t="str">
        <f aca="false">"Округ_"&amp;(MOD(A486-1,5)+1)&amp;"_"&amp;(MOD(INT((A486-1)/5),5)+1)</f>
        <v>Округ_5_2</v>
      </c>
      <c r="H486" s="10" t="str">
        <f aca="false">"Город_"&amp;(MOD(A486-1,5)+1)&amp;"_"&amp;(MOD(INT((A486-1)/5),5)+1)&amp;"_"&amp;(MOD(INT((A486-1)/25),10)+1)</f>
        <v>Город_5_2_10</v>
      </c>
      <c r="I486" s="10" t="str">
        <f aca="false">CHOOSE(MOD(A486-1,4)+1,"Электроника","Одежда","Продукты","Мебель")</f>
        <v>Электроника</v>
      </c>
      <c r="J486" s="10" t="str">
        <f aca="false">CHOOSE(MOD(INT((A486-1)/4),4)+1,CHOOSE(MOD(A486-1,4)+1,"Смартфоны","Ноутбуки","Аксессуары","Аудио"),CHOOSE(MOD(A486-1,4)+1,"Верхняя одежда","Спортивная","Повседневная","Обувь"),CHOOSE(MOD(A486-1,4)+1,"Молочные","Мясные","Бакалея","Напитки"),CHOOSE(MOD(A486-1,4)+1,"Мягкая мебель","Корпусная","Офисная","Кухонная"))</f>
        <v>Верхняя одежда</v>
      </c>
      <c r="K486" s="12" t="n">
        <f aca="false">1000+MOD(A486*317+A486*A486*7,49001)</f>
        <v>37284</v>
      </c>
      <c r="L486" s="12" t="n">
        <f aca="false">1+MOD(A486*131,100)</f>
        <v>36</v>
      </c>
      <c r="M486" s="12" t="n">
        <f aca="false">INT(K486*(0.6+MOD(A486*43,21)/100))</f>
        <v>23116</v>
      </c>
      <c r="N486" s="12" t="n">
        <f aca="false">K486-M486</f>
        <v>14168</v>
      </c>
    </row>
    <row r="487" customFormat="false" ht="12.8" hidden="false" customHeight="false" outlineLevel="0" collapsed="false">
      <c r="A487" s="10" t="n">
        <f aca="false">A486+1</f>
        <v>486</v>
      </c>
      <c r="B487" s="11" t="n">
        <f aca="false">B486+1</f>
        <v>45412</v>
      </c>
      <c r="C487" s="10" t="n">
        <f aca="false">YEAR(B487)</f>
        <v>2024</v>
      </c>
      <c r="D487" s="10" t="n">
        <f aca="false">INT((MONTH(B487)-1)/3)+1</f>
        <v>2</v>
      </c>
      <c r="E487" s="10" t="n">
        <f aca="false">MONTH(B487)</f>
        <v>4</v>
      </c>
      <c r="F487" s="10" t="str">
        <f aca="false">CHOOSE(MOD(A487-1,5)+1,"Центр","Юг","Север","Запад","Восток")</f>
        <v>Центр</v>
      </c>
      <c r="G487" s="10" t="str">
        <f aca="false">"Округ_"&amp;(MOD(A487-1,5)+1)&amp;"_"&amp;(MOD(INT((A487-1)/5),5)+1)</f>
        <v>Округ_1_3</v>
      </c>
      <c r="H487" s="10" t="str">
        <f aca="false">"Город_"&amp;(MOD(A487-1,5)+1)&amp;"_"&amp;(MOD(INT((A487-1)/5),5)+1)&amp;"_"&amp;(MOD(INT((A487-1)/25),10)+1)</f>
        <v>Город_1_3_10</v>
      </c>
      <c r="I487" s="10" t="str">
        <f aca="false">CHOOSE(MOD(A487-1,4)+1,"Электроника","Одежда","Продукты","Мебель")</f>
        <v>Одежда</v>
      </c>
      <c r="J487" s="10" t="str">
        <f aca="false">CHOOSE(MOD(INT((A487-1)/4),4)+1,CHOOSE(MOD(A487-1,4)+1,"Смартфоны","Ноутбуки","Аксессуары","Аудио"),CHOOSE(MOD(A487-1,4)+1,"Верхняя одежда","Спортивная","Повседневная","Обувь"),CHOOSE(MOD(A487-1,4)+1,"Молочные","Мясные","Бакалея","Напитки"),CHOOSE(MOD(A487-1,4)+1,"Мягкая мебель","Корпусная","Офисная","Кухонная"))</f>
        <v>Спортивная</v>
      </c>
      <c r="K487" s="12" t="n">
        <f aca="false">1000+MOD(A487*317+A487*A487*7,49001)</f>
        <v>44398</v>
      </c>
      <c r="L487" s="12" t="n">
        <f aca="false">1+MOD(A487*131,100)</f>
        <v>67</v>
      </c>
      <c r="M487" s="12" t="n">
        <f aca="false">INT(K487*(0.6+MOD(A487*43,21)/100))</f>
        <v>27970</v>
      </c>
      <c r="N487" s="12" t="n">
        <f aca="false">K487-M487</f>
        <v>16428</v>
      </c>
    </row>
    <row r="488" customFormat="false" ht="12.8" hidden="false" customHeight="false" outlineLevel="0" collapsed="false">
      <c r="A488" s="10" t="n">
        <f aca="false">A487+1</f>
        <v>487</v>
      </c>
      <c r="B488" s="11" t="n">
        <f aca="false">B487+1</f>
        <v>45413</v>
      </c>
      <c r="C488" s="10" t="n">
        <f aca="false">YEAR(B488)</f>
        <v>2024</v>
      </c>
      <c r="D488" s="10" t="n">
        <f aca="false">INT((MONTH(B488)-1)/3)+1</f>
        <v>2</v>
      </c>
      <c r="E488" s="10" t="n">
        <f aca="false">MONTH(B488)</f>
        <v>5</v>
      </c>
      <c r="F488" s="10" t="str">
        <f aca="false">CHOOSE(MOD(A488-1,5)+1,"Центр","Юг","Север","Запад","Восток")</f>
        <v>Юг</v>
      </c>
      <c r="G488" s="10" t="str">
        <f aca="false">"Округ_"&amp;(MOD(A488-1,5)+1)&amp;"_"&amp;(MOD(INT((A488-1)/5),5)+1)</f>
        <v>Округ_2_3</v>
      </c>
      <c r="H488" s="10" t="str">
        <f aca="false">"Город_"&amp;(MOD(A488-1,5)+1)&amp;"_"&amp;(MOD(INT((A488-1)/5),5)+1)&amp;"_"&amp;(MOD(INT((A488-1)/25),10)+1)</f>
        <v>Город_2_3_10</v>
      </c>
      <c r="I488" s="10" t="str">
        <f aca="false">CHOOSE(MOD(A488-1,4)+1,"Электроника","Одежда","Продукты","Мебель")</f>
        <v>Продукты</v>
      </c>
      <c r="J488" s="10" t="str">
        <f aca="false">CHOOSE(MOD(INT((A488-1)/4),4)+1,CHOOSE(MOD(A488-1,4)+1,"Смартфоны","Ноутбуки","Аксессуары","Аудио"),CHOOSE(MOD(A488-1,4)+1,"Верхняя одежда","Спортивная","Повседневная","Обувь"),CHOOSE(MOD(A488-1,4)+1,"Молочные","Мясные","Бакалея","Напитки"),CHOOSE(MOD(A488-1,4)+1,"Мягкая мебель","Корпусная","Офисная","Кухонная"))</f>
        <v>Повседневная</v>
      </c>
      <c r="K488" s="12" t="n">
        <f aca="false">1000+MOD(A488*317+A488*A488*7,49001)</f>
        <v>2525</v>
      </c>
      <c r="L488" s="12" t="n">
        <f aca="false">1+MOD(A488*131,100)</f>
        <v>98</v>
      </c>
      <c r="M488" s="12" t="n">
        <f aca="false">INT(K488*(0.6+MOD(A488*43,21)/100))</f>
        <v>1616</v>
      </c>
      <c r="N488" s="12" t="n">
        <f aca="false">K488-M488</f>
        <v>909</v>
      </c>
    </row>
    <row r="489" customFormat="false" ht="12.8" hidden="false" customHeight="false" outlineLevel="0" collapsed="false">
      <c r="A489" s="10" t="n">
        <f aca="false">A488+1</f>
        <v>488</v>
      </c>
      <c r="B489" s="11" t="n">
        <f aca="false">B488+1</f>
        <v>45414</v>
      </c>
      <c r="C489" s="10" t="n">
        <f aca="false">YEAR(B489)</f>
        <v>2024</v>
      </c>
      <c r="D489" s="10" t="n">
        <f aca="false">INT((MONTH(B489)-1)/3)+1</f>
        <v>2</v>
      </c>
      <c r="E489" s="10" t="n">
        <f aca="false">MONTH(B489)</f>
        <v>5</v>
      </c>
      <c r="F489" s="10" t="str">
        <f aca="false">CHOOSE(MOD(A489-1,5)+1,"Центр","Юг","Север","Запад","Восток")</f>
        <v>Север</v>
      </c>
      <c r="G489" s="10" t="str">
        <f aca="false">"Округ_"&amp;(MOD(A489-1,5)+1)&amp;"_"&amp;(MOD(INT((A489-1)/5),5)+1)</f>
        <v>Округ_3_3</v>
      </c>
      <c r="H489" s="10" t="str">
        <f aca="false">"Город_"&amp;(MOD(A489-1,5)+1)&amp;"_"&amp;(MOD(INT((A489-1)/5),5)+1)&amp;"_"&amp;(MOD(INT((A489-1)/25),10)+1)</f>
        <v>Город_3_3_10</v>
      </c>
      <c r="I489" s="10" t="str">
        <f aca="false">CHOOSE(MOD(A489-1,4)+1,"Электроника","Одежда","Продукты","Мебель")</f>
        <v>Мебель</v>
      </c>
      <c r="J489" s="10" t="str">
        <f aca="false">CHOOSE(MOD(INT((A489-1)/4),4)+1,CHOOSE(MOD(A489-1,4)+1,"Смартфоны","Ноутбуки","Аксессуары","Аудио"),CHOOSE(MOD(A489-1,4)+1,"Верхняя одежда","Спортивная","Повседневная","Обувь"),CHOOSE(MOD(A489-1,4)+1,"Молочные","Мясные","Бакалея","Напитки"),CHOOSE(MOD(A489-1,4)+1,"Мягкая мебель","Корпусная","Офисная","Кухонная"))</f>
        <v>Обувь</v>
      </c>
      <c r="K489" s="12" t="n">
        <f aca="false">1000+MOD(A489*317+A489*A489*7,49001)</f>
        <v>9667</v>
      </c>
      <c r="L489" s="12" t="n">
        <f aca="false">1+MOD(A489*131,100)</f>
        <v>29</v>
      </c>
      <c r="M489" s="12" t="n">
        <f aca="false">INT(K489*(0.6+MOD(A489*43,21)/100))</f>
        <v>6283</v>
      </c>
      <c r="N489" s="12" t="n">
        <f aca="false">K489-M489</f>
        <v>3384</v>
      </c>
    </row>
    <row r="490" customFormat="false" ht="12.8" hidden="false" customHeight="false" outlineLevel="0" collapsed="false">
      <c r="A490" s="10" t="n">
        <f aca="false">A489+1</f>
        <v>489</v>
      </c>
      <c r="B490" s="11" t="n">
        <f aca="false">B489+1</f>
        <v>45415</v>
      </c>
      <c r="C490" s="10" t="n">
        <f aca="false">YEAR(B490)</f>
        <v>2024</v>
      </c>
      <c r="D490" s="10" t="n">
        <f aca="false">INT((MONTH(B490)-1)/3)+1</f>
        <v>2</v>
      </c>
      <c r="E490" s="10" t="n">
        <f aca="false">MONTH(B490)</f>
        <v>5</v>
      </c>
      <c r="F490" s="10" t="str">
        <f aca="false">CHOOSE(MOD(A490-1,5)+1,"Центр","Юг","Север","Запад","Восток")</f>
        <v>Запад</v>
      </c>
      <c r="G490" s="10" t="str">
        <f aca="false">"Округ_"&amp;(MOD(A490-1,5)+1)&amp;"_"&amp;(MOD(INT((A490-1)/5),5)+1)</f>
        <v>Округ_4_3</v>
      </c>
      <c r="H490" s="10" t="str">
        <f aca="false">"Город_"&amp;(MOD(A490-1,5)+1)&amp;"_"&amp;(MOD(INT((A490-1)/5),5)+1)&amp;"_"&amp;(MOD(INT((A490-1)/25),10)+1)</f>
        <v>Город_4_3_10</v>
      </c>
      <c r="I490" s="10" t="str">
        <f aca="false">CHOOSE(MOD(A490-1,4)+1,"Электроника","Одежда","Продукты","Мебель")</f>
        <v>Электроника</v>
      </c>
      <c r="J490" s="10" t="str">
        <f aca="false">CHOOSE(MOD(INT((A490-1)/4),4)+1,CHOOSE(MOD(A490-1,4)+1,"Смартфоны","Ноутбуки","Аксессуары","Аудио"),CHOOSE(MOD(A490-1,4)+1,"Верхняя одежда","Спортивная","Повседневная","Обувь"),CHOOSE(MOD(A490-1,4)+1,"Молочные","Мясные","Бакалея","Напитки"),CHOOSE(MOD(A490-1,4)+1,"Мягкая мебель","Корпусная","Офисная","Кухонная"))</f>
        <v>Молочные</v>
      </c>
      <c r="K490" s="12" t="n">
        <f aca="false">1000+MOD(A490*317+A490*A490*7,49001)</f>
        <v>16823</v>
      </c>
      <c r="L490" s="12" t="n">
        <f aca="false">1+MOD(A490*131,100)</f>
        <v>60</v>
      </c>
      <c r="M490" s="12" t="n">
        <f aca="false">INT(K490*(0.6+MOD(A490*43,21)/100))</f>
        <v>11103</v>
      </c>
      <c r="N490" s="12" t="n">
        <f aca="false">K490-M490</f>
        <v>5720</v>
      </c>
    </row>
    <row r="491" customFormat="false" ht="12.8" hidden="false" customHeight="false" outlineLevel="0" collapsed="false">
      <c r="A491" s="10" t="n">
        <f aca="false">A490+1</f>
        <v>490</v>
      </c>
      <c r="B491" s="11" t="n">
        <f aca="false">B490+1</f>
        <v>45416</v>
      </c>
      <c r="C491" s="10" t="n">
        <f aca="false">YEAR(B491)</f>
        <v>2024</v>
      </c>
      <c r="D491" s="10" t="n">
        <f aca="false">INT((MONTH(B491)-1)/3)+1</f>
        <v>2</v>
      </c>
      <c r="E491" s="10" t="n">
        <f aca="false">MONTH(B491)</f>
        <v>5</v>
      </c>
      <c r="F491" s="10" t="str">
        <f aca="false">CHOOSE(MOD(A491-1,5)+1,"Центр","Юг","Север","Запад","Восток")</f>
        <v>Восток</v>
      </c>
      <c r="G491" s="10" t="str">
        <f aca="false">"Округ_"&amp;(MOD(A491-1,5)+1)&amp;"_"&amp;(MOD(INT((A491-1)/5),5)+1)</f>
        <v>Округ_5_3</v>
      </c>
      <c r="H491" s="10" t="str">
        <f aca="false">"Город_"&amp;(MOD(A491-1,5)+1)&amp;"_"&amp;(MOD(INT((A491-1)/5),5)+1)&amp;"_"&amp;(MOD(INT((A491-1)/25),10)+1)</f>
        <v>Город_5_3_10</v>
      </c>
      <c r="I491" s="10" t="str">
        <f aca="false">CHOOSE(MOD(A491-1,4)+1,"Электроника","Одежда","Продукты","Мебель")</f>
        <v>Одежда</v>
      </c>
      <c r="J491" s="10" t="str">
        <f aca="false">CHOOSE(MOD(INT((A491-1)/4),4)+1,CHOOSE(MOD(A491-1,4)+1,"Смартфоны","Ноутбуки","Аксессуары","Аудио"),CHOOSE(MOD(A491-1,4)+1,"Верхняя одежда","Спортивная","Повседневная","Обувь"),CHOOSE(MOD(A491-1,4)+1,"Молочные","Мясные","Бакалея","Напитки"),CHOOSE(MOD(A491-1,4)+1,"Мягкая мебель","Корпусная","Офисная","Кухонная"))</f>
        <v>Мясные</v>
      </c>
      <c r="K491" s="12" t="n">
        <f aca="false">1000+MOD(A491*317+A491*A491*7,49001)</f>
        <v>23993</v>
      </c>
      <c r="L491" s="12" t="n">
        <f aca="false">1+MOD(A491*131,100)</f>
        <v>91</v>
      </c>
      <c r="M491" s="12" t="n">
        <f aca="false">INT(K491*(0.6+MOD(A491*43,21)/100))</f>
        <v>16075</v>
      </c>
      <c r="N491" s="12" t="n">
        <f aca="false">K491-M491</f>
        <v>7918</v>
      </c>
    </row>
    <row r="492" customFormat="false" ht="12.8" hidden="false" customHeight="false" outlineLevel="0" collapsed="false">
      <c r="A492" s="10" t="n">
        <f aca="false">A491+1</f>
        <v>491</v>
      </c>
      <c r="B492" s="11" t="n">
        <f aca="false">B491+1</f>
        <v>45417</v>
      </c>
      <c r="C492" s="10" t="n">
        <f aca="false">YEAR(B492)</f>
        <v>2024</v>
      </c>
      <c r="D492" s="10" t="n">
        <f aca="false">INT((MONTH(B492)-1)/3)+1</f>
        <v>2</v>
      </c>
      <c r="E492" s="10" t="n">
        <f aca="false">MONTH(B492)</f>
        <v>5</v>
      </c>
      <c r="F492" s="10" t="str">
        <f aca="false">CHOOSE(MOD(A492-1,5)+1,"Центр","Юг","Север","Запад","Восток")</f>
        <v>Центр</v>
      </c>
      <c r="G492" s="10" t="str">
        <f aca="false">"Округ_"&amp;(MOD(A492-1,5)+1)&amp;"_"&amp;(MOD(INT((A492-1)/5),5)+1)</f>
        <v>Округ_1_4</v>
      </c>
      <c r="H492" s="10" t="str">
        <f aca="false">"Город_"&amp;(MOD(A492-1,5)+1)&amp;"_"&amp;(MOD(INT((A492-1)/5),5)+1)&amp;"_"&amp;(MOD(INT((A492-1)/25),10)+1)</f>
        <v>Город_1_4_10</v>
      </c>
      <c r="I492" s="10" t="str">
        <f aca="false">CHOOSE(MOD(A492-1,4)+1,"Электроника","Одежда","Продукты","Мебель")</f>
        <v>Продукты</v>
      </c>
      <c r="J492" s="10" t="str">
        <f aca="false">CHOOSE(MOD(INT((A492-1)/4),4)+1,CHOOSE(MOD(A492-1,4)+1,"Смартфоны","Ноутбуки","Аксессуары","Аудио"),CHOOSE(MOD(A492-1,4)+1,"Верхняя одежда","Спортивная","Повседневная","Обувь"),CHOOSE(MOD(A492-1,4)+1,"Молочные","Мясные","Бакалея","Напитки"),CHOOSE(MOD(A492-1,4)+1,"Мягкая мебель","Корпусная","Офисная","Кухонная"))</f>
        <v>Бакалея</v>
      </c>
      <c r="K492" s="12" t="n">
        <f aca="false">1000+MOD(A492*317+A492*A492*7,49001)</f>
        <v>31177</v>
      </c>
      <c r="L492" s="12" t="n">
        <f aca="false">1+MOD(A492*131,100)</f>
        <v>22</v>
      </c>
      <c r="M492" s="12" t="n">
        <f aca="false">INT(K492*(0.6+MOD(A492*43,21)/100))</f>
        <v>21200</v>
      </c>
      <c r="N492" s="12" t="n">
        <f aca="false">K492-M492</f>
        <v>9977</v>
      </c>
    </row>
    <row r="493" customFormat="false" ht="12.8" hidden="false" customHeight="false" outlineLevel="0" collapsed="false">
      <c r="A493" s="10" t="n">
        <f aca="false">A492+1</f>
        <v>492</v>
      </c>
      <c r="B493" s="11" t="n">
        <f aca="false">B492+1</f>
        <v>45418</v>
      </c>
      <c r="C493" s="10" t="n">
        <f aca="false">YEAR(B493)</f>
        <v>2024</v>
      </c>
      <c r="D493" s="10" t="n">
        <f aca="false">INT((MONTH(B493)-1)/3)+1</f>
        <v>2</v>
      </c>
      <c r="E493" s="10" t="n">
        <f aca="false">MONTH(B493)</f>
        <v>5</v>
      </c>
      <c r="F493" s="10" t="str">
        <f aca="false">CHOOSE(MOD(A493-1,5)+1,"Центр","Юг","Север","Запад","Восток")</f>
        <v>Юг</v>
      </c>
      <c r="G493" s="10" t="str">
        <f aca="false">"Округ_"&amp;(MOD(A493-1,5)+1)&amp;"_"&amp;(MOD(INT((A493-1)/5),5)+1)</f>
        <v>Округ_2_4</v>
      </c>
      <c r="H493" s="10" t="str">
        <f aca="false">"Город_"&amp;(MOD(A493-1,5)+1)&amp;"_"&amp;(MOD(INT((A493-1)/5),5)+1)&amp;"_"&amp;(MOD(INT((A493-1)/25),10)+1)</f>
        <v>Город_2_4_10</v>
      </c>
      <c r="I493" s="10" t="str">
        <f aca="false">CHOOSE(MOD(A493-1,4)+1,"Электроника","Одежда","Продукты","Мебель")</f>
        <v>Мебель</v>
      </c>
      <c r="J493" s="10" t="str">
        <f aca="false">CHOOSE(MOD(INT((A493-1)/4),4)+1,CHOOSE(MOD(A493-1,4)+1,"Смартфоны","Ноутбуки","Аксессуары","Аудио"),CHOOSE(MOD(A493-1,4)+1,"Верхняя одежда","Спортивная","Повседневная","Обувь"),CHOOSE(MOD(A493-1,4)+1,"Молочные","Мясные","Бакалея","Напитки"),CHOOSE(MOD(A493-1,4)+1,"Мягкая мебель","Корпусная","Офисная","Кухонная"))</f>
        <v>Напитки</v>
      </c>
      <c r="K493" s="12" t="n">
        <f aca="false">1000+MOD(A493*317+A493*A493*7,49001)</f>
        <v>38375</v>
      </c>
      <c r="L493" s="12" t="n">
        <f aca="false">1+MOD(A493*131,100)</f>
        <v>53</v>
      </c>
      <c r="M493" s="12" t="n">
        <f aca="false">INT(K493*(0.6+MOD(A493*43,21)/100))</f>
        <v>26478</v>
      </c>
      <c r="N493" s="12" t="n">
        <f aca="false">K493-M493</f>
        <v>11897</v>
      </c>
    </row>
    <row r="494" customFormat="false" ht="12.8" hidden="false" customHeight="false" outlineLevel="0" collapsed="false">
      <c r="A494" s="10" t="n">
        <f aca="false">A493+1</f>
        <v>493</v>
      </c>
      <c r="B494" s="11" t="n">
        <f aca="false">B493+1</f>
        <v>45419</v>
      </c>
      <c r="C494" s="10" t="n">
        <f aca="false">YEAR(B494)</f>
        <v>2024</v>
      </c>
      <c r="D494" s="10" t="n">
        <f aca="false">INT((MONTH(B494)-1)/3)+1</f>
        <v>2</v>
      </c>
      <c r="E494" s="10" t="n">
        <f aca="false">MONTH(B494)</f>
        <v>5</v>
      </c>
      <c r="F494" s="10" t="str">
        <f aca="false">CHOOSE(MOD(A494-1,5)+1,"Центр","Юг","Север","Запад","Восток")</f>
        <v>Север</v>
      </c>
      <c r="G494" s="10" t="str">
        <f aca="false">"Округ_"&amp;(MOD(A494-1,5)+1)&amp;"_"&amp;(MOD(INT((A494-1)/5),5)+1)</f>
        <v>Округ_3_4</v>
      </c>
      <c r="H494" s="10" t="str">
        <f aca="false">"Город_"&amp;(MOD(A494-1,5)+1)&amp;"_"&amp;(MOD(INT((A494-1)/5),5)+1)&amp;"_"&amp;(MOD(INT((A494-1)/25),10)+1)</f>
        <v>Город_3_4_10</v>
      </c>
      <c r="I494" s="10" t="str">
        <f aca="false">CHOOSE(MOD(A494-1,4)+1,"Электроника","Одежда","Продукты","Мебель")</f>
        <v>Электроника</v>
      </c>
      <c r="J494" s="10" t="str">
        <f aca="false">CHOOSE(MOD(INT((A494-1)/4),4)+1,CHOOSE(MOD(A494-1,4)+1,"Смартфоны","Ноутбуки","Аксессуары","Аудио"),CHOOSE(MOD(A494-1,4)+1,"Верхняя одежда","Спортивная","Повседневная","Обувь"),CHOOSE(MOD(A494-1,4)+1,"Молочные","Мясные","Бакалея","Напитки"),CHOOSE(MOD(A494-1,4)+1,"Мягкая мебель","Корпусная","Офисная","Кухонная"))</f>
        <v>Мягкая мебель</v>
      </c>
      <c r="K494" s="12" t="n">
        <f aca="false">1000+MOD(A494*317+A494*A494*7,49001)</f>
        <v>45587</v>
      </c>
      <c r="L494" s="12" t="n">
        <f aca="false">1+MOD(A494*131,100)</f>
        <v>84</v>
      </c>
      <c r="M494" s="12" t="n">
        <f aca="false">INT(K494*(0.6+MOD(A494*43,21)/100))</f>
        <v>31910</v>
      </c>
      <c r="N494" s="12" t="n">
        <f aca="false">K494-M494</f>
        <v>13677</v>
      </c>
    </row>
    <row r="495" customFormat="false" ht="12.8" hidden="false" customHeight="false" outlineLevel="0" collapsed="false">
      <c r="A495" s="10" t="n">
        <f aca="false">A494+1</f>
        <v>494</v>
      </c>
      <c r="B495" s="11" t="n">
        <f aca="false">B494+1</f>
        <v>45420</v>
      </c>
      <c r="C495" s="10" t="n">
        <f aca="false">YEAR(B495)</f>
        <v>2024</v>
      </c>
      <c r="D495" s="10" t="n">
        <f aca="false">INT((MONTH(B495)-1)/3)+1</f>
        <v>2</v>
      </c>
      <c r="E495" s="10" t="n">
        <f aca="false">MONTH(B495)</f>
        <v>5</v>
      </c>
      <c r="F495" s="10" t="str">
        <f aca="false">CHOOSE(MOD(A495-1,5)+1,"Центр","Юг","Север","Запад","Восток")</f>
        <v>Запад</v>
      </c>
      <c r="G495" s="10" t="str">
        <f aca="false">"Округ_"&amp;(MOD(A495-1,5)+1)&amp;"_"&amp;(MOD(INT((A495-1)/5),5)+1)</f>
        <v>Округ_4_4</v>
      </c>
      <c r="H495" s="10" t="str">
        <f aca="false">"Город_"&amp;(MOD(A495-1,5)+1)&amp;"_"&amp;(MOD(INT((A495-1)/5),5)+1)&amp;"_"&amp;(MOD(INT((A495-1)/25),10)+1)</f>
        <v>Город_4_4_10</v>
      </c>
      <c r="I495" s="10" t="str">
        <f aca="false">CHOOSE(MOD(A495-1,4)+1,"Электроника","Одежда","Продукты","Мебель")</f>
        <v>Одежда</v>
      </c>
      <c r="J495" s="10" t="str">
        <f aca="false">CHOOSE(MOD(INT((A495-1)/4),4)+1,CHOOSE(MOD(A495-1,4)+1,"Смартфоны","Ноутбуки","Аксессуары","Аудио"),CHOOSE(MOD(A495-1,4)+1,"Верхняя одежда","Спортивная","Повседневная","Обувь"),CHOOSE(MOD(A495-1,4)+1,"Молочные","Мясные","Бакалея","Напитки"),CHOOSE(MOD(A495-1,4)+1,"Мягкая мебель","Корпусная","Офисная","Кухонная"))</f>
        <v>Корпусная</v>
      </c>
      <c r="K495" s="12" t="n">
        <f aca="false">1000+MOD(A495*317+A495*A495*7,49001)</f>
        <v>3812</v>
      </c>
      <c r="L495" s="12" t="n">
        <f aca="false">1+MOD(A495*131,100)</f>
        <v>15</v>
      </c>
      <c r="M495" s="12" t="n">
        <f aca="false">INT(K495*(0.6+MOD(A495*43,21)/100))</f>
        <v>2706</v>
      </c>
      <c r="N495" s="12" t="n">
        <f aca="false">K495-M495</f>
        <v>1106</v>
      </c>
    </row>
    <row r="496" customFormat="false" ht="12.8" hidden="false" customHeight="false" outlineLevel="0" collapsed="false">
      <c r="A496" s="10" t="n">
        <f aca="false">A495+1</f>
        <v>495</v>
      </c>
      <c r="B496" s="11" t="n">
        <f aca="false">B495+1</f>
        <v>45421</v>
      </c>
      <c r="C496" s="10" t="n">
        <f aca="false">YEAR(B496)</f>
        <v>2024</v>
      </c>
      <c r="D496" s="10" t="n">
        <f aca="false">INT((MONTH(B496)-1)/3)+1</f>
        <v>2</v>
      </c>
      <c r="E496" s="10" t="n">
        <f aca="false">MONTH(B496)</f>
        <v>5</v>
      </c>
      <c r="F496" s="10" t="str">
        <f aca="false">CHOOSE(MOD(A496-1,5)+1,"Центр","Юг","Север","Запад","Восток")</f>
        <v>Восток</v>
      </c>
      <c r="G496" s="10" t="str">
        <f aca="false">"Округ_"&amp;(MOD(A496-1,5)+1)&amp;"_"&amp;(MOD(INT((A496-1)/5),5)+1)</f>
        <v>Округ_5_4</v>
      </c>
      <c r="H496" s="10" t="str">
        <f aca="false">"Город_"&amp;(MOD(A496-1,5)+1)&amp;"_"&amp;(MOD(INT((A496-1)/5),5)+1)&amp;"_"&amp;(MOD(INT((A496-1)/25),10)+1)</f>
        <v>Город_5_4_10</v>
      </c>
      <c r="I496" s="10" t="str">
        <f aca="false">CHOOSE(MOD(A496-1,4)+1,"Электроника","Одежда","Продукты","Мебель")</f>
        <v>Продукты</v>
      </c>
      <c r="J496" s="10" t="str">
        <f aca="false">CHOOSE(MOD(INT((A496-1)/4),4)+1,CHOOSE(MOD(A496-1,4)+1,"Смартфоны","Ноутбуки","Аксессуары","Аудио"),CHOOSE(MOD(A496-1,4)+1,"Верхняя одежда","Спортивная","Повседневная","Обувь"),CHOOSE(MOD(A496-1,4)+1,"Молочные","Мясные","Бакалея","Напитки"),CHOOSE(MOD(A496-1,4)+1,"Мягкая мебель","Корпусная","Офисная","Кухонная"))</f>
        <v>Офисная</v>
      </c>
      <c r="K496" s="12" t="n">
        <f aca="false">1000+MOD(A496*317+A496*A496*7,49001)</f>
        <v>11052</v>
      </c>
      <c r="L496" s="12" t="n">
        <f aca="false">1+MOD(A496*131,100)</f>
        <v>46</v>
      </c>
      <c r="M496" s="12" t="n">
        <f aca="false">INT(K496*(0.6+MOD(A496*43,21)/100))</f>
        <v>7957</v>
      </c>
      <c r="N496" s="12" t="n">
        <f aca="false">K496-M496</f>
        <v>3095</v>
      </c>
    </row>
    <row r="497" customFormat="false" ht="12.8" hidden="false" customHeight="false" outlineLevel="0" collapsed="false">
      <c r="A497" s="10" t="n">
        <f aca="false">A496+1</f>
        <v>496</v>
      </c>
      <c r="B497" s="11" t="n">
        <f aca="false">B496+1</f>
        <v>45422</v>
      </c>
      <c r="C497" s="10" t="n">
        <f aca="false">YEAR(B497)</f>
        <v>2024</v>
      </c>
      <c r="D497" s="10" t="n">
        <f aca="false">INT((MONTH(B497)-1)/3)+1</f>
        <v>2</v>
      </c>
      <c r="E497" s="10" t="n">
        <f aca="false">MONTH(B497)</f>
        <v>5</v>
      </c>
      <c r="F497" s="10" t="str">
        <f aca="false">CHOOSE(MOD(A497-1,5)+1,"Центр","Юг","Север","Запад","Восток")</f>
        <v>Центр</v>
      </c>
      <c r="G497" s="10" t="str">
        <f aca="false">"Округ_"&amp;(MOD(A497-1,5)+1)&amp;"_"&amp;(MOD(INT((A497-1)/5),5)+1)</f>
        <v>Округ_1_5</v>
      </c>
      <c r="H497" s="10" t="str">
        <f aca="false">"Город_"&amp;(MOD(A497-1,5)+1)&amp;"_"&amp;(MOD(INT((A497-1)/5),5)+1)&amp;"_"&amp;(MOD(INT((A497-1)/25),10)+1)</f>
        <v>Город_1_5_10</v>
      </c>
      <c r="I497" s="10" t="str">
        <f aca="false">CHOOSE(MOD(A497-1,4)+1,"Электроника","Одежда","Продукты","Мебель")</f>
        <v>Мебель</v>
      </c>
      <c r="J497" s="10" t="str">
        <f aca="false">CHOOSE(MOD(INT((A497-1)/4),4)+1,CHOOSE(MOD(A497-1,4)+1,"Смартфоны","Ноутбуки","Аксессуары","Аудио"),CHOOSE(MOD(A497-1,4)+1,"Верхняя одежда","Спортивная","Повседневная","Обувь"),CHOOSE(MOD(A497-1,4)+1,"Молочные","Мясные","Бакалея","Напитки"),CHOOSE(MOD(A497-1,4)+1,"Мягкая мебель","Корпусная","Офисная","Кухонная"))</f>
        <v>Кухонная</v>
      </c>
      <c r="K497" s="12" t="n">
        <f aca="false">1000+MOD(A497*317+A497*A497*7,49001)</f>
        <v>18306</v>
      </c>
      <c r="L497" s="12" t="n">
        <f aca="false">1+MOD(A497*131,100)</f>
        <v>77</v>
      </c>
      <c r="M497" s="12" t="n">
        <f aca="false">INT(K497*(0.6+MOD(A497*43,21)/100))</f>
        <v>13363</v>
      </c>
      <c r="N497" s="12" t="n">
        <f aca="false">K497-M497</f>
        <v>4943</v>
      </c>
    </row>
    <row r="498" customFormat="false" ht="12.8" hidden="false" customHeight="false" outlineLevel="0" collapsed="false">
      <c r="A498" s="10" t="n">
        <f aca="false">A497+1</f>
        <v>497</v>
      </c>
      <c r="B498" s="11" t="n">
        <f aca="false">B497+1</f>
        <v>45423</v>
      </c>
      <c r="C498" s="10" t="n">
        <f aca="false">YEAR(B498)</f>
        <v>2024</v>
      </c>
      <c r="D498" s="10" t="n">
        <f aca="false">INT((MONTH(B498)-1)/3)+1</f>
        <v>2</v>
      </c>
      <c r="E498" s="10" t="n">
        <f aca="false">MONTH(B498)</f>
        <v>5</v>
      </c>
      <c r="F498" s="10" t="str">
        <f aca="false">CHOOSE(MOD(A498-1,5)+1,"Центр","Юг","Север","Запад","Восток")</f>
        <v>Юг</v>
      </c>
      <c r="G498" s="10" t="str">
        <f aca="false">"Округ_"&amp;(MOD(A498-1,5)+1)&amp;"_"&amp;(MOD(INT((A498-1)/5),5)+1)</f>
        <v>Округ_2_5</v>
      </c>
      <c r="H498" s="10" t="str">
        <f aca="false">"Город_"&amp;(MOD(A498-1,5)+1)&amp;"_"&amp;(MOD(INT((A498-1)/5),5)+1)&amp;"_"&amp;(MOD(INT((A498-1)/25),10)+1)</f>
        <v>Город_2_5_10</v>
      </c>
      <c r="I498" s="10" t="str">
        <f aca="false">CHOOSE(MOD(A498-1,4)+1,"Электроника","Одежда","Продукты","Мебель")</f>
        <v>Электроника</v>
      </c>
      <c r="J498" s="10" t="str">
        <f aca="false">CHOOSE(MOD(INT((A498-1)/4),4)+1,CHOOSE(MOD(A498-1,4)+1,"Смартфоны","Ноутбуки","Аксессуары","Аудио"),CHOOSE(MOD(A498-1,4)+1,"Верхняя одежда","Спортивная","Повседневная","Обувь"),CHOOSE(MOD(A498-1,4)+1,"Молочные","Мясные","Бакалея","Напитки"),CHOOSE(MOD(A498-1,4)+1,"Мягкая мебель","Корпусная","Офисная","Кухонная"))</f>
        <v>Смартфоны</v>
      </c>
      <c r="K498" s="12" t="n">
        <f aca="false">1000+MOD(A498*317+A498*A498*7,49001)</f>
        <v>25574</v>
      </c>
      <c r="L498" s="12" t="n">
        <f aca="false">1+MOD(A498*131,100)</f>
        <v>8</v>
      </c>
      <c r="M498" s="12" t="n">
        <f aca="false">INT(K498*(0.6+MOD(A498*43,21)/100))</f>
        <v>18924</v>
      </c>
      <c r="N498" s="12" t="n">
        <f aca="false">K498-M498</f>
        <v>6650</v>
      </c>
    </row>
    <row r="499" customFormat="false" ht="12.8" hidden="false" customHeight="false" outlineLevel="0" collapsed="false">
      <c r="A499" s="10" t="n">
        <f aca="false">A498+1</f>
        <v>498</v>
      </c>
      <c r="B499" s="11" t="n">
        <f aca="false">B498+1</f>
        <v>45424</v>
      </c>
      <c r="C499" s="10" t="n">
        <f aca="false">YEAR(B499)</f>
        <v>2024</v>
      </c>
      <c r="D499" s="10" t="n">
        <f aca="false">INT((MONTH(B499)-1)/3)+1</f>
        <v>2</v>
      </c>
      <c r="E499" s="10" t="n">
        <f aca="false">MONTH(B499)</f>
        <v>5</v>
      </c>
      <c r="F499" s="10" t="str">
        <f aca="false">CHOOSE(MOD(A499-1,5)+1,"Центр","Юг","Север","Запад","Восток")</f>
        <v>Север</v>
      </c>
      <c r="G499" s="10" t="str">
        <f aca="false">"Округ_"&amp;(MOD(A499-1,5)+1)&amp;"_"&amp;(MOD(INT((A499-1)/5),5)+1)</f>
        <v>Округ_3_5</v>
      </c>
      <c r="H499" s="10" t="str">
        <f aca="false">"Город_"&amp;(MOD(A499-1,5)+1)&amp;"_"&amp;(MOD(INT((A499-1)/5),5)+1)&amp;"_"&amp;(MOD(INT((A499-1)/25),10)+1)</f>
        <v>Город_3_5_10</v>
      </c>
      <c r="I499" s="10" t="str">
        <f aca="false">CHOOSE(MOD(A499-1,4)+1,"Электроника","Одежда","Продукты","Мебель")</f>
        <v>Одежда</v>
      </c>
      <c r="J499" s="10" t="str">
        <f aca="false">CHOOSE(MOD(INT((A499-1)/4),4)+1,CHOOSE(MOD(A499-1,4)+1,"Смартфоны","Ноутбуки","Аксессуары","Аудио"),CHOOSE(MOD(A499-1,4)+1,"Верхняя одежда","Спортивная","Повседневная","Обувь"),CHOOSE(MOD(A499-1,4)+1,"Молочные","Мясные","Бакалея","Напитки"),CHOOSE(MOD(A499-1,4)+1,"Мягкая мебель","Корпусная","Офисная","Кухонная"))</f>
        <v>Ноутбуки</v>
      </c>
      <c r="K499" s="12" t="n">
        <f aca="false">1000+MOD(A499*317+A499*A499*7,49001)</f>
        <v>32856</v>
      </c>
      <c r="L499" s="12" t="n">
        <f aca="false">1+MOD(A499*131,100)</f>
        <v>39</v>
      </c>
      <c r="M499" s="12" t="n">
        <f aca="false">INT(K499*(0.6+MOD(A499*43,21)/100))</f>
        <v>24642</v>
      </c>
      <c r="N499" s="12" t="n">
        <f aca="false">K499-M499</f>
        <v>8214</v>
      </c>
    </row>
    <row r="500" customFormat="false" ht="12.8" hidden="false" customHeight="false" outlineLevel="0" collapsed="false">
      <c r="A500" s="10" t="n">
        <f aca="false">A499+1</f>
        <v>499</v>
      </c>
      <c r="B500" s="11" t="n">
        <f aca="false">B499+1</f>
        <v>45425</v>
      </c>
      <c r="C500" s="10" t="n">
        <f aca="false">YEAR(B500)</f>
        <v>2024</v>
      </c>
      <c r="D500" s="10" t="n">
        <f aca="false">INT((MONTH(B500)-1)/3)+1</f>
        <v>2</v>
      </c>
      <c r="E500" s="10" t="n">
        <f aca="false">MONTH(B500)</f>
        <v>5</v>
      </c>
      <c r="F500" s="10" t="str">
        <f aca="false">CHOOSE(MOD(A500-1,5)+1,"Центр","Юг","Север","Запад","Восток")</f>
        <v>Запад</v>
      </c>
      <c r="G500" s="10" t="str">
        <f aca="false">"Округ_"&amp;(MOD(A500-1,5)+1)&amp;"_"&amp;(MOD(INT((A500-1)/5),5)+1)</f>
        <v>Округ_4_5</v>
      </c>
      <c r="H500" s="10" t="str">
        <f aca="false">"Город_"&amp;(MOD(A500-1,5)+1)&amp;"_"&amp;(MOD(INT((A500-1)/5),5)+1)&amp;"_"&amp;(MOD(INT((A500-1)/25),10)+1)</f>
        <v>Город_4_5_10</v>
      </c>
      <c r="I500" s="10" t="str">
        <f aca="false">CHOOSE(MOD(A500-1,4)+1,"Электроника","Одежда","Продукты","Мебель")</f>
        <v>Продукты</v>
      </c>
      <c r="J500" s="10" t="str">
        <f aca="false">CHOOSE(MOD(INT((A500-1)/4),4)+1,CHOOSE(MOD(A500-1,4)+1,"Смартфоны","Ноутбуки","Аксессуары","Аудио"),CHOOSE(MOD(A500-1,4)+1,"Верхняя одежда","Спортивная","Повседневная","Обувь"),CHOOSE(MOD(A500-1,4)+1,"Молочные","Мясные","Бакалея","Напитки"),CHOOSE(MOD(A500-1,4)+1,"Мягкая мебель","Корпусная","Офисная","Кухонная"))</f>
        <v>Аксессуары</v>
      </c>
      <c r="K500" s="12" t="n">
        <f aca="false">1000+MOD(A500*317+A500*A500*7,49001)</f>
        <v>40152</v>
      </c>
      <c r="L500" s="12" t="n">
        <f aca="false">1+MOD(A500*131,100)</f>
        <v>70</v>
      </c>
      <c r="M500" s="12" t="n">
        <f aca="false">INT(K500*(0.6+MOD(A500*43,21)/100))</f>
        <v>30515</v>
      </c>
      <c r="N500" s="12" t="n">
        <f aca="false">K500-M500</f>
        <v>9637</v>
      </c>
    </row>
    <row r="501" customFormat="false" ht="12.8" hidden="false" customHeight="false" outlineLevel="0" collapsed="false">
      <c r="A501" s="10" t="n">
        <f aca="false">A500+1</f>
        <v>500</v>
      </c>
      <c r="B501" s="11" t="n">
        <f aca="false">B500+1</f>
        <v>45426</v>
      </c>
      <c r="C501" s="10" t="n">
        <f aca="false">YEAR(B501)</f>
        <v>2024</v>
      </c>
      <c r="D501" s="10" t="n">
        <f aca="false">INT((MONTH(B501)-1)/3)+1</f>
        <v>2</v>
      </c>
      <c r="E501" s="10" t="n">
        <f aca="false">MONTH(B501)</f>
        <v>5</v>
      </c>
      <c r="F501" s="10" t="str">
        <f aca="false">CHOOSE(MOD(A501-1,5)+1,"Центр","Юг","Север","Запад","Восток")</f>
        <v>Восток</v>
      </c>
      <c r="G501" s="10" t="str">
        <f aca="false">"Округ_"&amp;(MOD(A501-1,5)+1)&amp;"_"&amp;(MOD(INT((A501-1)/5),5)+1)</f>
        <v>Округ_5_5</v>
      </c>
      <c r="H501" s="10" t="str">
        <f aca="false">"Город_"&amp;(MOD(A501-1,5)+1)&amp;"_"&amp;(MOD(INT((A501-1)/5),5)+1)&amp;"_"&amp;(MOD(INT((A501-1)/25),10)+1)</f>
        <v>Город_5_5_10</v>
      </c>
      <c r="I501" s="10" t="str">
        <f aca="false">CHOOSE(MOD(A501-1,4)+1,"Электроника","Одежда","Продукты","Мебель")</f>
        <v>Мебель</v>
      </c>
      <c r="J501" s="10" t="str">
        <f aca="false">CHOOSE(MOD(INT((A501-1)/4),4)+1,CHOOSE(MOD(A501-1,4)+1,"Смартфоны","Ноутбуки","Аксессуары","Аудио"),CHOOSE(MOD(A501-1,4)+1,"Верхняя одежда","Спортивная","Повседневная","Обувь"),CHOOSE(MOD(A501-1,4)+1,"Молочные","Мясные","Бакалея","Напитки"),CHOOSE(MOD(A501-1,4)+1,"Мягкая мебель","Корпусная","Офисная","Кухонная"))</f>
        <v>Аудио</v>
      </c>
      <c r="K501" s="12" t="n">
        <f aca="false">1000+MOD(A501*317+A501*A501*7,49001)</f>
        <v>47462</v>
      </c>
      <c r="L501" s="12" t="n">
        <f aca="false">1+MOD(A501*131,100)</f>
        <v>1</v>
      </c>
      <c r="M501" s="12" t="n">
        <f aca="false">INT(K501*(0.6+MOD(A501*43,21)/100))</f>
        <v>36545</v>
      </c>
      <c r="N501" s="12" t="n">
        <f aca="false">K501-M501</f>
        <v>10917</v>
      </c>
    </row>
    <row r="502" customFormat="false" ht="12.8" hidden="false" customHeight="false" outlineLevel="0" collapsed="false">
      <c r="A502" s="10" t="n">
        <f aca="false">A501+1</f>
        <v>501</v>
      </c>
      <c r="B502" s="11" t="n">
        <f aca="false">B501+1</f>
        <v>45427</v>
      </c>
      <c r="C502" s="10" t="n">
        <f aca="false">YEAR(B502)</f>
        <v>2024</v>
      </c>
      <c r="D502" s="10" t="n">
        <f aca="false">INT((MONTH(B502)-1)/3)+1</f>
        <v>2</v>
      </c>
      <c r="E502" s="10" t="n">
        <f aca="false">MONTH(B502)</f>
        <v>5</v>
      </c>
      <c r="F502" s="10" t="str">
        <f aca="false">CHOOSE(MOD(A502-1,5)+1,"Центр","Юг","Север","Запад","Восток")</f>
        <v>Центр</v>
      </c>
      <c r="G502" s="10" t="str">
        <f aca="false">"Округ_"&amp;(MOD(A502-1,5)+1)&amp;"_"&amp;(MOD(INT((A502-1)/5),5)+1)</f>
        <v>Округ_1_1</v>
      </c>
      <c r="H502" s="10" t="str">
        <f aca="false">"Город_"&amp;(MOD(A502-1,5)+1)&amp;"_"&amp;(MOD(INT((A502-1)/5),5)+1)&amp;"_"&amp;(MOD(INT((A502-1)/25),10)+1)</f>
        <v>Город_1_1_1</v>
      </c>
      <c r="I502" s="10" t="str">
        <f aca="false">CHOOSE(MOD(A502-1,4)+1,"Электроника","Одежда","Продукты","Мебель")</f>
        <v>Электроника</v>
      </c>
      <c r="J502" s="10" t="str">
        <f aca="false">CHOOSE(MOD(INT((A502-1)/4),4)+1,CHOOSE(MOD(A502-1,4)+1,"Смартфоны","Ноутбуки","Аксессуары","Аудио"),CHOOSE(MOD(A502-1,4)+1,"Верхняя одежда","Спортивная","Повседневная","Обувь"),CHOOSE(MOD(A502-1,4)+1,"Молочные","Мясные","Бакалея","Напитки"),CHOOSE(MOD(A502-1,4)+1,"Мягкая мебель","Корпусная","Офисная","Кухонная"))</f>
        <v>Верхняя одежда</v>
      </c>
      <c r="K502" s="12" t="n">
        <f aca="false">1000+MOD(A502*317+A502*A502*7,49001)</f>
        <v>5785</v>
      </c>
      <c r="L502" s="12" t="n">
        <f aca="false">1+MOD(A502*131,100)</f>
        <v>32</v>
      </c>
      <c r="M502" s="12" t="n">
        <f aca="false">INT(K502*(0.6+MOD(A502*43,21)/100))</f>
        <v>4512</v>
      </c>
      <c r="N502" s="12" t="n">
        <f aca="false">K502-M502</f>
        <v>1273</v>
      </c>
    </row>
    <row r="503" customFormat="false" ht="12.8" hidden="false" customHeight="false" outlineLevel="0" collapsed="false">
      <c r="A503" s="10" t="n">
        <f aca="false">A502+1</f>
        <v>502</v>
      </c>
      <c r="B503" s="11" t="n">
        <f aca="false">B502+1</f>
        <v>45428</v>
      </c>
      <c r="C503" s="10" t="n">
        <f aca="false">YEAR(B503)</f>
        <v>2024</v>
      </c>
      <c r="D503" s="10" t="n">
        <f aca="false">INT((MONTH(B503)-1)/3)+1</f>
        <v>2</v>
      </c>
      <c r="E503" s="10" t="n">
        <f aca="false">MONTH(B503)</f>
        <v>5</v>
      </c>
      <c r="F503" s="10" t="str">
        <f aca="false">CHOOSE(MOD(A503-1,5)+1,"Центр","Юг","Север","Запад","Восток")</f>
        <v>Юг</v>
      </c>
      <c r="G503" s="10" t="str">
        <f aca="false">"Округ_"&amp;(MOD(A503-1,5)+1)&amp;"_"&amp;(MOD(INT((A503-1)/5),5)+1)</f>
        <v>Округ_2_1</v>
      </c>
      <c r="H503" s="10" t="str">
        <f aca="false">"Город_"&amp;(MOD(A503-1,5)+1)&amp;"_"&amp;(MOD(INT((A503-1)/5),5)+1)&amp;"_"&amp;(MOD(INT((A503-1)/25),10)+1)</f>
        <v>Город_2_1_1</v>
      </c>
      <c r="I503" s="10" t="str">
        <f aca="false">CHOOSE(MOD(A503-1,4)+1,"Электроника","Одежда","Продукты","Мебель")</f>
        <v>Одежда</v>
      </c>
      <c r="J503" s="10" t="str">
        <f aca="false">CHOOSE(MOD(INT((A503-1)/4),4)+1,CHOOSE(MOD(A503-1,4)+1,"Смартфоны","Ноутбуки","Аксессуары","Аудио"),CHOOSE(MOD(A503-1,4)+1,"Верхняя одежда","Спортивная","Повседневная","Обувь"),CHOOSE(MOD(A503-1,4)+1,"Молочные","Мясные","Бакалея","Напитки"),CHOOSE(MOD(A503-1,4)+1,"Мягкая мебель","Корпусная","Офисная","Кухонная"))</f>
        <v>Спортивная</v>
      </c>
      <c r="K503" s="12" t="n">
        <f aca="false">1000+MOD(A503*317+A503*A503*7,49001)</f>
        <v>13123</v>
      </c>
      <c r="L503" s="12" t="n">
        <f aca="false">1+MOD(A503*131,100)</f>
        <v>63</v>
      </c>
      <c r="M503" s="12" t="n">
        <f aca="false">INT(K503*(0.6+MOD(A503*43,21)/100))</f>
        <v>10367</v>
      </c>
      <c r="N503" s="12" t="n">
        <f aca="false">K503-M503</f>
        <v>2756</v>
      </c>
    </row>
    <row r="504" customFormat="false" ht="12.8" hidden="false" customHeight="false" outlineLevel="0" collapsed="false">
      <c r="A504" s="10" t="n">
        <f aca="false">A503+1</f>
        <v>503</v>
      </c>
      <c r="B504" s="11" t="n">
        <f aca="false">B503+1</f>
        <v>45429</v>
      </c>
      <c r="C504" s="10" t="n">
        <f aca="false">YEAR(B504)</f>
        <v>2024</v>
      </c>
      <c r="D504" s="10" t="n">
        <f aca="false">INT((MONTH(B504)-1)/3)+1</f>
        <v>2</v>
      </c>
      <c r="E504" s="10" t="n">
        <f aca="false">MONTH(B504)</f>
        <v>5</v>
      </c>
      <c r="F504" s="10" t="str">
        <f aca="false">CHOOSE(MOD(A504-1,5)+1,"Центр","Юг","Север","Запад","Восток")</f>
        <v>Север</v>
      </c>
      <c r="G504" s="10" t="str">
        <f aca="false">"Округ_"&amp;(MOD(A504-1,5)+1)&amp;"_"&amp;(MOD(INT((A504-1)/5),5)+1)</f>
        <v>Округ_3_1</v>
      </c>
      <c r="H504" s="10" t="str">
        <f aca="false">"Город_"&amp;(MOD(A504-1,5)+1)&amp;"_"&amp;(MOD(INT((A504-1)/5),5)+1)&amp;"_"&amp;(MOD(INT((A504-1)/25),10)+1)</f>
        <v>Город_3_1_1</v>
      </c>
      <c r="I504" s="10" t="str">
        <f aca="false">CHOOSE(MOD(A504-1,4)+1,"Электроника","Одежда","Продукты","Мебель")</f>
        <v>Продукты</v>
      </c>
      <c r="J504" s="10" t="str">
        <f aca="false">CHOOSE(MOD(INT((A504-1)/4),4)+1,CHOOSE(MOD(A504-1,4)+1,"Смартфоны","Ноутбуки","Аксессуары","Аудио"),CHOOSE(MOD(A504-1,4)+1,"Верхняя одежда","Спортивная","Повседневная","Обувь"),CHOOSE(MOD(A504-1,4)+1,"Молочные","Мясные","Бакалея","Напитки"),CHOOSE(MOD(A504-1,4)+1,"Мягкая мебель","Корпусная","Офисная","Кухонная"))</f>
        <v>Повседневная</v>
      </c>
      <c r="K504" s="12" t="n">
        <f aca="false">1000+MOD(A504*317+A504*A504*7,49001)</f>
        <v>20475</v>
      </c>
      <c r="L504" s="12" t="n">
        <f aca="false">1+MOD(A504*131,100)</f>
        <v>94</v>
      </c>
      <c r="M504" s="12" t="n">
        <f aca="false">INT(K504*(0.6+MOD(A504*43,21)/100))</f>
        <v>16380</v>
      </c>
      <c r="N504" s="12" t="n">
        <f aca="false">K504-M504</f>
        <v>4095</v>
      </c>
    </row>
    <row r="505" customFormat="false" ht="12.8" hidden="false" customHeight="false" outlineLevel="0" collapsed="false">
      <c r="A505" s="10" t="n">
        <f aca="false">A504+1</f>
        <v>504</v>
      </c>
      <c r="B505" s="11" t="n">
        <f aca="false">B504+1</f>
        <v>45430</v>
      </c>
      <c r="C505" s="10" t="n">
        <f aca="false">YEAR(B505)</f>
        <v>2024</v>
      </c>
      <c r="D505" s="10" t="n">
        <f aca="false">INT((MONTH(B505)-1)/3)+1</f>
        <v>2</v>
      </c>
      <c r="E505" s="10" t="n">
        <f aca="false">MONTH(B505)</f>
        <v>5</v>
      </c>
      <c r="F505" s="10" t="str">
        <f aca="false">CHOOSE(MOD(A505-1,5)+1,"Центр","Юг","Север","Запад","Восток")</f>
        <v>Запад</v>
      </c>
      <c r="G505" s="10" t="str">
        <f aca="false">"Округ_"&amp;(MOD(A505-1,5)+1)&amp;"_"&amp;(MOD(INT((A505-1)/5),5)+1)</f>
        <v>Округ_4_1</v>
      </c>
      <c r="H505" s="10" t="str">
        <f aca="false">"Город_"&amp;(MOD(A505-1,5)+1)&amp;"_"&amp;(MOD(INT((A505-1)/5),5)+1)&amp;"_"&amp;(MOD(INT((A505-1)/25),10)+1)</f>
        <v>Город_4_1_1</v>
      </c>
      <c r="I505" s="10" t="str">
        <f aca="false">CHOOSE(MOD(A505-1,4)+1,"Электроника","Одежда","Продукты","Мебель")</f>
        <v>Мебель</v>
      </c>
      <c r="J505" s="10" t="str">
        <f aca="false">CHOOSE(MOD(INT((A505-1)/4),4)+1,CHOOSE(MOD(A505-1,4)+1,"Смартфоны","Ноутбуки","Аксессуары","Аудио"),CHOOSE(MOD(A505-1,4)+1,"Верхняя одежда","Спортивная","Повседневная","Обувь"),CHOOSE(MOD(A505-1,4)+1,"Молочные","Мясные","Бакалея","Напитки"),CHOOSE(MOD(A505-1,4)+1,"Мягкая мебель","Корпусная","Офисная","Кухонная"))</f>
        <v>Обувь</v>
      </c>
      <c r="K505" s="12" t="n">
        <f aca="false">1000+MOD(A505*317+A505*A505*7,49001)</f>
        <v>27841</v>
      </c>
      <c r="L505" s="12" t="n">
        <f aca="false">1+MOD(A505*131,100)</f>
        <v>25</v>
      </c>
      <c r="M505" s="12" t="n">
        <f aca="false">INT(K505*(0.6+MOD(A505*43,21)/100))</f>
        <v>16704</v>
      </c>
      <c r="N505" s="12" t="n">
        <f aca="false">K505-M505</f>
        <v>11137</v>
      </c>
    </row>
    <row r="506" customFormat="false" ht="12.8" hidden="false" customHeight="false" outlineLevel="0" collapsed="false">
      <c r="A506" s="10" t="n">
        <f aca="false">A505+1</f>
        <v>505</v>
      </c>
      <c r="B506" s="11" t="n">
        <f aca="false">B505+1</f>
        <v>45431</v>
      </c>
      <c r="C506" s="10" t="n">
        <f aca="false">YEAR(B506)</f>
        <v>2024</v>
      </c>
      <c r="D506" s="10" t="n">
        <f aca="false">INT((MONTH(B506)-1)/3)+1</f>
        <v>2</v>
      </c>
      <c r="E506" s="10" t="n">
        <f aca="false">MONTH(B506)</f>
        <v>5</v>
      </c>
      <c r="F506" s="10" t="str">
        <f aca="false">CHOOSE(MOD(A506-1,5)+1,"Центр","Юг","Север","Запад","Восток")</f>
        <v>Восток</v>
      </c>
      <c r="G506" s="10" t="str">
        <f aca="false">"Округ_"&amp;(MOD(A506-1,5)+1)&amp;"_"&amp;(MOD(INT((A506-1)/5),5)+1)</f>
        <v>Округ_5_1</v>
      </c>
      <c r="H506" s="10" t="str">
        <f aca="false">"Город_"&amp;(MOD(A506-1,5)+1)&amp;"_"&amp;(MOD(INT((A506-1)/5),5)+1)&amp;"_"&amp;(MOD(INT((A506-1)/25),10)+1)</f>
        <v>Город_5_1_1</v>
      </c>
      <c r="I506" s="10" t="str">
        <f aca="false">CHOOSE(MOD(A506-1,4)+1,"Электроника","Одежда","Продукты","Мебель")</f>
        <v>Электроника</v>
      </c>
      <c r="J506" s="10" t="str">
        <f aca="false">CHOOSE(MOD(INT((A506-1)/4),4)+1,CHOOSE(MOD(A506-1,4)+1,"Смартфоны","Ноутбуки","Аксессуары","Аудио"),CHOOSE(MOD(A506-1,4)+1,"Верхняя одежда","Спортивная","Повседневная","Обувь"),CHOOSE(MOD(A506-1,4)+1,"Молочные","Мясные","Бакалея","Напитки"),CHOOSE(MOD(A506-1,4)+1,"Мягкая мебель","Корпусная","Офисная","Кухонная"))</f>
        <v>Молочные</v>
      </c>
      <c r="K506" s="12" t="n">
        <f aca="false">1000+MOD(A506*317+A506*A506*7,49001)</f>
        <v>35221</v>
      </c>
      <c r="L506" s="12" t="n">
        <f aca="false">1+MOD(A506*131,100)</f>
        <v>56</v>
      </c>
      <c r="M506" s="12" t="n">
        <f aca="false">INT(K506*(0.6+MOD(A506*43,21)/100))</f>
        <v>21484</v>
      </c>
      <c r="N506" s="12" t="n">
        <f aca="false">K506-M506</f>
        <v>13737</v>
      </c>
    </row>
    <row r="507" customFormat="false" ht="12.8" hidden="false" customHeight="false" outlineLevel="0" collapsed="false">
      <c r="A507" s="10" t="n">
        <f aca="false">A506+1</f>
        <v>506</v>
      </c>
      <c r="B507" s="11" t="n">
        <f aca="false">B506+1</f>
        <v>45432</v>
      </c>
      <c r="C507" s="10" t="n">
        <f aca="false">YEAR(B507)</f>
        <v>2024</v>
      </c>
      <c r="D507" s="10" t="n">
        <f aca="false">INT((MONTH(B507)-1)/3)+1</f>
        <v>2</v>
      </c>
      <c r="E507" s="10" t="n">
        <f aca="false">MONTH(B507)</f>
        <v>5</v>
      </c>
      <c r="F507" s="10" t="str">
        <f aca="false">CHOOSE(MOD(A507-1,5)+1,"Центр","Юг","Север","Запад","Восток")</f>
        <v>Центр</v>
      </c>
      <c r="G507" s="10" t="str">
        <f aca="false">"Округ_"&amp;(MOD(A507-1,5)+1)&amp;"_"&amp;(MOD(INT((A507-1)/5),5)+1)</f>
        <v>Округ_1_2</v>
      </c>
      <c r="H507" s="10" t="str">
        <f aca="false">"Город_"&amp;(MOD(A507-1,5)+1)&amp;"_"&amp;(MOD(INT((A507-1)/5),5)+1)&amp;"_"&amp;(MOD(INT((A507-1)/25),10)+1)</f>
        <v>Город_1_2_1</v>
      </c>
      <c r="I507" s="10" t="str">
        <f aca="false">CHOOSE(MOD(A507-1,4)+1,"Электроника","Одежда","Продукты","Мебель")</f>
        <v>Одежда</v>
      </c>
      <c r="J507" s="10" t="str">
        <f aca="false">CHOOSE(MOD(INT((A507-1)/4),4)+1,CHOOSE(MOD(A507-1,4)+1,"Смартфоны","Ноутбуки","Аксессуары","Аудио"),CHOOSE(MOD(A507-1,4)+1,"Верхняя одежда","Спортивная","Повседневная","Обувь"),CHOOSE(MOD(A507-1,4)+1,"Молочные","Мясные","Бакалея","Напитки"),CHOOSE(MOD(A507-1,4)+1,"Мягкая мебель","Корпусная","Офисная","Кухонная"))</f>
        <v>Мясные</v>
      </c>
      <c r="K507" s="12" t="n">
        <f aca="false">1000+MOD(A507*317+A507*A507*7,49001)</f>
        <v>42615</v>
      </c>
      <c r="L507" s="12" t="n">
        <f aca="false">1+MOD(A507*131,100)</f>
        <v>87</v>
      </c>
      <c r="M507" s="12" t="n">
        <f aca="false">INT(K507*(0.6+MOD(A507*43,21)/100))</f>
        <v>26421</v>
      </c>
      <c r="N507" s="12" t="n">
        <f aca="false">K507-M507</f>
        <v>16194</v>
      </c>
    </row>
    <row r="508" customFormat="false" ht="12.8" hidden="false" customHeight="false" outlineLevel="0" collapsed="false">
      <c r="A508" s="10" t="n">
        <f aca="false">A507+1</f>
        <v>507</v>
      </c>
      <c r="B508" s="11" t="n">
        <f aca="false">B507+1</f>
        <v>45433</v>
      </c>
      <c r="C508" s="10" t="n">
        <f aca="false">YEAR(B508)</f>
        <v>2024</v>
      </c>
      <c r="D508" s="10" t="n">
        <f aca="false">INT((MONTH(B508)-1)/3)+1</f>
        <v>2</v>
      </c>
      <c r="E508" s="10" t="n">
        <f aca="false">MONTH(B508)</f>
        <v>5</v>
      </c>
      <c r="F508" s="10" t="str">
        <f aca="false">CHOOSE(MOD(A508-1,5)+1,"Центр","Юг","Север","Запад","Восток")</f>
        <v>Юг</v>
      </c>
      <c r="G508" s="10" t="str">
        <f aca="false">"Округ_"&amp;(MOD(A508-1,5)+1)&amp;"_"&amp;(MOD(INT((A508-1)/5),5)+1)</f>
        <v>Округ_2_2</v>
      </c>
      <c r="H508" s="10" t="str">
        <f aca="false">"Город_"&amp;(MOD(A508-1,5)+1)&amp;"_"&amp;(MOD(INT((A508-1)/5),5)+1)&amp;"_"&amp;(MOD(INT((A508-1)/25),10)+1)</f>
        <v>Город_2_2_1</v>
      </c>
      <c r="I508" s="10" t="str">
        <f aca="false">CHOOSE(MOD(A508-1,4)+1,"Электроника","Одежда","Продукты","Мебель")</f>
        <v>Продукты</v>
      </c>
      <c r="J508" s="10" t="str">
        <f aca="false">CHOOSE(MOD(INT((A508-1)/4),4)+1,CHOOSE(MOD(A508-1,4)+1,"Смартфоны","Ноутбуки","Аксессуары","Аудио"),CHOOSE(MOD(A508-1,4)+1,"Верхняя одежда","Спортивная","Повседневная","Обувь"),CHOOSE(MOD(A508-1,4)+1,"Молочные","Мясные","Бакалея","Напитки"),CHOOSE(MOD(A508-1,4)+1,"Мягкая мебель","Корпусная","Офисная","Кухонная"))</f>
        <v>Бакалея</v>
      </c>
      <c r="K508" s="12" t="n">
        <f aca="false">1000+MOD(A508*317+A508*A508*7,49001)</f>
        <v>1022</v>
      </c>
      <c r="L508" s="12" t="n">
        <f aca="false">1+MOD(A508*131,100)</f>
        <v>18</v>
      </c>
      <c r="M508" s="12" t="n">
        <f aca="false">INT(K508*(0.6+MOD(A508*43,21)/100))</f>
        <v>643</v>
      </c>
      <c r="N508" s="12" t="n">
        <f aca="false">K508-M508</f>
        <v>379</v>
      </c>
    </row>
    <row r="509" customFormat="false" ht="12.8" hidden="false" customHeight="false" outlineLevel="0" collapsed="false">
      <c r="A509" s="10" t="n">
        <f aca="false">A508+1</f>
        <v>508</v>
      </c>
      <c r="B509" s="11" t="n">
        <f aca="false">B508+1</f>
        <v>45434</v>
      </c>
      <c r="C509" s="10" t="n">
        <f aca="false">YEAR(B509)</f>
        <v>2024</v>
      </c>
      <c r="D509" s="10" t="n">
        <f aca="false">INT((MONTH(B509)-1)/3)+1</f>
        <v>2</v>
      </c>
      <c r="E509" s="10" t="n">
        <f aca="false">MONTH(B509)</f>
        <v>5</v>
      </c>
      <c r="F509" s="10" t="str">
        <f aca="false">CHOOSE(MOD(A509-1,5)+1,"Центр","Юг","Север","Запад","Восток")</f>
        <v>Север</v>
      </c>
      <c r="G509" s="10" t="str">
        <f aca="false">"Округ_"&amp;(MOD(A509-1,5)+1)&amp;"_"&amp;(MOD(INT((A509-1)/5),5)+1)</f>
        <v>Округ_3_2</v>
      </c>
      <c r="H509" s="10" t="str">
        <f aca="false">"Город_"&amp;(MOD(A509-1,5)+1)&amp;"_"&amp;(MOD(INT((A509-1)/5),5)+1)&amp;"_"&amp;(MOD(INT((A509-1)/25),10)+1)</f>
        <v>Город_3_2_1</v>
      </c>
      <c r="I509" s="10" t="str">
        <f aca="false">CHOOSE(MOD(A509-1,4)+1,"Электроника","Одежда","Продукты","Мебель")</f>
        <v>Мебель</v>
      </c>
      <c r="J509" s="10" t="str">
        <f aca="false">CHOOSE(MOD(INT((A509-1)/4),4)+1,CHOOSE(MOD(A509-1,4)+1,"Смартфоны","Ноутбуки","Аксессуары","Аудио"),CHOOSE(MOD(A509-1,4)+1,"Верхняя одежда","Спортивная","Повседневная","Обувь"),CHOOSE(MOD(A509-1,4)+1,"Молочные","Мясные","Бакалея","Напитки"),CHOOSE(MOD(A509-1,4)+1,"Мягкая мебель","Корпусная","Офисная","Кухонная"))</f>
        <v>Напитки</v>
      </c>
      <c r="K509" s="12" t="n">
        <f aca="false">1000+MOD(A509*317+A509*A509*7,49001)</f>
        <v>8444</v>
      </c>
      <c r="L509" s="12" t="n">
        <f aca="false">1+MOD(A509*131,100)</f>
        <v>49</v>
      </c>
      <c r="M509" s="12" t="n">
        <f aca="false">INT(K509*(0.6+MOD(A509*43,21)/100))</f>
        <v>5404</v>
      </c>
      <c r="N509" s="12" t="n">
        <f aca="false">K509-M509</f>
        <v>3040</v>
      </c>
    </row>
    <row r="510" customFormat="false" ht="12.8" hidden="false" customHeight="false" outlineLevel="0" collapsed="false">
      <c r="A510" s="10" t="n">
        <f aca="false">A509+1</f>
        <v>509</v>
      </c>
      <c r="B510" s="11" t="n">
        <f aca="false">B509+1</f>
        <v>45435</v>
      </c>
      <c r="C510" s="10" t="n">
        <f aca="false">YEAR(B510)</f>
        <v>2024</v>
      </c>
      <c r="D510" s="10" t="n">
        <f aca="false">INT((MONTH(B510)-1)/3)+1</f>
        <v>2</v>
      </c>
      <c r="E510" s="10" t="n">
        <f aca="false">MONTH(B510)</f>
        <v>5</v>
      </c>
      <c r="F510" s="10" t="str">
        <f aca="false">CHOOSE(MOD(A510-1,5)+1,"Центр","Юг","Север","Запад","Восток")</f>
        <v>Запад</v>
      </c>
      <c r="G510" s="10" t="str">
        <f aca="false">"Округ_"&amp;(MOD(A510-1,5)+1)&amp;"_"&amp;(MOD(INT((A510-1)/5),5)+1)</f>
        <v>Округ_4_2</v>
      </c>
      <c r="H510" s="10" t="str">
        <f aca="false">"Город_"&amp;(MOD(A510-1,5)+1)&amp;"_"&amp;(MOD(INT((A510-1)/5),5)+1)&amp;"_"&amp;(MOD(INT((A510-1)/25),10)+1)</f>
        <v>Город_4_2_1</v>
      </c>
      <c r="I510" s="10" t="str">
        <f aca="false">CHOOSE(MOD(A510-1,4)+1,"Электроника","Одежда","Продукты","Мебель")</f>
        <v>Электроника</v>
      </c>
      <c r="J510" s="10" t="str">
        <f aca="false">CHOOSE(MOD(INT((A510-1)/4),4)+1,CHOOSE(MOD(A510-1,4)+1,"Смартфоны","Ноутбуки","Аксессуары","Аудио"),CHOOSE(MOD(A510-1,4)+1,"Верхняя одежда","Спортивная","Повседневная","Обувь"),CHOOSE(MOD(A510-1,4)+1,"Молочные","Мясные","Бакалея","Напитки"),CHOOSE(MOD(A510-1,4)+1,"Мягкая мебель","Корпусная","Офисная","Кухонная"))</f>
        <v>Мягкая мебель</v>
      </c>
      <c r="K510" s="12" t="n">
        <f aca="false">1000+MOD(A510*317+A510*A510*7,49001)</f>
        <v>15880</v>
      </c>
      <c r="L510" s="12" t="n">
        <f aca="false">1+MOD(A510*131,100)</f>
        <v>80</v>
      </c>
      <c r="M510" s="12" t="n">
        <f aca="false">INT(K510*(0.6+MOD(A510*43,21)/100))</f>
        <v>10322</v>
      </c>
      <c r="N510" s="12" t="n">
        <f aca="false">K510-M510</f>
        <v>5558</v>
      </c>
    </row>
    <row r="511" customFormat="false" ht="12.8" hidden="false" customHeight="false" outlineLevel="0" collapsed="false">
      <c r="A511" s="10" t="n">
        <f aca="false">A510+1</f>
        <v>510</v>
      </c>
      <c r="B511" s="11" t="n">
        <f aca="false">B510+1</f>
        <v>45436</v>
      </c>
      <c r="C511" s="10" t="n">
        <f aca="false">YEAR(B511)</f>
        <v>2024</v>
      </c>
      <c r="D511" s="10" t="n">
        <f aca="false">INT((MONTH(B511)-1)/3)+1</f>
        <v>2</v>
      </c>
      <c r="E511" s="10" t="n">
        <f aca="false">MONTH(B511)</f>
        <v>5</v>
      </c>
      <c r="F511" s="10" t="str">
        <f aca="false">CHOOSE(MOD(A511-1,5)+1,"Центр","Юг","Север","Запад","Восток")</f>
        <v>Восток</v>
      </c>
      <c r="G511" s="10" t="str">
        <f aca="false">"Округ_"&amp;(MOD(A511-1,5)+1)&amp;"_"&amp;(MOD(INT((A511-1)/5),5)+1)</f>
        <v>Округ_5_2</v>
      </c>
      <c r="H511" s="10" t="str">
        <f aca="false">"Город_"&amp;(MOD(A511-1,5)+1)&amp;"_"&amp;(MOD(INT((A511-1)/5),5)+1)&amp;"_"&amp;(MOD(INT((A511-1)/25),10)+1)</f>
        <v>Город_5_2_1</v>
      </c>
      <c r="I511" s="10" t="str">
        <f aca="false">CHOOSE(MOD(A511-1,4)+1,"Электроника","Одежда","Продукты","Мебель")</f>
        <v>Одежда</v>
      </c>
      <c r="J511" s="10" t="str">
        <f aca="false">CHOOSE(MOD(INT((A511-1)/4),4)+1,CHOOSE(MOD(A511-1,4)+1,"Смартфоны","Ноутбуки","Аксессуары","Аудио"),CHOOSE(MOD(A511-1,4)+1,"Верхняя одежда","Спортивная","Повседневная","Обувь"),CHOOSE(MOD(A511-1,4)+1,"Молочные","Мясные","Бакалея","Напитки"),CHOOSE(MOD(A511-1,4)+1,"Мягкая мебель","Корпусная","Офисная","Кухонная"))</f>
        <v>Корпусная</v>
      </c>
      <c r="K511" s="12" t="n">
        <f aca="false">1000+MOD(A511*317+A511*A511*7,49001)</f>
        <v>23330</v>
      </c>
      <c r="L511" s="12" t="n">
        <f aca="false">1+MOD(A511*131,100)</f>
        <v>11</v>
      </c>
      <c r="M511" s="12" t="n">
        <f aca="false">INT(K511*(0.6+MOD(A511*43,21)/100))</f>
        <v>15397</v>
      </c>
      <c r="N511" s="12" t="n">
        <f aca="false">K511-M511</f>
        <v>7933</v>
      </c>
    </row>
    <row r="512" customFormat="false" ht="12.8" hidden="false" customHeight="false" outlineLevel="0" collapsed="false">
      <c r="A512" s="10" t="n">
        <f aca="false">A511+1</f>
        <v>511</v>
      </c>
      <c r="B512" s="11" t="n">
        <f aca="false">B511+1</f>
        <v>45437</v>
      </c>
      <c r="C512" s="10" t="n">
        <f aca="false">YEAR(B512)</f>
        <v>2024</v>
      </c>
      <c r="D512" s="10" t="n">
        <f aca="false">INT((MONTH(B512)-1)/3)+1</f>
        <v>2</v>
      </c>
      <c r="E512" s="10" t="n">
        <f aca="false">MONTH(B512)</f>
        <v>5</v>
      </c>
      <c r="F512" s="10" t="str">
        <f aca="false">CHOOSE(MOD(A512-1,5)+1,"Центр","Юг","Север","Запад","Восток")</f>
        <v>Центр</v>
      </c>
      <c r="G512" s="10" t="str">
        <f aca="false">"Округ_"&amp;(MOD(A512-1,5)+1)&amp;"_"&amp;(MOD(INT((A512-1)/5),5)+1)</f>
        <v>Округ_1_3</v>
      </c>
      <c r="H512" s="10" t="str">
        <f aca="false">"Город_"&amp;(MOD(A512-1,5)+1)&amp;"_"&amp;(MOD(INT((A512-1)/5),5)+1)&amp;"_"&amp;(MOD(INT((A512-1)/25),10)+1)</f>
        <v>Город_1_3_1</v>
      </c>
      <c r="I512" s="10" t="str">
        <f aca="false">CHOOSE(MOD(A512-1,4)+1,"Электроника","Одежда","Продукты","Мебель")</f>
        <v>Продукты</v>
      </c>
      <c r="J512" s="10" t="str">
        <f aca="false">CHOOSE(MOD(INT((A512-1)/4),4)+1,CHOOSE(MOD(A512-1,4)+1,"Смартфоны","Ноутбуки","Аксессуары","Аудио"),CHOOSE(MOD(A512-1,4)+1,"Верхняя одежда","Спортивная","Повседневная","Обувь"),CHOOSE(MOD(A512-1,4)+1,"Молочные","Мясные","Бакалея","Напитки"),CHOOSE(MOD(A512-1,4)+1,"Мягкая мебель","Корпусная","Офисная","Кухонная"))</f>
        <v>Офисная</v>
      </c>
      <c r="K512" s="12" t="n">
        <f aca="false">1000+MOD(A512*317+A512*A512*7,49001)</f>
        <v>30794</v>
      </c>
      <c r="L512" s="12" t="n">
        <f aca="false">1+MOD(A512*131,100)</f>
        <v>42</v>
      </c>
      <c r="M512" s="12" t="n">
        <f aca="false">INT(K512*(0.6+MOD(A512*43,21)/100))</f>
        <v>20631</v>
      </c>
      <c r="N512" s="12" t="n">
        <f aca="false">K512-M512</f>
        <v>10163</v>
      </c>
    </row>
    <row r="513" customFormat="false" ht="12.8" hidden="false" customHeight="false" outlineLevel="0" collapsed="false">
      <c r="A513" s="10" t="n">
        <f aca="false">A512+1</f>
        <v>512</v>
      </c>
      <c r="B513" s="11" t="n">
        <f aca="false">B512+1</f>
        <v>45438</v>
      </c>
      <c r="C513" s="10" t="n">
        <f aca="false">YEAR(B513)</f>
        <v>2024</v>
      </c>
      <c r="D513" s="10" t="n">
        <f aca="false">INT((MONTH(B513)-1)/3)+1</f>
        <v>2</v>
      </c>
      <c r="E513" s="10" t="n">
        <f aca="false">MONTH(B513)</f>
        <v>5</v>
      </c>
      <c r="F513" s="10" t="str">
        <f aca="false">CHOOSE(MOD(A513-1,5)+1,"Центр","Юг","Север","Запад","Восток")</f>
        <v>Юг</v>
      </c>
      <c r="G513" s="10" t="str">
        <f aca="false">"Округ_"&amp;(MOD(A513-1,5)+1)&amp;"_"&amp;(MOD(INT((A513-1)/5),5)+1)</f>
        <v>Округ_2_3</v>
      </c>
      <c r="H513" s="10" t="str">
        <f aca="false">"Город_"&amp;(MOD(A513-1,5)+1)&amp;"_"&amp;(MOD(INT((A513-1)/5),5)+1)&amp;"_"&amp;(MOD(INT((A513-1)/25),10)+1)</f>
        <v>Город_2_3_1</v>
      </c>
      <c r="I513" s="10" t="str">
        <f aca="false">CHOOSE(MOD(A513-1,4)+1,"Электроника","Одежда","Продукты","Мебель")</f>
        <v>Мебель</v>
      </c>
      <c r="J513" s="10" t="str">
        <f aca="false">CHOOSE(MOD(INT((A513-1)/4),4)+1,CHOOSE(MOD(A513-1,4)+1,"Смартфоны","Ноутбуки","Аксессуары","Аудио"),CHOOSE(MOD(A513-1,4)+1,"Верхняя одежда","Спортивная","Повседневная","Обувь"),CHOOSE(MOD(A513-1,4)+1,"Молочные","Мясные","Бакалея","Напитки"),CHOOSE(MOD(A513-1,4)+1,"Мягкая мебель","Корпусная","Офисная","Кухонная"))</f>
        <v>Кухонная</v>
      </c>
      <c r="K513" s="12" t="n">
        <f aca="false">1000+MOD(A513*317+A513*A513*7,49001)</f>
        <v>38272</v>
      </c>
      <c r="L513" s="12" t="n">
        <f aca="false">1+MOD(A513*131,100)</f>
        <v>73</v>
      </c>
      <c r="M513" s="12" t="n">
        <f aca="false">INT(K513*(0.6+MOD(A513*43,21)/100))</f>
        <v>26024</v>
      </c>
      <c r="N513" s="12" t="n">
        <f aca="false">K513-M513</f>
        <v>12248</v>
      </c>
    </row>
    <row r="514" customFormat="false" ht="12.8" hidden="false" customHeight="false" outlineLevel="0" collapsed="false">
      <c r="A514" s="10" t="n">
        <f aca="false">A513+1</f>
        <v>513</v>
      </c>
      <c r="B514" s="11" t="n">
        <f aca="false">B513+1</f>
        <v>45439</v>
      </c>
      <c r="C514" s="10" t="n">
        <f aca="false">YEAR(B514)</f>
        <v>2024</v>
      </c>
      <c r="D514" s="10" t="n">
        <f aca="false">INT((MONTH(B514)-1)/3)+1</f>
        <v>2</v>
      </c>
      <c r="E514" s="10" t="n">
        <f aca="false">MONTH(B514)</f>
        <v>5</v>
      </c>
      <c r="F514" s="10" t="str">
        <f aca="false">CHOOSE(MOD(A514-1,5)+1,"Центр","Юг","Север","Запад","Восток")</f>
        <v>Север</v>
      </c>
      <c r="G514" s="10" t="str">
        <f aca="false">"Округ_"&amp;(MOD(A514-1,5)+1)&amp;"_"&amp;(MOD(INT((A514-1)/5),5)+1)</f>
        <v>Округ_3_3</v>
      </c>
      <c r="H514" s="10" t="str">
        <f aca="false">"Город_"&amp;(MOD(A514-1,5)+1)&amp;"_"&amp;(MOD(INT((A514-1)/5),5)+1)&amp;"_"&amp;(MOD(INT((A514-1)/25),10)+1)</f>
        <v>Город_3_3_1</v>
      </c>
      <c r="I514" s="10" t="str">
        <f aca="false">CHOOSE(MOD(A514-1,4)+1,"Электроника","Одежда","Продукты","Мебель")</f>
        <v>Электроника</v>
      </c>
      <c r="J514" s="10" t="str">
        <f aca="false">CHOOSE(MOD(INT((A514-1)/4),4)+1,CHOOSE(MOD(A514-1,4)+1,"Смартфоны","Ноутбуки","Аксессуары","Аудио"),CHOOSE(MOD(A514-1,4)+1,"Верхняя одежда","Спортивная","Повседневная","Обувь"),CHOOSE(MOD(A514-1,4)+1,"Молочные","Мясные","Бакалея","Напитки"),CHOOSE(MOD(A514-1,4)+1,"Мягкая мебель","Корпусная","Офисная","Кухонная"))</f>
        <v>Смартфоны</v>
      </c>
      <c r="K514" s="12" t="n">
        <f aca="false">1000+MOD(A514*317+A514*A514*7,49001)</f>
        <v>45764</v>
      </c>
      <c r="L514" s="12" t="n">
        <f aca="false">1+MOD(A514*131,100)</f>
        <v>4</v>
      </c>
      <c r="M514" s="12" t="n">
        <f aca="false">INT(K514*(0.6+MOD(A514*43,21)/100))</f>
        <v>31577</v>
      </c>
      <c r="N514" s="12" t="n">
        <f aca="false">K514-M514</f>
        <v>14187</v>
      </c>
    </row>
    <row r="515" customFormat="false" ht="12.8" hidden="false" customHeight="false" outlineLevel="0" collapsed="false">
      <c r="A515" s="10" t="n">
        <f aca="false">A514+1</f>
        <v>514</v>
      </c>
      <c r="B515" s="11" t="n">
        <f aca="false">B514+1</f>
        <v>45440</v>
      </c>
      <c r="C515" s="10" t="n">
        <f aca="false">YEAR(B515)</f>
        <v>2024</v>
      </c>
      <c r="D515" s="10" t="n">
        <f aca="false">INT((MONTH(B515)-1)/3)+1</f>
        <v>2</v>
      </c>
      <c r="E515" s="10" t="n">
        <f aca="false">MONTH(B515)</f>
        <v>5</v>
      </c>
      <c r="F515" s="10" t="str">
        <f aca="false">CHOOSE(MOD(A515-1,5)+1,"Центр","Юг","Север","Запад","Восток")</f>
        <v>Запад</v>
      </c>
      <c r="G515" s="10" t="str">
        <f aca="false">"Округ_"&amp;(MOD(A515-1,5)+1)&amp;"_"&amp;(MOD(INT((A515-1)/5),5)+1)</f>
        <v>Округ_4_3</v>
      </c>
      <c r="H515" s="10" t="str">
        <f aca="false">"Город_"&amp;(MOD(A515-1,5)+1)&amp;"_"&amp;(MOD(INT((A515-1)/5),5)+1)&amp;"_"&amp;(MOD(INT((A515-1)/25),10)+1)</f>
        <v>Город_4_3_1</v>
      </c>
      <c r="I515" s="10" t="str">
        <f aca="false">CHOOSE(MOD(A515-1,4)+1,"Электроника","Одежда","Продукты","Мебель")</f>
        <v>Одежда</v>
      </c>
      <c r="J515" s="10" t="str">
        <f aca="false">CHOOSE(MOD(INT((A515-1)/4),4)+1,CHOOSE(MOD(A515-1,4)+1,"Смартфоны","Ноутбуки","Аксессуары","Аудио"),CHOOSE(MOD(A515-1,4)+1,"Верхняя одежда","Спортивная","Повседневная","Обувь"),CHOOSE(MOD(A515-1,4)+1,"Молочные","Мясные","Бакалея","Напитки"),CHOOSE(MOD(A515-1,4)+1,"Мягкая мебель","Корпусная","Офисная","Кухонная"))</f>
        <v>Ноутбуки</v>
      </c>
      <c r="K515" s="12" t="n">
        <f aca="false">1000+MOD(A515*317+A515*A515*7,49001)</f>
        <v>4269</v>
      </c>
      <c r="L515" s="12" t="n">
        <f aca="false">1+MOD(A515*131,100)</f>
        <v>35</v>
      </c>
      <c r="M515" s="12" t="n">
        <f aca="false">INT(K515*(0.6+MOD(A515*43,21)/100))</f>
        <v>2988</v>
      </c>
      <c r="N515" s="12" t="n">
        <f aca="false">K515-M515</f>
        <v>1281</v>
      </c>
    </row>
    <row r="516" customFormat="false" ht="12.8" hidden="false" customHeight="false" outlineLevel="0" collapsed="false">
      <c r="A516" s="10" t="n">
        <f aca="false">A515+1</f>
        <v>515</v>
      </c>
      <c r="B516" s="11" t="n">
        <f aca="false">B515+1</f>
        <v>45441</v>
      </c>
      <c r="C516" s="10" t="n">
        <f aca="false">YEAR(B516)</f>
        <v>2024</v>
      </c>
      <c r="D516" s="10" t="n">
        <f aca="false">INT((MONTH(B516)-1)/3)+1</f>
        <v>2</v>
      </c>
      <c r="E516" s="10" t="n">
        <f aca="false">MONTH(B516)</f>
        <v>5</v>
      </c>
      <c r="F516" s="10" t="str">
        <f aca="false">CHOOSE(MOD(A516-1,5)+1,"Центр","Юг","Север","Запад","Восток")</f>
        <v>Восток</v>
      </c>
      <c r="G516" s="10" t="str">
        <f aca="false">"Округ_"&amp;(MOD(A516-1,5)+1)&amp;"_"&amp;(MOD(INT((A516-1)/5),5)+1)</f>
        <v>Округ_5_3</v>
      </c>
      <c r="H516" s="10" t="str">
        <f aca="false">"Город_"&amp;(MOD(A516-1,5)+1)&amp;"_"&amp;(MOD(INT((A516-1)/5),5)+1)&amp;"_"&amp;(MOD(INT((A516-1)/25),10)+1)</f>
        <v>Город_5_3_1</v>
      </c>
      <c r="I516" s="10" t="str">
        <f aca="false">CHOOSE(MOD(A516-1,4)+1,"Электроника","Одежда","Продукты","Мебель")</f>
        <v>Продукты</v>
      </c>
      <c r="J516" s="10" t="str">
        <f aca="false">CHOOSE(MOD(INT((A516-1)/4),4)+1,CHOOSE(MOD(A516-1,4)+1,"Смартфоны","Ноутбуки","Аксессуары","Аудио"),CHOOSE(MOD(A516-1,4)+1,"Верхняя одежда","Спортивная","Повседневная","Обувь"),CHOOSE(MOD(A516-1,4)+1,"Молочные","Мясные","Бакалея","Напитки"),CHOOSE(MOD(A516-1,4)+1,"Мягкая мебель","Корпусная","Офисная","Кухонная"))</f>
        <v>Аксессуары</v>
      </c>
      <c r="K516" s="12" t="n">
        <f aca="false">1000+MOD(A516*317+A516*A516*7,49001)</f>
        <v>11789</v>
      </c>
      <c r="L516" s="12" t="n">
        <f aca="false">1+MOD(A516*131,100)</f>
        <v>66</v>
      </c>
      <c r="M516" s="12" t="n">
        <f aca="false">INT(K516*(0.6+MOD(A516*43,21)/100))</f>
        <v>8370</v>
      </c>
      <c r="N516" s="12" t="n">
        <f aca="false">K516-M516</f>
        <v>3419</v>
      </c>
    </row>
    <row r="517" customFormat="false" ht="12.8" hidden="false" customHeight="false" outlineLevel="0" collapsed="false">
      <c r="A517" s="10" t="n">
        <f aca="false">A516+1</f>
        <v>516</v>
      </c>
      <c r="B517" s="11" t="n">
        <f aca="false">B516+1</f>
        <v>45442</v>
      </c>
      <c r="C517" s="10" t="n">
        <f aca="false">YEAR(B517)</f>
        <v>2024</v>
      </c>
      <c r="D517" s="10" t="n">
        <f aca="false">INT((MONTH(B517)-1)/3)+1</f>
        <v>2</v>
      </c>
      <c r="E517" s="10" t="n">
        <f aca="false">MONTH(B517)</f>
        <v>5</v>
      </c>
      <c r="F517" s="10" t="str">
        <f aca="false">CHOOSE(MOD(A517-1,5)+1,"Центр","Юг","Север","Запад","Восток")</f>
        <v>Центр</v>
      </c>
      <c r="G517" s="10" t="str">
        <f aca="false">"Округ_"&amp;(MOD(A517-1,5)+1)&amp;"_"&amp;(MOD(INT((A517-1)/5),5)+1)</f>
        <v>Округ_1_4</v>
      </c>
      <c r="H517" s="10" t="str">
        <f aca="false">"Город_"&amp;(MOD(A517-1,5)+1)&amp;"_"&amp;(MOD(INT((A517-1)/5),5)+1)&amp;"_"&amp;(MOD(INT((A517-1)/25),10)+1)</f>
        <v>Город_1_4_1</v>
      </c>
      <c r="I517" s="10" t="str">
        <f aca="false">CHOOSE(MOD(A517-1,4)+1,"Электроника","Одежда","Продукты","Мебель")</f>
        <v>Мебель</v>
      </c>
      <c r="J517" s="10" t="str">
        <f aca="false">CHOOSE(MOD(INT((A517-1)/4),4)+1,CHOOSE(MOD(A517-1,4)+1,"Смартфоны","Ноутбуки","Аксессуары","Аудио"),CHOOSE(MOD(A517-1,4)+1,"Верхняя одежда","Спортивная","Повседневная","Обувь"),CHOOSE(MOD(A517-1,4)+1,"Молочные","Мясные","Бакалея","Напитки"),CHOOSE(MOD(A517-1,4)+1,"Мягкая мебель","Корпусная","Офисная","Кухонная"))</f>
        <v>Аудио</v>
      </c>
      <c r="K517" s="12" t="n">
        <f aca="false">1000+MOD(A517*317+A517*A517*7,49001)</f>
        <v>19323</v>
      </c>
      <c r="L517" s="12" t="n">
        <f aca="false">1+MOD(A517*131,100)</f>
        <v>97</v>
      </c>
      <c r="M517" s="12" t="n">
        <f aca="false">INT(K517*(0.6+MOD(A517*43,21)/100))</f>
        <v>13912</v>
      </c>
      <c r="N517" s="12" t="n">
        <f aca="false">K517-M517</f>
        <v>5411</v>
      </c>
    </row>
    <row r="518" customFormat="false" ht="12.8" hidden="false" customHeight="false" outlineLevel="0" collapsed="false">
      <c r="A518" s="10" t="n">
        <f aca="false">A517+1</f>
        <v>517</v>
      </c>
      <c r="B518" s="11" t="n">
        <f aca="false">B517+1</f>
        <v>45443</v>
      </c>
      <c r="C518" s="10" t="n">
        <f aca="false">YEAR(B518)</f>
        <v>2024</v>
      </c>
      <c r="D518" s="10" t="n">
        <f aca="false">INT((MONTH(B518)-1)/3)+1</f>
        <v>2</v>
      </c>
      <c r="E518" s="10" t="n">
        <f aca="false">MONTH(B518)</f>
        <v>5</v>
      </c>
      <c r="F518" s="10" t="str">
        <f aca="false">CHOOSE(MOD(A518-1,5)+1,"Центр","Юг","Север","Запад","Восток")</f>
        <v>Юг</v>
      </c>
      <c r="G518" s="10" t="str">
        <f aca="false">"Округ_"&amp;(MOD(A518-1,5)+1)&amp;"_"&amp;(MOD(INT((A518-1)/5),5)+1)</f>
        <v>Округ_2_4</v>
      </c>
      <c r="H518" s="10" t="str">
        <f aca="false">"Город_"&amp;(MOD(A518-1,5)+1)&amp;"_"&amp;(MOD(INT((A518-1)/5),5)+1)&amp;"_"&amp;(MOD(INT((A518-1)/25),10)+1)</f>
        <v>Город_2_4_1</v>
      </c>
      <c r="I518" s="10" t="str">
        <f aca="false">CHOOSE(MOD(A518-1,4)+1,"Электроника","Одежда","Продукты","Мебель")</f>
        <v>Электроника</v>
      </c>
      <c r="J518" s="10" t="str">
        <f aca="false">CHOOSE(MOD(INT((A518-1)/4),4)+1,CHOOSE(MOD(A518-1,4)+1,"Смартфоны","Ноутбуки","Аксессуары","Аудио"),CHOOSE(MOD(A518-1,4)+1,"Верхняя одежда","Спортивная","Повседневная","Обувь"),CHOOSE(MOD(A518-1,4)+1,"Молочные","Мясные","Бакалея","Напитки"),CHOOSE(MOD(A518-1,4)+1,"Мягкая мебель","Корпусная","Офисная","Кухонная"))</f>
        <v>Верхняя одежда</v>
      </c>
      <c r="K518" s="12" t="n">
        <f aca="false">1000+MOD(A518*317+A518*A518*7,49001)</f>
        <v>26871</v>
      </c>
      <c r="L518" s="12" t="n">
        <f aca="false">1+MOD(A518*131,100)</f>
        <v>28</v>
      </c>
      <c r="M518" s="12" t="n">
        <f aca="false">INT(K518*(0.6+MOD(A518*43,21)/100))</f>
        <v>19615</v>
      </c>
      <c r="N518" s="12" t="n">
        <f aca="false">K518-M518</f>
        <v>7256</v>
      </c>
    </row>
    <row r="519" customFormat="false" ht="12.8" hidden="false" customHeight="false" outlineLevel="0" collapsed="false">
      <c r="A519" s="10" t="n">
        <f aca="false">A518+1</f>
        <v>518</v>
      </c>
      <c r="B519" s="11" t="n">
        <f aca="false">B518+1</f>
        <v>45444</v>
      </c>
      <c r="C519" s="10" t="n">
        <f aca="false">YEAR(B519)</f>
        <v>2024</v>
      </c>
      <c r="D519" s="10" t="n">
        <f aca="false">INT((MONTH(B519)-1)/3)+1</f>
        <v>2</v>
      </c>
      <c r="E519" s="10" t="n">
        <f aca="false">MONTH(B519)</f>
        <v>6</v>
      </c>
      <c r="F519" s="10" t="str">
        <f aca="false">CHOOSE(MOD(A519-1,5)+1,"Центр","Юг","Север","Запад","Восток")</f>
        <v>Север</v>
      </c>
      <c r="G519" s="10" t="str">
        <f aca="false">"Округ_"&amp;(MOD(A519-1,5)+1)&amp;"_"&amp;(MOD(INT((A519-1)/5),5)+1)</f>
        <v>Округ_3_4</v>
      </c>
      <c r="H519" s="10" t="str">
        <f aca="false">"Город_"&amp;(MOD(A519-1,5)+1)&amp;"_"&amp;(MOD(INT((A519-1)/5),5)+1)&amp;"_"&amp;(MOD(INT((A519-1)/25),10)+1)</f>
        <v>Город_3_4_1</v>
      </c>
      <c r="I519" s="10" t="str">
        <f aca="false">CHOOSE(MOD(A519-1,4)+1,"Электроника","Одежда","Продукты","Мебель")</f>
        <v>Одежда</v>
      </c>
      <c r="J519" s="10" t="str">
        <f aca="false">CHOOSE(MOD(INT((A519-1)/4),4)+1,CHOOSE(MOD(A519-1,4)+1,"Смартфоны","Ноутбуки","Аксессуары","Аудио"),CHOOSE(MOD(A519-1,4)+1,"Верхняя одежда","Спортивная","Повседневная","Обувь"),CHOOSE(MOD(A519-1,4)+1,"Молочные","Мясные","Бакалея","Напитки"),CHOOSE(MOD(A519-1,4)+1,"Мягкая мебель","Корпусная","Офисная","Кухонная"))</f>
        <v>Спортивная</v>
      </c>
      <c r="K519" s="12" t="n">
        <f aca="false">1000+MOD(A519*317+A519*A519*7,49001)</f>
        <v>34433</v>
      </c>
      <c r="L519" s="12" t="n">
        <f aca="false">1+MOD(A519*131,100)</f>
        <v>59</v>
      </c>
      <c r="M519" s="12" t="n">
        <f aca="false">INT(K519*(0.6+MOD(A519*43,21)/100))</f>
        <v>25480</v>
      </c>
      <c r="N519" s="12" t="n">
        <f aca="false">K519-M519</f>
        <v>8953</v>
      </c>
    </row>
    <row r="520" customFormat="false" ht="12.8" hidden="false" customHeight="false" outlineLevel="0" collapsed="false">
      <c r="A520" s="10" t="n">
        <f aca="false">A519+1</f>
        <v>519</v>
      </c>
      <c r="B520" s="11" t="n">
        <f aca="false">B519+1</f>
        <v>45445</v>
      </c>
      <c r="C520" s="10" t="n">
        <f aca="false">YEAR(B520)</f>
        <v>2024</v>
      </c>
      <c r="D520" s="10" t="n">
        <f aca="false">INT((MONTH(B520)-1)/3)+1</f>
        <v>2</v>
      </c>
      <c r="E520" s="10" t="n">
        <f aca="false">MONTH(B520)</f>
        <v>6</v>
      </c>
      <c r="F520" s="10" t="str">
        <f aca="false">CHOOSE(MOD(A520-1,5)+1,"Центр","Юг","Север","Запад","Восток")</f>
        <v>Запад</v>
      </c>
      <c r="G520" s="10" t="str">
        <f aca="false">"Округ_"&amp;(MOD(A520-1,5)+1)&amp;"_"&amp;(MOD(INT((A520-1)/5),5)+1)</f>
        <v>Округ_4_4</v>
      </c>
      <c r="H520" s="10" t="str">
        <f aca="false">"Город_"&amp;(MOD(A520-1,5)+1)&amp;"_"&amp;(MOD(INT((A520-1)/5),5)+1)&amp;"_"&amp;(MOD(INT((A520-1)/25),10)+1)</f>
        <v>Город_4_4_1</v>
      </c>
      <c r="I520" s="10" t="str">
        <f aca="false">CHOOSE(MOD(A520-1,4)+1,"Электроника","Одежда","Продукты","Мебель")</f>
        <v>Продукты</v>
      </c>
      <c r="J520" s="10" t="str">
        <f aca="false">CHOOSE(MOD(INT((A520-1)/4),4)+1,CHOOSE(MOD(A520-1,4)+1,"Смартфоны","Ноутбуки","Аксессуары","Аудио"),CHOOSE(MOD(A520-1,4)+1,"Верхняя одежда","Спортивная","Повседневная","Обувь"),CHOOSE(MOD(A520-1,4)+1,"Молочные","Мясные","Бакалея","Напитки"),CHOOSE(MOD(A520-1,4)+1,"Мягкая мебель","Корпусная","Офисная","Кухонная"))</f>
        <v>Повседневная</v>
      </c>
      <c r="K520" s="12" t="n">
        <f aca="false">1000+MOD(A520*317+A520*A520*7,49001)</f>
        <v>42009</v>
      </c>
      <c r="L520" s="12" t="n">
        <f aca="false">1+MOD(A520*131,100)</f>
        <v>90</v>
      </c>
      <c r="M520" s="12" t="n">
        <f aca="false">INT(K520*(0.6+MOD(A520*43,21)/100))</f>
        <v>31506</v>
      </c>
      <c r="N520" s="12" t="n">
        <f aca="false">K520-M520</f>
        <v>10503</v>
      </c>
    </row>
    <row r="521" customFormat="false" ht="12.8" hidden="false" customHeight="false" outlineLevel="0" collapsed="false">
      <c r="A521" s="10" t="n">
        <f aca="false">A520+1</f>
        <v>520</v>
      </c>
      <c r="B521" s="11" t="n">
        <f aca="false">B520+1</f>
        <v>45446</v>
      </c>
      <c r="C521" s="10" t="n">
        <f aca="false">YEAR(B521)</f>
        <v>2024</v>
      </c>
      <c r="D521" s="10" t="n">
        <f aca="false">INT((MONTH(B521)-1)/3)+1</f>
        <v>2</v>
      </c>
      <c r="E521" s="10" t="n">
        <f aca="false">MONTH(B521)</f>
        <v>6</v>
      </c>
      <c r="F521" s="10" t="str">
        <f aca="false">CHOOSE(MOD(A521-1,5)+1,"Центр","Юг","Север","Запад","Восток")</f>
        <v>Восток</v>
      </c>
      <c r="G521" s="10" t="str">
        <f aca="false">"Округ_"&amp;(MOD(A521-1,5)+1)&amp;"_"&amp;(MOD(INT((A521-1)/5),5)+1)</f>
        <v>Округ_5_4</v>
      </c>
      <c r="H521" s="10" t="str">
        <f aca="false">"Город_"&amp;(MOD(A521-1,5)+1)&amp;"_"&amp;(MOD(INT((A521-1)/5),5)+1)&amp;"_"&amp;(MOD(INT((A521-1)/25),10)+1)</f>
        <v>Город_5_4_1</v>
      </c>
      <c r="I521" s="10" t="str">
        <f aca="false">CHOOSE(MOD(A521-1,4)+1,"Электроника","Одежда","Продукты","Мебель")</f>
        <v>Мебель</v>
      </c>
      <c r="J521" s="10" t="str">
        <f aca="false">CHOOSE(MOD(INT((A521-1)/4),4)+1,CHOOSE(MOD(A521-1,4)+1,"Смартфоны","Ноутбуки","Аксессуары","Аудио"),CHOOSE(MOD(A521-1,4)+1,"Верхняя одежда","Спортивная","Повседневная","Обувь"),CHOOSE(MOD(A521-1,4)+1,"Молочные","Мясные","Бакалея","Напитки"),CHOOSE(MOD(A521-1,4)+1,"Мягкая мебель","Корпусная","Офисная","Кухонная"))</f>
        <v>Обувь</v>
      </c>
      <c r="K521" s="12" t="n">
        <f aca="false">1000+MOD(A521*317+A521*A521*7,49001)</f>
        <v>49599</v>
      </c>
      <c r="L521" s="12" t="n">
        <f aca="false">1+MOD(A521*131,100)</f>
        <v>21</v>
      </c>
      <c r="M521" s="12" t="n">
        <f aca="false">INT(K521*(0.6+MOD(A521*43,21)/100))</f>
        <v>37695</v>
      </c>
      <c r="N521" s="12" t="n">
        <f aca="false">K521-M521</f>
        <v>11904</v>
      </c>
    </row>
    <row r="522" customFormat="false" ht="12.8" hidden="false" customHeight="false" outlineLevel="0" collapsed="false">
      <c r="A522" s="10" t="n">
        <f aca="false">A521+1</f>
        <v>521</v>
      </c>
      <c r="B522" s="11" t="n">
        <f aca="false">B521+1</f>
        <v>45447</v>
      </c>
      <c r="C522" s="10" t="n">
        <f aca="false">YEAR(B522)</f>
        <v>2024</v>
      </c>
      <c r="D522" s="10" t="n">
        <f aca="false">INT((MONTH(B522)-1)/3)+1</f>
        <v>2</v>
      </c>
      <c r="E522" s="10" t="n">
        <f aca="false">MONTH(B522)</f>
        <v>6</v>
      </c>
      <c r="F522" s="10" t="str">
        <f aca="false">CHOOSE(MOD(A522-1,5)+1,"Центр","Юг","Север","Запад","Восток")</f>
        <v>Центр</v>
      </c>
      <c r="G522" s="10" t="str">
        <f aca="false">"Округ_"&amp;(MOD(A522-1,5)+1)&amp;"_"&amp;(MOD(INT((A522-1)/5),5)+1)</f>
        <v>Округ_1_5</v>
      </c>
      <c r="H522" s="10" t="str">
        <f aca="false">"Город_"&amp;(MOD(A522-1,5)+1)&amp;"_"&amp;(MOD(INT((A522-1)/5),5)+1)&amp;"_"&amp;(MOD(INT((A522-1)/25),10)+1)</f>
        <v>Город_1_5_1</v>
      </c>
      <c r="I522" s="10" t="str">
        <f aca="false">CHOOSE(MOD(A522-1,4)+1,"Электроника","Одежда","Продукты","Мебель")</f>
        <v>Электроника</v>
      </c>
      <c r="J522" s="10" t="str">
        <f aca="false">CHOOSE(MOD(INT((A522-1)/4),4)+1,CHOOSE(MOD(A522-1,4)+1,"Смартфоны","Ноутбуки","Аксессуары","Аудио"),CHOOSE(MOD(A522-1,4)+1,"Верхняя одежда","Спортивная","Повседневная","Обувь"),CHOOSE(MOD(A522-1,4)+1,"Молочные","Мясные","Бакалея","Напитки"),CHOOSE(MOD(A522-1,4)+1,"Мягкая мебель","Корпусная","Офисная","Кухонная"))</f>
        <v>Молочные</v>
      </c>
      <c r="K522" s="12" t="n">
        <f aca="false">1000+MOD(A522*317+A522*A522*7,49001)</f>
        <v>8202</v>
      </c>
      <c r="L522" s="12" t="n">
        <f aca="false">1+MOD(A522*131,100)</f>
        <v>52</v>
      </c>
      <c r="M522" s="12" t="n">
        <f aca="false">INT(K522*(0.6+MOD(A522*43,21)/100))</f>
        <v>6315</v>
      </c>
      <c r="N522" s="12" t="n">
        <f aca="false">K522-M522</f>
        <v>1887</v>
      </c>
    </row>
    <row r="523" customFormat="false" ht="12.8" hidden="false" customHeight="false" outlineLevel="0" collapsed="false">
      <c r="A523" s="10" t="n">
        <f aca="false">A522+1</f>
        <v>522</v>
      </c>
      <c r="B523" s="11" t="n">
        <f aca="false">B522+1</f>
        <v>45448</v>
      </c>
      <c r="C523" s="10" t="n">
        <f aca="false">YEAR(B523)</f>
        <v>2024</v>
      </c>
      <c r="D523" s="10" t="n">
        <f aca="false">INT((MONTH(B523)-1)/3)+1</f>
        <v>2</v>
      </c>
      <c r="E523" s="10" t="n">
        <f aca="false">MONTH(B523)</f>
        <v>6</v>
      </c>
      <c r="F523" s="10" t="str">
        <f aca="false">CHOOSE(MOD(A523-1,5)+1,"Центр","Юг","Север","Запад","Восток")</f>
        <v>Юг</v>
      </c>
      <c r="G523" s="10" t="str">
        <f aca="false">"Округ_"&amp;(MOD(A523-1,5)+1)&amp;"_"&amp;(MOD(INT((A523-1)/5),5)+1)</f>
        <v>Округ_2_5</v>
      </c>
      <c r="H523" s="10" t="str">
        <f aca="false">"Город_"&amp;(MOD(A523-1,5)+1)&amp;"_"&amp;(MOD(INT((A523-1)/5),5)+1)&amp;"_"&amp;(MOD(INT((A523-1)/25),10)+1)</f>
        <v>Город_2_5_1</v>
      </c>
      <c r="I523" s="10" t="str">
        <f aca="false">CHOOSE(MOD(A523-1,4)+1,"Электроника","Одежда","Продукты","Мебель")</f>
        <v>Одежда</v>
      </c>
      <c r="J523" s="10" t="str">
        <f aca="false">CHOOSE(MOD(INT((A523-1)/4),4)+1,CHOOSE(MOD(A523-1,4)+1,"Смартфоны","Ноутбуки","Аксессуары","Аудио"),CHOOSE(MOD(A523-1,4)+1,"Верхняя одежда","Спортивная","Повседневная","Обувь"),CHOOSE(MOD(A523-1,4)+1,"Молочные","Мясные","Бакалея","Напитки"),CHOOSE(MOD(A523-1,4)+1,"Мягкая мебель","Корпусная","Офисная","Кухонная"))</f>
        <v>Мясные</v>
      </c>
      <c r="K523" s="12" t="n">
        <f aca="false">1000+MOD(A523*317+A523*A523*7,49001)</f>
        <v>15820</v>
      </c>
      <c r="L523" s="12" t="n">
        <f aca="false">1+MOD(A523*131,100)</f>
        <v>83</v>
      </c>
      <c r="M523" s="12" t="n">
        <f aca="false">INT(K523*(0.6+MOD(A523*43,21)/100))</f>
        <v>12339</v>
      </c>
      <c r="N523" s="12" t="n">
        <f aca="false">K523-M523</f>
        <v>3481</v>
      </c>
    </row>
    <row r="524" customFormat="false" ht="12.8" hidden="false" customHeight="false" outlineLevel="0" collapsed="false">
      <c r="A524" s="10" t="n">
        <f aca="false">A523+1</f>
        <v>523</v>
      </c>
      <c r="B524" s="11" t="n">
        <f aca="false">B523+1</f>
        <v>45449</v>
      </c>
      <c r="C524" s="10" t="n">
        <f aca="false">YEAR(B524)</f>
        <v>2024</v>
      </c>
      <c r="D524" s="10" t="n">
        <f aca="false">INT((MONTH(B524)-1)/3)+1</f>
        <v>2</v>
      </c>
      <c r="E524" s="10" t="n">
        <f aca="false">MONTH(B524)</f>
        <v>6</v>
      </c>
      <c r="F524" s="10" t="str">
        <f aca="false">CHOOSE(MOD(A524-1,5)+1,"Центр","Юг","Север","Запад","Восток")</f>
        <v>Север</v>
      </c>
      <c r="G524" s="10" t="str">
        <f aca="false">"Округ_"&amp;(MOD(A524-1,5)+1)&amp;"_"&amp;(MOD(INT((A524-1)/5),5)+1)</f>
        <v>Округ_3_5</v>
      </c>
      <c r="H524" s="10" t="str">
        <f aca="false">"Город_"&amp;(MOD(A524-1,5)+1)&amp;"_"&amp;(MOD(INT((A524-1)/5),5)+1)&amp;"_"&amp;(MOD(INT((A524-1)/25),10)+1)</f>
        <v>Город_3_5_1</v>
      </c>
      <c r="I524" s="10" t="str">
        <f aca="false">CHOOSE(MOD(A524-1,4)+1,"Электроника","Одежда","Продукты","Мебель")</f>
        <v>Продукты</v>
      </c>
      <c r="J524" s="10" t="str">
        <f aca="false">CHOOSE(MOD(INT((A524-1)/4),4)+1,CHOOSE(MOD(A524-1,4)+1,"Смартфоны","Ноутбуки","Аксессуары","Аудио"),CHOOSE(MOD(A524-1,4)+1,"Верхняя одежда","Спортивная","Повседневная","Обувь"),CHOOSE(MOD(A524-1,4)+1,"Молочные","Мясные","Бакалея","Напитки"),CHOOSE(MOD(A524-1,4)+1,"Мягкая мебель","Корпусная","Офисная","Кухонная"))</f>
        <v>Бакалея</v>
      </c>
      <c r="K524" s="12" t="n">
        <f aca="false">1000+MOD(A524*317+A524*A524*7,49001)</f>
        <v>23452</v>
      </c>
      <c r="L524" s="12" t="n">
        <f aca="false">1+MOD(A524*131,100)</f>
        <v>14</v>
      </c>
      <c r="M524" s="12" t="n">
        <f aca="false">INT(K524*(0.6+MOD(A524*43,21)/100))</f>
        <v>18527</v>
      </c>
      <c r="N524" s="12" t="n">
        <f aca="false">K524-M524</f>
        <v>4925</v>
      </c>
    </row>
    <row r="525" customFormat="false" ht="12.8" hidden="false" customHeight="false" outlineLevel="0" collapsed="false">
      <c r="A525" s="10" t="n">
        <f aca="false">A524+1</f>
        <v>524</v>
      </c>
      <c r="B525" s="11" t="n">
        <f aca="false">B524+1</f>
        <v>45450</v>
      </c>
      <c r="C525" s="10" t="n">
        <f aca="false">YEAR(B525)</f>
        <v>2024</v>
      </c>
      <c r="D525" s="10" t="n">
        <f aca="false">INT((MONTH(B525)-1)/3)+1</f>
        <v>2</v>
      </c>
      <c r="E525" s="10" t="n">
        <f aca="false">MONTH(B525)</f>
        <v>6</v>
      </c>
      <c r="F525" s="10" t="str">
        <f aca="false">CHOOSE(MOD(A525-1,5)+1,"Центр","Юг","Север","Запад","Восток")</f>
        <v>Запад</v>
      </c>
      <c r="G525" s="10" t="str">
        <f aca="false">"Округ_"&amp;(MOD(A525-1,5)+1)&amp;"_"&amp;(MOD(INT((A525-1)/5),5)+1)</f>
        <v>Округ_4_5</v>
      </c>
      <c r="H525" s="10" t="str">
        <f aca="false">"Город_"&amp;(MOD(A525-1,5)+1)&amp;"_"&amp;(MOD(INT((A525-1)/5),5)+1)&amp;"_"&amp;(MOD(INT((A525-1)/25),10)+1)</f>
        <v>Город_4_5_1</v>
      </c>
      <c r="I525" s="10" t="str">
        <f aca="false">CHOOSE(MOD(A525-1,4)+1,"Электроника","Одежда","Продукты","Мебель")</f>
        <v>Мебель</v>
      </c>
      <c r="J525" s="10" t="str">
        <f aca="false">CHOOSE(MOD(INT((A525-1)/4),4)+1,CHOOSE(MOD(A525-1,4)+1,"Смартфоны","Ноутбуки","Аксессуары","Аудио"),CHOOSE(MOD(A525-1,4)+1,"Верхняя одежда","Спортивная","Повседневная","Обувь"),CHOOSE(MOD(A525-1,4)+1,"Молочные","Мясные","Бакалея","Напитки"),CHOOSE(MOD(A525-1,4)+1,"Мягкая мебель","Корпусная","Офисная","Кухонная"))</f>
        <v>Напитки</v>
      </c>
      <c r="K525" s="12" t="n">
        <f aca="false">1000+MOD(A525*317+A525*A525*7,49001)</f>
        <v>31098</v>
      </c>
      <c r="L525" s="12" t="n">
        <f aca="false">1+MOD(A525*131,100)</f>
        <v>45</v>
      </c>
      <c r="M525" s="12" t="n">
        <f aca="false">INT(K525*(0.6+MOD(A525*43,21)/100))</f>
        <v>24878</v>
      </c>
      <c r="N525" s="12" t="n">
        <f aca="false">K525-M525</f>
        <v>6220</v>
      </c>
    </row>
    <row r="526" customFormat="false" ht="12.8" hidden="false" customHeight="false" outlineLevel="0" collapsed="false">
      <c r="A526" s="10" t="n">
        <f aca="false">A525+1</f>
        <v>525</v>
      </c>
      <c r="B526" s="11" t="n">
        <f aca="false">B525+1</f>
        <v>45451</v>
      </c>
      <c r="C526" s="10" t="n">
        <f aca="false">YEAR(B526)</f>
        <v>2024</v>
      </c>
      <c r="D526" s="10" t="n">
        <f aca="false">INT((MONTH(B526)-1)/3)+1</f>
        <v>2</v>
      </c>
      <c r="E526" s="10" t="n">
        <f aca="false">MONTH(B526)</f>
        <v>6</v>
      </c>
      <c r="F526" s="10" t="str">
        <f aca="false">CHOOSE(MOD(A526-1,5)+1,"Центр","Юг","Север","Запад","Восток")</f>
        <v>Восток</v>
      </c>
      <c r="G526" s="10" t="str">
        <f aca="false">"Округ_"&amp;(MOD(A526-1,5)+1)&amp;"_"&amp;(MOD(INT((A526-1)/5),5)+1)</f>
        <v>Округ_5_5</v>
      </c>
      <c r="H526" s="10" t="str">
        <f aca="false">"Город_"&amp;(MOD(A526-1,5)+1)&amp;"_"&amp;(MOD(INT((A526-1)/5),5)+1)&amp;"_"&amp;(MOD(INT((A526-1)/25),10)+1)</f>
        <v>Город_5_5_1</v>
      </c>
      <c r="I526" s="10" t="str">
        <f aca="false">CHOOSE(MOD(A526-1,4)+1,"Электроника","Одежда","Продукты","Мебель")</f>
        <v>Электроника</v>
      </c>
      <c r="J526" s="10" t="str">
        <f aca="false">CHOOSE(MOD(INT((A526-1)/4),4)+1,CHOOSE(MOD(A526-1,4)+1,"Смартфоны","Ноутбуки","Аксессуары","Аудио"),CHOOSE(MOD(A526-1,4)+1,"Верхняя одежда","Спортивная","Повседневная","Обувь"),CHOOSE(MOD(A526-1,4)+1,"Молочные","Мясные","Бакалея","Напитки"),CHOOSE(MOD(A526-1,4)+1,"Мягкая мебель","Корпусная","Офисная","Кухонная"))</f>
        <v>Мягкая мебель</v>
      </c>
      <c r="K526" s="12" t="n">
        <f aca="false">1000+MOD(A526*317+A526*A526*7,49001)</f>
        <v>38758</v>
      </c>
      <c r="L526" s="12" t="n">
        <f aca="false">1+MOD(A526*131,100)</f>
        <v>76</v>
      </c>
      <c r="M526" s="12" t="n">
        <f aca="false">INT(K526*(0.6+MOD(A526*43,21)/100))</f>
        <v>23254</v>
      </c>
      <c r="N526" s="12" t="n">
        <f aca="false">K526-M526</f>
        <v>15504</v>
      </c>
    </row>
    <row r="527" customFormat="false" ht="12.8" hidden="false" customHeight="false" outlineLevel="0" collapsed="false">
      <c r="A527" s="10" t="n">
        <f aca="false">A526+1</f>
        <v>526</v>
      </c>
      <c r="B527" s="11" t="n">
        <f aca="false">B526+1</f>
        <v>45452</v>
      </c>
      <c r="C527" s="10" t="n">
        <f aca="false">YEAR(B527)</f>
        <v>2024</v>
      </c>
      <c r="D527" s="10" t="n">
        <f aca="false">INT((MONTH(B527)-1)/3)+1</f>
        <v>2</v>
      </c>
      <c r="E527" s="10" t="n">
        <f aca="false">MONTH(B527)</f>
        <v>6</v>
      </c>
      <c r="F527" s="10" t="str">
        <f aca="false">CHOOSE(MOD(A527-1,5)+1,"Центр","Юг","Север","Запад","Восток")</f>
        <v>Центр</v>
      </c>
      <c r="G527" s="10" t="str">
        <f aca="false">"Округ_"&amp;(MOD(A527-1,5)+1)&amp;"_"&amp;(MOD(INT((A527-1)/5),5)+1)</f>
        <v>Округ_1_1</v>
      </c>
      <c r="H527" s="10" t="str">
        <f aca="false">"Город_"&amp;(MOD(A527-1,5)+1)&amp;"_"&amp;(MOD(INT((A527-1)/5),5)+1)&amp;"_"&amp;(MOD(INT((A527-1)/25),10)+1)</f>
        <v>Город_1_1_2</v>
      </c>
      <c r="I527" s="10" t="str">
        <f aca="false">CHOOSE(MOD(A527-1,4)+1,"Электроника","Одежда","Продукты","Мебель")</f>
        <v>Одежда</v>
      </c>
      <c r="J527" s="10" t="str">
        <f aca="false">CHOOSE(MOD(INT((A527-1)/4),4)+1,CHOOSE(MOD(A527-1,4)+1,"Смартфоны","Ноутбуки","Аксессуары","Аудио"),CHOOSE(MOD(A527-1,4)+1,"Верхняя одежда","Спортивная","Повседневная","Обувь"),CHOOSE(MOD(A527-1,4)+1,"Молочные","Мясные","Бакалея","Напитки"),CHOOSE(MOD(A527-1,4)+1,"Мягкая мебель","Корпусная","Офисная","Кухонная"))</f>
        <v>Корпусная</v>
      </c>
      <c r="K527" s="12" t="n">
        <f aca="false">1000+MOD(A527*317+A527*A527*7,49001)</f>
        <v>46432</v>
      </c>
      <c r="L527" s="12" t="n">
        <f aca="false">1+MOD(A527*131,100)</f>
        <v>7</v>
      </c>
      <c r="M527" s="12" t="n">
        <f aca="false">INT(K527*(0.6+MOD(A527*43,21)/100))</f>
        <v>28323</v>
      </c>
      <c r="N527" s="12" t="n">
        <f aca="false">K527-M527</f>
        <v>18109</v>
      </c>
    </row>
    <row r="528" customFormat="false" ht="12.8" hidden="false" customHeight="false" outlineLevel="0" collapsed="false">
      <c r="A528" s="10" t="n">
        <f aca="false">A527+1</f>
        <v>527</v>
      </c>
      <c r="B528" s="11" t="n">
        <f aca="false">B527+1</f>
        <v>45453</v>
      </c>
      <c r="C528" s="10" t="n">
        <f aca="false">YEAR(B528)</f>
        <v>2024</v>
      </c>
      <c r="D528" s="10" t="n">
        <f aca="false">INT((MONTH(B528)-1)/3)+1</f>
        <v>2</v>
      </c>
      <c r="E528" s="10" t="n">
        <f aca="false">MONTH(B528)</f>
        <v>6</v>
      </c>
      <c r="F528" s="10" t="str">
        <f aca="false">CHOOSE(MOD(A528-1,5)+1,"Центр","Юг","Север","Запад","Восток")</f>
        <v>Юг</v>
      </c>
      <c r="G528" s="10" t="str">
        <f aca="false">"Округ_"&amp;(MOD(A528-1,5)+1)&amp;"_"&amp;(MOD(INT((A528-1)/5),5)+1)</f>
        <v>Округ_2_1</v>
      </c>
      <c r="H528" s="10" t="str">
        <f aca="false">"Город_"&amp;(MOD(A528-1,5)+1)&amp;"_"&amp;(MOD(INT((A528-1)/5),5)+1)&amp;"_"&amp;(MOD(INT((A528-1)/25),10)+1)</f>
        <v>Город_2_1_2</v>
      </c>
      <c r="I528" s="10" t="str">
        <f aca="false">CHOOSE(MOD(A528-1,4)+1,"Электроника","Одежда","Продукты","Мебель")</f>
        <v>Продукты</v>
      </c>
      <c r="J528" s="10" t="str">
        <f aca="false">CHOOSE(MOD(INT((A528-1)/4),4)+1,CHOOSE(MOD(A528-1,4)+1,"Смартфоны","Ноутбуки","Аксессуары","Аудио"),CHOOSE(MOD(A528-1,4)+1,"Верхняя одежда","Спортивная","Повседневная","Обувь"),CHOOSE(MOD(A528-1,4)+1,"Молочные","Мясные","Бакалея","Напитки"),CHOOSE(MOD(A528-1,4)+1,"Мягкая мебель","Корпусная","Офисная","Кухонная"))</f>
        <v>Офисная</v>
      </c>
      <c r="K528" s="12" t="n">
        <f aca="false">1000+MOD(A528*317+A528*A528*7,49001)</f>
        <v>5119</v>
      </c>
      <c r="L528" s="12" t="n">
        <f aca="false">1+MOD(A528*131,100)</f>
        <v>38</v>
      </c>
      <c r="M528" s="12" t="n">
        <f aca="false">INT(K528*(0.6+MOD(A528*43,21)/100))</f>
        <v>3173</v>
      </c>
      <c r="N528" s="12" t="n">
        <f aca="false">K528-M528</f>
        <v>1946</v>
      </c>
    </row>
    <row r="529" customFormat="false" ht="12.8" hidden="false" customHeight="false" outlineLevel="0" collapsed="false">
      <c r="A529" s="10" t="n">
        <f aca="false">A528+1</f>
        <v>528</v>
      </c>
      <c r="B529" s="11" t="n">
        <f aca="false">B528+1</f>
        <v>45454</v>
      </c>
      <c r="C529" s="10" t="n">
        <f aca="false">YEAR(B529)</f>
        <v>2024</v>
      </c>
      <c r="D529" s="10" t="n">
        <f aca="false">INT((MONTH(B529)-1)/3)+1</f>
        <v>2</v>
      </c>
      <c r="E529" s="10" t="n">
        <f aca="false">MONTH(B529)</f>
        <v>6</v>
      </c>
      <c r="F529" s="10" t="str">
        <f aca="false">CHOOSE(MOD(A529-1,5)+1,"Центр","Юг","Север","Запад","Восток")</f>
        <v>Север</v>
      </c>
      <c r="G529" s="10" t="str">
        <f aca="false">"Округ_"&amp;(MOD(A529-1,5)+1)&amp;"_"&amp;(MOD(INT((A529-1)/5),5)+1)</f>
        <v>Округ_3_1</v>
      </c>
      <c r="H529" s="10" t="str">
        <f aca="false">"Город_"&amp;(MOD(A529-1,5)+1)&amp;"_"&amp;(MOD(INT((A529-1)/5),5)+1)&amp;"_"&amp;(MOD(INT((A529-1)/25),10)+1)</f>
        <v>Город_3_1_2</v>
      </c>
      <c r="I529" s="10" t="str">
        <f aca="false">CHOOSE(MOD(A529-1,4)+1,"Электроника","Одежда","Продукты","Мебель")</f>
        <v>Мебель</v>
      </c>
      <c r="J529" s="10" t="str">
        <f aca="false">CHOOSE(MOD(INT((A529-1)/4),4)+1,CHOOSE(MOD(A529-1,4)+1,"Смартфоны","Ноутбуки","Аксессуары","Аудио"),CHOOSE(MOD(A529-1,4)+1,"Верхняя одежда","Спортивная","Повседневная","Обувь"),CHOOSE(MOD(A529-1,4)+1,"Молочные","Мясные","Бакалея","Напитки"),CHOOSE(MOD(A529-1,4)+1,"Мягкая мебель","Корпусная","Офисная","Кухонная"))</f>
        <v>Кухонная</v>
      </c>
      <c r="K529" s="12" t="n">
        <f aca="false">1000+MOD(A529*317+A529*A529*7,49001)</f>
        <v>12821</v>
      </c>
      <c r="L529" s="12" t="n">
        <f aca="false">1+MOD(A529*131,100)</f>
        <v>69</v>
      </c>
      <c r="M529" s="12" t="n">
        <f aca="false">INT(K529*(0.6+MOD(A529*43,21)/100))</f>
        <v>8077</v>
      </c>
      <c r="N529" s="12" t="n">
        <f aca="false">K529-M529</f>
        <v>4744</v>
      </c>
    </row>
    <row r="530" customFormat="false" ht="12.8" hidden="false" customHeight="false" outlineLevel="0" collapsed="false">
      <c r="A530" s="10" t="n">
        <f aca="false">A529+1</f>
        <v>529</v>
      </c>
      <c r="B530" s="11" t="n">
        <f aca="false">B529+1</f>
        <v>45455</v>
      </c>
      <c r="C530" s="10" t="n">
        <f aca="false">YEAR(B530)</f>
        <v>2024</v>
      </c>
      <c r="D530" s="10" t="n">
        <f aca="false">INT((MONTH(B530)-1)/3)+1</f>
        <v>2</v>
      </c>
      <c r="E530" s="10" t="n">
        <f aca="false">MONTH(B530)</f>
        <v>6</v>
      </c>
      <c r="F530" s="10" t="str">
        <f aca="false">CHOOSE(MOD(A530-1,5)+1,"Центр","Юг","Север","Запад","Восток")</f>
        <v>Запад</v>
      </c>
      <c r="G530" s="10" t="str">
        <f aca="false">"Округ_"&amp;(MOD(A530-1,5)+1)&amp;"_"&amp;(MOD(INT((A530-1)/5),5)+1)</f>
        <v>Округ_4_1</v>
      </c>
      <c r="H530" s="10" t="str">
        <f aca="false">"Город_"&amp;(MOD(A530-1,5)+1)&amp;"_"&amp;(MOD(INT((A530-1)/5),5)+1)&amp;"_"&amp;(MOD(INT((A530-1)/25),10)+1)</f>
        <v>Город_4_1_2</v>
      </c>
      <c r="I530" s="10" t="str">
        <f aca="false">CHOOSE(MOD(A530-1,4)+1,"Электроника","Одежда","Продукты","Мебель")</f>
        <v>Электроника</v>
      </c>
      <c r="J530" s="10" t="str">
        <f aca="false">CHOOSE(MOD(INT((A530-1)/4),4)+1,CHOOSE(MOD(A530-1,4)+1,"Смартфоны","Ноутбуки","Аксессуары","Аудио"),CHOOSE(MOD(A530-1,4)+1,"Верхняя одежда","Спортивная","Повседневная","Обувь"),CHOOSE(MOD(A530-1,4)+1,"Молочные","Мясные","Бакалея","Напитки"),CHOOSE(MOD(A530-1,4)+1,"Мягкая мебель","Корпусная","Офисная","Кухонная"))</f>
        <v>Смартфоны</v>
      </c>
      <c r="K530" s="12" t="n">
        <f aca="false">1000+MOD(A530*317+A530*A530*7,49001)</f>
        <v>20537</v>
      </c>
      <c r="L530" s="12" t="n">
        <f aca="false">1+MOD(A530*131,100)</f>
        <v>100</v>
      </c>
      <c r="M530" s="12" t="n">
        <f aca="false">INT(K530*(0.6+MOD(A530*43,21)/100))</f>
        <v>13143</v>
      </c>
      <c r="N530" s="12" t="n">
        <f aca="false">K530-M530</f>
        <v>7394</v>
      </c>
    </row>
    <row r="531" customFormat="false" ht="12.8" hidden="false" customHeight="false" outlineLevel="0" collapsed="false">
      <c r="A531" s="10" t="n">
        <f aca="false">A530+1</f>
        <v>530</v>
      </c>
      <c r="B531" s="11" t="n">
        <f aca="false">B530+1</f>
        <v>45456</v>
      </c>
      <c r="C531" s="10" t="n">
        <f aca="false">YEAR(B531)</f>
        <v>2024</v>
      </c>
      <c r="D531" s="10" t="n">
        <f aca="false">INT((MONTH(B531)-1)/3)+1</f>
        <v>2</v>
      </c>
      <c r="E531" s="10" t="n">
        <f aca="false">MONTH(B531)</f>
        <v>6</v>
      </c>
      <c r="F531" s="10" t="str">
        <f aca="false">CHOOSE(MOD(A531-1,5)+1,"Центр","Юг","Север","Запад","Восток")</f>
        <v>Восток</v>
      </c>
      <c r="G531" s="10" t="str">
        <f aca="false">"Округ_"&amp;(MOD(A531-1,5)+1)&amp;"_"&amp;(MOD(INT((A531-1)/5),5)+1)</f>
        <v>Округ_5_1</v>
      </c>
      <c r="H531" s="10" t="str">
        <f aca="false">"Город_"&amp;(MOD(A531-1,5)+1)&amp;"_"&amp;(MOD(INT((A531-1)/5),5)+1)&amp;"_"&amp;(MOD(INT((A531-1)/25),10)+1)</f>
        <v>Город_5_1_2</v>
      </c>
      <c r="I531" s="10" t="str">
        <f aca="false">CHOOSE(MOD(A531-1,4)+1,"Электроника","Одежда","Продукты","Мебель")</f>
        <v>Одежда</v>
      </c>
      <c r="J531" s="10" t="str">
        <f aca="false">CHOOSE(MOD(INT((A531-1)/4),4)+1,CHOOSE(MOD(A531-1,4)+1,"Смартфоны","Ноутбуки","Аксессуары","Аудио"),CHOOSE(MOD(A531-1,4)+1,"Верхняя одежда","Спортивная","Повседневная","Обувь"),CHOOSE(MOD(A531-1,4)+1,"Молочные","Мясные","Бакалея","Напитки"),CHOOSE(MOD(A531-1,4)+1,"Мягкая мебель","Корпусная","Офисная","Кухонная"))</f>
        <v>Ноутбуки</v>
      </c>
      <c r="K531" s="12" t="n">
        <f aca="false">1000+MOD(A531*317+A531*A531*7,49001)</f>
        <v>28267</v>
      </c>
      <c r="L531" s="12" t="n">
        <f aca="false">1+MOD(A531*131,100)</f>
        <v>31</v>
      </c>
      <c r="M531" s="12" t="n">
        <f aca="false">INT(K531*(0.6+MOD(A531*43,21)/100))</f>
        <v>18373</v>
      </c>
      <c r="N531" s="12" t="n">
        <f aca="false">K531-M531</f>
        <v>9894</v>
      </c>
    </row>
    <row r="532" customFormat="false" ht="12.8" hidden="false" customHeight="false" outlineLevel="0" collapsed="false">
      <c r="A532" s="10" t="n">
        <f aca="false">A531+1</f>
        <v>531</v>
      </c>
      <c r="B532" s="11" t="n">
        <f aca="false">B531+1</f>
        <v>45457</v>
      </c>
      <c r="C532" s="10" t="n">
        <f aca="false">YEAR(B532)</f>
        <v>2024</v>
      </c>
      <c r="D532" s="10" t="n">
        <f aca="false">INT((MONTH(B532)-1)/3)+1</f>
        <v>2</v>
      </c>
      <c r="E532" s="10" t="n">
        <f aca="false">MONTH(B532)</f>
        <v>6</v>
      </c>
      <c r="F532" s="10" t="str">
        <f aca="false">CHOOSE(MOD(A532-1,5)+1,"Центр","Юг","Север","Запад","Восток")</f>
        <v>Центр</v>
      </c>
      <c r="G532" s="10" t="str">
        <f aca="false">"Округ_"&amp;(MOD(A532-1,5)+1)&amp;"_"&amp;(MOD(INT((A532-1)/5),5)+1)</f>
        <v>Округ_1_2</v>
      </c>
      <c r="H532" s="10" t="str">
        <f aca="false">"Город_"&amp;(MOD(A532-1,5)+1)&amp;"_"&amp;(MOD(INT((A532-1)/5),5)+1)&amp;"_"&amp;(MOD(INT((A532-1)/25),10)+1)</f>
        <v>Город_1_2_2</v>
      </c>
      <c r="I532" s="10" t="str">
        <f aca="false">CHOOSE(MOD(A532-1,4)+1,"Электроника","Одежда","Продукты","Мебель")</f>
        <v>Продукты</v>
      </c>
      <c r="J532" s="10" t="str">
        <f aca="false">CHOOSE(MOD(INT((A532-1)/4),4)+1,CHOOSE(MOD(A532-1,4)+1,"Смартфоны","Ноутбуки","Аксессуары","Аудио"),CHOOSE(MOD(A532-1,4)+1,"Верхняя одежда","Спортивная","Повседневная","Обувь"),CHOOSE(MOD(A532-1,4)+1,"Молочные","Мясные","Бакалея","Напитки"),CHOOSE(MOD(A532-1,4)+1,"Мягкая мебель","Корпусная","Офисная","Кухонная"))</f>
        <v>Аксессуары</v>
      </c>
      <c r="K532" s="12" t="n">
        <f aca="false">1000+MOD(A532*317+A532*A532*7,49001)</f>
        <v>36011</v>
      </c>
      <c r="L532" s="12" t="n">
        <f aca="false">1+MOD(A532*131,100)</f>
        <v>62</v>
      </c>
      <c r="M532" s="12" t="n">
        <f aca="false">INT(K532*(0.6+MOD(A532*43,21)/100))</f>
        <v>23767</v>
      </c>
      <c r="N532" s="12" t="n">
        <f aca="false">K532-M532</f>
        <v>12244</v>
      </c>
    </row>
    <row r="533" customFormat="false" ht="12.8" hidden="false" customHeight="false" outlineLevel="0" collapsed="false">
      <c r="A533" s="10" t="n">
        <f aca="false">A532+1</f>
        <v>532</v>
      </c>
      <c r="B533" s="11" t="n">
        <f aca="false">B532+1</f>
        <v>45458</v>
      </c>
      <c r="C533" s="10" t="n">
        <f aca="false">YEAR(B533)</f>
        <v>2024</v>
      </c>
      <c r="D533" s="10" t="n">
        <f aca="false">INT((MONTH(B533)-1)/3)+1</f>
        <v>2</v>
      </c>
      <c r="E533" s="10" t="n">
        <f aca="false">MONTH(B533)</f>
        <v>6</v>
      </c>
      <c r="F533" s="10" t="str">
        <f aca="false">CHOOSE(MOD(A533-1,5)+1,"Центр","Юг","Север","Запад","Восток")</f>
        <v>Юг</v>
      </c>
      <c r="G533" s="10" t="str">
        <f aca="false">"Округ_"&amp;(MOD(A533-1,5)+1)&amp;"_"&amp;(MOD(INT((A533-1)/5),5)+1)</f>
        <v>Округ_2_2</v>
      </c>
      <c r="H533" s="10" t="str">
        <f aca="false">"Город_"&amp;(MOD(A533-1,5)+1)&amp;"_"&amp;(MOD(INT((A533-1)/5),5)+1)&amp;"_"&amp;(MOD(INT((A533-1)/25),10)+1)</f>
        <v>Город_2_2_2</v>
      </c>
      <c r="I533" s="10" t="str">
        <f aca="false">CHOOSE(MOD(A533-1,4)+1,"Электроника","Одежда","Продукты","Мебель")</f>
        <v>Мебель</v>
      </c>
      <c r="J533" s="10" t="str">
        <f aca="false">CHOOSE(MOD(INT((A533-1)/4),4)+1,CHOOSE(MOD(A533-1,4)+1,"Смартфоны","Ноутбуки","Аксессуары","Аудио"),CHOOSE(MOD(A533-1,4)+1,"Верхняя одежда","Спортивная","Повседневная","Обувь"),CHOOSE(MOD(A533-1,4)+1,"Молочные","Мясные","Бакалея","Напитки"),CHOOSE(MOD(A533-1,4)+1,"Мягкая мебель","Корпусная","Офисная","Кухонная"))</f>
        <v>Аудио</v>
      </c>
      <c r="K533" s="12" t="n">
        <f aca="false">1000+MOD(A533*317+A533*A533*7,49001)</f>
        <v>43769</v>
      </c>
      <c r="L533" s="12" t="n">
        <f aca="false">1+MOD(A533*131,100)</f>
        <v>93</v>
      </c>
      <c r="M533" s="12" t="n">
        <f aca="false">INT(K533*(0.6+MOD(A533*43,21)/100))</f>
        <v>29325</v>
      </c>
      <c r="N533" s="12" t="n">
        <f aca="false">K533-M533</f>
        <v>14444</v>
      </c>
    </row>
    <row r="534" customFormat="false" ht="12.8" hidden="false" customHeight="false" outlineLevel="0" collapsed="false">
      <c r="A534" s="10" t="n">
        <f aca="false">A533+1</f>
        <v>533</v>
      </c>
      <c r="B534" s="11" t="n">
        <f aca="false">B533+1</f>
        <v>45459</v>
      </c>
      <c r="C534" s="10" t="n">
        <f aca="false">YEAR(B534)</f>
        <v>2024</v>
      </c>
      <c r="D534" s="10" t="n">
        <f aca="false">INT((MONTH(B534)-1)/3)+1</f>
        <v>2</v>
      </c>
      <c r="E534" s="10" t="n">
        <f aca="false">MONTH(B534)</f>
        <v>6</v>
      </c>
      <c r="F534" s="10" t="str">
        <f aca="false">CHOOSE(MOD(A534-1,5)+1,"Центр","Юг","Север","Запад","Восток")</f>
        <v>Север</v>
      </c>
      <c r="G534" s="10" t="str">
        <f aca="false">"Округ_"&amp;(MOD(A534-1,5)+1)&amp;"_"&amp;(MOD(INT((A534-1)/5),5)+1)</f>
        <v>Округ_3_2</v>
      </c>
      <c r="H534" s="10" t="str">
        <f aca="false">"Город_"&amp;(MOD(A534-1,5)+1)&amp;"_"&amp;(MOD(INT((A534-1)/5),5)+1)&amp;"_"&amp;(MOD(INT((A534-1)/25),10)+1)</f>
        <v>Город_3_2_2</v>
      </c>
      <c r="I534" s="10" t="str">
        <f aca="false">CHOOSE(MOD(A534-1,4)+1,"Электроника","Одежда","Продукты","Мебель")</f>
        <v>Электроника</v>
      </c>
      <c r="J534" s="10" t="str">
        <f aca="false">CHOOSE(MOD(INT((A534-1)/4),4)+1,CHOOSE(MOD(A534-1,4)+1,"Смартфоны","Ноутбуки","Аксессуары","Аудио"),CHOOSE(MOD(A534-1,4)+1,"Верхняя одежда","Спортивная","Повседневная","Обувь"),CHOOSE(MOD(A534-1,4)+1,"Молочные","Мясные","Бакалея","Напитки"),CHOOSE(MOD(A534-1,4)+1,"Мягкая мебель","Корпусная","Офисная","Кухонная"))</f>
        <v>Верхняя одежда</v>
      </c>
      <c r="K534" s="12" t="n">
        <f aca="false">1000+MOD(A534*317+A534*A534*7,49001)</f>
        <v>2540</v>
      </c>
      <c r="L534" s="12" t="n">
        <f aca="false">1+MOD(A534*131,100)</f>
        <v>24</v>
      </c>
      <c r="M534" s="12" t="n">
        <f aca="false">INT(K534*(0.6+MOD(A534*43,21)/100))</f>
        <v>1727</v>
      </c>
      <c r="N534" s="12" t="n">
        <f aca="false">K534-M534</f>
        <v>813</v>
      </c>
    </row>
    <row r="535" customFormat="false" ht="12.8" hidden="false" customHeight="false" outlineLevel="0" collapsed="false">
      <c r="A535" s="10" t="n">
        <f aca="false">A534+1</f>
        <v>534</v>
      </c>
      <c r="B535" s="11" t="n">
        <f aca="false">B534+1</f>
        <v>45460</v>
      </c>
      <c r="C535" s="10" t="n">
        <f aca="false">YEAR(B535)</f>
        <v>2024</v>
      </c>
      <c r="D535" s="10" t="n">
        <f aca="false">INT((MONTH(B535)-1)/3)+1</f>
        <v>2</v>
      </c>
      <c r="E535" s="10" t="n">
        <f aca="false">MONTH(B535)</f>
        <v>6</v>
      </c>
      <c r="F535" s="10" t="str">
        <f aca="false">CHOOSE(MOD(A535-1,5)+1,"Центр","Юг","Север","Запад","Восток")</f>
        <v>Запад</v>
      </c>
      <c r="G535" s="10" t="str">
        <f aca="false">"Округ_"&amp;(MOD(A535-1,5)+1)&amp;"_"&amp;(MOD(INT((A535-1)/5),5)+1)</f>
        <v>Округ_4_2</v>
      </c>
      <c r="H535" s="10" t="str">
        <f aca="false">"Город_"&amp;(MOD(A535-1,5)+1)&amp;"_"&amp;(MOD(INT((A535-1)/5),5)+1)&amp;"_"&amp;(MOD(INT((A535-1)/25),10)+1)</f>
        <v>Город_4_2_2</v>
      </c>
      <c r="I535" s="10" t="str">
        <f aca="false">CHOOSE(MOD(A535-1,4)+1,"Электроника","Одежда","Продукты","Мебель")</f>
        <v>Одежда</v>
      </c>
      <c r="J535" s="10" t="str">
        <f aca="false">CHOOSE(MOD(INT((A535-1)/4),4)+1,CHOOSE(MOD(A535-1,4)+1,"Смартфоны","Ноутбуки","Аксессуары","Аудио"),CHOOSE(MOD(A535-1,4)+1,"Верхняя одежда","Спортивная","Повседневная","Обувь"),CHOOSE(MOD(A535-1,4)+1,"Молочные","Мясные","Бакалея","Напитки"),CHOOSE(MOD(A535-1,4)+1,"Мягкая мебель","Корпусная","Офисная","Кухонная"))</f>
        <v>Спортивная</v>
      </c>
      <c r="K535" s="12" t="n">
        <f aca="false">1000+MOD(A535*317+A535*A535*7,49001)</f>
        <v>10326</v>
      </c>
      <c r="L535" s="12" t="n">
        <f aca="false">1+MOD(A535*131,100)</f>
        <v>55</v>
      </c>
      <c r="M535" s="12" t="n">
        <f aca="false">INT(K535*(0.6+MOD(A535*43,21)/100))</f>
        <v>7124</v>
      </c>
      <c r="N535" s="12" t="n">
        <f aca="false">K535-M535</f>
        <v>3202</v>
      </c>
    </row>
    <row r="536" customFormat="false" ht="12.8" hidden="false" customHeight="false" outlineLevel="0" collapsed="false">
      <c r="A536" s="10" t="n">
        <f aca="false">A535+1</f>
        <v>535</v>
      </c>
      <c r="B536" s="11" t="n">
        <f aca="false">B535+1</f>
        <v>45461</v>
      </c>
      <c r="C536" s="10" t="n">
        <f aca="false">YEAR(B536)</f>
        <v>2024</v>
      </c>
      <c r="D536" s="10" t="n">
        <f aca="false">INT((MONTH(B536)-1)/3)+1</f>
        <v>2</v>
      </c>
      <c r="E536" s="10" t="n">
        <f aca="false">MONTH(B536)</f>
        <v>6</v>
      </c>
      <c r="F536" s="10" t="str">
        <f aca="false">CHOOSE(MOD(A536-1,5)+1,"Центр","Юг","Север","Запад","Восток")</f>
        <v>Восток</v>
      </c>
      <c r="G536" s="10" t="str">
        <f aca="false">"Округ_"&amp;(MOD(A536-1,5)+1)&amp;"_"&amp;(MOD(INT((A536-1)/5),5)+1)</f>
        <v>Округ_5_2</v>
      </c>
      <c r="H536" s="10" t="str">
        <f aca="false">"Город_"&amp;(MOD(A536-1,5)+1)&amp;"_"&amp;(MOD(INT((A536-1)/5),5)+1)&amp;"_"&amp;(MOD(INT((A536-1)/25),10)+1)</f>
        <v>Город_5_2_2</v>
      </c>
      <c r="I536" s="10" t="str">
        <f aca="false">CHOOSE(MOD(A536-1,4)+1,"Электроника","Одежда","Продукты","Мебель")</f>
        <v>Продукты</v>
      </c>
      <c r="J536" s="10" t="str">
        <f aca="false">CHOOSE(MOD(INT((A536-1)/4),4)+1,CHOOSE(MOD(A536-1,4)+1,"Смартфоны","Ноутбуки","Аксессуары","Аудио"),CHOOSE(MOD(A536-1,4)+1,"Верхняя одежда","Спортивная","Повседневная","Обувь"),CHOOSE(MOD(A536-1,4)+1,"Молочные","Мясные","Бакалея","Напитки"),CHOOSE(MOD(A536-1,4)+1,"Мягкая мебель","Корпусная","Офисная","Кухонная"))</f>
        <v>Повседневная</v>
      </c>
      <c r="K536" s="12" t="n">
        <f aca="false">1000+MOD(A536*317+A536*A536*7,49001)</f>
        <v>18126</v>
      </c>
      <c r="L536" s="12" t="n">
        <f aca="false">1+MOD(A536*131,100)</f>
        <v>86</v>
      </c>
      <c r="M536" s="12" t="n">
        <f aca="false">INT(K536*(0.6+MOD(A536*43,21)/100))</f>
        <v>12688</v>
      </c>
      <c r="N536" s="12" t="n">
        <f aca="false">K536-M536</f>
        <v>5438</v>
      </c>
    </row>
    <row r="537" customFormat="false" ht="12.8" hidden="false" customHeight="false" outlineLevel="0" collapsed="false">
      <c r="A537" s="10" t="n">
        <f aca="false">A536+1</f>
        <v>536</v>
      </c>
      <c r="B537" s="11" t="n">
        <f aca="false">B536+1</f>
        <v>45462</v>
      </c>
      <c r="C537" s="10" t="n">
        <f aca="false">YEAR(B537)</f>
        <v>2024</v>
      </c>
      <c r="D537" s="10" t="n">
        <f aca="false">INT((MONTH(B537)-1)/3)+1</f>
        <v>2</v>
      </c>
      <c r="E537" s="10" t="n">
        <f aca="false">MONTH(B537)</f>
        <v>6</v>
      </c>
      <c r="F537" s="10" t="str">
        <f aca="false">CHOOSE(MOD(A537-1,5)+1,"Центр","Юг","Север","Запад","Восток")</f>
        <v>Центр</v>
      </c>
      <c r="G537" s="10" t="str">
        <f aca="false">"Округ_"&amp;(MOD(A537-1,5)+1)&amp;"_"&amp;(MOD(INT((A537-1)/5),5)+1)</f>
        <v>Округ_1_3</v>
      </c>
      <c r="H537" s="10" t="str">
        <f aca="false">"Город_"&amp;(MOD(A537-1,5)+1)&amp;"_"&amp;(MOD(INT((A537-1)/5),5)+1)&amp;"_"&amp;(MOD(INT((A537-1)/25),10)+1)</f>
        <v>Город_1_3_2</v>
      </c>
      <c r="I537" s="10" t="str">
        <f aca="false">CHOOSE(MOD(A537-1,4)+1,"Электроника","Одежда","Продукты","Мебель")</f>
        <v>Мебель</v>
      </c>
      <c r="J537" s="10" t="str">
        <f aca="false">CHOOSE(MOD(INT((A537-1)/4),4)+1,CHOOSE(MOD(A537-1,4)+1,"Смартфоны","Ноутбуки","Аксессуары","Аудио"),CHOOSE(MOD(A537-1,4)+1,"Верхняя одежда","Спортивная","Повседневная","Обувь"),CHOOSE(MOD(A537-1,4)+1,"Молочные","Мясные","Бакалея","Напитки"),CHOOSE(MOD(A537-1,4)+1,"Мягкая мебель","Корпусная","Офисная","Кухонная"))</f>
        <v>Обувь</v>
      </c>
      <c r="K537" s="12" t="n">
        <f aca="false">1000+MOD(A537*317+A537*A537*7,49001)</f>
        <v>25940</v>
      </c>
      <c r="L537" s="12" t="n">
        <f aca="false">1+MOD(A537*131,100)</f>
        <v>17</v>
      </c>
      <c r="M537" s="12" t="n">
        <f aca="false">INT(K537*(0.6+MOD(A537*43,21)/100))</f>
        <v>18417</v>
      </c>
      <c r="N537" s="12" t="n">
        <f aca="false">K537-M537</f>
        <v>7523</v>
      </c>
    </row>
    <row r="538" customFormat="false" ht="12.8" hidden="false" customHeight="false" outlineLevel="0" collapsed="false">
      <c r="A538" s="10" t="n">
        <f aca="false">A537+1</f>
        <v>537</v>
      </c>
      <c r="B538" s="11" t="n">
        <f aca="false">B537+1</f>
        <v>45463</v>
      </c>
      <c r="C538" s="10" t="n">
        <f aca="false">YEAR(B538)</f>
        <v>2024</v>
      </c>
      <c r="D538" s="10" t="n">
        <f aca="false">INT((MONTH(B538)-1)/3)+1</f>
        <v>2</v>
      </c>
      <c r="E538" s="10" t="n">
        <f aca="false">MONTH(B538)</f>
        <v>6</v>
      </c>
      <c r="F538" s="10" t="str">
        <f aca="false">CHOOSE(MOD(A538-1,5)+1,"Центр","Юг","Север","Запад","Восток")</f>
        <v>Юг</v>
      </c>
      <c r="G538" s="10" t="str">
        <f aca="false">"Округ_"&amp;(MOD(A538-1,5)+1)&amp;"_"&amp;(MOD(INT((A538-1)/5),5)+1)</f>
        <v>Округ_2_3</v>
      </c>
      <c r="H538" s="10" t="str">
        <f aca="false">"Город_"&amp;(MOD(A538-1,5)+1)&amp;"_"&amp;(MOD(INT((A538-1)/5),5)+1)&amp;"_"&amp;(MOD(INT((A538-1)/25),10)+1)</f>
        <v>Город_2_3_2</v>
      </c>
      <c r="I538" s="10" t="str">
        <f aca="false">CHOOSE(MOD(A538-1,4)+1,"Электроника","Одежда","Продукты","Мебель")</f>
        <v>Электроника</v>
      </c>
      <c r="J538" s="10" t="str">
        <f aca="false">CHOOSE(MOD(INT((A538-1)/4),4)+1,CHOOSE(MOD(A538-1,4)+1,"Смартфоны","Ноутбуки","Аксессуары","Аудио"),CHOOSE(MOD(A538-1,4)+1,"Верхняя одежда","Спортивная","Повседневная","Обувь"),CHOOSE(MOD(A538-1,4)+1,"Молочные","Мясные","Бакалея","Напитки"),CHOOSE(MOD(A538-1,4)+1,"Мягкая мебель","Корпусная","Офисная","Кухонная"))</f>
        <v>Молочные</v>
      </c>
      <c r="K538" s="12" t="n">
        <f aca="false">1000+MOD(A538*317+A538*A538*7,49001)</f>
        <v>33768</v>
      </c>
      <c r="L538" s="12" t="n">
        <f aca="false">1+MOD(A538*131,100)</f>
        <v>48</v>
      </c>
      <c r="M538" s="12" t="n">
        <f aca="false">INT(K538*(0.6+MOD(A538*43,21)/100))</f>
        <v>24312</v>
      </c>
      <c r="N538" s="12" t="n">
        <f aca="false">K538-M538</f>
        <v>9456</v>
      </c>
    </row>
    <row r="539" customFormat="false" ht="12.8" hidden="false" customHeight="false" outlineLevel="0" collapsed="false">
      <c r="A539" s="10" t="n">
        <f aca="false">A538+1</f>
        <v>538</v>
      </c>
      <c r="B539" s="11" t="n">
        <f aca="false">B538+1</f>
        <v>45464</v>
      </c>
      <c r="C539" s="10" t="n">
        <f aca="false">YEAR(B539)</f>
        <v>2024</v>
      </c>
      <c r="D539" s="10" t="n">
        <f aca="false">INT((MONTH(B539)-1)/3)+1</f>
        <v>2</v>
      </c>
      <c r="E539" s="10" t="n">
        <f aca="false">MONTH(B539)</f>
        <v>6</v>
      </c>
      <c r="F539" s="10" t="str">
        <f aca="false">CHOOSE(MOD(A539-1,5)+1,"Центр","Юг","Север","Запад","Восток")</f>
        <v>Север</v>
      </c>
      <c r="G539" s="10" t="str">
        <f aca="false">"Округ_"&amp;(MOD(A539-1,5)+1)&amp;"_"&amp;(MOD(INT((A539-1)/5),5)+1)</f>
        <v>Округ_3_3</v>
      </c>
      <c r="H539" s="10" t="str">
        <f aca="false">"Город_"&amp;(MOD(A539-1,5)+1)&amp;"_"&amp;(MOD(INT((A539-1)/5),5)+1)&amp;"_"&amp;(MOD(INT((A539-1)/25),10)+1)</f>
        <v>Город_3_3_2</v>
      </c>
      <c r="I539" s="10" t="str">
        <f aca="false">CHOOSE(MOD(A539-1,4)+1,"Электроника","Одежда","Продукты","Мебель")</f>
        <v>Одежда</v>
      </c>
      <c r="J539" s="10" t="str">
        <f aca="false">CHOOSE(MOD(INT((A539-1)/4),4)+1,CHOOSE(MOD(A539-1,4)+1,"Смартфоны","Ноутбуки","Аксессуары","Аудио"),CHOOSE(MOD(A539-1,4)+1,"Верхняя одежда","Спортивная","Повседневная","Обувь"),CHOOSE(MOD(A539-1,4)+1,"Молочные","Мясные","Бакалея","Напитки"),CHOOSE(MOD(A539-1,4)+1,"Мягкая мебель","Корпусная","Офисная","Кухонная"))</f>
        <v>Мясные</v>
      </c>
      <c r="K539" s="12" t="n">
        <f aca="false">1000+MOD(A539*317+A539*A539*7,49001)</f>
        <v>41610</v>
      </c>
      <c r="L539" s="12" t="n">
        <f aca="false">1+MOD(A539*131,100)</f>
        <v>79</v>
      </c>
      <c r="M539" s="12" t="n">
        <f aca="false">INT(K539*(0.6+MOD(A539*43,21)/100))</f>
        <v>30375</v>
      </c>
      <c r="N539" s="12" t="n">
        <f aca="false">K539-M539</f>
        <v>11235</v>
      </c>
    </row>
    <row r="540" customFormat="false" ht="12.8" hidden="false" customHeight="false" outlineLevel="0" collapsed="false">
      <c r="A540" s="10" t="n">
        <f aca="false">A539+1</f>
        <v>539</v>
      </c>
      <c r="B540" s="11" t="n">
        <f aca="false">B539+1</f>
        <v>45465</v>
      </c>
      <c r="C540" s="10" t="n">
        <f aca="false">YEAR(B540)</f>
        <v>2024</v>
      </c>
      <c r="D540" s="10" t="n">
        <f aca="false">INT((MONTH(B540)-1)/3)+1</f>
        <v>2</v>
      </c>
      <c r="E540" s="10" t="n">
        <f aca="false">MONTH(B540)</f>
        <v>6</v>
      </c>
      <c r="F540" s="10" t="str">
        <f aca="false">CHOOSE(MOD(A540-1,5)+1,"Центр","Юг","Север","Запад","Восток")</f>
        <v>Запад</v>
      </c>
      <c r="G540" s="10" t="str">
        <f aca="false">"Округ_"&amp;(MOD(A540-1,5)+1)&amp;"_"&amp;(MOD(INT((A540-1)/5),5)+1)</f>
        <v>Округ_4_3</v>
      </c>
      <c r="H540" s="10" t="str">
        <f aca="false">"Город_"&amp;(MOD(A540-1,5)+1)&amp;"_"&amp;(MOD(INT((A540-1)/5),5)+1)&amp;"_"&amp;(MOD(INT((A540-1)/25),10)+1)</f>
        <v>Город_4_3_2</v>
      </c>
      <c r="I540" s="10" t="str">
        <f aca="false">CHOOSE(MOD(A540-1,4)+1,"Электроника","Одежда","Продукты","Мебель")</f>
        <v>Продукты</v>
      </c>
      <c r="J540" s="10" t="str">
        <f aca="false">CHOOSE(MOD(INT((A540-1)/4),4)+1,CHOOSE(MOD(A540-1,4)+1,"Смартфоны","Ноутбуки","Аксессуары","Аудио"),CHOOSE(MOD(A540-1,4)+1,"Верхняя одежда","Спортивная","Повседневная","Обувь"),CHOOSE(MOD(A540-1,4)+1,"Молочные","Мясные","Бакалея","Напитки"),CHOOSE(MOD(A540-1,4)+1,"Мягкая мебель","Корпусная","Офисная","Кухонная"))</f>
        <v>Бакалея</v>
      </c>
      <c r="K540" s="12" t="n">
        <f aca="false">1000+MOD(A540*317+A540*A540*7,49001)</f>
        <v>49466</v>
      </c>
      <c r="L540" s="12" t="n">
        <f aca="false">1+MOD(A540*131,100)</f>
        <v>10</v>
      </c>
      <c r="M540" s="12" t="n">
        <f aca="false">INT(K540*(0.6+MOD(A540*43,21)/100))</f>
        <v>36604</v>
      </c>
      <c r="N540" s="12" t="n">
        <f aca="false">K540-M540</f>
        <v>12862</v>
      </c>
    </row>
    <row r="541" customFormat="false" ht="12.8" hidden="false" customHeight="false" outlineLevel="0" collapsed="false">
      <c r="A541" s="10" t="n">
        <f aca="false">A540+1</f>
        <v>540</v>
      </c>
      <c r="B541" s="11" t="n">
        <f aca="false">B540+1</f>
        <v>45466</v>
      </c>
      <c r="C541" s="10" t="n">
        <f aca="false">YEAR(B541)</f>
        <v>2024</v>
      </c>
      <c r="D541" s="10" t="n">
        <f aca="false">INT((MONTH(B541)-1)/3)+1</f>
        <v>2</v>
      </c>
      <c r="E541" s="10" t="n">
        <f aca="false">MONTH(B541)</f>
        <v>6</v>
      </c>
      <c r="F541" s="10" t="str">
        <f aca="false">CHOOSE(MOD(A541-1,5)+1,"Центр","Юг","Север","Запад","Восток")</f>
        <v>Восток</v>
      </c>
      <c r="G541" s="10" t="str">
        <f aca="false">"Округ_"&amp;(MOD(A541-1,5)+1)&amp;"_"&amp;(MOD(INT((A541-1)/5),5)+1)</f>
        <v>Округ_5_3</v>
      </c>
      <c r="H541" s="10" t="str">
        <f aca="false">"Город_"&amp;(MOD(A541-1,5)+1)&amp;"_"&amp;(MOD(INT((A541-1)/5),5)+1)&amp;"_"&amp;(MOD(INT((A541-1)/25),10)+1)</f>
        <v>Город_5_3_2</v>
      </c>
      <c r="I541" s="10" t="str">
        <f aca="false">CHOOSE(MOD(A541-1,4)+1,"Электроника","Одежда","Продукты","Мебель")</f>
        <v>Мебель</v>
      </c>
      <c r="J541" s="10" t="str">
        <f aca="false">CHOOSE(MOD(INT((A541-1)/4),4)+1,CHOOSE(MOD(A541-1,4)+1,"Смартфоны","Ноутбуки","Аксессуары","Аудио"),CHOOSE(MOD(A541-1,4)+1,"Верхняя одежда","Спортивная","Повседневная","Обувь"),CHOOSE(MOD(A541-1,4)+1,"Молочные","Мясные","Бакалея","Напитки"),CHOOSE(MOD(A541-1,4)+1,"Мягкая мебель","Корпусная","Офисная","Кухонная"))</f>
        <v>Напитки</v>
      </c>
      <c r="K541" s="12" t="n">
        <f aca="false">1000+MOD(A541*317+A541*A541*7,49001)</f>
        <v>8335</v>
      </c>
      <c r="L541" s="12" t="n">
        <f aca="false">1+MOD(A541*131,100)</f>
        <v>41</v>
      </c>
      <c r="M541" s="12" t="n">
        <f aca="false">INT(K541*(0.6+MOD(A541*43,21)/100))</f>
        <v>6251</v>
      </c>
      <c r="N541" s="12" t="n">
        <f aca="false">K541-M541</f>
        <v>2084</v>
      </c>
    </row>
    <row r="542" customFormat="false" ht="12.8" hidden="false" customHeight="false" outlineLevel="0" collapsed="false">
      <c r="A542" s="10" t="n">
        <f aca="false">A541+1</f>
        <v>541</v>
      </c>
      <c r="B542" s="11" t="n">
        <f aca="false">B541+1</f>
        <v>45467</v>
      </c>
      <c r="C542" s="10" t="n">
        <f aca="false">YEAR(B542)</f>
        <v>2024</v>
      </c>
      <c r="D542" s="10" t="n">
        <f aca="false">INT((MONTH(B542)-1)/3)+1</f>
        <v>2</v>
      </c>
      <c r="E542" s="10" t="n">
        <f aca="false">MONTH(B542)</f>
        <v>6</v>
      </c>
      <c r="F542" s="10" t="str">
        <f aca="false">CHOOSE(MOD(A542-1,5)+1,"Центр","Юг","Север","Запад","Восток")</f>
        <v>Центр</v>
      </c>
      <c r="G542" s="10" t="str">
        <f aca="false">"Округ_"&amp;(MOD(A542-1,5)+1)&amp;"_"&amp;(MOD(INT((A542-1)/5),5)+1)</f>
        <v>Округ_1_4</v>
      </c>
      <c r="H542" s="10" t="str">
        <f aca="false">"Город_"&amp;(MOD(A542-1,5)+1)&amp;"_"&amp;(MOD(INT((A542-1)/5),5)+1)&amp;"_"&amp;(MOD(INT((A542-1)/25),10)+1)</f>
        <v>Город_1_4_2</v>
      </c>
      <c r="I542" s="10" t="str">
        <f aca="false">CHOOSE(MOD(A542-1,4)+1,"Электроника","Одежда","Продукты","Мебель")</f>
        <v>Электроника</v>
      </c>
      <c r="J542" s="10" t="str">
        <f aca="false">CHOOSE(MOD(INT((A542-1)/4),4)+1,CHOOSE(MOD(A542-1,4)+1,"Смартфоны","Ноутбуки","Аксессуары","Аудио"),CHOOSE(MOD(A542-1,4)+1,"Верхняя одежда","Спортивная","Повседневная","Обувь"),CHOOSE(MOD(A542-1,4)+1,"Молочные","Мясные","Бакалея","Напитки"),CHOOSE(MOD(A542-1,4)+1,"Мягкая мебель","Корпусная","Офисная","Кухонная"))</f>
        <v>Мягкая мебель</v>
      </c>
      <c r="K542" s="12" t="n">
        <f aca="false">1000+MOD(A542*317+A542*A542*7,49001)</f>
        <v>16219</v>
      </c>
      <c r="L542" s="12" t="n">
        <f aca="false">1+MOD(A542*131,100)</f>
        <v>72</v>
      </c>
      <c r="M542" s="12" t="n">
        <f aca="false">INT(K542*(0.6+MOD(A542*43,21)/100))</f>
        <v>12326</v>
      </c>
      <c r="N542" s="12" t="n">
        <f aca="false">K542-M542</f>
        <v>3893</v>
      </c>
    </row>
    <row r="543" customFormat="false" ht="12.8" hidden="false" customHeight="false" outlineLevel="0" collapsed="false">
      <c r="A543" s="10" t="n">
        <f aca="false">A542+1</f>
        <v>542</v>
      </c>
      <c r="B543" s="11" t="n">
        <f aca="false">B542+1</f>
        <v>45468</v>
      </c>
      <c r="C543" s="10" t="n">
        <f aca="false">YEAR(B543)</f>
        <v>2024</v>
      </c>
      <c r="D543" s="10" t="n">
        <f aca="false">INT((MONTH(B543)-1)/3)+1</f>
        <v>2</v>
      </c>
      <c r="E543" s="10" t="n">
        <f aca="false">MONTH(B543)</f>
        <v>6</v>
      </c>
      <c r="F543" s="10" t="str">
        <f aca="false">CHOOSE(MOD(A543-1,5)+1,"Центр","Юг","Север","Запад","Восток")</f>
        <v>Юг</v>
      </c>
      <c r="G543" s="10" t="str">
        <f aca="false">"Округ_"&amp;(MOD(A543-1,5)+1)&amp;"_"&amp;(MOD(INT((A543-1)/5),5)+1)</f>
        <v>Округ_2_4</v>
      </c>
      <c r="H543" s="10" t="str">
        <f aca="false">"Город_"&amp;(MOD(A543-1,5)+1)&amp;"_"&amp;(MOD(INT((A543-1)/5),5)+1)&amp;"_"&amp;(MOD(INT((A543-1)/25),10)+1)</f>
        <v>Город_2_4_2</v>
      </c>
      <c r="I543" s="10" t="str">
        <f aca="false">CHOOSE(MOD(A543-1,4)+1,"Электроника","Одежда","Продукты","Мебель")</f>
        <v>Одежда</v>
      </c>
      <c r="J543" s="10" t="str">
        <f aca="false">CHOOSE(MOD(INT((A543-1)/4),4)+1,CHOOSE(MOD(A543-1,4)+1,"Смартфоны","Ноутбуки","Аксессуары","Аудио"),CHOOSE(MOD(A543-1,4)+1,"Верхняя одежда","Спортивная","Повседневная","Обувь"),CHOOSE(MOD(A543-1,4)+1,"Молочные","Мясные","Бакалея","Напитки"),CHOOSE(MOD(A543-1,4)+1,"Мягкая мебель","Корпусная","Офисная","Кухонная"))</f>
        <v>Корпусная</v>
      </c>
      <c r="K543" s="12" t="n">
        <f aca="false">1000+MOD(A543*317+A543*A543*7,49001)</f>
        <v>24117</v>
      </c>
      <c r="L543" s="12" t="n">
        <f aca="false">1+MOD(A543*131,100)</f>
        <v>3</v>
      </c>
      <c r="M543" s="12" t="n">
        <f aca="false">INT(K543*(0.6+MOD(A543*43,21)/100))</f>
        <v>18570</v>
      </c>
      <c r="N543" s="12" t="n">
        <f aca="false">K543-M543</f>
        <v>5547</v>
      </c>
    </row>
    <row r="544" customFormat="false" ht="12.8" hidden="false" customHeight="false" outlineLevel="0" collapsed="false">
      <c r="A544" s="10" t="n">
        <f aca="false">A543+1</f>
        <v>543</v>
      </c>
      <c r="B544" s="11" t="n">
        <f aca="false">B543+1</f>
        <v>45469</v>
      </c>
      <c r="C544" s="10" t="n">
        <f aca="false">YEAR(B544)</f>
        <v>2024</v>
      </c>
      <c r="D544" s="10" t="n">
        <f aca="false">INT((MONTH(B544)-1)/3)+1</f>
        <v>2</v>
      </c>
      <c r="E544" s="10" t="n">
        <f aca="false">MONTH(B544)</f>
        <v>6</v>
      </c>
      <c r="F544" s="10" t="str">
        <f aca="false">CHOOSE(MOD(A544-1,5)+1,"Центр","Юг","Север","Запад","Восток")</f>
        <v>Север</v>
      </c>
      <c r="G544" s="10" t="str">
        <f aca="false">"Округ_"&amp;(MOD(A544-1,5)+1)&amp;"_"&amp;(MOD(INT((A544-1)/5),5)+1)</f>
        <v>Округ_3_4</v>
      </c>
      <c r="H544" s="10" t="str">
        <f aca="false">"Город_"&amp;(MOD(A544-1,5)+1)&amp;"_"&amp;(MOD(INT((A544-1)/5),5)+1)&amp;"_"&amp;(MOD(INT((A544-1)/25),10)+1)</f>
        <v>Город_3_4_2</v>
      </c>
      <c r="I544" s="10" t="str">
        <f aca="false">CHOOSE(MOD(A544-1,4)+1,"Электроника","Одежда","Продукты","Мебель")</f>
        <v>Продукты</v>
      </c>
      <c r="J544" s="10" t="str">
        <f aca="false">CHOOSE(MOD(INT((A544-1)/4),4)+1,CHOOSE(MOD(A544-1,4)+1,"Смартфоны","Ноутбуки","Аксессуары","Аудио"),CHOOSE(MOD(A544-1,4)+1,"Верхняя одежда","Спортивная","Повседневная","Обувь"),CHOOSE(MOD(A544-1,4)+1,"Молочные","Мясные","Бакалея","Напитки"),CHOOSE(MOD(A544-1,4)+1,"Мягкая мебель","Корпусная","Офисная","Кухонная"))</f>
        <v>Офисная</v>
      </c>
      <c r="K544" s="12" t="n">
        <f aca="false">1000+MOD(A544*317+A544*A544*7,49001)</f>
        <v>32029</v>
      </c>
      <c r="L544" s="12" t="n">
        <f aca="false">1+MOD(A544*131,100)</f>
        <v>34</v>
      </c>
      <c r="M544" s="12" t="n">
        <f aca="false">INT(K544*(0.6+MOD(A544*43,21)/100))</f>
        <v>24982</v>
      </c>
      <c r="N544" s="12" t="n">
        <f aca="false">K544-M544</f>
        <v>7047</v>
      </c>
    </row>
    <row r="545" customFormat="false" ht="12.8" hidden="false" customHeight="false" outlineLevel="0" collapsed="false">
      <c r="A545" s="10" t="n">
        <f aca="false">A544+1</f>
        <v>544</v>
      </c>
      <c r="B545" s="11" t="n">
        <f aca="false">B544+1</f>
        <v>45470</v>
      </c>
      <c r="C545" s="10" t="n">
        <f aca="false">YEAR(B545)</f>
        <v>2024</v>
      </c>
      <c r="D545" s="10" t="n">
        <f aca="false">INT((MONTH(B545)-1)/3)+1</f>
        <v>2</v>
      </c>
      <c r="E545" s="10" t="n">
        <f aca="false">MONTH(B545)</f>
        <v>6</v>
      </c>
      <c r="F545" s="10" t="str">
        <f aca="false">CHOOSE(MOD(A545-1,5)+1,"Центр","Юг","Север","Запад","Восток")</f>
        <v>Запад</v>
      </c>
      <c r="G545" s="10" t="str">
        <f aca="false">"Округ_"&amp;(MOD(A545-1,5)+1)&amp;"_"&amp;(MOD(INT((A545-1)/5),5)+1)</f>
        <v>Округ_4_4</v>
      </c>
      <c r="H545" s="10" t="str">
        <f aca="false">"Город_"&amp;(MOD(A545-1,5)+1)&amp;"_"&amp;(MOD(INT((A545-1)/5),5)+1)&amp;"_"&amp;(MOD(INT((A545-1)/25),10)+1)</f>
        <v>Город_4_4_2</v>
      </c>
      <c r="I545" s="10" t="str">
        <f aca="false">CHOOSE(MOD(A545-1,4)+1,"Электроника","Одежда","Продукты","Мебель")</f>
        <v>Мебель</v>
      </c>
      <c r="J545" s="10" t="str">
        <f aca="false">CHOOSE(MOD(INT((A545-1)/4),4)+1,CHOOSE(MOD(A545-1,4)+1,"Смартфоны","Ноутбуки","Аксессуары","Аудио"),CHOOSE(MOD(A545-1,4)+1,"Верхняя одежда","Спортивная","Повседневная","Обувь"),CHOOSE(MOD(A545-1,4)+1,"Молочные","Мясные","Бакалея","Напитки"),CHOOSE(MOD(A545-1,4)+1,"Мягкая мебель","Корпусная","Офисная","Кухонная"))</f>
        <v>Кухонная</v>
      </c>
      <c r="K545" s="12" t="n">
        <f aca="false">1000+MOD(A545*317+A545*A545*7,49001)</f>
        <v>39955</v>
      </c>
      <c r="L545" s="12" t="n">
        <f aca="false">1+MOD(A545*131,100)</f>
        <v>65</v>
      </c>
      <c r="M545" s="12" t="n">
        <f aca="false">INT(K545*(0.6+MOD(A545*43,21)/100))</f>
        <v>31564</v>
      </c>
      <c r="N545" s="12" t="n">
        <f aca="false">K545-M545</f>
        <v>8391</v>
      </c>
    </row>
    <row r="546" customFormat="false" ht="12.8" hidden="false" customHeight="false" outlineLevel="0" collapsed="false">
      <c r="A546" s="10" t="n">
        <f aca="false">A545+1</f>
        <v>545</v>
      </c>
      <c r="B546" s="11" t="n">
        <f aca="false">B545+1</f>
        <v>45471</v>
      </c>
      <c r="C546" s="10" t="n">
        <f aca="false">YEAR(B546)</f>
        <v>2024</v>
      </c>
      <c r="D546" s="10" t="n">
        <f aca="false">INT((MONTH(B546)-1)/3)+1</f>
        <v>2</v>
      </c>
      <c r="E546" s="10" t="n">
        <f aca="false">MONTH(B546)</f>
        <v>6</v>
      </c>
      <c r="F546" s="10" t="str">
        <f aca="false">CHOOSE(MOD(A546-1,5)+1,"Центр","Юг","Север","Запад","Восток")</f>
        <v>Восток</v>
      </c>
      <c r="G546" s="10" t="str">
        <f aca="false">"Округ_"&amp;(MOD(A546-1,5)+1)&amp;"_"&amp;(MOD(INT((A546-1)/5),5)+1)</f>
        <v>Округ_5_4</v>
      </c>
      <c r="H546" s="10" t="str">
        <f aca="false">"Город_"&amp;(MOD(A546-1,5)+1)&amp;"_"&amp;(MOD(INT((A546-1)/5),5)+1)&amp;"_"&amp;(MOD(INT((A546-1)/25),10)+1)</f>
        <v>Город_5_4_2</v>
      </c>
      <c r="I546" s="10" t="str">
        <f aca="false">CHOOSE(MOD(A546-1,4)+1,"Электроника","Одежда","Продукты","Мебель")</f>
        <v>Электроника</v>
      </c>
      <c r="J546" s="10" t="str">
        <f aca="false">CHOOSE(MOD(INT((A546-1)/4),4)+1,CHOOSE(MOD(A546-1,4)+1,"Смартфоны","Ноутбуки","Аксессуары","Аудио"),CHOOSE(MOD(A546-1,4)+1,"Верхняя одежда","Спортивная","Повседневная","Обувь"),CHOOSE(MOD(A546-1,4)+1,"Молочные","Мясные","Бакалея","Напитки"),CHOOSE(MOD(A546-1,4)+1,"Мягкая мебель","Корпусная","Офисная","Кухонная"))</f>
        <v>Смартфоны</v>
      </c>
      <c r="K546" s="12" t="n">
        <f aca="false">1000+MOD(A546*317+A546*A546*7,49001)</f>
        <v>47895</v>
      </c>
      <c r="L546" s="12" t="n">
        <f aca="false">1+MOD(A546*131,100)</f>
        <v>96</v>
      </c>
      <c r="M546" s="12" t="n">
        <f aca="false">INT(K546*(0.6+MOD(A546*43,21)/100))</f>
        <v>38316</v>
      </c>
      <c r="N546" s="12" t="n">
        <f aca="false">K546-M546</f>
        <v>9579</v>
      </c>
    </row>
    <row r="547" customFormat="false" ht="12.8" hidden="false" customHeight="false" outlineLevel="0" collapsed="false">
      <c r="A547" s="10" t="n">
        <f aca="false">A546+1</f>
        <v>546</v>
      </c>
      <c r="B547" s="11" t="n">
        <f aca="false">B546+1</f>
        <v>45472</v>
      </c>
      <c r="C547" s="10" t="n">
        <f aca="false">YEAR(B547)</f>
        <v>2024</v>
      </c>
      <c r="D547" s="10" t="n">
        <f aca="false">INT((MONTH(B547)-1)/3)+1</f>
        <v>2</v>
      </c>
      <c r="E547" s="10" t="n">
        <f aca="false">MONTH(B547)</f>
        <v>6</v>
      </c>
      <c r="F547" s="10" t="str">
        <f aca="false">CHOOSE(MOD(A547-1,5)+1,"Центр","Юг","Север","Запад","Восток")</f>
        <v>Центр</v>
      </c>
      <c r="G547" s="10" t="str">
        <f aca="false">"Округ_"&amp;(MOD(A547-1,5)+1)&amp;"_"&amp;(MOD(INT((A547-1)/5),5)+1)</f>
        <v>Округ_1_5</v>
      </c>
      <c r="H547" s="10" t="str">
        <f aca="false">"Город_"&amp;(MOD(A547-1,5)+1)&amp;"_"&amp;(MOD(INT((A547-1)/5),5)+1)&amp;"_"&amp;(MOD(INT((A547-1)/25),10)+1)</f>
        <v>Город_1_5_2</v>
      </c>
      <c r="I547" s="10" t="str">
        <f aca="false">CHOOSE(MOD(A547-1,4)+1,"Электроника","Одежда","Продукты","Мебель")</f>
        <v>Одежда</v>
      </c>
      <c r="J547" s="10" t="str">
        <f aca="false">CHOOSE(MOD(INT((A547-1)/4),4)+1,CHOOSE(MOD(A547-1,4)+1,"Смартфоны","Ноутбуки","Аксессуары","Аудио"),CHOOSE(MOD(A547-1,4)+1,"Верхняя одежда","Спортивная","Повседневная","Обувь"),CHOOSE(MOD(A547-1,4)+1,"Молочные","Мясные","Бакалея","Напитки"),CHOOSE(MOD(A547-1,4)+1,"Мягкая мебель","Корпусная","Офисная","Кухонная"))</f>
        <v>Ноутбуки</v>
      </c>
      <c r="K547" s="12" t="n">
        <f aca="false">1000+MOD(A547*317+A547*A547*7,49001)</f>
        <v>6848</v>
      </c>
      <c r="L547" s="12" t="n">
        <f aca="false">1+MOD(A547*131,100)</f>
        <v>27</v>
      </c>
      <c r="M547" s="12" t="n">
        <f aca="false">INT(K547*(0.6+MOD(A547*43,21)/100))</f>
        <v>4108</v>
      </c>
      <c r="N547" s="12" t="n">
        <f aca="false">K547-M547</f>
        <v>2740</v>
      </c>
    </row>
    <row r="548" customFormat="false" ht="12.8" hidden="false" customHeight="false" outlineLevel="0" collapsed="false">
      <c r="A548" s="10" t="n">
        <f aca="false">A547+1</f>
        <v>547</v>
      </c>
      <c r="B548" s="11" t="n">
        <f aca="false">B547+1</f>
        <v>45473</v>
      </c>
      <c r="C548" s="10" t="n">
        <f aca="false">YEAR(B548)</f>
        <v>2024</v>
      </c>
      <c r="D548" s="10" t="n">
        <f aca="false">INT((MONTH(B548)-1)/3)+1</f>
        <v>2</v>
      </c>
      <c r="E548" s="10" t="n">
        <f aca="false">MONTH(B548)</f>
        <v>6</v>
      </c>
      <c r="F548" s="10" t="str">
        <f aca="false">CHOOSE(MOD(A548-1,5)+1,"Центр","Юг","Север","Запад","Восток")</f>
        <v>Юг</v>
      </c>
      <c r="G548" s="10" t="str">
        <f aca="false">"Округ_"&amp;(MOD(A548-1,5)+1)&amp;"_"&amp;(MOD(INT((A548-1)/5),5)+1)</f>
        <v>Округ_2_5</v>
      </c>
      <c r="H548" s="10" t="str">
        <f aca="false">"Город_"&amp;(MOD(A548-1,5)+1)&amp;"_"&amp;(MOD(INT((A548-1)/5),5)+1)&amp;"_"&amp;(MOD(INT((A548-1)/25),10)+1)</f>
        <v>Город_2_5_2</v>
      </c>
      <c r="I548" s="10" t="str">
        <f aca="false">CHOOSE(MOD(A548-1,4)+1,"Электроника","Одежда","Продукты","Мебель")</f>
        <v>Продукты</v>
      </c>
      <c r="J548" s="10" t="str">
        <f aca="false">CHOOSE(MOD(INT((A548-1)/4),4)+1,CHOOSE(MOD(A548-1,4)+1,"Смартфоны","Ноутбуки","Аксессуары","Аудио"),CHOOSE(MOD(A548-1,4)+1,"Верхняя одежда","Спортивная","Повседневная","Обувь"),CHOOSE(MOD(A548-1,4)+1,"Молочные","Мясные","Бакалея","Напитки"),CHOOSE(MOD(A548-1,4)+1,"Мягкая мебель","Корпусная","Офисная","Кухонная"))</f>
        <v>Аксессуары</v>
      </c>
      <c r="K548" s="12" t="n">
        <f aca="false">1000+MOD(A548*317+A548*A548*7,49001)</f>
        <v>14816</v>
      </c>
      <c r="L548" s="12" t="n">
        <f aca="false">1+MOD(A548*131,100)</f>
        <v>58</v>
      </c>
      <c r="M548" s="12" t="n">
        <f aca="false">INT(K548*(0.6+MOD(A548*43,21)/100))</f>
        <v>9037</v>
      </c>
      <c r="N548" s="12" t="n">
        <f aca="false">K548-M548</f>
        <v>5779</v>
      </c>
    </row>
    <row r="549" customFormat="false" ht="12.8" hidden="false" customHeight="false" outlineLevel="0" collapsed="false">
      <c r="A549" s="10" t="n">
        <f aca="false">A548+1</f>
        <v>548</v>
      </c>
      <c r="B549" s="11" t="n">
        <f aca="false">B548+1</f>
        <v>45474</v>
      </c>
      <c r="C549" s="10" t="n">
        <f aca="false">YEAR(B549)</f>
        <v>2024</v>
      </c>
      <c r="D549" s="10" t="n">
        <f aca="false">INT((MONTH(B549)-1)/3)+1</f>
        <v>3</v>
      </c>
      <c r="E549" s="10" t="n">
        <f aca="false">MONTH(B549)</f>
        <v>7</v>
      </c>
      <c r="F549" s="10" t="str">
        <f aca="false">CHOOSE(MOD(A549-1,5)+1,"Центр","Юг","Север","Запад","Восток")</f>
        <v>Север</v>
      </c>
      <c r="G549" s="10" t="str">
        <f aca="false">"Округ_"&amp;(MOD(A549-1,5)+1)&amp;"_"&amp;(MOD(INT((A549-1)/5),5)+1)</f>
        <v>Округ_3_5</v>
      </c>
      <c r="H549" s="10" t="str">
        <f aca="false">"Город_"&amp;(MOD(A549-1,5)+1)&amp;"_"&amp;(MOD(INT((A549-1)/5),5)+1)&amp;"_"&amp;(MOD(INT((A549-1)/25),10)+1)</f>
        <v>Город_3_5_2</v>
      </c>
      <c r="I549" s="10" t="str">
        <f aca="false">CHOOSE(MOD(A549-1,4)+1,"Электроника","Одежда","Продукты","Мебель")</f>
        <v>Мебель</v>
      </c>
      <c r="J549" s="10" t="str">
        <f aca="false">CHOOSE(MOD(INT((A549-1)/4),4)+1,CHOOSE(MOD(A549-1,4)+1,"Смартфоны","Ноутбуки","Аксессуары","Аудио"),CHOOSE(MOD(A549-1,4)+1,"Верхняя одежда","Спортивная","Повседневная","Обувь"),CHOOSE(MOD(A549-1,4)+1,"Молочные","Мясные","Бакалея","Напитки"),CHOOSE(MOD(A549-1,4)+1,"Мягкая мебель","Корпусная","Офисная","Кухонная"))</f>
        <v>Аудио</v>
      </c>
      <c r="K549" s="12" t="n">
        <f aca="false">1000+MOD(A549*317+A549*A549*7,49001)</f>
        <v>22798</v>
      </c>
      <c r="L549" s="12" t="n">
        <f aca="false">1+MOD(A549*131,100)</f>
        <v>89</v>
      </c>
      <c r="M549" s="12" t="n">
        <f aca="false">INT(K549*(0.6+MOD(A549*43,21)/100))</f>
        <v>14134</v>
      </c>
      <c r="N549" s="12" t="n">
        <f aca="false">K549-M549</f>
        <v>8664</v>
      </c>
    </row>
    <row r="550" customFormat="false" ht="12.8" hidden="false" customHeight="false" outlineLevel="0" collapsed="false">
      <c r="A550" s="10" t="n">
        <f aca="false">A549+1</f>
        <v>549</v>
      </c>
      <c r="B550" s="11" t="n">
        <f aca="false">B549+1</f>
        <v>45475</v>
      </c>
      <c r="C550" s="10" t="n">
        <f aca="false">YEAR(B550)</f>
        <v>2024</v>
      </c>
      <c r="D550" s="10" t="n">
        <f aca="false">INT((MONTH(B550)-1)/3)+1</f>
        <v>3</v>
      </c>
      <c r="E550" s="10" t="n">
        <f aca="false">MONTH(B550)</f>
        <v>7</v>
      </c>
      <c r="F550" s="10" t="str">
        <f aca="false">CHOOSE(MOD(A550-1,5)+1,"Центр","Юг","Север","Запад","Восток")</f>
        <v>Запад</v>
      </c>
      <c r="G550" s="10" t="str">
        <f aca="false">"Округ_"&amp;(MOD(A550-1,5)+1)&amp;"_"&amp;(MOD(INT((A550-1)/5),5)+1)</f>
        <v>Округ_4_5</v>
      </c>
      <c r="H550" s="10" t="str">
        <f aca="false">"Город_"&amp;(MOD(A550-1,5)+1)&amp;"_"&amp;(MOD(INT((A550-1)/5),5)+1)&amp;"_"&amp;(MOD(INT((A550-1)/25),10)+1)</f>
        <v>Город_4_5_2</v>
      </c>
      <c r="I550" s="10" t="str">
        <f aca="false">CHOOSE(MOD(A550-1,4)+1,"Электроника","Одежда","Продукты","Мебель")</f>
        <v>Электроника</v>
      </c>
      <c r="J550" s="10" t="str">
        <f aca="false">CHOOSE(MOD(INT((A550-1)/4),4)+1,CHOOSE(MOD(A550-1,4)+1,"Смартфоны","Ноутбуки","Аксессуары","Аудио"),CHOOSE(MOD(A550-1,4)+1,"Верхняя одежда","Спортивная","Повседневная","Обувь"),CHOOSE(MOD(A550-1,4)+1,"Молочные","Мясные","Бакалея","Напитки"),CHOOSE(MOD(A550-1,4)+1,"Мягкая мебель","Корпусная","Офисная","Кухонная"))</f>
        <v>Верхняя одежда</v>
      </c>
      <c r="K550" s="12" t="n">
        <f aca="false">1000+MOD(A550*317+A550*A550*7,49001)</f>
        <v>30794</v>
      </c>
      <c r="L550" s="12" t="n">
        <f aca="false">1+MOD(A550*131,100)</f>
        <v>20</v>
      </c>
      <c r="M550" s="12" t="n">
        <f aca="false">INT(K550*(0.6+MOD(A550*43,21)/100))</f>
        <v>19400</v>
      </c>
      <c r="N550" s="12" t="n">
        <f aca="false">K550-M550</f>
        <v>11394</v>
      </c>
    </row>
    <row r="551" customFormat="false" ht="12.8" hidden="false" customHeight="false" outlineLevel="0" collapsed="false">
      <c r="A551" s="10" t="n">
        <f aca="false">A550+1</f>
        <v>550</v>
      </c>
      <c r="B551" s="11" t="n">
        <f aca="false">B550+1</f>
        <v>45476</v>
      </c>
      <c r="C551" s="10" t="n">
        <f aca="false">YEAR(B551)</f>
        <v>2024</v>
      </c>
      <c r="D551" s="10" t="n">
        <f aca="false">INT((MONTH(B551)-1)/3)+1</f>
        <v>3</v>
      </c>
      <c r="E551" s="10" t="n">
        <f aca="false">MONTH(B551)</f>
        <v>7</v>
      </c>
      <c r="F551" s="10" t="str">
        <f aca="false">CHOOSE(MOD(A551-1,5)+1,"Центр","Юг","Север","Запад","Восток")</f>
        <v>Восток</v>
      </c>
      <c r="G551" s="10" t="str">
        <f aca="false">"Округ_"&amp;(MOD(A551-1,5)+1)&amp;"_"&amp;(MOD(INT((A551-1)/5),5)+1)</f>
        <v>Округ_5_5</v>
      </c>
      <c r="H551" s="10" t="str">
        <f aca="false">"Город_"&amp;(MOD(A551-1,5)+1)&amp;"_"&amp;(MOD(INT((A551-1)/5),5)+1)&amp;"_"&amp;(MOD(INT((A551-1)/25),10)+1)</f>
        <v>Город_5_5_2</v>
      </c>
      <c r="I551" s="10" t="str">
        <f aca="false">CHOOSE(MOD(A551-1,4)+1,"Электроника","Одежда","Продукты","Мебель")</f>
        <v>Одежда</v>
      </c>
      <c r="J551" s="10" t="str">
        <f aca="false">CHOOSE(MOD(INT((A551-1)/4),4)+1,CHOOSE(MOD(A551-1,4)+1,"Смартфоны","Ноутбуки","Аксессуары","Аудио"),CHOOSE(MOD(A551-1,4)+1,"Верхняя одежда","Спортивная","Повседневная","Обувь"),CHOOSE(MOD(A551-1,4)+1,"Молочные","Мясные","Бакалея","Напитки"),CHOOSE(MOD(A551-1,4)+1,"Мягкая мебель","Корпусная","Офисная","Кухонная"))</f>
        <v>Спортивная</v>
      </c>
      <c r="K551" s="12" t="n">
        <f aca="false">1000+MOD(A551*317+A551*A551*7,49001)</f>
        <v>38804</v>
      </c>
      <c r="L551" s="12" t="n">
        <f aca="false">1+MOD(A551*131,100)</f>
        <v>51</v>
      </c>
      <c r="M551" s="12" t="n">
        <f aca="false">INT(K551*(0.6+MOD(A551*43,21)/100))</f>
        <v>24834</v>
      </c>
      <c r="N551" s="12" t="n">
        <f aca="false">K551-M551</f>
        <v>13970</v>
      </c>
    </row>
    <row r="552" customFormat="false" ht="12.8" hidden="false" customHeight="false" outlineLevel="0" collapsed="false">
      <c r="A552" s="10" t="n">
        <f aca="false">A551+1</f>
        <v>551</v>
      </c>
      <c r="B552" s="11" t="n">
        <f aca="false">B551+1</f>
        <v>45477</v>
      </c>
      <c r="C552" s="10" t="n">
        <f aca="false">YEAR(B552)</f>
        <v>2024</v>
      </c>
      <c r="D552" s="10" t="n">
        <f aca="false">INT((MONTH(B552)-1)/3)+1</f>
        <v>3</v>
      </c>
      <c r="E552" s="10" t="n">
        <f aca="false">MONTH(B552)</f>
        <v>7</v>
      </c>
      <c r="F552" s="10" t="str">
        <f aca="false">CHOOSE(MOD(A552-1,5)+1,"Центр","Юг","Север","Запад","Восток")</f>
        <v>Центр</v>
      </c>
      <c r="G552" s="10" t="str">
        <f aca="false">"Округ_"&amp;(MOD(A552-1,5)+1)&amp;"_"&amp;(MOD(INT((A552-1)/5),5)+1)</f>
        <v>Округ_1_1</v>
      </c>
      <c r="H552" s="10" t="str">
        <f aca="false">"Город_"&amp;(MOD(A552-1,5)+1)&amp;"_"&amp;(MOD(INT((A552-1)/5),5)+1)&amp;"_"&amp;(MOD(INT((A552-1)/25),10)+1)</f>
        <v>Город_1_1_3</v>
      </c>
      <c r="I552" s="10" t="str">
        <f aca="false">CHOOSE(MOD(A552-1,4)+1,"Электроника","Одежда","Продукты","Мебель")</f>
        <v>Продукты</v>
      </c>
      <c r="J552" s="10" t="str">
        <f aca="false">CHOOSE(MOD(INT((A552-1)/4),4)+1,CHOOSE(MOD(A552-1,4)+1,"Смартфоны","Ноутбуки","Аксессуары","Аудио"),CHOOSE(MOD(A552-1,4)+1,"Верхняя одежда","Спортивная","Повседневная","Обувь"),CHOOSE(MOD(A552-1,4)+1,"Молочные","Мясные","Бакалея","Напитки"),CHOOSE(MOD(A552-1,4)+1,"Мягкая мебель","Корпусная","Офисная","Кухонная"))</f>
        <v>Повседневная</v>
      </c>
      <c r="K552" s="12" t="n">
        <f aca="false">1000+MOD(A552*317+A552*A552*7,49001)</f>
        <v>46828</v>
      </c>
      <c r="L552" s="12" t="n">
        <f aca="false">1+MOD(A552*131,100)</f>
        <v>82</v>
      </c>
      <c r="M552" s="12" t="n">
        <f aca="false">INT(K552*(0.6+MOD(A552*43,21)/100))</f>
        <v>30438</v>
      </c>
      <c r="N552" s="12" t="n">
        <f aca="false">K552-M552</f>
        <v>16390</v>
      </c>
    </row>
    <row r="553" customFormat="false" ht="12.8" hidden="false" customHeight="false" outlineLevel="0" collapsed="false">
      <c r="A553" s="10" t="n">
        <f aca="false">A552+1</f>
        <v>552</v>
      </c>
      <c r="B553" s="11" t="n">
        <f aca="false">B552+1</f>
        <v>45478</v>
      </c>
      <c r="C553" s="10" t="n">
        <f aca="false">YEAR(B553)</f>
        <v>2024</v>
      </c>
      <c r="D553" s="10" t="n">
        <f aca="false">INT((MONTH(B553)-1)/3)+1</f>
        <v>3</v>
      </c>
      <c r="E553" s="10" t="n">
        <f aca="false">MONTH(B553)</f>
        <v>7</v>
      </c>
      <c r="F553" s="10" t="str">
        <f aca="false">CHOOSE(MOD(A553-1,5)+1,"Центр","Юг","Север","Запад","Восток")</f>
        <v>Юг</v>
      </c>
      <c r="G553" s="10" t="str">
        <f aca="false">"Округ_"&amp;(MOD(A553-1,5)+1)&amp;"_"&amp;(MOD(INT((A553-1)/5),5)+1)</f>
        <v>Округ_2_1</v>
      </c>
      <c r="H553" s="10" t="str">
        <f aca="false">"Город_"&amp;(MOD(A553-1,5)+1)&amp;"_"&amp;(MOD(INT((A553-1)/5),5)+1)&amp;"_"&amp;(MOD(INT((A553-1)/25),10)+1)</f>
        <v>Город_2_1_3</v>
      </c>
      <c r="I553" s="10" t="str">
        <f aca="false">CHOOSE(MOD(A553-1,4)+1,"Электроника","Одежда","Продукты","Мебель")</f>
        <v>Мебель</v>
      </c>
      <c r="J553" s="10" t="str">
        <f aca="false">CHOOSE(MOD(INT((A553-1)/4),4)+1,CHOOSE(MOD(A553-1,4)+1,"Смартфоны","Ноутбуки","Аксессуары","Аудио"),CHOOSE(MOD(A553-1,4)+1,"Верхняя одежда","Спортивная","Повседневная","Обувь"),CHOOSE(MOD(A553-1,4)+1,"Молочные","Мясные","Бакалея","Напитки"),CHOOSE(MOD(A553-1,4)+1,"Мягкая мебель","Корпусная","Офисная","Кухонная"))</f>
        <v>Обувь</v>
      </c>
      <c r="K553" s="12" t="n">
        <f aca="false">1000+MOD(A553*317+A553*A553*7,49001)</f>
        <v>5865</v>
      </c>
      <c r="L553" s="12" t="n">
        <f aca="false">1+MOD(A553*131,100)</f>
        <v>13</v>
      </c>
      <c r="M553" s="12" t="n">
        <f aca="false">INT(K553*(0.6+MOD(A553*43,21)/100))</f>
        <v>3870</v>
      </c>
      <c r="N553" s="12" t="n">
        <f aca="false">K553-M553</f>
        <v>1995</v>
      </c>
    </row>
    <row r="554" customFormat="false" ht="12.8" hidden="false" customHeight="false" outlineLevel="0" collapsed="false">
      <c r="A554" s="10" t="n">
        <f aca="false">A553+1</f>
        <v>553</v>
      </c>
      <c r="B554" s="11" t="n">
        <f aca="false">B553+1</f>
        <v>45479</v>
      </c>
      <c r="C554" s="10" t="n">
        <f aca="false">YEAR(B554)</f>
        <v>2024</v>
      </c>
      <c r="D554" s="10" t="n">
        <f aca="false">INT((MONTH(B554)-1)/3)+1</f>
        <v>3</v>
      </c>
      <c r="E554" s="10" t="n">
        <f aca="false">MONTH(B554)</f>
        <v>7</v>
      </c>
      <c r="F554" s="10" t="str">
        <f aca="false">CHOOSE(MOD(A554-1,5)+1,"Центр","Юг","Север","Запад","Восток")</f>
        <v>Север</v>
      </c>
      <c r="G554" s="10" t="str">
        <f aca="false">"Округ_"&amp;(MOD(A554-1,5)+1)&amp;"_"&amp;(MOD(INT((A554-1)/5),5)+1)</f>
        <v>Округ_3_1</v>
      </c>
      <c r="H554" s="10" t="str">
        <f aca="false">"Город_"&amp;(MOD(A554-1,5)+1)&amp;"_"&amp;(MOD(INT((A554-1)/5),5)+1)&amp;"_"&amp;(MOD(INT((A554-1)/25),10)+1)</f>
        <v>Город_3_1_3</v>
      </c>
      <c r="I554" s="10" t="str">
        <f aca="false">CHOOSE(MOD(A554-1,4)+1,"Электроника","Одежда","Продукты","Мебель")</f>
        <v>Электроника</v>
      </c>
      <c r="J554" s="10" t="str">
        <f aca="false">CHOOSE(MOD(INT((A554-1)/4),4)+1,CHOOSE(MOD(A554-1,4)+1,"Смартфоны","Ноутбуки","Аксессуары","Аудио"),CHOOSE(MOD(A554-1,4)+1,"Верхняя одежда","Спортивная","Повседневная","Обувь"),CHOOSE(MOD(A554-1,4)+1,"Молочные","Мясные","Бакалея","Напитки"),CHOOSE(MOD(A554-1,4)+1,"Мягкая мебель","Корпусная","Офисная","Кухонная"))</f>
        <v>Молочные</v>
      </c>
      <c r="K554" s="12" t="n">
        <f aca="false">1000+MOD(A554*317+A554*A554*7,49001)</f>
        <v>13917</v>
      </c>
      <c r="L554" s="12" t="n">
        <f aca="false">1+MOD(A554*131,100)</f>
        <v>44</v>
      </c>
      <c r="M554" s="12" t="n">
        <f aca="false">INT(K554*(0.6+MOD(A554*43,21)/100))</f>
        <v>9324</v>
      </c>
      <c r="N554" s="12" t="n">
        <f aca="false">K554-M554</f>
        <v>4593</v>
      </c>
    </row>
    <row r="555" customFormat="false" ht="12.8" hidden="false" customHeight="false" outlineLevel="0" collapsed="false">
      <c r="A555" s="10" t="n">
        <f aca="false">A554+1</f>
        <v>554</v>
      </c>
      <c r="B555" s="11" t="n">
        <f aca="false">B554+1</f>
        <v>45480</v>
      </c>
      <c r="C555" s="10" t="n">
        <f aca="false">YEAR(B555)</f>
        <v>2024</v>
      </c>
      <c r="D555" s="10" t="n">
        <f aca="false">INT((MONTH(B555)-1)/3)+1</f>
        <v>3</v>
      </c>
      <c r="E555" s="10" t="n">
        <f aca="false">MONTH(B555)</f>
        <v>7</v>
      </c>
      <c r="F555" s="10" t="str">
        <f aca="false">CHOOSE(MOD(A555-1,5)+1,"Центр","Юг","Север","Запад","Восток")</f>
        <v>Запад</v>
      </c>
      <c r="G555" s="10" t="str">
        <f aca="false">"Округ_"&amp;(MOD(A555-1,5)+1)&amp;"_"&amp;(MOD(INT((A555-1)/5),5)+1)</f>
        <v>Округ_4_1</v>
      </c>
      <c r="H555" s="10" t="str">
        <f aca="false">"Город_"&amp;(MOD(A555-1,5)+1)&amp;"_"&amp;(MOD(INT((A555-1)/5),5)+1)&amp;"_"&amp;(MOD(INT((A555-1)/25),10)+1)</f>
        <v>Город_4_1_3</v>
      </c>
      <c r="I555" s="10" t="str">
        <f aca="false">CHOOSE(MOD(A555-1,4)+1,"Электроника","Одежда","Продукты","Мебель")</f>
        <v>Одежда</v>
      </c>
      <c r="J555" s="10" t="str">
        <f aca="false">CHOOSE(MOD(INT((A555-1)/4),4)+1,CHOOSE(MOD(A555-1,4)+1,"Смартфоны","Ноутбуки","Аксессуары","Аудио"),CHOOSE(MOD(A555-1,4)+1,"Верхняя одежда","Спортивная","Повседневная","Обувь"),CHOOSE(MOD(A555-1,4)+1,"Молочные","Мясные","Бакалея","Напитки"),CHOOSE(MOD(A555-1,4)+1,"Мягкая мебель","Корпусная","Офисная","Кухонная"))</f>
        <v>Мясные</v>
      </c>
      <c r="K555" s="12" t="n">
        <f aca="false">1000+MOD(A555*317+A555*A555*7,49001)</f>
        <v>21983</v>
      </c>
      <c r="L555" s="12" t="n">
        <f aca="false">1+MOD(A555*131,100)</f>
        <v>75</v>
      </c>
      <c r="M555" s="12" t="n">
        <f aca="false">INT(K555*(0.6+MOD(A555*43,21)/100))</f>
        <v>14948</v>
      </c>
      <c r="N555" s="12" t="n">
        <f aca="false">K555-M555</f>
        <v>7035</v>
      </c>
    </row>
    <row r="556" customFormat="false" ht="12.8" hidden="false" customHeight="false" outlineLevel="0" collapsed="false">
      <c r="A556" s="10" t="n">
        <f aca="false">A555+1</f>
        <v>555</v>
      </c>
      <c r="B556" s="11" t="n">
        <f aca="false">B555+1</f>
        <v>45481</v>
      </c>
      <c r="C556" s="10" t="n">
        <f aca="false">YEAR(B556)</f>
        <v>2024</v>
      </c>
      <c r="D556" s="10" t="n">
        <f aca="false">INT((MONTH(B556)-1)/3)+1</f>
        <v>3</v>
      </c>
      <c r="E556" s="10" t="n">
        <f aca="false">MONTH(B556)</f>
        <v>7</v>
      </c>
      <c r="F556" s="10" t="str">
        <f aca="false">CHOOSE(MOD(A556-1,5)+1,"Центр","Юг","Север","Запад","Восток")</f>
        <v>Восток</v>
      </c>
      <c r="G556" s="10" t="str">
        <f aca="false">"Округ_"&amp;(MOD(A556-1,5)+1)&amp;"_"&amp;(MOD(INT((A556-1)/5),5)+1)</f>
        <v>Округ_5_1</v>
      </c>
      <c r="H556" s="10" t="str">
        <f aca="false">"Город_"&amp;(MOD(A556-1,5)+1)&amp;"_"&amp;(MOD(INT((A556-1)/5),5)+1)&amp;"_"&amp;(MOD(INT((A556-1)/25),10)+1)</f>
        <v>Город_5_1_3</v>
      </c>
      <c r="I556" s="10" t="str">
        <f aca="false">CHOOSE(MOD(A556-1,4)+1,"Электроника","Одежда","Продукты","Мебель")</f>
        <v>Продукты</v>
      </c>
      <c r="J556" s="10" t="str">
        <f aca="false">CHOOSE(MOD(INT((A556-1)/4),4)+1,CHOOSE(MOD(A556-1,4)+1,"Смартфоны","Ноутбуки","Аксессуары","Аудио"),CHOOSE(MOD(A556-1,4)+1,"Верхняя одежда","Спортивная","Повседневная","Обувь"),CHOOSE(MOD(A556-1,4)+1,"Молочные","Мясные","Бакалея","Напитки"),CHOOSE(MOD(A556-1,4)+1,"Мягкая мебель","Корпусная","Офисная","Кухонная"))</f>
        <v>Бакалея</v>
      </c>
      <c r="K556" s="12" t="n">
        <f aca="false">1000+MOD(A556*317+A556*A556*7,49001)</f>
        <v>30063</v>
      </c>
      <c r="L556" s="12" t="n">
        <f aca="false">1+MOD(A556*131,100)</f>
        <v>6</v>
      </c>
      <c r="M556" s="12" t="n">
        <f aca="false">INT(K556*(0.6+MOD(A556*43,21)/100))</f>
        <v>20743</v>
      </c>
      <c r="N556" s="12" t="n">
        <f aca="false">K556-M556</f>
        <v>9320</v>
      </c>
    </row>
    <row r="557" customFormat="false" ht="12.8" hidden="false" customHeight="false" outlineLevel="0" collapsed="false">
      <c r="A557" s="10" t="n">
        <f aca="false">A556+1</f>
        <v>556</v>
      </c>
      <c r="B557" s="11" t="n">
        <f aca="false">B556+1</f>
        <v>45482</v>
      </c>
      <c r="C557" s="10" t="n">
        <f aca="false">YEAR(B557)</f>
        <v>2024</v>
      </c>
      <c r="D557" s="10" t="n">
        <f aca="false">INT((MONTH(B557)-1)/3)+1</f>
        <v>3</v>
      </c>
      <c r="E557" s="10" t="n">
        <f aca="false">MONTH(B557)</f>
        <v>7</v>
      </c>
      <c r="F557" s="10" t="str">
        <f aca="false">CHOOSE(MOD(A557-1,5)+1,"Центр","Юг","Север","Запад","Восток")</f>
        <v>Центр</v>
      </c>
      <c r="G557" s="10" t="str">
        <f aca="false">"Округ_"&amp;(MOD(A557-1,5)+1)&amp;"_"&amp;(MOD(INT((A557-1)/5),5)+1)</f>
        <v>Округ_1_2</v>
      </c>
      <c r="H557" s="10" t="str">
        <f aca="false">"Город_"&amp;(MOD(A557-1,5)+1)&amp;"_"&amp;(MOD(INT((A557-1)/5),5)+1)&amp;"_"&amp;(MOD(INT((A557-1)/25),10)+1)</f>
        <v>Город_1_2_3</v>
      </c>
      <c r="I557" s="10" t="str">
        <f aca="false">CHOOSE(MOD(A557-1,4)+1,"Электроника","Одежда","Продукты","Мебель")</f>
        <v>Мебель</v>
      </c>
      <c r="J557" s="10" t="str">
        <f aca="false">CHOOSE(MOD(INT((A557-1)/4),4)+1,CHOOSE(MOD(A557-1,4)+1,"Смартфоны","Ноутбуки","Аксессуары","Аудио"),CHOOSE(MOD(A557-1,4)+1,"Верхняя одежда","Спортивная","Повседневная","Обувь"),CHOOSE(MOD(A557-1,4)+1,"Молочные","Мясные","Бакалея","Напитки"),CHOOSE(MOD(A557-1,4)+1,"Мягкая мебель","Корпусная","Офисная","Кухонная"))</f>
        <v>Напитки</v>
      </c>
      <c r="K557" s="12" t="n">
        <f aca="false">1000+MOD(A557*317+A557*A557*7,49001)</f>
        <v>38157</v>
      </c>
      <c r="L557" s="12" t="n">
        <f aca="false">1+MOD(A557*131,100)</f>
        <v>37</v>
      </c>
      <c r="M557" s="12" t="n">
        <f aca="false">INT(K557*(0.6+MOD(A557*43,21)/100))</f>
        <v>26709</v>
      </c>
      <c r="N557" s="12" t="n">
        <f aca="false">K557-M557</f>
        <v>11448</v>
      </c>
    </row>
    <row r="558" customFormat="false" ht="12.8" hidden="false" customHeight="false" outlineLevel="0" collapsed="false">
      <c r="A558" s="10" t="n">
        <f aca="false">A557+1</f>
        <v>557</v>
      </c>
      <c r="B558" s="11" t="n">
        <f aca="false">B557+1</f>
        <v>45483</v>
      </c>
      <c r="C558" s="10" t="n">
        <f aca="false">YEAR(B558)</f>
        <v>2024</v>
      </c>
      <c r="D558" s="10" t="n">
        <f aca="false">INT((MONTH(B558)-1)/3)+1</f>
        <v>3</v>
      </c>
      <c r="E558" s="10" t="n">
        <f aca="false">MONTH(B558)</f>
        <v>7</v>
      </c>
      <c r="F558" s="10" t="str">
        <f aca="false">CHOOSE(MOD(A558-1,5)+1,"Центр","Юг","Север","Запад","Восток")</f>
        <v>Юг</v>
      </c>
      <c r="G558" s="10" t="str">
        <f aca="false">"Округ_"&amp;(MOD(A558-1,5)+1)&amp;"_"&amp;(MOD(INT((A558-1)/5),5)+1)</f>
        <v>Округ_2_2</v>
      </c>
      <c r="H558" s="10" t="str">
        <f aca="false">"Город_"&amp;(MOD(A558-1,5)+1)&amp;"_"&amp;(MOD(INT((A558-1)/5),5)+1)&amp;"_"&amp;(MOD(INT((A558-1)/25),10)+1)</f>
        <v>Город_2_2_3</v>
      </c>
      <c r="I558" s="10" t="str">
        <f aca="false">CHOOSE(MOD(A558-1,4)+1,"Электроника","Одежда","Продукты","Мебель")</f>
        <v>Электроника</v>
      </c>
      <c r="J558" s="10" t="str">
        <f aca="false">CHOOSE(MOD(INT((A558-1)/4),4)+1,CHOOSE(MOD(A558-1,4)+1,"Смартфоны","Ноутбуки","Аксессуары","Аудио"),CHOOSE(MOD(A558-1,4)+1,"Верхняя одежда","Спортивная","Повседневная","Обувь"),CHOOSE(MOD(A558-1,4)+1,"Молочные","Мясные","Бакалея","Напитки"),CHOOSE(MOD(A558-1,4)+1,"Мягкая мебель","Корпусная","Офисная","Кухонная"))</f>
        <v>Мягкая мебель</v>
      </c>
      <c r="K558" s="12" t="n">
        <f aca="false">1000+MOD(A558*317+A558*A558*7,49001)</f>
        <v>46265</v>
      </c>
      <c r="L558" s="12" t="n">
        <f aca="false">1+MOD(A558*131,100)</f>
        <v>68</v>
      </c>
      <c r="M558" s="12" t="n">
        <f aca="false">INT(K558*(0.6+MOD(A558*43,21)/100))</f>
        <v>32848</v>
      </c>
      <c r="N558" s="12" t="n">
        <f aca="false">K558-M558</f>
        <v>13417</v>
      </c>
    </row>
    <row r="559" customFormat="false" ht="12.8" hidden="false" customHeight="false" outlineLevel="0" collapsed="false">
      <c r="A559" s="10" t="n">
        <f aca="false">A558+1</f>
        <v>558</v>
      </c>
      <c r="B559" s="11" t="n">
        <f aca="false">B558+1</f>
        <v>45484</v>
      </c>
      <c r="C559" s="10" t="n">
        <f aca="false">YEAR(B559)</f>
        <v>2024</v>
      </c>
      <c r="D559" s="10" t="n">
        <f aca="false">INT((MONTH(B559)-1)/3)+1</f>
        <v>3</v>
      </c>
      <c r="E559" s="10" t="n">
        <f aca="false">MONTH(B559)</f>
        <v>7</v>
      </c>
      <c r="F559" s="10" t="str">
        <f aca="false">CHOOSE(MOD(A559-1,5)+1,"Центр","Юг","Север","Запад","Восток")</f>
        <v>Север</v>
      </c>
      <c r="G559" s="10" t="str">
        <f aca="false">"Округ_"&amp;(MOD(A559-1,5)+1)&amp;"_"&amp;(MOD(INT((A559-1)/5),5)+1)</f>
        <v>Округ_3_2</v>
      </c>
      <c r="H559" s="10" t="str">
        <f aca="false">"Город_"&amp;(MOD(A559-1,5)+1)&amp;"_"&amp;(MOD(INT((A559-1)/5),5)+1)&amp;"_"&amp;(MOD(INT((A559-1)/25),10)+1)</f>
        <v>Город_3_2_3</v>
      </c>
      <c r="I559" s="10" t="str">
        <f aca="false">CHOOSE(MOD(A559-1,4)+1,"Электроника","Одежда","Продукты","Мебель")</f>
        <v>Одежда</v>
      </c>
      <c r="J559" s="10" t="str">
        <f aca="false">CHOOSE(MOD(INT((A559-1)/4),4)+1,CHOOSE(MOD(A559-1,4)+1,"Смартфоны","Ноутбуки","Аксессуары","Аудио"),CHOOSE(MOD(A559-1,4)+1,"Верхняя одежда","Спортивная","Повседневная","Обувь"),CHOOSE(MOD(A559-1,4)+1,"Молочные","Мясные","Бакалея","Напитки"),CHOOSE(MOD(A559-1,4)+1,"Мягкая мебель","Корпусная","Офисная","Кухонная"))</f>
        <v>Корпусная</v>
      </c>
      <c r="K559" s="12" t="n">
        <f aca="false">1000+MOD(A559*317+A559*A559*7,49001)</f>
        <v>5386</v>
      </c>
      <c r="L559" s="12" t="n">
        <f aca="false">1+MOD(A559*131,100)</f>
        <v>99</v>
      </c>
      <c r="M559" s="12" t="n">
        <f aca="false">INT(K559*(0.6+MOD(A559*43,21)/100))</f>
        <v>3877</v>
      </c>
      <c r="N559" s="12" t="n">
        <f aca="false">K559-M559</f>
        <v>1509</v>
      </c>
    </row>
    <row r="560" customFormat="false" ht="12.8" hidden="false" customHeight="false" outlineLevel="0" collapsed="false">
      <c r="A560" s="10" t="n">
        <f aca="false">A559+1</f>
        <v>559</v>
      </c>
      <c r="B560" s="11" t="n">
        <f aca="false">B559+1</f>
        <v>45485</v>
      </c>
      <c r="C560" s="10" t="n">
        <f aca="false">YEAR(B560)</f>
        <v>2024</v>
      </c>
      <c r="D560" s="10" t="n">
        <f aca="false">INT((MONTH(B560)-1)/3)+1</f>
        <v>3</v>
      </c>
      <c r="E560" s="10" t="n">
        <f aca="false">MONTH(B560)</f>
        <v>7</v>
      </c>
      <c r="F560" s="10" t="str">
        <f aca="false">CHOOSE(MOD(A560-1,5)+1,"Центр","Юг","Север","Запад","Восток")</f>
        <v>Запад</v>
      </c>
      <c r="G560" s="10" t="str">
        <f aca="false">"Округ_"&amp;(MOD(A560-1,5)+1)&amp;"_"&amp;(MOD(INT((A560-1)/5),5)+1)</f>
        <v>Округ_4_2</v>
      </c>
      <c r="H560" s="10" t="str">
        <f aca="false">"Город_"&amp;(MOD(A560-1,5)+1)&amp;"_"&amp;(MOD(INT((A560-1)/5),5)+1)&amp;"_"&amp;(MOD(INT((A560-1)/25),10)+1)</f>
        <v>Город_4_2_3</v>
      </c>
      <c r="I560" s="10" t="str">
        <f aca="false">CHOOSE(MOD(A560-1,4)+1,"Электроника","Одежда","Продукты","Мебель")</f>
        <v>Продукты</v>
      </c>
      <c r="J560" s="10" t="str">
        <f aca="false">CHOOSE(MOD(INT((A560-1)/4),4)+1,CHOOSE(MOD(A560-1,4)+1,"Смартфоны","Ноутбуки","Аксессуары","Аудио"),CHOOSE(MOD(A560-1,4)+1,"Верхняя одежда","Спортивная","Повседневная","Обувь"),CHOOSE(MOD(A560-1,4)+1,"Молочные","Мясные","Бакалея","Напитки"),CHOOSE(MOD(A560-1,4)+1,"Мягкая мебель","Корпусная","Офисная","Кухонная"))</f>
        <v>Офисная</v>
      </c>
      <c r="K560" s="12" t="n">
        <f aca="false">1000+MOD(A560*317+A560*A560*7,49001)</f>
        <v>13522</v>
      </c>
      <c r="L560" s="12" t="n">
        <f aca="false">1+MOD(A560*131,100)</f>
        <v>30</v>
      </c>
      <c r="M560" s="12" t="n">
        <f aca="false">INT(K560*(0.6+MOD(A560*43,21)/100))</f>
        <v>9871</v>
      </c>
      <c r="N560" s="12" t="n">
        <f aca="false">K560-M560</f>
        <v>3651</v>
      </c>
    </row>
    <row r="561" customFormat="false" ht="12.8" hidden="false" customHeight="false" outlineLevel="0" collapsed="false">
      <c r="A561" s="10" t="n">
        <f aca="false">A560+1</f>
        <v>560</v>
      </c>
      <c r="B561" s="11" t="n">
        <f aca="false">B560+1</f>
        <v>45486</v>
      </c>
      <c r="C561" s="10" t="n">
        <f aca="false">YEAR(B561)</f>
        <v>2024</v>
      </c>
      <c r="D561" s="10" t="n">
        <f aca="false">INT((MONTH(B561)-1)/3)+1</f>
        <v>3</v>
      </c>
      <c r="E561" s="10" t="n">
        <f aca="false">MONTH(B561)</f>
        <v>7</v>
      </c>
      <c r="F561" s="10" t="str">
        <f aca="false">CHOOSE(MOD(A561-1,5)+1,"Центр","Юг","Север","Запад","Восток")</f>
        <v>Восток</v>
      </c>
      <c r="G561" s="10" t="str">
        <f aca="false">"Округ_"&amp;(MOD(A561-1,5)+1)&amp;"_"&amp;(MOD(INT((A561-1)/5),5)+1)</f>
        <v>Округ_5_2</v>
      </c>
      <c r="H561" s="10" t="str">
        <f aca="false">"Город_"&amp;(MOD(A561-1,5)+1)&amp;"_"&amp;(MOD(INT((A561-1)/5),5)+1)&amp;"_"&amp;(MOD(INT((A561-1)/25),10)+1)</f>
        <v>Город_5_2_3</v>
      </c>
      <c r="I561" s="10" t="str">
        <f aca="false">CHOOSE(MOD(A561-1,4)+1,"Электроника","Одежда","Продукты","Мебель")</f>
        <v>Мебель</v>
      </c>
      <c r="J561" s="10" t="str">
        <f aca="false">CHOOSE(MOD(INT((A561-1)/4),4)+1,CHOOSE(MOD(A561-1,4)+1,"Смартфоны","Ноутбуки","Аксессуары","Аудио"),CHOOSE(MOD(A561-1,4)+1,"Верхняя одежда","Спортивная","Повседневная","Обувь"),CHOOSE(MOD(A561-1,4)+1,"Молочные","Мясные","Бакалея","Напитки"),CHOOSE(MOD(A561-1,4)+1,"Мягкая мебель","Корпусная","Офисная","Кухонная"))</f>
        <v>Кухонная</v>
      </c>
      <c r="K561" s="12" t="n">
        <f aca="false">1000+MOD(A561*317+A561*A561*7,49001)</f>
        <v>21672</v>
      </c>
      <c r="L561" s="12" t="n">
        <f aca="false">1+MOD(A561*131,100)</f>
        <v>61</v>
      </c>
      <c r="M561" s="12" t="n">
        <f aca="false">INT(K561*(0.6+MOD(A561*43,21)/100))</f>
        <v>16037</v>
      </c>
      <c r="N561" s="12" t="n">
        <f aca="false">K561-M561</f>
        <v>5635</v>
      </c>
    </row>
    <row r="562" customFormat="false" ht="12.8" hidden="false" customHeight="false" outlineLevel="0" collapsed="false">
      <c r="A562" s="10" t="n">
        <f aca="false">A561+1</f>
        <v>561</v>
      </c>
      <c r="B562" s="11" t="n">
        <f aca="false">B561+1</f>
        <v>45487</v>
      </c>
      <c r="C562" s="10" t="n">
        <f aca="false">YEAR(B562)</f>
        <v>2024</v>
      </c>
      <c r="D562" s="10" t="n">
        <f aca="false">INT((MONTH(B562)-1)/3)+1</f>
        <v>3</v>
      </c>
      <c r="E562" s="10" t="n">
        <f aca="false">MONTH(B562)</f>
        <v>7</v>
      </c>
      <c r="F562" s="10" t="str">
        <f aca="false">CHOOSE(MOD(A562-1,5)+1,"Центр","Юг","Север","Запад","Восток")</f>
        <v>Центр</v>
      </c>
      <c r="G562" s="10" t="str">
        <f aca="false">"Округ_"&amp;(MOD(A562-1,5)+1)&amp;"_"&amp;(MOD(INT((A562-1)/5),5)+1)</f>
        <v>Округ_1_3</v>
      </c>
      <c r="H562" s="10" t="str">
        <f aca="false">"Город_"&amp;(MOD(A562-1,5)+1)&amp;"_"&amp;(MOD(INT((A562-1)/5),5)+1)&amp;"_"&amp;(MOD(INT((A562-1)/25),10)+1)</f>
        <v>Город_1_3_3</v>
      </c>
      <c r="I562" s="10" t="str">
        <f aca="false">CHOOSE(MOD(A562-1,4)+1,"Электроника","Одежда","Продукты","Мебель")</f>
        <v>Электроника</v>
      </c>
      <c r="J562" s="10" t="str">
        <f aca="false">CHOOSE(MOD(INT((A562-1)/4),4)+1,CHOOSE(MOD(A562-1,4)+1,"Смартфоны","Ноутбуки","Аксессуары","Аудио"),CHOOSE(MOD(A562-1,4)+1,"Верхняя одежда","Спортивная","Повседневная","Обувь"),CHOOSE(MOD(A562-1,4)+1,"Молочные","Мясные","Бакалея","Напитки"),CHOOSE(MOD(A562-1,4)+1,"Мягкая мебель","Корпусная","Офисная","Кухонная"))</f>
        <v>Смартфоны</v>
      </c>
      <c r="K562" s="12" t="n">
        <f aca="false">1000+MOD(A562*317+A562*A562*7,49001)</f>
        <v>29836</v>
      </c>
      <c r="L562" s="12" t="n">
        <f aca="false">1+MOD(A562*131,100)</f>
        <v>92</v>
      </c>
      <c r="M562" s="12" t="n">
        <f aca="false">INT(K562*(0.6+MOD(A562*43,21)/100))</f>
        <v>22377</v>
      </c>
      <c r="N562" s="12" t="n">
        <f aca="false">K562-M562</f>
        <v>7459</v>
      </c>
    </row>
    <row r="563" customFormat="false" ht="12.8" hidden="false" customHeight="false" outlineLevel="0" collapsed="false">
      <c r="A563" s="10" t="n">
        <f aca="false">A562+1</f>
        <v>562</v>
      </c>
      <c r="B563" s="11" t="n">
        <f aca="false">B562+1</f>
        <v>45488</v>
      </c>
      <c r="C563" s="10" t="n">
        <f aca="false">YEAR(B563)</f>
        <v>2024</v>
      </c>
      <c r="D563" s="10" t="n">
        <f aca="false">INT((MONTH(B563)-1)/3)+1</f>
        <v>3</v>
      </c>
      <c r="E563" s="10" t="n">
        <f aca="false">MONTH(B563)</f>
        <v>7</v>
      </c>
      <c r="F563" s="10" t="str">
        <f aca="false">CHOOSE(MOD(A563-1,5)+1,"Центр","Юг","Север","Запад","Восток")</f>
        <v>Юг</v>
      </c>
      <c r="G563" s="10" t="str">
        <f aca="false">"Округ_"&amp;(MOD(A563-1,5)+1)&amp;"_"&amp;(MOD(INT((A563-1)/5),5)+1)</f>
        <v>Округ_2_3</v>
      </c>
      <c r="H563" s="10" t="str">
        <f aca="false">"Город_"&amp;(MOD(A563-1,5)+1)&amp;"_"&amp;(MOD(INT((A563-1)/5),5)+1)&amp;"_"&amp;(MOD(INT((A563-1)/25),10)+1)</f>
        <v>Город_2_3_3</v>
      </c>
      <c r="I563" s="10" t="str">
        <f aca="false">CHOOSE(MOD(A563-1,4)+1,"Электроника","Одежда","Продукты","Мебель")</f>
        <v>Одежда</v>
      </c>
      <c r="J563" s="10" t="str">
        <f aca="false">CHOOSE(MOD(INT((A563-1)/4),4)+1,CHOOSE(MOD(A563-1,4)+1,"Смартфоны","Ноутбуки","Аксессуары","Аудио"),CHOOSE(MOD(A563-1,4)+1,"Верхняя одежда","Спортивная","Повседневная","Обувь"),CHOOSE(MOD(A563-1,4)+1,"Молочные","Мясные","Бакалея","Напитки"),CHOOSE(MOD(A563-1,4)+1,"Мягкая мебель","Корпусная","Офисная","Кухонная"))</f>
        <v>Ноутбуки</v>
      </c>
      <c r="K563" s="12" t="n">
        <f aca="false">1000+MOD(A563*317+A563*A563*7,49001)</f>
        <v>38014</v>
      </c>
      <c r="L563" s="12" t="n">
        <f aca="false">1+MOD(A563*131,100)</f>
        <v>23</v>
      </c>
      <c r="M563" s="12" t="n">
        <f aca="false">INT(K563*(0.6+MOD(A563*43,21)/100))</f>
        <v>28890</v>
      </c>
      <c r="N563" s="12" t="n">
        <f aca="false">K563-M563</f>
        <v>9124</v>
      </c>
    </row>
    <row r="564" customFormat="false" ht="12.8" hidden="false" customHeight="false" outlineLevel="0" collapsed="false">
      <c r="A564" s="10" t="n">
        <f aca="false">A563+1</f>
        <v>563</v>
      </c>
      <c r="B564" s="11" t="n">
        <f aca="false">B563+1</f>
        <v>45489</v>
      </c>
      <c r="C564" s="10" t="n">
        <f aca="false">YEAR(B564)</f>
        <v>2024</v>
      </c>
      <c r="D564" s="10" t="n">
        <f aca="false">INT((MONTH(B564)-1)/3)+1</f>
        <v>3</v>
      </c>
      <c r="E564" s="10" t="n">
        <f aca="false">MONTH(B564)</f>
        <v>7</v>
      </c>
      <c r="F564" s="10" t="str">
        <f aca="false">CHOOSE(MOD(A564-1,5)+1,"Центр","Юг","Север","Запад","Восток")</f>
        <v>Север</v>
      </c>
      <c r="G564" s="10" t="str">
        <f aca="false">"Округ_"&amp;(MOD(A564-1,5)+1)&amp;"_"&amp;(MOD(INT((A564-1)/5),5)+1)</f>
        <v>Округ_3_3</v>
      </c>
      <c r="H564" s="10" t="str">
        <f aca="false">"Город_"&amp;(MOD(A564-1,5)+1)&amp;"_"&amp;(MOD(INT((A564-1)/5),5)+1)&amp;"_"&amp;(MOD(INT((A564-1)/25),10)+1)</f>
        <v>Город_3_3_3</v>
      </c>
      <c r="I564" s="10" t="str">
        <f aca="false">CHOOSE(MOD(A564-1,4)+1,"Электроника","Одежда","Продукты","Мебель")</f>
        <v>Продукты</v>
      </c>
      <c r="J564" s="10" t="str">
        <f aca="false">CHOOSE(MOD(INT((A564-1)/4),4)+1,CHOOSE(MOD(A564-1,4)+1,"Смартфоны","Ноутбуки","Аксессуары","Аудио"),CHOOSE(MOD(A564-1,4)+1,"Верхняя одежда","Спортивная","Повседневная","Обувь"),CHOOSE(MOD(A564-1,4)+1,"Молочные","Мясные","Бакалея","Напитки"),CHOOSE(MOD(A564-1,4)+1,"Мягкая мебель","Корпусная","Офисная","Кухонная"))</f>
        <v>Аксессуары</v>
      </c>
      <c r="K564" s="12" t="n">
        <f aca="false">1000+MOD(A564*317+A564*A564*7,49001)</f>
        <v>46206</v>
      </c>
      <c r="L564" s="12" t="n">
        <f aca="false">1+MOD(A564*131,100)</f>
        <v>54</v>
      </c>
      <c r="M564" s="12" t="n">
        <f aca="false">INT(K564*(0.6+MOD(A564*43,21)/100))</f>
        <v>35578</v>
      </c>
      <c r="N564" s="12" t="n">
        <f aca="false">K564-M564</f>
        <v>10628</v>
      </c>
    </row>
    <row r="565" customFormat="false" ht="12.8" hidden="false" customHeight="false" outlineLevel="0" collapsed="false">
      <c r="A565" s="10" t="n">
        <f aca="false">A564+1</f>
        <v>564</v>
      </c>
      <c r="B565" s="11" t="n">
        <f aca="false">B564+1</f>
        <v>45490</v>
      </c>
      <c r="C565" s="10" t="n">
        <f aca="false">YEAR(B565)</f>
        <v>2024</v>
      </c>
      <c r="D565" s="10" t="n">
        <f aca="false">INT((MONTH(B565)-1)/3)+1</f>
        <v>3</v>
      </c>
      <c r="E565" s="10" t="n">
        <f aca="false">MONTH(B565)</f>
        <v>7</v>
      </c>
      <c r="F565" s="10" t="str">
        <f aca="false">CHOOSE(MOD(A565-1,5)+1,"Центр","Юг","Север","Запад","Восток")</f>
        <v>Запад</v>
      </c>
      <c r="G565" s="10" t="str">
        <f aca="false">"Округ_"&amp;(MOD(A565-1,5)+1)&amp;"_"&amp;(MOD(INT((A565-1)/5),5)+1)</f>
        <v>Округ_4_3</v>
      </c>
      <c r="H565" s="10" t="str">
        <f aca="false">"Город_"&amp;(MOD(A565-1,5)+1)&amp;"_"&amp;(MOD(INT((A565-1)/5),5)+1)&amp;"_"&amp;(MOD(INT((A565-1)/25),10)+1)</f>
        <v>Город_4_3_3</v>
      </c>
      <c r="I565" s="10" t="str">
        <f aca="false">CHOOSE(MOD(A565-1,4)+1,"Электроника","Одежда","Продукты","Мебель")</f>
        <v>Мебель</v>
      </c>
      <c r="J565" s="10" t="str">
        <f aca="false">CHOOSE(MOD(INT((A565-1)/4),4)+1,CHOOSE(MOD(A565-1,4)+1,"Смартфоны","Ноутбуки","Аксессуары","Аудио"),CHOOSE(MOD(A565-1,4)+1,"Верхняя одежда","Спортивная","Повседневная","Обувь"),CHOOSE(MOD(A565-1,4)+1,"Молочные","Мясные","Бакалея","Напитки"),CHOOSE(MOD(A565-1,4)+1,"Мягкая мебель","Корпусная","Офисная","Кухонная"))</f>
        <v>Аудио</v>
      </c>
      <c r="K565" s="12" t="n">
        <f aca="false">1000+MOD(A565*317+A565*A565*7,49001)</f>
        <v>5411</v>
      </c>
      <c r="L565" s="12" t="n">
        <f aca="false">1+MOD(A565*131,100)</f>
        <v>85</v>
      </c>
      <c r="M565" s="12" t="n">
        <f aca="false">INT(K565*(0.6+MOD(A565*43,21)/100))</f>
        <v>4220</v>
      </c>
      <c r="N565" s="12" t="n">
        <f aca="false">K565-M565</f>
        <v>1191</v>
      </c>
    </row>
    <row r="566" customFormat="false" ht="12.8" hidden="false" customHeight="false" outlineLevel="0" collapsed="false">
      <c r="A566" s="10" t="n">
        <f aca="false">A565+1</f>
        <v>565</v>
      </c>
      <c r="B566" s="11" t="n">
        <f aca="false">B565+1</f>
        <v>45491</v>
      </c>
      <c r="C566" s="10" t="n">
        <f aca="false">YEAR(B566)</f>
        <v>2024</v>
      </c>
      <c r="D566" s="10" t="n">
        <f aca="false">INT((MONTH(B566)-1)/3)+1</f>
        <v>3</v>
      </c>
      <c r="E566" s="10" t="n">
        <f aca="false">MONTH(B566)</f>
        <v>7</v>
      </c>
      <c r="F566" s="10" t="str">
        <f aca="false">CHOOSE(MOD(A566-1,5)+1,"Центр","Юг","Север","Запад","Восток")</f>
        <v>Восток</v>
      </c>
      <c r="G566" s="10" t="str">
        <f aca="false">"Округ_"&amp;(MOD(A566-1,5)+1)&amp;"_"&amp;(MOD(INT((A566-1)/5),5)+1)</f>
        <v>Округ_5_3</v>
      </c>
      <c r="H566" s="10" t="str">
        <f aca="false">"Город_"&amp;(MOD(A566-1,5)+1)&amp;"_"&amp;(MOD(INT((A566-1)/5),5)+1)&amp;"_"&amp;(MOD(INT((A566-1)/25),10)+1)</f>
        <v>Город_5_3_3</v>
      </c>
      <c r="I566" s="10" t="str">
        <f aca="false">CHOOSE(MOD(A566-1,4)+1,"Электроника","Одежда","Продукты","Мебель")</f>
        <v>Электроника</v>
      </c>
      <c r="J566" s="10" t="str">
        <f aca="false">CHOOSE(MOD(INT((A566-1)/4),4)+1,CHOOSE(MOD(A566-1,4)+1,"Смартфоны","Ноутбуки","Аксессуары","Аудио"),CHOOSE(MOD(A566-1,4)+1,"Верхняя одежда","Спортивная","Повседневная","Обувь"),CHOOSE(MOD(A566-1,4)+1,"Молочные","Мясные","Бакалея","Напитки"),CHOOSE(MOD(A566-1,4)+1,"Мягкая мебель","Корпусная","Офисная","Кухонная"))</f>
        <v>Верхняя одежда</v>
      </c>
      <c r="K566" s="12" t="n">
        <f aca="false">1000+MOD(A566*317+A566*A566*7,49001)</f>
        <v>13631</v>
      </c>
      <c r="L566" s="12" t="n">
        <f aca="false">1+MOD(A566*131,100)</f>
        <v>16</v>
      </c>
      <c r="M566" s="12" t="n">
        <f aca="false">INT(K566*(0.6+MOD(A566*43,21)/100))</f>
        <v>10768</v>
      </c>
      <c r="N566" s="12" t="n">
        <f aca="false">K566-M566</f>
        <v>2863</v>
      </c>
    </row>
    <row r="567" customFormat="false" ht="12.8" hidden="false" customHeight="false" outlineLevel="0" collapsed="false">
      <c r="A567" s="10" t="n">
        <f aca="false">A566+1</f>
        <v>566</v>
      </c>
      <c r="B567" s="11" t="n">
        <f aca="false">B566+1</f>
        <v>45492</v>
      </c>
      <c r="C567" s="10" t="n">
        <f aca="false">YEAR(B567)</f>
        <v>2024</v>
      </c>
      <c r="D567" s="10" t="n">
        <f aca="false">INT((MONTH(B567)-1)/3)+1</f>
        <v>3</v>
      </c>
      <c r="E567" s="10" t="n">
        <f aca="false">MONTH(B567)</f>
        <v>7</v>
      </c>
      <c r="F567" s="10" t="str">
        <f aca="false">CHOOSE(MOD(A567-1,5)+1,"Центр","Юг","Север","Запад","Восток")</f>
        <v>Центр</v>
      </c>
      <c r="G567" s="10" t="str">
        <f aca="false">"Округ_"&amp;(MOD(A567-1,5)+1)&amp;"_"&amp;(MOD(INT((A567-1)/5),5)+1)</f>
        <v>Округ_1_4</v>
      </c>
      <c r="H567" s="10" t="str">
        <f aca="false">"Город_"&amp;(MOD(A567-1,5)+1)&amp;"_"&amp;(MOD(INT((A567-1)/5),5)+1)&amp;"_"&amp;(MOD(INT((A567-1)/25),10)+1)</f>
        <v>Город_1_4_3</v>
      </c>
      <c r="I567" s="10" t="str">
        <f aca="false">CHOOSE(MOD(A567-1,4)+1,"Электроника","Одежда","Продукты","Мебель")</f>
        <v>Одежда</v>
      </c>
      <c r="J567" s="10" t="str">
        <f aca="false">CHOOSE(MOD(INT((A567-1)/4),4)+1,CHOOSE(MOD(A567-1,4)+1,"Смартфоны","Ноутбуки","Аксессуары","Аудио"),CHOOSE(MOD(A567-1,4)+1,"Верхняя одежда","Спортивная","Повседневная","Обувь"),CHOOSE(MOD(A567-1,4)+1,"Молочные","Мясные","Бакалея","Напитки"),CHOOSE(MOD(A567-1,4)+1,"Мягкая мебель","Корпусная","Офисная","Кухонная"))</f>
        <v>Спортивная</v>
      </c>
      <c r="K567" s="12" t="n">
        <f aca="false">1000+MOD(A567*317+A567*A567*7,49001)</f>
        <v>21865</v>
      </c>
      <c r="L567" s="12" t="n">
        <f aca="false">1+MOD(A567*131,100)</f>
        <v>47</v>
      </c>
      <c r="M567" s="12" t="n">
        <f aca="false">INT(K567*(0.6+MOD(A567*43,21)/100))</f>
        <v>17492</v>
      </c>
      <c r="N567" s="12" t="n">
        <f aca="false">K567-M567</f>
        <v>4373</v>
      </c>
    </row>
    <row r="568" customFormat="false" ht="12.8" hidden="false" customHeight="false" outlineLevel="0" collapsed="false">
      <c r="A568" s="10" t="n">
        <f aca="false">A567+1</f>
        <v>567</v>
      </c>
      <c r="B568" s="11" t="n">
        <f aca="false">B567+1</f>
        <v>45493</v>
      </c>
      <c r="C568" s="10" t="n">
        <f aca="false">YEAR(B568)</f>
        <v>2024</v>
      </c>
      <c r="D568" s="10" t="n">
        <f aca="false">INT((MONTH(B568)-1)/3)+1</f>
        <v>3</v>
      </c>
      <c r="E568" s="10" t="n">
        <f aca="false">MONTH(B568)</f>
        <v>7</v>
      </c>
      <c r="F568" s="10" t="str">
        <f aca="false">CHOOSE(MOD(A568-1,5)+1,"Центр","Юг","Север","Запад","Восток")</f>
        <v>Юг</v>
      </c>
      <c r="G568" s="10" t="str">
        <f aca="false">"Округ_"&amp;(MOD(A568-1,5)+1)&amp;"_"&amp;(MOD(INT((A568-1)/5),5)+1)</f>
        <v>Округ_2_4</v>
      </c>
      <c r="H568" s="10" t="str">
        <f aca="false">"Город_"&amp;(MOD(A568-1,5)+1)&amp;"_"&amp;(MOD(INT((A568-1)/5),5)+1)&amp;"_"&amp;(MOD(INT((A568-1)/25),10)+1)</f>
        <v>Город_2_4_3</v>
      </c>
      <c r="I568" s="10" t="str">
        <f aca="false">CHOOSE(MOD(A568-1,4)+1,"Электроника","Одежда","Продукты","Мебель")</f>
        <v>Продукты</v>
      </c>
      <c r="J568" s="10" t="str">
        <f aca="false">CHOOSE(MOD(INT((A568-1)/4),4)+1,CHOOSE(MOD(A568-1,4)+1,"Смартфоны","Ноутбуки","Аксессуары","Аудио"),CHOOSE(MOD(A568-1,4)+1,"Верхняя одежда","Спортивная","Повседневная","Обувь"),CHOOSE(MOD(A568-1,4)+1,"Молочные","Мясные","Бакалея","Напитки"),CHOOSE(MOD(A568-1,4)+1,"Мягкая мебель","Корпусная","Офисная","Кухонная"))</f>
        <v>Повседневная</v>
      </c>
      <c r="K568" s="12" t="n">
        <f aca="false">1000+MOD(A568*317+A568*A568*7,49001)</f>
        <v>30113</v>
      </c>
      <c r="L568" s="12" t="n">
        <f aca="false">1+MOD(A568*131,100)</f>
        <v>78</v>
      </c>
      <c r="M568" s="12" t="n">
        <f aca="false">INT(K568*(0.6+MOD(A568*43,21)/100))</f>
        <v>18067</v>
      </c>
      <c r="N568" s="12" t="n">
        <f aca="false">K568-M568</f>
        <v>12046</v>
      </c>
    </row>
    <row r="569" customFormat="false" ht="12.8" hidden="false" customHeight="false" outlineLevel="0" collapsed="false">
      <c r="A569" s="10" t="n">
        <f aca="false">A568+1</f>
        <v>568</v>
      </c>
      <c r="B569" s="11" t="n">
        <f aca="false">B568+1</f>
        <v>45494</v>
      </c>
      <c r="C569" s="10" t="n">
        <f aca="false">YEAR(B569)</f>
        <v>2024</v>
      </c>
      <c r="D569" s="10" t="n">
        <f aca="false">INT((MONTH(B569)-1)/3)+1</f>
        <v>3</v>
      </c>
      <c r="E569" s="10" t="n">
        <f aca="false">MONTH(B569)</f>
        <v>7</v>
      </c>
      <c r="F569" s="10" t="str">
        <f aca="false">CHOOSE(MOD(A569-1,5)+1,"Центр","Юг","Север","Запад","Восток")</f>
        <v>Север</v>
      </c>
      <c r="G569" s="10" t="str">
        <f aca="false">"Округ_"&amp;(MOD(A569-1,5)+1)&amp;"_"&amp;(MOD(INT((A569-1)/5),5)+1)</f>
        <v>Округ_3_4</v>
      </c>
      <c r="H569" s="10" t="str">
        <f aca="false">"Город_"&amp;(MOD(A569-1,5)+1)&amp;"_"&amp;(MOD(INT((A569-1)/5),5)+1)&amp;"_"&amp;(MOD(INT((A569-1)/25),10)+1)</f>
        <v>Город_3_4_3</v>
      </c>
      <c r="I569" s="10" t="str">
        <f aca="false">CHOOSE(MOD(A569-1,4)+1,"Электроника","Одежда","Продукты","Мебель")</f>
        <v>Мебель</v>
      </c>
      <c r="J569" s="10" t="str">
        <f aca="false">CHOOSE(MOD(INT((A569-1)/4),4)+1,CHOOSE(MOD(A569-1,4)+1,"Смартфоны","Ноутбуки","Аксессуары","Аудио"),CHOOSE(MOD(A569-1,4)+1,"Верхняя одежда","Спортивная","Повседневная","Обувь"),CHOOSE(MOD(A569-1,4)+1,"Молочные","Мясные","Бакалея","Напитки"),CHOOSE(MOD(A569-1,4)+1,"Мягкая мебель","Корпусная","Офисная","Кухонная"))</f>
        <v>Обувь</v>
      </c>
      <c r="K569" s="12" t="n">
        <f aca="false">1000+MOD(A569*317+A569*A569*7,49001)</f>
        <v>38375</v>
      </c>
      <c r="L569" s="12" t="n">
        <f aca="false">1+MOD(A569*131,100)</f>
        <v>9</v>
      </c>
      <c r="M569" s="12" t="n">
        <f aca="false">INT(K569*(0.6+MOD(A569*43,21)/100))</f>
        <v>23408</v>
      </c>
      <c r="N569" s="12" t="n">
        <f aca="false">K569-M569</f>
        <v>14967</v>
      </c>
    </row>
    <row r="570" customFormat="false" ht="12.8" hidden="false" customHeight="false" outlineLevel="0" collapsed="false">
      <c r="A570" s="10" t="n">
        <f aca="false">A569+1</f>
        <v>569</v>
      </c>
      <c r="B570" s="11" t="n">
        <f aca="false">B569+1</f>
        <v>45495</v>
      </c>
      <c r="C570" s="10" t="n">
        <f aca="false">YEAR(B570)</f>
        <v>2024</v>
      </c>
      <c r="D570" s="10" t="n">
        <f aca="false">INT((MONTH(B570)-1)/3)+1</f>
        <v>3</v>
      </c>
      <c r="E570" s="10" t="n">
        <f aca="false">MONTH(B570)</f>
        <v>7</v>
      </c>
      <c r="F570" s="10" t="str">
        <f aca="false">CHOOSE(MOD(A570-1,5)+1,"Центр","Юг","Север","Запад","Восток")</f>
        <v>Запад</v>
      </c>
      <c r="G570" s="10" t="str">
        <f aca="false">"Округ_"&amp;(MOD(A570-1,5)+1)&amp;"_"&amp;(MOD(INT((A570-1)/5),5)+1)</f>
        <v>Округ_4_4</v>
      </c>
      <c r="H570" s="10" t="str">
        <f aca="false">"Город_"&amp;(MOD(A570-1,5)+1)&amp;"_"&amp;(MOD(INT((A570-1)/5),5)+1)&amp;"_"&amp;(MOD(INT((A570-1)/25),10)+1)</f>
        <v>Город_4_4_3</v>
      </c>
      <c r="I570" s="10" t="str">
        <f aca="false">CHOOSE(MOD(A570-1,4)+1,"Электроника","Одежда","Продукты","Мебель")</f>
        <v>Электроника</v>
      </c>
      <c r="J570" s="10" t="str">
        <f aca="false">CHOOSE(MOD(INT((A570-1)/4),4)+1,CHOOSE(MOD(A570-1,4)+1,"Смартфоны","Ноутбуки","Аксессуары","Аудио"),CHOOSE(MOD(A570-1,4)+1,"Верхняя одежда","Спортивная","Повседневная","Обувь"),CHOOSE(MOD(A570-1,4)+1,"Молочные","Мясные","Бакалея","Напитки"),CHOOSE(MOD(A570-1,4)+1,"Мягкая мебель","Корпусная","Офисная","Кухонная"))</f>
        <v>Молочные</v>
      </c>
      <c r="K570" s="12" t="n">
        <f aca="false">1000+MOD(A570*317+A570*A570*7,49001)</f>
        <v>46651</v>
      </c>
      <c r="L570" s="12" t="n">
        <f aca="false">1+MOD(A570*131,100)</f>
        <v>40</v>
      </c>
      <c r="M570" s="12" t="n">
        <f aca="false">INT(K570*(0.6+MOD(A570*43,21)/100))</f>
        <v>28923</v>
      </c>
      <c r="N570" s="12" t="n">
        <f aca="false">K570-M570</f>
        <v>17728</v>
      </c>
    </row>
    <row r="571" customFormat="false" ht="12.8" hidden="false" customHeight="false" outlineLevel="0" collapsed="false">
      <c r="A571" s="10" t="n">
        <f aca="false">A570+1</f>
        <v>570</v>
      </c>
      <c r="B571" s="11" t="n">
        <f aca="false">B570+1</f>
        <v>45496</v>
      </c>
      <c r="C571" s="10" t="n">
        <f aca="false">YEAR(B571)</f>
        <v>2024</v>
      </c>
      <c r="D571" s="10" t="n">
        <f aca="false">INT((MONTH(B571)-1)/3)+1</f>
        <v>3</v>
      </c>
      <c r="E571" s="10" t="n">
        <f aca="false">MONTH(B571)</f>
        <v>7</v>
      </c>
      <c r="F571" s="10" t="str">
        <f aca="false">CHOOSE(MOD(A571-1,5)+1,"Центр","Юг","Север","Запад","Восток")</f>
        <v>Восток</v>
      </c>
      <c r="G571" s="10" t="str">
        <f aca="false">"Округ_"&amp;(MOD(A571-1,5)+1)&amp;"_"&amp;(MOD(INT((A571-1)/5),5)+1)</f>
        <v>Округ_5_4</v>
      </c>
      <c r="H571" s="10" t="str">
        <f aca="false">"Город_"&amp;(MOD(A571-1,5)+1)&amp;"_"&amp;(MOD(INT((A571-1)/5),5)+1)&amp;"_"&amp;(MOD(INT((A571-1)/25),10)+1)</f>
        <v>Город_5_4_3</v>
      </c>
      <c r="I571" s="10" t="str">
        <f aca="false">CHOOSE(MOD(A571-1,4)+1,"Электроника","Одежда","Продукты","Мебель")</f>
        <v>Одежда</v>
      </c>
      <c r="J571" s="10" t="str">
        <f aca="false">CHOOSE(MOD(INT((A571-1)/4),4)+1,CHOOSE(MOD(A571-1,4)+1,"Смартфоны","Ноутбуки","Аксессуары","Аудио"),CHOOSE(MOD(A571-1,4)+1,"Верхняя одежда","Спортивная","Повседневная","Обувь"),CHOOSE(MOD(A571-1,4)+1,"Молочные","Мясные","Бакалея","Напитки"),CHOOSE(MOD(A571-1,4)+1,"Мягкая мебель","Корпусная","Офисная","Кухонная"))</f>
        <v>Мясные</v>
      </c>
      <c r="K571" s="12" t="n">
        <f aca="false">1000+MOD(A571*317+A571*A571*7,49001)</f>
        <v>5940</v>
      </c>
      <c r="L571" s="12" t="n">
        <f aca="false">1+MOD(A571*131,100)</f>
        <v>71</v>
      </c>
      <c r="M571" s="12" t="n">
        <f aca="false">INT(K571*(0.6+MOD(A571*43,21)/100))</f>
        <v>3742</v>
      </c>
      <c r="N571" s="12" t="n">
        <f aca="false">K571-M571</f>
        <v>2198</v>
      </c>
    </row>
    <row r="572" customFormat="false" ht="12.8" hidden="false" customHeight="false" outlineLevel="0" collapsed="false">
      <c r="A572" s="10" t="n">
        <f aca="false">A571+1</f>
        <v>571</v>
      </c>
      <c r="B572" s="11" t="n">
        <f aca="false">B571+1</f>
        <v>45497</v>
      </c>
      <c r="C572" s="10" t="n">
        <f aca="false">YEAR(B572)</f>
        <v>2024</v>
      </c>
      <c r="D572" s="10" t="n">
        <f aca="false">INT((MONTH(B572)-1)/3)+1</f>
        <v>3</v>
      </c>
      <c r="E572" s="10" t="n">
        <f aca="false">MONTH(B572)</f>
        <v>7</v>
      </c>
      <c r="F572" s="10" t="str">
        <f aca="false">CHOOSE(MOD(A572-1,5)+1,"Центр","Юг","Север","Запад","Восток")</f>
        <v>Центр</v>
      </c>
      <c r="G572" s="10" t="str">
        <f aca="false">"Округ_"&amp;(MOD(A572-1,5)+1)&amp;"_"&amp;(MOD(INT((A572-1)/5),5)+1)</f>
        <v>Округ_1_5</v>
      </c>
      <c r="H572" s="10" t="str">
        <f aca="false">"Город_"&amp;(MOD(A572-1,5)+1)&amp;"_"&amp;(MOD(INT((A572-1)/5),5)+1)&amp;"_"&amp;(MOD(INT((A572-1)/25),10)+1)</f>
        <v>Город_1_5_3</v>
      </c>
      <c r="I572" s="10" t="str">
        <f aca="false">CHOOSE(MOD(A572-1,4)+1,"Электроника","Одежда","Продукты","Мебель")</f>
        <v>Продукты</v>
      </c>
      <c r="J572" s="10" t="str">
        <f aca="false">CHOOSE(MOD(INT((A572-1)/4),4)+1,CHOOSE(MOD(A572-1,4)+1,"Смартфоны","Ноутбуки","Аксессуары","Аудио"),CHOOSE(MOD(A572-1,4)+1,"Верхняя одежда","Спортивная","Повседневная","Обувь"),CHOOSE(MOD(A572-1,4)+1,"Молочные","Мясные","Бакалея","Напитки"),CHOOSE(MOD(A572-1,4)+1,"Мягкая мебель","Корпусная","Офисная","Кухонная"))</f>
        <v>Бакалея</v>
      </c>
      <c r="K572" s="12" t="n">
        <f aca="false">1000+MOD(A572*317+A572*A572*7,49001)</f>
        <v>14244</v>
      </c>
      <c r="L572" s="12" t="n">
        <f aca="false">1+MOD(A572*131,100)</f>
        <v>2</v>
      </c>
      <c r="M572" s="12" t="n">
        <f aca="false">INT(K572*(0.6+MOD(A572*43,21)/100))</f>
        <v>9116</v>
      </c>
      <c r="N572" s="12" t="n">
        <f aca="false">K572-M572</f>
        <v>5128</v>
      </c>
    </row>
    <row r="573" customFormat="false" ht="12.8" hidden="false" customHeight="false" outlineLevel="0" collapsed="false">
      <c r="A573" s="10" t="n">
        <f aca="false">A572+1</f>
        <v>572</v>
      </c>
      <c r="B573" s="11" t="n">
        <f aca="false">B572+1</f>
        <v>45498</v>
      </c>
      <c r="C573" s="10" t="n">
        <f aca="false">YEAR(B573)</f>
        <v>2024</v>
      </c>
      <c r="D573" s="10" t="n">
        <f aca="false">INT((MONTH(B573)-1)/3)+1</f>
        <v>3</v>
      </c>
      <c r="E573" s="10" t="n">
        <f aca="false">MONTH(B573)</f>
        <v>7</v>
      </c>
      <c r="F573" s="10" t="str">
        <f aca="false">CHOOSE(MOD(A573-1,5)+1,"Центр","Юг","Север","Запад","Восток")</f>
        <v>Юг</v>
      </c>
      <c r="G573" s="10" t="str">
        <f aca="false">"Округ_"&amp;(MOD(A573-1,5)+1)&amp;"_"&amp;(MOD(INT((A573-1)/5),5)+1)</f>
        <v>Округ_2_5</v>
      </c>
      <c r="H573" s="10" t="str">
        <f aca="false">"Город_"&amp;(MOD(A573-1,5)+1)&amp;"_"&amp;(MOD(INT((A573-1)/5),5)+1)&amp;"_"&amp;(MOD(INT((A573-1)/25),10)+1)</f>
        <v>Город_2_5_3</v>
      </c>
      <c r="I573" s="10" t="str">
        <f aca="false">CHOOSE(MOD(A573-1,4)+1,"Электроника","Одежда","Продукты","Мебель")</f>
        <v>Мебель</v>
      </c>
      <c r="J573" s="10" t="str">
        <f aca="false">CHOOSE(MOD(INT((A573-1)/4),4)+1,CHOOSE(MOD(A573-1,4)+1,"Смартфоны","Ноутбуки","Аксессуары","Аудио"),CHOOSE(MOD(A573-1,4)+1,"Верхняя одежда","Спортивная","Повседневная","Обувь"),CHOOSE(MOD(A573-1,4)+1,"Молочные","Мясные","Бакалея","Напитки"),CHOOSE(MOD(A573-1,4)+1,"Мягкая мебель","Корпусная","Офисная","Кухонная"))</f>
        <v>Напитки</v>
      </c>
      <c r="K573" s="12" t="n">
        <f aca="false">1000+MOD(A573*317+A573*A573*7,49001)</f>
        <v>22562</v>
      </c>
      <c r="L573" s="12" t="n">
        <f aca="false">1+MOD(A573*131,100)</f>
        <v>33</v>
      </c>
      <c r="M573" s="12" t="n">
        <f aca="false">INT(K573*(0.6+MOD(A573*43,21)/100))</f>
        <v>14665</v>
      </c>
      <c r="N573" s="12" t="n">
        <f aca="false">K573-M573</f>
        <v>7897</v>
      </c>
    </row>
    <row r="574" customFormat="false" ht="12.8" hidden="false" customHeight="false" outlineLevel="0" collapsed="false">
      <c r="A574" s="10" t="n">
        <f aca="false">A573+1</f>
        <v>573</v>
      </c>
      <c r="B574" s="11" t="n">
        <f aca="false">B573+1</f>
        <v>45499</v>
      </c>
      <c r="C574" s="10" t="n">
        <f aca="false">YEAR(B574)</f>
        <v>2024</v>
      </c>
      <c r="D574" s="10" t="n">
        <f aca="false">INT((MONTH(B574)-1)/3)+1</f>
        <v>3</v>
      </c>
      <c r="E574" s="10" t="n">
        <f aca="false">MONTH(B574)</f>
        <v>7</v>
      </c>
      <c r="F574" s="10" t="str">
        <f aca="false">CHOOSE(MOD(A574-1,5)+1,"Центр","Юг","Север","Запад","Восток")</f>
        <v>Север</v>
      </c>
      <c r="G574" s="10" t="str">
        <f aca="false">"Округ_"&amp;(MOD(A574-1,5)+1)&amp;"_"&amp;(MOD(INT((A574-1)/5),5)+1)</f>
        <v>Округ_3_5</v>
      </c>
      <c r="H574" s="10" t="str">
        <f aca="false">"Город_"&amp;(MOD(A574-1,5)+1)&amp;"_"&amp;(MOD(INT((A574-1)/5),5)+1)&amp;"_"&amp;(MOD(INT((A574-1)/25),10)+1)</f>
        <v>Город_3_5_3</v>
      </c>
      <c r="I574" s="10" t="str">
        <f aca="false">CHOOSE(MOD(A574-1,4)+1,"Электроника","Одежда","Продукты","Мебель")</f>
        <v>Электроника</v>
      </c>
      <c r="J574" s="10" t="str">
        <f aca="false">CHOOSE(MOD(INT((A574-1)/4),4)+1,CHOOSE(MOD(A574-1,4)+1,"Смартфоны","Ноутбуки","Аксессуары","Аудио"),CHOOSE(MOD(A574-1,4)+1,"Верхняя одежда","Спортивная","Повседневная","Обувь"),CHOOSE(MOD(A574-1,4)+1,"Молочные","Мясные","Бакалея","Напитки"),CHOOSE(MOD(A574-1,4)+1,"Мягкая мебель","Корпусная","Офисная","Кухонная"))</f>
        <v>Мягкая мебель</v>
      </c>
      <c r="K574" s="12" t="n">
        <f aca="false">1000+MOD(A574*317+A574*A574*7,49001)</f>
        <v>30894</v>
      </c>
      <c r="L574" s="12" t="n">
        <f aca="false">1+MOD(A574*131,100)</f>
        <v>64</v>
      </c>
      <c r="M574" s="12" t="n">
        <f aca="false">INT(K574*(0.6+MOD(A574*43,21)/100))</f>
        <v>20390</v>
      </c>
      <c r="N574" s="12" t="n">
        <f aca="false">K574-M574</f>
        <v>10504</v>
      </c>
    </row>
    <row r="575" customFormat="false" ht="12.8" hidden="false" customHeight="false" outlineLevel="0" collapsed="false">
      <c r="A575" s="10" t="n">
        <f aca="false">A574+1</f>
        <v>574</v>
      </c>
      <c r="B575" s="11" t="n">
        <f aca="false">B574+1</f>
        <v>45500</v>
      </c>
      <c r="C575" s="10" t="n">
        <f aca="false">YEAR(B575)</f>
        <v>2024</v>
      </c>
      <c r="D575" s="10" t="n">
        <f aca="false">INT((MONTH(B575)-1)/3)+1</f>
        <v>3</v>
      </c>
      <c r="E575" s="10" t="n">
        <f aca="false">MONTH(B575)</f>
        <v>7</v>
      </c>
      <c r="F575" s="10" t="str">
        <f aca="false">CHOOSE(MOD(A575-1,5)+1,"Центр","Юг","Север","Запад","Восток")</f>
        <v>Запад</v>
      </c>
      <c r="G575" s="10" t="str">
        <f aca="false">"Округ_"&amp;(MOD(A575-1,5)+1)&amp;"_"&amp;(MOD(INT((A575-1)/5),5)+1)</f>
        <v>Округ_4_5</v>
      </c>
      <c r="H575" s="10" t="str">
        <f aca="false">"Город_"&amp;(MOD(A575-1,5)+1)&amp;"_"&amp;(MOD(INT((A575-1)/5),5)+1)&amp;"_"&amp;(MOD(INT((A575-1)/25),10)+1)</f>
        <v>Город_4_5_3</v>
      </c>
      <c r="I575" s="10" t="str">
        <f aca="false">CHOOSE(MOD(A575-1,4)+1,"Электроника","Одежда","Продукты","Мебель")</f>
        <v>Одежда</v>
      </c>
      <c r="J575" s="10" t="str">
        <f aca="false">CHOOSE(MOD(INT((A575-1)/4),4)+1,CHOOSE(MOD(A575-1,4)+1,"Смартфоны","Ноутбуки","Аксессуары","Аудио"),CHOOSE(MOD(A575-1,4)+1,"Верхняя одежда","Спортивная","Повседневная","Обувь"),CHOOSE(MOD(A575-1,4)+1,"Молочные","Мясные","Бакалея","Напитки"),CHOOSE(MOD(A575-1,4)+1,"Мягкая мебель","Корпусная","Офисная","Кухонная"))</f>
        <v>Корпусная</v>
      </c>
      <c r="K575" s="12" t="n">
        <f aca="false">1000+MOD(A575*317+A575*A575*7,49001)</f>
        <v>39240</v>
      </c>
      <c r="L575" s="12" t="n">
        <f aca="false">1+MOD(A575*131,100)</f>
        <v>95</v>
      </c>
      <c r="M575" s="12" t="n">
        <f aca="false">INT(K575*(0.6+MOD(A575*43,21)/100))</f>
        <v>26290</v>
      </c>
      <c r="N575" s="12" t="n">
        <f aca="false">K575-M575</f>
        <v>12950</v>
      </c>
    </row>
    <row r="576" customFormat="false" ht="12.8" hidden="false" customHeight="false" outlineLevel="0" collapsed="false">
      <c r="A576" s="10" t="n">
        <f aca="false">A575+1</f>
        <v>575</v>
      </c>
      <c r="B576" s="11" t="n">
        <f aca="false">B575+1</f>
        <v>45501</v>
      </c>
      <c r="C576" s="10" t="n">
        <f aca="false">YEAR(B576)</f>
        <v>2024</v>
      </c>
      <c r="D576" s="10" t="n">
        <f aca="false">INT((MONTH(B576)-1)/3)+1</f>
        <v>3</v>
      </c>
      <c r="E576" s="10" t="n">
        <f aca="false">MONTH(B576)</f>
        <v>7</v>
      </c>
      <c r="F576" s="10" t="str">
        <f aca="false">CHOOSE(MOD(A576-1,5)+1,"Центр","Юг","Север","Запад","Восток")</f>
        <v>Восток</v>
      </c>
      <c r="G576" s="10" t="str">
        <f aca="false">"Округ_"&amp;(MOD(A576-1,5)+1)&amp;"_"&amp;(MOD(INT((A576-1)/5),5)+1)</f>
        <v>Округ_5_5</v>
      </c>
      <c r="H576" s="10" t="str">
        <f aca="false">"Город_"&amp;(MOD(A576-1,5)+1)&amp;"_"&amp;(MOD(INT((A576-1)/5),5)+1)&amp;"_"&amp;(MOD(INT((A576-1)/25),10)+1)</f>
        <v>Город_5_5_3</v>
      </c>
      <c r="I576" s="10" t="str">
        <f aca="false">CHOOSE(MOD(A576-1,4)+1,"Электроника","Одежда","Продукты","Мебель")</f>
        <v>Продукты</v>
      </c>
      <c r="J576" s="10" t="str">
        <f aca="false">CHOOSE(MOD(INT((A576-1)/4),4)+1,CHOOSE(MOD(A576-1,4)+1,"Смартфоны","Ноутбуки","Аксессуары","Аудио"),CHOOSE(MOD(A576-1,4)+1,"Верхняя одежда","Спортивная","Повседневная","Обувь"),CHOOSE(MOD(A576-1,4)+1,"Молочные","Мясные","Бакалея","Напитки"),CHOOSE(MOD(A576-1,4)+1,"Мягкая мебель","Корпусная","Офисная","Кухонная"))</f>
        <v>Офисная</v>
      </c>
      <c r="K576" s="12" t="n">
        <f aca="false">1000+MOD(A576*317+A576*A576*7,49001)</f>
        <v>47600</v>
      </c>
      <c r="L576" s="12" t="n">
        <f aca="false">1+MOD(A576*131,100)</f>
        <v>26</v>
      </c>
      <c r="M576" s="12" t="n">
        <f aca="false">INT(K576*(0.6+MOD(A576*43,21)/100))</f>
        <v>32368</v>
      </c>
      <c r="N576" s="12" t="n">
        <f aca="false">K576-M576</f>
        <v>15232</v>
      </c>
    </row>
    <row r="577" customFormat="false" ht="12.8" hidden="false" customHeight="false" outlineLevel="0" collapsed="false">
      <c r="A577" s="10" t="n">
        <f aca="false">A576+1</f>
        <v>576</v>
      </c>
      <c r="B577" s="11" t="n">
        <f aca="false">B576+1</f>
        <v>45502</v>
      </c>
      <c r="C577" s="10" t="n">
        <f aca="false">YEAR(B577)</f>
        <v>2024</v>
      </c>
      <c r="D577" s="10" t="n">
        <f aca="false">INT((MONTH(B577)-1)/3)+1</f>
        <v>3</v>
      </c>
      <c r="E577" s="10" t="n">
        <f aca="false">MONTH(B577)</f>
        <v>7</v>
      </c>
      <c r="F577" s="10" t="str">
        <f aca="false">CHOOSE(MOD(A577-1,5)+1,"Центр","Юг","Север","Запад","Восток")</f>
        <v>Центр</v>
      </c>
      <c r="G577" s="10" t="str">
        <f aca="false">"Округ_"&amp;(MOD(A577-1,5)+1)&amp;"_"&amp;(MOD(INT((A577-1)/5),5)+1)</f>
        <v>Округ_1_1</v>
      </c>
      <c r="H577" s="10" t="str">
        <f aca="false">"Город_"&amp;(MOD(A577-1,5)+1)&amp;"_"&amp;(MOD(INT((A577-1)/5),5)+1)&amp;"_"&amp;(MOD(INT((A577-1)/25),10)+1)</f>
        <v>Город_1_1_4</v>
      </c>
      <c r="I577" s="10" t="str">
        <f aca="false">CHOOSE(MOD(A577-1,4)+1,"Электроника","Одежда","Продукты","Мебель")</f>
        <v>Мебель</v>
      </c>
      <c r="J577" s="10" t="str">
        <f aca="false">CHOOSE(MOD(INT((A577-1)/4),4)+1,CHOOSE(MOD(A577-1,4)+1,"Смартфоны","Ноутбуки","Аксессуары","Аудио"),CHOOSE(MOD(A577-1,4)+1,"Верхняя одежда","Спортивная","Повседневная","Обувь"),CHOOSE(MOD(A577-1,4)+1,"Молочные","Мясные","Бакалея","Напитки"),CHOOSE(MOD(A577-1,4)+1,"Мягкая мебель","Корпусная","Офисная","Кухонная"))</f>
        <v>Кухонная</v>
      </c>
      <c r="K577" s="12" t="n">
        <f aca="false">1000+MOD(A577*317+A577*A577*7,49001)</f>
        <v>6973</v>
      </c>
      <c r="L577" s="12" t="n">
        <f aca="false">1+MOD(A577*131,100)</f>
        <v>57</v>
      </c>
      <c r="M577" s="12" t="n">
        <f aca="false">INT(K577*(0.6+MOD(A577*43,21)/100))</f>
        <v>4811</v>
      </c>
      <c r="N577" s="12" t="n">
        <f aca="false">K577-M577</f>
        <v>2162</v>
      </c>
    </row>
    <row r="578" customFormat="false" ht="12.8" hidden="false" customHeight="false" outlineLevel="0" collapsed="false">
      <c r="A578" s="10" t="n">
        <f aca="false">A577+1</f>
        <v>577</v>
      </c>
      <c r="B578" s="11" t="n">
        <f aca="false">B577+1</f>
        <v>45503</v>
      </c>
      <c r="C578" s="10" t="n">
        <f aca="false">YEAR(B578)</f>
        <v>2024</v>
      </c>
      <c r="D578" s="10" t="n">
        <f aca="false">INT((MONTH(B578)-1)/3)+1</f>
        <v>3</v>
      </c>
      <c r="E578" s="10" t="n">
        <f aca="false">MONTH(B578)</f>
        <v>7</v>
      </c>
      <c r="F578" s="10" t="str">
        <f aca="false">CHOOSE(MOD(A578-1,5)+1,"Центр","Юг","Север","Запад","Восток")</f>
        <v>Юг</v>
      </c>
      <c r="G578" s="10" t="str">
        <f aca="false">"Округ_"&amp;(MOD(A578-1,5)+1)&amp;"_"&amp;(MOD(INT((A578-1)/5),5)+1)</f>
        <v>Округ_2_1</v>
      </c>
      <c r="H578" s="10" t="str">
        <f aca="false">"Город_"&amp;(MOD(A578-1,5)+1)&amp;"_"&amp;(MOD(INT((A578-1)/5),5)+1)&amp;"_"&amp;(MOD(INT((A578-1)/25),10)+1)</f>
        <v>Город_2_1_4</v>
      </c>
      <c r="I578" s="10" t="str">
        <f aca="false">CHOOSE(MOD(A578-1,4)+1,"Электроника","Одежда","Продукты","Мебель")</f>
        <v>Электроника</v>
      </c>
      <c r="J578" s="10" t="str">
        <f aca="false">CHOOSE(MOD(INT((A578-1)/4),4)+1,CHOOSE(MOD(A578-1,4)+1,"Смартфоны","Ноутбуки","Аксессуары","Аудио"),CHOOSE(MOD(A578-1,4)+1,"Верхняя одежда","Спортивная","Повседневная","Обувь"),CHOOSE(MOD(A578-1,4)+1,"Молочные","Мясные","Бакалея","Напитки"),CHOOSE(MOD(A578-1,4)+1,"Мягкая мебель","Корпусная","Офисная","Кухонная"))</f>
        <v>Смартфоны</v>
      </c>
      <c r="K578" s="12" t="n">
        <f aca="false">1000+MOD(A578*317+A578*A578*7,49001)</f>
        <v>15361</v>
      </c>
      <c r="L578" s="12" t="n">
        <f aca="false">1+MOD(A578*131,100)</f>
        <v>88</v>
      </c>
      <c r="M578" s="12" t="n">
        <f aca="false">INT(K578*(0.6+MOD(A578*43,21)/100))</f>
        <v>10752</v>
      </c>
      <c r="N578" s="12" t="n">
        <f aca="false">K578-M578</f>
        <v>4609</v>
      </c>
    </row>
    <row r="579" customFormat="false" ht="12.8" hidden="false" customHeight="false" outlineLevel="0" collapsed="false">
      <c r="A579" s="10" t="n">
        <f aca="false">A578+1</f>
        <v>578</v>
      </c>
      <c r="B579" s="11" t="n">
        <f aca="false">B578+1</f>
        <v>45504</v>
      </c>
      <c r="C579" s="10" t="n">
        <f aca="false">YEAR(B579)</f>
        <v>2024</v>
      </c>
      <c r="D579" s="10" t="n">
        <f aca="false">INT((MONTH(B579)-1)/3)+1</f>
        <v>3</v>
      </c>
      <c r="E579" s="10" t="n">
        <f aca="false">MONTH(B579)</f>
        <v>7</v>
      </c>
      <c r="F579" s="10" t="str">
        <f aca="false">CHOOSE(MOD(A579-1,5)+1,"Центр","Юг","Север","Запад","Восток")</f>
        <v>Север</v>
      </c>
      <c r="G579" s="10" t="str">
        <f aca="false">"Округ_"&amp;(MOD(A579-1,5)+1)&amp;"_"&amp;(MOD(INT((A579-1)/5),5)+1)</f>
        <v>Округ_3_1</v>
      </c>
      <c r="H579" s="10" t="str">
        <f aca="false">"Город_"&amp;(MOD(A579-1,5)+1)&amp;"_"&amp;(MOD(INT((A579-1)/5),5)+1)&amp;"_"&amp;(MOD(INT((A579-1)/25),10)+1)</f>
        <v>Город_3_1_4</v>
      </c>
      <c r="I579" s="10" t="str">
        <f aca="false">CHOOSE(MOD(A579-1,4)+1,"Электроника","Одежда","Продукты","Мебель")</f>
        <v>Одежда</v>
      </c>
      <c r="J579" s="10" t="str">
        <f aca="false">CHOOSE(MOD(INT((A579-1)/4),4)+1,CHOOSE(MOD(A579-1,4)+1,"Смартфоны","Ноутбуки","Аксессуары","Аудио"),CHOOSE(MOD(A579-1,4)+1,"Верхняя одежда","Спортивная","Повседневная","Обувь"),CHOOSE(MOD(A579-1,4)+1,"Молочные","Мясные","Бакалея","Напитки"),CHOOSE(MOD(A579-1,4)+1,"Мягкая мебель","Корпусная","Офисная","Кухонная"))</f>
        <v>Ноутбуки</v>
      </c>
      <c r="K579" s="12" t="n">
        <f aca="false">1000+MOD(A579*317+A579*A579*7,49001)</f>
        <v>23763</v>
      </c>
      <c r="L579" s="12" t="n">
        <f aca="false">1+MOD(A579*131,100)</f>
        <v>19</v>
      </c>
      <c r="M579" s="12" t="n">
        <f aca="false">INT(K579*(0.6+MOD(A579*43,21)/100))</f>
        <v>16871</v>
      </c>
      <c r="N579" s="12" t="n">
        <f aca="false">K579-M579</f>
        <v>6892</v>
      </c>
    </row>
    <row r="580" customFormat="false" ht="12.8" hidden="false" customHeight="false" outlineLevel="0" collapsed="false">
      <c r="A580" s="10" t="n">
        <f aca="false">A579+1</f>
        <v>579</v>
      </c>
      <c r="B580" s="11" t="n">
        <f aca="false">B579+1</f>
        <v>45505</v>
      </c>
      <c r="C580" s="10" t="n">
        <f aca="false">YEAR(B580)</f>
        <v>2024</v>
      </c>
      <c r="D580" s="10" t="n">
        <f aca="false">INT((MONTH(B580)-1)/3)+1</f>
        <v>3</v>
      </c>
      <c r="E580" s="10" t="n">
        <f aca="false">MONTH(B580)</f>
        <v>8</v>
      </c>
      <c r="F580" s="10" t="str">
        <f aca="false">CHOOSE(MOD(A580-1,5)+1,"Центр","Юг","Север","Запад","Восток")</f>
        <v>Запад</v>
      </c>
      <c r="G580" s="10" t="str">
        <f aca="false">"Округ_"&amp;(MOD(A580-1,5)+1)&amp;"_"&amp;(MOD(INT((A580-1)/5),5)+1)</f>
        <v>Округ_4_1</v>
      </c>
      <c r="H580" s="10" t="str">
        <f aca="false">"Город_"&amp;(MOD(A580-1,5)+1)&amp;"_"&amp;(MOD(INT((A580-1)/5),5)+1)&amp;"_"&amp;(MOD(INT((A580-1)/25),10)+1)</f>
        <v>Город_4_1_4</v>
      </c>
      <c r="I580" s="10" t="str">
        <f aca="false">CHOOSE(MOD(A580-1,4)+1,"Электроника","Одежда","Продукты","Мебель")</f>
        <v>Продукты</v>
      </c>
      <c r="J580" s="10" t="str">
        <f aca="false">CHOOSE(MOD(INT((A580-1)/4),4)+1,CHOOSE(MOD(A580-1,4)+1,"Смартфоны","Ноутбуки","Аксессуары","Аудио"),CHOOSE(MOD(A580-1,4)+1,"Верхняя одежда","Спортивная","Повседневная","Обувь"),CHOOSE(MOD(A580-1,4)+1,"Молочные","Мясные","Бакалея","Напитки"),CHOOSE(MOD(A580-1,4)+1,"Мягкая мебель","Корпусная","Офисная","Кухонная"))</f>
        <v>Аксессуары</v>
      </c>
      <c r="K580" s="12" t="n">
        <f aca="false">1000+MOD(A580*317+A580*A580*7,49001)</f>
        <v>32179</v>
      </c>
      <c r="L580" s="12" t="n">
        <f aca="false">1+MOD(A580*131,100)</f>
        <v>50</v>
      </c>
      <c r="M580" s="12" t="n">
        <f aca="false">INT(K580*(0.6+MOD(A580*43,21)/100))</f>
        <v>23168</v>
      </c>
      <c r="N580" s="12" t="n">
        <f aca="false">K580-M580</f>
        <v>9011</v>
      </c>
    </row>
    <row r="581" customFormat="false" ht="12.8" hidden="false" customHeight="false" outlineLevel="0" collapsed="false">
      <c r="A581" s="10" t="n">
        <f aca="false">A580+1</f>
        <v>580</v>
      </c>
      <c r="B581" s="11" t="n">
        <f aca="false">B580+1</f>
        <v>45506</v>
      </c>
      <c r="C581" s="10" t="n">
        <f aca="false">YEAR(B581)</f>
        <v>2024</v>
      </c>
      <c r="D581" s="10" t="n">
        <f aca="false">INT((MONTH(B581)-1)/3)+1</f>
        <v>3</v>
      </c>
      <c r="E581" s="10" t="n">
        <f aca="false">MONTH(B581)</f>
        <v>8</v>
      </c>
      <c r="F581" s="10" t="str">
        <f aca="false">CHOOSE(MOD(A581-1,5)+1,"Центр","Юг","Север","Запад","Восток")</f>
        <v>Восток</v>
      </c>
      <c r="G581" s="10" t="str">
        <f aca="false">"Округ_"&amp;(MOD(A581-1,5)+1)&amp;"_"&amp;(MOD(INT((A581-1)/5),5)+1)</f>
        <v>Округ_5_1</v>
      </c>
      <c r="H581" s="10" t="str">
        <f aca="false">"Город_"&amp;(MOD(A581-1,5)+1)&amp;"_"&amp;(MOD(INT((A581-1)/5),5)+1)&amp;"_"&amp;(MOD(INT((A581-1)/25),10)+1)</f>
        <v>Город_5_1_4</v>
      </c>
      <c r="I581" s="10" t="str">
        <f aca="false">CHOOSE(MOD(A581-1,4)+1,"Электроника","Одежда","Продукты","Мебель")</f>
        <v>Мебель</v>
      </c>
      <c r="J581" s="10" t="str">
        <f aca="false">CHOOSE(MOD(INT((A581-1)/4),4)+1,CHOOSE(MOD(A581-1,4)+1,"Смартфоны","Ноутбуки","Аксессуары","Аудио"),CHOOSE(MOD(A581-1,4)+1,"Верхняя одежда","Спортивная","Повседневная","Обувь"),CHOOSE(MOD(A581-1,4)+1,"Молочные","Мясные","Бакалея","Напитки"),CHOOSE(MOD(A581-1,4)+1,"Мягкая мебель","Корпусная","Офисная","Кухонная"))</f>
        <v>Аудио</v>
      </c>
      <c r="K581" s="12" t="n">
        <f aca="false">1000+MOD(A581*317+A581*A581*7,49001)</f>
        <v>40609</v>
      </c>
      <c r="L581" s="12" t="n">
        <f aca="false">1+MOD(A581*131,100)</f>
        <v>81</v>
      </c>
      <c r="M581" s="12" t="n">
        <f aca="false">INT(K581*(0.6+MOD(A581*43,21)/100))</f>
        <v>29644</v>
      </c>
      <c r="N581" s="12" t="n">
        <f aca="false">K581-M581</f>
        <v>10965</v>
      </c>
    </row>
    <row r="582" customFormat="false" ht="12.8" hidden="false" customHeight="false" outlineLevel="0" collapsed="false">
      <c r="A582" s="10" t="n">
        <f aca="false">A581+1</f>
        <v>581</v>
      </c>
      <c r="B582" s="11" t="n">
        <f aca="false">B581+1</f>
        <v>45507</v>
      </c>
      <c r="C582" s="10" t="n">
        <f aca="false">YEAR(B582)</f>
        <v>2024</v>
      </c>
      <c r="D582" s="10" t="n">
        <f aca="false">INT((MONTH(B582)-1)/3)+1</f>
        <v>3</v>
      </c>
      <c r="E582" s="10" t="n">
        <f aca="false">MONTH(B582)</f>
        <v>8</v>
      </c>
      <c r="F582" s="10" t="str">
        <f aca="false">CHOOSE(MOD(A582-1,5)+1,"Центр","Юг","Север","Запад","Восток")</f>
        <v>Центр</v>
      </c>
      <c r="G582" s="10" t="str">
        <f aca="false">"Округ_"&amp;(MOD(A582-1,5)+1)&amp;"_"&amp;(MOD(INT((A582-1)/5),5)+1)</f>
        <v>Округ_1_2</v>
      </c>
      <c r="H582" s="10" t="str">
        <f aca="false">"Город_"&amp;(MOD(A582-1,5)+1)&amp;"_"&amp;(MOD(INT((A582-1)/5),5)+1)&amp;"_"&amp;(MOD(INT((A582-1)/25),10)+1)</f>
        <v>Город_1_2_4</v>
      </c>
      <c r="I582" s="10" t="str">
        <f aca="false">CHOOSE(MOD(A582-1,4)+1,"Электроника","Одежда","Продукты","Мебель")</f>
        <v>Электроника</v>
      </c>
      <c r="J582" s="10" t="str">
        <f aca="false">CHOOSE(MOD(INT((A582-1)/4),4)+1,CHOOSE(MOD(A582-1,4)+1,"Смартфоны","Ноутбуки","Аксессуары","Аудио"),CHOOSE(MOD(A582-1,4)+1,"Верхняя одежда","Спортивная","Повседневная","Обувь"),CHOOSE(MOD(A582-1,4)+1,"Молочные","Мясные","Бакалея","Напитки"),CHOOSE(MOD(A582-1,4)+1,"Мягкая мебель","Корпусная","Офисная","Кухонная"))</f>
        <v>Верхняя одежда</v>
      </c>
      <c r="K582" s="12" t="n">
        <f aca="false">1000+MOD(A582*317+A582*A582*7,49001)</f>
        <v>49053</v>
      </c>
      <c r="L582" s="12" t="n">
        <f aca="false">1+MOD(A582*131,100)</f>
        <v>12</v>
      </c>
      <c r="M582" s="12" t="n">
        <f aca="false">INT(K582*(0.6+MOD(A582*43,21)/100))</f>
        <v>36299</v>
      </c>
      <c r="N582" s="12" t="n">
        <f aca="false">K582-M582</f>
        <v>12754</v>
      </c>
    </row>
    <row r="583" customFormat="false" ht="12.8" hidden="false" customHeight="false" outlineLevel="0" collapsed="false">
      <c r="A583" s="10" t="n">
        <f aca="false">A582+1</f>
        <v>582</v>
      </c>
      <c r="B583" s="11" t="n">
        <f aca="false">B582+1</f>
        <v>45508</v>
      </c>
      <c r="C583" s="10" t="n">
        <f aca="false">YEAR(B583)</f>
        <v>2024</v>
      </c>
      <c r="D583" s="10" t="n">
        <f aca="false">INT((MONTH(B583)-1)/3)+1</f>
        <v>3</v>
      </c>
      <c r="E583" s="10" t="n">
        <f aca="false">MONTH(B583)</f>
        <v>8</v>
      </c>
      <c r="F583" s="10" t="str">
        <f aca="false">CHOOSE(MOD(A583-1,5)+1,"Центр","Юг","Север","Запад","Восток")</f>
        <v>Юг</v>
      </c>
      <c r="G583" s="10" t="str">
        <f aca="false">"Округ_"&amp;(MOD(A583-1,5)+1)&amp;"_"&amp;(MOD(INT((A583-1)/5),5)+1)</f>
        <v>Округ_2_2</v>
      </c>
      <c r="H583" s="10" t="str">
        <f aca="false">"Город_"&amp;(MOD(A583-1,5)+1)&amp;"_"&amp;(MOD(INT((A583-1)/5),5)+1)&amp;"_"&amp;(MOD(INT((A583-1)/25),10)+1)</f>
        <v>Город_2_2_4</v>
      </c>
      <c r="I583" s="10" t="str">
        <f aca="false">CHOOSE(MOD(A583-1,4)+1,"Электроника","Одежда","Продукты","Мебель")</f>
        <v>Одежда</v>
      </c>
      <c r="J583" s="10" t="str">
        <f aca="false">CHOOSE(MOD(INT((A583-1)/4),4)+1,CHOOSE(MOD(A583-1,4)+1,"Смартфоны","Ноутбуки","Аксессуары","Аудио"),CHOOSE(MOD(A583-1,4)+1,"Верхняя одежда","Спортивная","Повседневная","Обувь"),CHOOSE(MOD(A583-1,4)+1,"Молочные","Мясные","Бакалея","Напитки"),CHOOSE(MOD(A583-1,4)+1,"Мягкая мебель","Корпусная","Офисная","Кухонная"))</f>
        <v>Спортивная</v>
      </c>
      <c r="K583" s="12" t="n">
        <f aca="false">1000+MOD(A583*317+A583*A583*7,49001)</f>
        <v>8510</v>
      </c>
      <c r="L583" s="12" t="n">
        <f aca="false">1+MOD(A583*131,100)</f>
        <v>43</v>
      </c>
      <c r="M583" s="12" t="n">
        <f aca="false">INT(K583*(0.6+MOD(A583*43,21)/100))</f>
        <v>6382</v>
      </c>
      <c r="N583" s="12" t="n">
        <f aca="false">K583-M583</f>
        <v>2128</v>
      </c>
    </row>
    <row r="584" customFormat="false" ht="12.8" hidden="false" customHeight="false" outlineLevel="0" collapsed="false">
      <c r="A584" s="10" t="n">
        <f aca="false">A583+1</f>
        <v>583</v>
      </c>
      <c r="B584" s="11" t="n">
        <f aca="false">B583+1</f>
        <v>45509</v>
      </c>
      <c r="C584" s="10" t="n">
        <f aca="false">YEAR(B584)</f>
        <v>2024</v>
      </c>
      <c r="D584" s="10" t="n">
        <f aca="false">INT((MONTH(B584)-1)/3)+1</f>
        <v>3</v>
      </c>
      <c r="E584" s="10" t="n">
        <f aca="false">MONTH(B584)</f>
        <v>8</v>
      </c>
      <c r="F584" s="10" t="str">
        <f aca="false">CHOOSE(MOD(A584-1,5)+1,"Центр","Юг","Север","Запад","Восток")</f>
        <v>Север</v>
      </c>
      <c r="G584" s="10" t="str">
        <f aca="false">"Округ_"&amp;(MOD(A584-1,5)+1)&amp;"_"&amp;(MOD(INT((A584-1)/5),5)+1)</f>
        <v>Округ_3_2</v>
      </c>
      <c r="H584" s="10" t="str">
        <f aca="false">"Город_"&amp;(MOD(A584-1,5)+1)&amp;"_"&amp;(MOD(INT((A584-1)/5),5)+1)&amp;"_"&amp;(MOD(INT((A584-1)/25),10)+1)</f>
        <v>Город_3_2_4</v>
      </c>
      <c r="I584" s="10" t="str">
        <f aca="false">CHOOSE(MOD(A584-1,4)+1,"Электроника","Одежда","Продукты","Мебель")</f>
        <v>Продукты</v>
      </c>
      <c r="J584" s="10" t="str">
        <f aca="false">CHOOSE(MOD(INT((A584-1)/4),4)+1,CHOOSE(MOD(A584-1,4)+1,"Смартфоны","Ноутбуки","Аксессуары","Аудио"),CHOOSE(MOD(A584-1,4)+1,"Верхняя одежда","Спортивная","Повседневная","Обувь"),CHOOSE(MOD(A584-1,4)+1,"Молочные","Мясные","Бакалея","Напитки"),CHOOSE(MOD(A584-1,4)+1,"Мягкая мебель","Корпусная","Офисная","Кухонная"))</f>
        <v>Повседневная</v>
      </c>
      <c r="K584" s="12" t="n">
        <f aca="false">1000+MOD(A584*317+A584*A584*7,49001)</f>
        <v>16982</v>
      </c>
      <c r="L584" s="12" t="n">
        <f aca="false">1+MOD(A584*131,100)</f>
        <v>74</v>
      </c>
      <c r="M584" s="12" t="n">
        <f aca="false">INT(K584*(0.6+MOD(A584*43,21)/100))</f>
        <v>12906</v>
      </c>
      <c r="N584" s="12" t="n">
        <f aca="false">K584-M584</f>
        <v>4076</v>
      </c>
    </row>
    <row r="585" customFormat="false" ht="12.8" hidden="false" customHeight="false" outlineLevel="0" collapsed="false">
      <c r="A585" s="10" t="n">
        <f aca="false">A584+1</f>
        <v>584</v>
      </c>
      <c r="B585" s="11" t="n">
        <f aca="false">B584+1</f>
        <v>45510</v>
      </c>
      <c r="C585" s="10" t="n">
        <f aca="false">YEAR(B585)</f>
        <v>2024</v>
      </c>
      <c r="D585" s="10" t="n">
        <f aca="false">INT((MONTH(B585)-1)/3)+1</f>
        <v>3</v>
      </c>
      <c r="E585" s="10" t="n">
        <f aca="false">MONTH(B585)</f>
        <v>8</v>
      </c>
      <c r="F585" s="10" t="str">
        <f aca="false">CHOOSE(MOD(A585-1,5)+1,"Центр","Юг","Север","Запад","Восток")</f>
        <v>Запад</v>
      </c>
      <c r="G585" s="10" t="str">
        <f aca="false">"Округ_"&amp;(MOD(A585-1,5)+1)&amp;"_"&amp;(MOD(INT((A585-1)/5),5)+1)</f>
        <v>Округ_4_2</v>
      </c>
      <c r="H585" s="10" t="str">
        <f aca="false">"Город_"&amp;(MOD(A585-1,5)+1)&amp;"_"&amp;(MOD(INT((A585-1)/5),5)+1)&amp;"_"&amp;(MOD(INT((A585-1)/25),10)+1)</f>
        <v>Город_4_2_4</v>
      </c>
      <c r="I585" s="10" t="str">
        <f aca="false">CHOOSE(MOD(A585-1,4)+1,"Электроника","Одежда","Продукты","Мебель")</f>
        <v>Мебель</v>
      </c>
      <c r="J585" s="10" t="str">
        <f aca="false">CHOOSE(MOD(INT((A585-1)/4),4)+1,CHOOSE(MOD(A585-1,4)+1,"Смартфоны","Ноутбуки","Аксессуары","Аудио"),CHOOSE(MOD(A585-1,4)+1,"Верхняя одежда","Спортивная","Повседневная","Обувь"),CHOOSE(MOD(A585-1,4)+1,"Молочные","Мясные","Бакалея","Напитки"),CHOOSE(MOD(A585-1,4)+1,"Мягкая мебель","Корпусная","Офисная","Кухонная"))</f>
        <v>Обувь</v>
      </c>
      <c r="K585" s="12" t="n">
        <f aca="false">1000+MOD(A585*317+A585*A585*7,49001)</f>
        <v>25468</v>
      </c>
      <c r="L585" s="12" t="n">
        <f aca="false">1+MOD(A585*131,100)</f>
        <v>5</v>
      </c>
      <c r="M585" s="12" t="n">
        <f aca="false">INT(K585*(0.6+MOD(A585*43,21)/100))</f>
        <v>19610</v>
      </c>
      <c r="N585" s="12" t="n">
        <f aca="false">K585-M585</f>
        <v>5858</v>
      </c>
    </row>
    <row r="586" customFormat="false" ht="12.8" hidden="false" customHeight="false" outlineLevel="0" collapsed="false">
      <c r="A586" s="10" t="n">
        <f aca="false">A585+1</f>
        <v>585</v>
      </c>
      <c r="B586" s="11" t="n">
        <f aca="false">B585+1</f>
        <v>45511</v>
      </c>
      <c r="C586" s="10" t="n">
        <f aca="false">YEAR(B586)</f>
        <v>2024</v>
      </c>
      <c r="D586" s="10" t="n">
        <f aca="false">INT((MONTH(B586)-1)/3)+1</f>
        <v>3</v>
      </c>
      <c r="E586" s="10" t="n">
        <f aca="false">MONTH(B586)</f>
        <v>8</v>
      </c>
      <c r="F586" s="10" t="str">
        <f aca="false">CHOOSE(MOD(A586-1,5)+1,"Центр","Юг","Север","Запад","Восток")</f>
        <v>Восток</v>
      </c>
      <c r="G586" s="10" t="str">
        <f aca="false">"Округ_"&amp;(MOD(A586-1,5)+1)&amp;"_"&amp;(MOD(INT((A586-1)/5),5)+1)</f>
        <v>Округ_5_2</v>
      </c>
      <c r="H586" s="10" t="str">
        <f aca="false">"Город_"&amp;(MOD(A586-1,5)+1)&amp;"_"&amp;(MOD(INT((A586-1)/5),5)+1)&amp;"_"&amp;(MOD(INT((A586-1)/25),10)+1)</f>
        <v>Город_5_2_4</v>
      </c>
      <c r="I586" s="10" t="str">
        <f aca="false">CHOOSE(MOD(A586-1,4)+1,"Электроника","Одежда","Продукты","Мебель")</f>
        <v>Электроника</v>
      </c>
      <c r="J586" s="10" t="str">
        <f aca="false">CHOOSE(MOD(INT((A586-1)/4),4)+1,CHOOSE(MOD(A586-1,4)+1,"Смартфоны","Ноутбуки","Аксессуары","Аудио"),CHOOSE(MOD(A586-1,4)+1,"Верхняя одежда","Спортивная","Повседневная","Обувь"),CHOOSE(MOD(A586-1,4)+1,"Молочные","Мясные","Бакалея","Напитки"),CHOOSE(MOD(A586-1,4)+1,"Мягкая мебель","Корпусная","Офисная","Кухонная"))</f>
        <v>Молочные</v>
      </c>
      <c r="K586" s="12" t="n">
        <f aca="false">1000+MOD(A586*317+A586*A586*7,49001)</f>
        <v>33968</v>
      </c>
      <c r="L586" s="12" t="n">
        <f aca="false">1+MOD(A586*131,100)</f>
        <v>36</v>
      </c>
      <c r="M586" s="12" t="n">
        <f aca="false">INT(K586*(0.6+MOD(A586*43,21)/100))</f>
        <v>26495</v>
      </c>
      <c r="N586" s="12" t="n">
        <f aca="false">K586-M586</f>
        <v>7473</v>
      </c>
    </row>
    <row r="587" customFormat="false" ht="12.8" hidden="false" customHeight="false" outlineLevel="0" collapsed="false">
      <c r="A587" s="10" t="n">
        <f aca="false">A586+1</f>
        <v>586</v>
      </c>
      <c r="B587" s="11" t="n">
        <f aca="false">B586+1</f>
        <v>45512</v>
      </c>
      <c r="C587" s="10" t="n">
        <f aca="false">YEAR(B587)</f>
        <v>2024</v>
      </c>
      <c r="D587" s="10" t="n">
        <f aca="false">INT((MONTH(B587)-1)/3)+1</f>
        <v>3</v>
      </c>
      <c r="E587" s="10" t="n">
        <f aca="false">MONTH(B587)</f>
        <v>8</v>
      </c>
      <c r="F587" s="10" t="str">
        <f aca="false">CHOOSE(MOD(A587-1,5)+1,"Центр","Юг","Север","Запад","Восток")</f>
        <v>Центр</v>
      </c>
      <c r="G587" s="10" t="str">
        <f aca="false">"Округ_"&amp;(MOD(A587-1,5)+1)&amp;"_"&amp;(MOD(INT((A587-1)/5),5)+1)</f>
        <v>Округ_1_3</v>
      </c>
      <c r="H587" s="10" t="str">
        <f aca="false">"Город_"&amp;(MOD(A587-1,5)+1)&amp;"_"&amp;(MOD(INT((A587-1)/5),5)+1)&amp;"_"&amp;(MOD(INT((A587-1)/25),10)+1)</f>
        <v>Город_1_3_4</v>
      </c>
      <c r="I587" s="10" t="str">
        <f aca="false">CHOOSE(MOD(A587-1,4)+1,"Электроника","Одежда","Продукты","Мебель")</f>
        <v>Одежда</v>
      </c>
      <c r="J587" s="10" t="str">
        <f aca="false">CHOOSE(MOD(INT((A587-1)/4),4)+1,CHOOSE(MOD(A587-1,4)+1,"Смартфоны","Ноутбуки","Аксессуары","Аудио"),CHOOSE(MOD(A587-1,4)+1,"Верхняя одежда","Спортивная","Повседневная","Обувь"),CHOOSE(MOD(A587-1,4)+1,"Молочные","Мясные","Бакалея","Напитки"),CHOOSE(MOD(A587-1,4)+1,"Мягкая мебель","Корпусная","Офисная","Кухонная"))</f>
        <v>Мясные</v>
      </c>
      <c r="K587" s="12" t="n">
        <f aca="false">1000+MOD(A587*317+A587*A587*7,49001)</f>
        <v>42482</v>
      </c>
      <c r="L587" s="12" t="n">
        <f aca="false">1+MOD(A587*131,100)</f>
        <v>67</v>
      </c>
      <c r="M587" s="12" t="n">
        <f aca="false">INT(K587*(0.6+MOD(A587*43,21)/100))</f>
        <v>33560</v>
      </c>
      <c r="N587" s="12" t="n">
        <f aca="false">K587-M587</f>
        <v>8922</v>
      </c>
    </row>
    <row r="588" customFormat="false" ht="12.8" hidden="false" customHeight="false" outlineLevel="0" collapsed="false">
      <c r="A588" s="10" t="n">
        <f aca="false">A587+1</f>
        <v>587</v>
      </c>
      <c r="B588" s="11" t="n">
        <f aca="false">B587+1</f>
        <v>45513</v>
      </c>
      <c r="C588" s="10" t="n">
        <f aca="false">YEAR(B588)</f>
        <v>2024</v>
      </c>
      <c r="D588" s="10" t="n">
        <f aca="false">INT((MONTH(B588)-1)/3)+1</f>
        <v>3</v>
      </c>
      <c r="E588" s="10" t="n">
        <f aca="false">MONTH(B588)</f>
        <v>8</v>
      </c>
      <c r="F588" s="10" t="str">
        <f aca="false">CHOOSE(MOD(A588-1,5)+1,"Центр","Юг","Север","Запад","Восток")</f>
        <v>Юг</v>
      </c>
      <c r="G588" s="10" t="str">
        <f aca="false">"Округ_"&amp;(MOD(A588-1,5)+1)&amp;"_"&amp;(MOD(INT((A588-1)/5),5)+1)</f>
        <v>Округ_2_3</v>
      </c>
      <c r="H588" s="10" t="str">
        <f aca="false">"Город_"&amp;(MOD(A588-1,5)+1)&amp;"_"&amp;(MOD(INT((A588-1)/5),5)+1)&amp;"_"&amp;(MOD(INT((A588-1)/25),10)+1)</f>
        <v>Город_2_3_4</v>
      </c>
      <c r="I588" s="10" t="str">
        <f aca="false">CHOOSE(MOD(A588-1,4)+1,"Электроника","Одежда","Продукты","Мебель")</f>
        <v>Продукты</v>
      </c>
      <c r="J588" s="10" t="str">
        <f aca="false">CHOOSE(MOD(INT((A588-1)/4),4)+1,CHOOSE(MOD(A588-1,4)+1,"Смартфоны","Ноутбуки","Аксессуары","Аудио"),CHOOSE(MOD(A588-1,4)+1,"Верхняя одежда","Спортивная","Повседневная","Обувь"),CHOOSE(MOD(A588-1,4)+1,"Молочные","Мясные","Бакалея","Напитки"),CHOOSE(MOD(A588-1,4)+1,"Мягкая мебель","Корпусная","Офисная","Кухонная"))</f>
        <v>Бакалея</v>
      </c>
      <c r="K588" s="12" t="n">
        <f aca="false">1000+MOD(A588*317+A588*A588*7,49001)</f>
        <v>2009</v>
      </c>
      <c r="L588" s="12" t="n">
        <f aca="false">1+MOD(A588*131,100)</f>
        <v>98</v>
      </c>
      <c r="M588" s="12" t="n">
        <f aca="false">INT(K588*(0.6+MOD(A588*43,21)/100))</f>
        <v>1607</v>
      </c>
      <c r="N588" s="12" t="n">
        <f aca="false">K588-M588</f>
        <v>402</v>
      </c>
    </row>
    <row r="589" customFormat="false" ht="12.8" hidden="false" customHeight="false" outlineLevel="0" collapsed="false">
      <c r="A589" s="10" t="n">
        <f aca="false">A588+1</f>
        <v>588</v>
      </c>
      <c r="B589" s="11" t="n">
        <f aca="false">B588+1</f>
        <v>45514</v>
      </c>
      <c r="C589" s="10" t="n">
        <f aca="false">YEAR(B589)</f>
        <v>2024</v>
      </c>
      <c r="D589" s="10" t="n">
        <f aca="false">INT((MONTH(B589)-1)/3)+1</f>
        <v>3</v>
      </c>
      <c r="E589" s="10" t="n">
        <f aca="false">MONTH(B589)</f>
        <v>8</v>
      </c>
      <c r="F589" s="10" t="str">
        <f aca="false">CHOOSE(MOD(A589-1,5)+1,"Центр","Юг","Север","Запад","Восток")</f>
        <v>Север</v>
      </c>
      <c r="G589" s="10" t="str">
        <f aca="false">"Округ_"&amp;(MOD(A589-1,5)+1)&amp;"_"&amp;(MOD(INT((A589-1)/5),5)+1)</f>
        <v>Округ_3_3</v>
      </c>
      <c r="H589" s="10" t="str">
        <f aca="false">"Город_"&amp;(MOD(A589-1,5)+1)&amp;"_"&amp;(MOD(INT((A589-1)/5),5)+1)&amp;"_"&amp;(MOD(INT((A589-1)/25),10)+1)</f>
        <v>Город_3_3_4</v>
      </c>
      <c r="I589" s="10" t="str">
        <f aca="false">CHOOSE(MOD(A589-1,4)+1,"Электроника","Одежда","Продукты","Мебель")</f>
        <v>Мебель</v>
      </c>
      <c r="J589" s="10" t="str">
        <f aca="false">CHOOSE(MOD(INT((A589-1)/4),4)+1,CHOOSE(MOD(A589-1,4)+1,"Смартфоны","Ноутбуки","Аксессуары","Аудио"),CHOOSE(MOD(A589-1,4)+1,"Верхняя одежда","Спортивная","Повседневная","Обувь"),CHOOSE(MOD(A589-1,4)+1,"Молочные","Мясные","Бакалея","Напитки"),CHOOSE(MOD(A589-1,4)+1,"Мягкая мебель","Корпусная","Офисная","Кухонная"))</f>
        <v>Напитки</v>
      </c>
      <c r="K589" s="12" t="n">
        <f aca="false">1000+MOD(A589*317+A589*A589*7,49001)</f>
        <v>10551</v>
      </c>
      <c r="L589" s="12" t="n">
        <f aca="false">1+MOD(A589*131,100)</f>
        <v>29</v>
      </c>
      <c r="M589" s="12" t="n">
        <f aca="false">INT(K589*(0.6+MOD(A589*43,21)/100))</f>
        <v>6330</v>
      </c>
      <c r="N589" s="12" t="n">
        <f aca="false">K589-M589</f>
        <v>4221</v>
      </c>
    </row>
    <row r="590" customFormat="false" ht="12.8" hidden="false" customHeight="false" outlineLevel="0" collapsed="false">
      <c r="A590" s="10" t="n">
        <f aca="false">A589+1</f>
        <v>589</v>
      </c>
      <c r="B590" s="11" t="n">
        <f aca="false">B589+1</f>
        <v>45515</v>
      </c>
      <c r="C590" s="10" t="n">
        <f aca="false">YEAR(B590)</f>
        <v>2024</v>
      </c>
      <c r="D590" s="10" t="n">
        <f aca="false">INT((MONTH(B590)-1)/3)+1</f>
        <v>3</v>
      </c>
      <c r="E590" s="10" t="n">
        <f aca="false">MONTH(B590)</f>
        <v>8</v>
      </c>
      <c r="F590" s="10" t="str">
        <f aca="false">CHOOSE(MOD(A590-1,5)+1,"Центр","Юг","Север","Запад","Восток")</f>
        <v>Запад</v>
      </c>
      <c r="G590" s="10" t="str">
        <f aca="false">"Округ_"&amp;(MOD(A590-1,5)+1)&amp;"_"&amp;(MOD(INT((A590-1)/5),5)+1)</f>
        <v>Округ_4_3</v>
      </c>
      <c r="H590" s="10" t="str">
        <f aca="false">"Город_"&amp;(MOD(A590-1,5)+1)&amp;"_"&amp;(MOD(INT((A590-1)/5),5)+1)&amp;"_"&amp;(MOD(INT((A590-1)/25),10)+1)</f>
        <v>Город_4_3_4</v>
      </c>
      <c r="I590" s="10" t="str">
        <f aca="false">CHOOSE(MOD(A590-1,4)+1,"Электроника","Одежда","Продукты","Мебель")</f>
        <v>Электроника</v>
      </c>
      <c r="J590" s="10" t="str">
        <f aca="false">CHOOSE(MOD(INT((A590-1)/4),4)+1,CHOOSE(MOD(A590-1,4)+1,"Смартфоны","Ноутбуки","Аксессуары","Аудио"),CHOOSE(MOD(A590-1,4)+1,"Верхняя одежда","Спортивная","Повседневная","Обувь"),CHOOSE(MOD(A590-1,4)+1,"Молочные","Мясные","Бакалея","Напитки"),CHOOSE(MOD(A590-1,4)+1,"Мягкая мебель","Корпусная","Офисная","Кухонная"))</f>
        <v>Мягкая мебель</v>
      </c>
      <c r="K590" s="12" t="n">
        <f aca="false">1000+MOD(A590*317+A590*A590*7,49001)</f>
        <v>19107</v>
      </c>
      <c r="L590" s="12" t="n">
        <f aca="false">1+MOD(A590*131,100)</f>
        <v>60</v>
      </c>
      <c r="M590" s="12" t="n">
        <f aca="false">INT(K590*(0.6+MOD(A590*43,21)/100))</f>
        <v>11655</v>
      </c>
      <c r="N590" s="12" t="n">
        <f aca="false">K590-M590</f>
        <v>7452</v>
      </c>
    </row>
    <row r="591" customFormat="false" ht="12.8" hidden="false" customHeight="false" outlineLevel="0" collapsed="false">
      <c r="A591" s="10" t="n">
        <f aca="false">A590+1</f>
        <v>590</v>
      </c>
      <c r="B591" s="11" t="n">
        <f aca="false">B590+1</f>
        <v>45516</v>
      </c>
      <c r="C591" s="10" t="n">
        <f aca="false">YEAR(B591)</f>
        <v>2024</v>
      </c>
      <c r="D591" s="10" t="n">
        <f aca="false">INT((MONTH(B591)-1)/3)+1</f>
        <v>3</v>
      </c>
      <c r="E591" s="10" t="n">
        <f aca="false">MONTH(B591)</f>
        <v>8</v>
      </c>
      <c r="F591" s="10" t="str">
        <f aca="false">CHOOSE(MOD(A591-1,5)+1,"Центр","Юг","Север","Запад","Восток")</f>
        <v>Восток</v>
      </c>
      <c r="G591" s="10" t="str">
        <f aca="false">"Округ_"&amp;(MOD(A591-1,5)+1)&amp;"_"&amp;(MOD(INT((A591-1)/5),5)+1)</f>
        <v>Округ_5_3</v>
      </c>
      <c r="H591" s="10" t="str">
        <f aca="false">"Город_"&amp;(MOD(A591-1,5)+1)&amp;"_"&amp;(MOD(INT((A591-1)/5),5)+1)&amp;"_"&amp;(MOD(INT((A591-1)/25),10)+1)</f>
        <v>Город_5_3_4</v>
      </c>
      <c r="I591" s="10" t="str">
        <f aca="false">CHOOSE(MOD(A591-1,4)+1,"Электроника","Одежда","Продукты","Мебель")</f>
        <v>Одежда</v>
      </c>
      <c r="J591" s="10" t="str">
        <f aca="false">CHOOSE(MOD(INT((A591-1)/4),4)+1,CHOOSE(MOD(A591-1,4)+1,"Смартфоны","Ноутбуки","Аксессуары","Аудио"),CHOOSE(MOD(A591-1,4)+1,"Верхняя одежда","Спортивная","Повседневная","Обувь"),CHOOSE(MOD(A591-1,4)+1,"Молочные","Мясные","Бакалея","Напитки"),CHOOSE(MOD(A591-1,4)+1,"Мягкая мебель","Корпусная","Офисная","Кухонная"))</f>
        <v>Корпусная</v>
      </c>
      <c r="K591" s="12" t="n">
        <f aca="false">1000+MOD(A591*317+A591*A591*7,49001)</f>
        <v>27677</v>
      </c>
      <c r="L591" s="12" t="n">
        <f aca="false">1+MOD(A591*131,100)</f>
        <v>91</v>
      </c>
      <c r="M591" s="12" t="n">
        <f aca="false">INT(K591*(0.6+MOD(A591*43,21)/100))</f>
        <v>17159</v>
      </c>
      <c r="N591" s="12" t="n">
        <f aca="false">K591-M591</f>
        <v>10518</v>
      </c>
    </row>
    <row r="592" customFormat="false" ht="12.8" hidden="false" customHeight="false" outlineLevel="0" collapsed="false">
      <c r="A592" s="10" t="n">
        <f aca="false">A591+1</f>
        <v>591</v>
      </c>
      <c r="B592" s="11" t="n">
        <f aca="false">B591+1</f>
        <v>45517</v>
      </c>
      <c r="C592" s="10" t="n">
        <f aca="false">YEAR(B592)</f>
        <v>2024</v>
      </c>
      <c r="D592" s="10" t="n">
        <f aca="false">INT((MONTH(B592)-1)/3)+1</f>
        <v>3</v>
      </c>
      <c r="E592" s="10" t="n">
        <f aca="false">MONTH(B592)</f>
        <v>8</v>
      </c>
      <c r="F592" s="10" t="str">
        <f aca="false">CHOOSE(MOD(A592-1,5)+1,"Центр","Юг","Север","Запад","Восток")</f>
        <v>Центр</v>
      </c>
      <c r="G592" s="10" t="str">
        <f aca="false">"Округ_"&amp;(MOD(A592-1,5)+1)&amp;"_"&amp;(MOD(INT((A592-1)/5),5)+1)</f>
        <v>Округ_1_4</v>
      </c>
      <c r="H592" s="10" t="str">
        <f aca="false">"Город_"&amp;(MOD(A592-1,5)+1)&amp;"_"&amp;(MOD(INT((A592-1)/5),5)+1)&amp;"_"&amp;(MOD(INT((A592-1)/25),10)+1)</f>
        <v>Город_1_4_4</v>
      </c>
      <c r="I592" s="10" t="str">
        <f aca="false">CHOOSE(MOD(A592-1,4)+1,"Электроника","Одежда","Продукты","Мебель")</f>
        <v>Продукты</v>
      </c>
      <c r="J592" s="10" t="str">
        <f aca="false">CHOOSE(MOD(INT((A592-1)/4),4)+1,CHOOSE(MOD(A592-1,4)+1,"Смартфоны","Ноутбуки","Аксессуары","Аудио"),CHOOSE(MOD(A592-1,4)+1,"Верхняя одежда","Спортивная","Повседневная","Обувь"),CHOOSE(MOD(A592-1,4)+1,"Молочные","Мясные","Бакалея","Напитки"),CHOOSE(MOD(A592-1,4)+1,"Мягкая мебель","Корпусная","Офисная","Кухонная"))</f>
        <v>Офисная</v>
      </c>
      <c r="K592" s="12" t="n">
        <f aca="false">1000+MOD(A592*317+A592*A592*7,49001)</f>
        <v>36261</v>
      </c>
      <c r="L592" s="12" t="n">
        <f aca="false">1+MOD(A592*131,100)</f>
        <v>22</v>
      </c>
      <c r="M592" s="12" t="n">
        <f aca="false">INT(K592*(0.6+MOD(A592*43,21)/100))</f>
        <v>22844</v>
      </c>
      <c r="N592" s="12" t="n">
        <f aca="false">K592-M592</f>
        <v>13417</v>
      </c>
    </row>
    <row r="593" customFormat="false" ht="12.8" hidden="false" customHeight="false" outlineLevel="0" collapsed="false">
      <c r="A593" s="10" t="n">
        <f aca="false">A592+1</f>
        <v>592</v>
      </c>
      <c r="B593" s="11" t="n">
        <f aca="false">B592+1</f>
        <v>45518</v>
      </c>
      <c r="C593" s="10" t="n">
        <f aca="false">YEAR(B593)</f>
        <v>2024</v>
      </c>
      <c r="D593" s="10" t="n">
        <f aca="false">INT((MONTH(B593)-1)/3)+1</f>
        <v>3</v>
      </c>
      <c r="E593" s="10" t="n">
        <f aca="false">MONTH(B593)</f>
        <v>8</v>
      </c>
      <c r="F593" s="10" t="str">
        <f aca="false">CHOOSE(MOD(A593-1,5)+1,"Центр","Юг","Север","Запад","Восток")</f>
        <v>Юг</v>
      </c>
      <c r="G593" s="10" t="str">
        <f aca="false">"Округ_"&amp;(MOD(A593-1,5)+1)&amp;"_"&amp;(MOD(INT((A593-1)/5),5)+1)</f>
        <v>Округ_2_4</v>
      </c>
      <c r="H593" s="10" t="str">
        <f aca="false">"Город_"&amp;(MOD(A593-1,5)+1)&amp;"_"&amp;(MOD(INT((A593-1)/5),5)+1)&amp;"_"&amp;(MOD(INT((A593-1)/25),10)+1)</f>
        <v>Город_2_4_4</v>
      </c>
      <c r="I593" s="10" t="str">
        <f aca="false">CHOOSE(MOD(A593-1,4)+1,"Электроника","Одежда","Продукты","Мебель")</f>
        <v>Мебель</v>
      </c>
      <c r="J593" s="10" t="str">
        <f aca="false">CHOOSE(MOD(INT((A593-1)/4),4)+1,CHOOSE(MOD(A593-1,4)+1,"Смартфоны","Ноутбуки","Аксессуары","Аудио"),CHOOSE(MOD(A593-1,4)+1,"Верхняя одежда","Спортивная","Повседневная","Обувь"),CHOOSE(MOD(A593-1,4)+1,"Молочные","Мясные","Бакалея","Напитки"),CHOOSE(MOD(A593-1,4)+1,"Мягкая мебель","Корпусная","Офисная","Кухонная"))</f>
        <v>Кухонная</v>
      </c>
      <c r="K593" s="12" t="n">
        <f aca="false">1000+MOD(A593*317+A593*A593*7,49001)</f>
        <v>44859</v>
      </c>
      <c r="L593" s="12" t="n">
        <f aca="false">1+MOD(A593*131,100)</f>
        <v>53</v>
      </c>
      <c r="M593" s="12" t="n">
        <f aca="false">INT(K593*(0.6+MOD(A593*43,21)/100))</f>
        <v>28709</v>
      </c>
      <c r="N593" s="12" t="n">
        <f aca="false">K593-M593</f>
        <v>16150</v>
      </c>
    </row>
    <row r="594" customFormat="false" ht="12.8" hidden="false" customHeight="false" outlineLevel="0" collapsed="false">
      <c r="A594" s="10" t="n">
        <f aca="false">A593+1</f>
        <v>593</v>
      </c>
      <c r="B594" s="11" t="n">
        <f aca="false">B593+1</f>
        <v>45519</v>
      </c>
      <c r="C594" s="10" t="n">
        <f aca="false">YEAR(B594)</f>
        <v>2024</v>
      </c>
      <c r="D594" s="10" t="n">
        <f aca="false">INT((MONTH(B594)-1)/3)+1</f>
        <v>3</v>
      </c>
      <c r="E594" s="10" t="n">
        <f aca="false">MONTH(B594)</f>
        <v>8</v>
      </c>
      <c r="F594" s="10" t="str">
        <f aca="false">CHOOSE(MOD(A594-1,5)+1,"Центр","Юг","Север","Запад","Восток")</f>
        <v>Север</v>
      </c>
      <c r="G594" s="10" t="str">
        <f aca="false">"Округ_"&amp;(MOD(A594-1,5)+1)&amp;"_"&amp;(MOD(INT((A594-1)/5),5)+1)</f>
        <v>Округ_3_4</v>
      </c>
      <c r="H594" s="10" t="str">
        <f aca="false">"Город_"&amp;(MOD(A594-1,5)+1)&amp;"_"&amp;(MOD(INT((A594-1)/5),5)+1)&amp;"_"&amp;(MOD(INT((A594-1)/25),10)+1)</f>
        <v>Город_3_4_4</v>
      </c>
      <c r="I594" s="10" t="str">
        <f aca="false">CHOOSE(MOD(A594-1,4)+1,"Электроника","Одежда","Продукты","Мебель")</f>
        <v>Электроника</v>
      </c>
      <c r="J594" s="10" t="str">
        <f aca="false">CHOOSE(MOD(INT((A594-1)/4),4)+1,CHOOSE(MOD(A594-1,4)+1,"Смартфоны","Ноутбуки","Аксессуары","Аудио"),CHOOSE(MOD(A594-1,4)+1,"Верхняя одежда","Спортивная","Повседневная","Обувь"),CHOOSE(MOD(A594-1,4)+1,"Молочные","Мясные","Бакалея","Напитки"),CHOOSE(MOD(A594-1,4)+1,"Мягкая мебель","Корпусная","Офисная","Кухонная"))</f>
        <v>Смартфоны</v>
      </c>
      <c r="K594" s="12" t="n">
        <f aca="false">1000+MOD(A594*317+A594*A594*7,49001)</f>
        <v>4470</v>
      </c>
      <c r="L594" s="12" t="n">
        <f aca="false">1+MOD(A594*131,100)</f>
        <v>84</v>
      </c>
      <c r="M594" s="12" t="n">
        <f aca="false">INT(K594*(0.6+MOD(A594*43,21)/100))</f>
        <v>2905</v>
      </c>
      <c r="N594" s="12" t="n">
        <f aca="false">K594-M594</f>
        <v>1565</v>
      </c>
    </row>
    <row r="595" customFormat="false" ht="12.8" hidden="false" customHeight="false" outlineLevel="0" collapsed="false">
      <c r="A595" s="10" t="n">
        <f aca="false">A594+1</f>
        <v>594</v>
      </c>
      <c r="B595" s="11" t="n">
        <f aca="false">B594+1</f>
        <v>45520</v>
      </c>
      <c r="C595" s="10" t="n">
        <f aca="false">YEAR(B595)</f>
        <v>2024</v>
      </c>
      <c r="D595" s="10" t="n">
        <f aca="false">INT((MONTH(B595)-1)/3)+1</f>
        <v>3</v>
      </c>
      <c r="E595" s="10" t="n">
        <f aca="false">MONTH(B595)</f>
        <v>8</v>
      </c>
      <c r="F595" s="10" t="str">
        <f aca="false">CHOOSE(MOD(A595-1,5)+1,"Центр","Юг","Север","Запад","Восток")</f>
        <v>Запад</v>
      </c>
      <c r="G595" s="10" t="str">
        <f aca="false">"Округ_"&amp;(MOD(A595-1,5)+1)&amp;"_"&amp;(MOD(INT((A595-1)/5),5)+1)</f>
        <v>Округ_4_4</v>
      </c>
      <c r="H595" s="10" t="str">
        <f aca="false">"Город_"&amp;(MOD(A595-1,5)+1)&amp;"_"&amp;(MOD(INT((A595-1)/5),5)+1)&amp;"_"&amp;(MOD(INT((A595-1)/25),10)+1)</f>
        <v>Город_4_4_4</v>
      </c>
      <c r="I595" s="10" t="str">
        <f aca="false">CHOOSE(MOD(A595-1,4)+1,"Электроника","Одежда","Продукты","Мебель")</f>
        <v>Одежда</v>
      </c>
      <c r="J595" s="10" t="str">
        <f aca="false">CHOOSE(MOD(INT((A595-1)/4),4)+1,CHOOSE(MOD(A595-1,4)+1,"Смартфоны","Ноутбуки","Аксессуары","Аудио"),CHOOSE(MOD(A595-1,4)+1,"Верхняя одежда","Спортивная","Повседневная","Обувь"),CHOOSE(MOD(A595-1,4)+1,"Молочные","Мясные","Бакалея","Напитки"),CHOOSE(MOD(A595-1,4)+1,"Мягкая мебель","Корпусная","Офисная","Кухонная"))</f>
        <v>Ноутбуки</v>
      </c>
      <c r="K595" s="12" t="n">
        <f aca="false">1000+MOD(A595*317+A595*A595*7,49001)</f>
        <v>13096</v>
      </c>
      <c r="L595" s="12" t="n">
        <f aca="false">1+MOD(A595*131,100)</f>
        <v>15</v>
      </c>
      <c r="M595" s="12" t="n">
        <f aca="false">INT(K595*(0.6+MOD(A595*43,21)/100))</f>
        <v>8643</v>
      </c>
      <c r="N595" s="12" t="n">
        <f aca="false">K595-M595</f>
        <v>4453</v>
      </c>
    </row>
    <row r="596" customFormat="false" ht="12.8" hidden="false" customHeight="false" outlineLevel="0" collapsed="false">
      <c r="A596" s="10" t="n">
        <f aca="false">A595+1</f>
        <v>595</v>
      </c>
      <c r="B596" s="11" t="n">
        <f aca="false">B595+1</f>
        <v>45521</v>
      </c>
      <c r="C596" s="10" t="n">
        <f aca="false">YEAR(B596)</f>
        <v>2024</v>
      </c>
      <c r="D596" s="10" t="n">
        <f aca="false">INT((MONTH(B596)-1)/3)+1</f>
        <v>3</v>
      </c>
      <c r="E596" s="10" t="n">
        <f aca="false">MONTH(B596)</f>
        <v>8</v>
      </c>
      <c r="F596" s="10" t="str">
        <f aca="false">CHOOSE(MOD(A596-1,5)+1,"Центр","Юг","Север","Запад","Восток")</f>
        <v>Восток</v>
      </c>
      <c r="G596" s="10" t="str">
        <f aca="false">"Округ_"&amp;(MOD(A596-1,5)+1)&amp;"_"&amp;(MOD(INT((A596-1)/5),5)+1)</f>
        <v>Округ_5_4</v>
      </c>
      <c r="H596" s="10" t="str">
        <f aca="false">"Город_"&amp;(MOD(A596-1,5)+1)&amp;"_"&amp;(MOD(INT((A596-1)/5),5)+1)&amp;"_"&amp;(MOD(INT((A596-1)/25),10)+1)</f>
        <v>Город_5_4_4</v>
      </c>
      <c r="I596" s="10" t="str">
        <f aca="false">CHOOSE(MOD(A596-1,4)+1,"Электроника","Одежда","Продукты","Мебель")</f>
        <v>Продукты</v>
      </c>
      <c r="J596" s="10" t="str">
        <f aca="false">CHOOSE(MOD(INT((A596-1)/4),4)+1,CHOOSE(MOD(A596-1,4)+1,"Смартфоны","Ноутбуки","Аксессуары","Аудио"),CHOOSE(MOD(A596-1,4)+1,"Верхняя одежда","Спортивная","Повседневная","Обувь"),CHOOSE(MOD(A596-1,4)+1,"Молочные","Мясные","Бакалея","Напитки"),CHOOSE(MOD(A596-1,4)+1,"Мягкая мебель","Корпусная","Офисная","Кухонная"))</f>
        <v>Аксессуары</v>
      </c>
      <c r="K596" s="12" t="n">
        <f aca="false">1000+MOD(A596*317+A596*A596*7,49001)</f>
        <v>21736</v>
      </c>
      <c r="L596" s="12" t="n">
        <f aca="false">1+MOD(A596*131,100)</f>
        <v>46</v>
      </c>
      <c r="M596" s="12" t="n">
        <f aca="false">INT(K596*(0.6+MOD(A596*43,21)/100))</f>
        <v>14563</v>
      </c>
      <c r="N596" s="12" t="n">
        <f aca="false">K596-M596</f>
        <v>7173</v>
      </c>
    </row>
    <row r="597" customFormat="false" ht="12.8" hidden="false" customHeight="false" outlineLevel="0" collapsed="false">
      <c r="A597" s="10" t="n">
        <f aca="false">A596+1</f>
        <v>596</v>
      </c>
      <c r="B597" s="11" t="n">
        <f aca="false">B596+1</f>
        <v>45522</v>
      </c>
      <c r="C597" s="10" t="n">
        <f aca="false">YEAR(B597)</f>
        <v>2024</v>
      </c>
      <c r="D597" s="10" t="n">
        <f aca="false">INT((MONTH(B597)-1)/3)+1</f>
        <v>3</v>
      </c>
      <c r="E597" s="10" t="n">
        <f aca="false">MONTH(B597)</f>
        <v>8</v>
      </c>
      <c r="F597" s="10" t="str">
        <f aca="false">CHOOSE(MOD(A597-1,5)+1,"Центр","Юг","Север","Запад","Восток")</f>
        <v>Центр</v>
      </c>
      <c r="G597" s="10" t="str">
        <f aca="false">"Округ_"&amp;(MOD(A597-1,5)+1)&amp;"_"&amp;(MOD(INT((A597-1)/5),5)+1)</f>
        <v>Округ_1_5</v>
      </c>
      <c r="H597" s="10" t="str">
        <f aca="false">"Город_"&amp;(MOD(A597-1,5)+1)&amp;"_"&amp;(MOD(INT((A597-1)/5),5)+1)&amp;"_"&amp;(MOD(INT((A597-1)/25),10)+1)</f>
        <v>Город_1_5_4</v>
      </c>
      <c r="I597" s="10" t="str">
        <f aca="false">CHOOSE(MOD(A597-1,4)+1,"Электроника","Одежда","Продукты","Мебель")</f>
        <v>Мебель</v>
      </c>
      <c r="J597" s="10" t="str">
        <f aca="false">CHOOSE(MOD(INT((A597-1)/4),4)+1,CHOOSE(MOD(A597-1,4)+1,"Смартфоны","Ноутбуки","Аксессуары","Аудио"),CHOOSE(MOD(A597-1,4)+1,"Верхняя одежда","Спортивная","Повседневная","Обувь"),CHOOSE(MOD(A597-1,4)+1,"Молочные","Мясные","Бакалея","Напитки"),CHOOSE(MOD(A597-1,4)+1,"Мягкая мебель","Корпусная","Офисная","Кухонная"))</f>
        <v>Аудио</v>
      </c>
      <c r="K597" s="12" t="n">
        <f aca="false">1000+MOD(A597*317+A597*A597*7,49001)</f>
        <v>30390</v>
      </c>
      <c r="L597" s="12" t="n">
        <f aca="false">1+MOD(A597*131,100)</f>
        <v>77</v>
      </c>
      <c r="M597" s="12" t="n">
        <f aca="false">INT(K597*(0.6+MOD(A597*43,21)/100))</f>
        <v>20665</v>
      </c>
      <c r="N597" s="12" t="n">
        <f aca="false">K597-M597</f>
        <v>9725</v>
      </c>
    </row>
    <row r="598" customFormat="false" ht="12.8" hidden="false" customHeight="false" outlineLevel="0" collapsed="false">
      <c r="A598" s="10" t="n">
        <f aca="false">A597+1</f>
        <v>597</v>
      </c>
      <c r="B598" s="11" t="n">
        <f aca="false">B597+1</f>
        <v>45523</v>
      </c>
      <c r="C598" s="10" t="n">
        <f aca="false">YEAR(B598)</f>
        <v>2024</v>
      </c>
      <c r="D598" s="10" t="n">
        <f aca="false">INT((MONTH(B598)-1)/3)+1</f>
        <v>3</v>
      </c>
      <c r="E598" s="10" t="n">
        <f aca="false">MONTH(B598)</f>
        <v>8</v>
      </c>
      <c r="F598" s="10" t="str">
        <f aca="false">CHOOSE(MOD(A598-1,5)+1,"Центр","Юг","Север","Запад","Восток")</f>
        <v>Юг</v>
      </c>
      <c r="G598" s="10" t="str">
        <f aca="false">"Округ_"&amp;(MOD(A598-1,5)+1)&amp;"_"&amp;(MOD(INT((A598-1)/5),5)+1)</f>
        <v>Округ_2_5</v>
      </c>
      <c r="H598" s="10" t="str">
        <f aca="false">"Город_"&amp;(MOD(A598-1,5)+1)&amp;"_"&amp;(MOD(INT((A598-1)/5),5)+1)&amp;"_"&amp;(MOD(INT((A598-1)/25),10)+1)</f>
        <v>Город_2_5_4</v>
      </c>
      <c r="I598" s="10" t="str">
        <f aca="false">CHOOSE(MOD(A598-1,4)+1,"Электроника","Одежда","Продукты","Мебель")</f>
        <v>Электроника</v>
      </c>
      <c r="J598" s="10" t="str">
        <f aca="false">CHOOSE(MOD(INT((A598-1)/4),4)+1,CHOOSE(MOD(A598-1,4)+1,"Смартфоны","Ноутбуки","Аксессуары","Аудио"),CHOOSE(MOD(A598-1,4)+1,"Верхняя одежда","Спортивная","Повседневная","Обувь"),CHOOSE(MOD(A598-1,4)+1,"Молочные","Мясные","Бакалея","Напитки"),CHOOSE(MOD(A598-1,4)+1,"Мягкая мебель","Корпусная","Офисная","Кухонная"))</f>
        <v>Верхняя одежда</v>
      </c>
      <c r="K598" s="12" t="n">
        <f aca="false">1000+MOD(A598*317+A598*A598*7,49001)</f>
        <v>39058</v>
      </c>
      <c r="L598" s="12" t="n">
        <f aca="false">1+MOD(A598*131,100)</f>
        <v>8</v>
      </c>
      <c r="M598" s="12" t="n">
        <f aca="false">INT(K598*(0.6+MOD(A598*43,21)/100))</f>
        <v>26950</v>
      </c>
      <c r="N598" s="12" t="n">
        <f aca="false">K598-M598</f>
        <v>12108</v>
      </c>
    </row>
    <row r="599" customFormat="false" ht="12.8" hidden="false" customHeight="false" outlineLevel="0" collapsed="false">
      <c r="A599" s="10" t="n">
        <f aca="false">A598+1</f>
        <v>598</v>
      </c>
      <c r="B599" s="11" t="n">
        <f aca="false">B598+1</f>
        <v>45524</v>
      </c>
      <c r="C599" s="10" t="n">
        <f aca="false">YEAR(B599)</f>
        <v>2024</v>
      </c>
      <c r="D599" s="10" t="n">
        <f aca="false">INT((MONTH(B599)-1)/3)+1</f>
        <v>3</v>
      </c>
      <c r="E599" s="10" t="n">
        <f aca="false">MONTH(B599)</f>
        <v>8</v>
      </c>
      <c r="F599" s="10" t="str">
        <f aca="false">CHOOSE(MOD(A599-1,5)+1,"Центр","Юг","Север","Запад","Восток")</f>
        <v>Север</v>
      </c>
      <c r="G599" s="10" t="str">
        <f aca="false">"Округ_"&amp;(MOD(A599-1,5)+1)&amp;"_"&amp;(MOD(INT((A599-1)/5),5)+1)</f>
        <v>Округ_3_5</v>
      </c>
      <c r="H599" s="10" t="str">
        <f aca="false">"Город_"&amp;(MOD(A599-1,5)+1)&amp;"_"&amp;(MOD(INT((A599-1)/5),5)+1)&amp;"_"&amp;(MOD(INT((A599-1)/25),10)+1)</f>
        <v>Город_3_5_4</v>
      </c>
      <c r="I599" s="10" t="str">
        <f aca="false">CHOOSE(MOD(A599-1,4)+1,"Электроника","Одежда","Продукты","Мебель")</f>
        <v>Одежда</v>
      </c>
      <c r="J599" s="10" t="str">
        <f aca="false">CHOOSE(MOD(INT((A599-1)/4),4)+1,CHOOSE(MOD(A599-1,4)+1,"Смартфоны","Ноутбуки","Аксессуары","Аудио"),CHOOSE(MOD(A599-1,4)+1,"Верхняя одежда","Спортивная","Повседневная","Обувь"),CHOOSE(MOD(A599-1,4)+1,"Молочные","Мясные","Бакалея","Напитки"),CHOOSE(MOD(A599-1,4)+1,"Мягкая мебель","Корпусная","Офисная","Кухонная"))</f>
        <v>Спортивная</v>
      </c>
      <c r="K599" s="12" t="n">
        <f aca="false">1000+MOD(A599*317+A599*A599*7,49001)</f>
        <v>47740</v>
      </c>
      <c r="L599" s="12" t="n">
        <f aca="false">1+MOD(A599*131,100)</f>
        <v>39</v>
      </c>
      <c r="M599" s="12" t="n">
        <f aca="false">INT(K599*(0.6+MOD(A599*43,21)/100))</f>
        <v>33418</v>
      </c>
      <c r="N599" s="12" t="n">
        <f aca="false">K599-M599</f>
        <v>14322</v>
      </c>
    </row>
    <row r="600" customFormat="false" ht="12.8" hidden="false" customHeight="false" outlineLevel="0" collapsed="false">
      <c r="A600" s="10" t="n">
        <f aca="false">A599+1</f>
        <v>599</v>
      </c>
      <c r="B600" s="11" t="n">
        <f aca="false">B599+1</f>
        <v>45525</v>
      </c>
      <c r="C600" s="10" t="n">
        <f aca="false">YEAR(B600)</f>
        <v>2024</v>
      </c>
      <c r="D600" s="10" t="n">
        <f aca="false">INT((MONTH(B600)-1)/3)+1</f>
        <v>3</v>
      </c>
      <c r="E600" s="10" t="n">
        <f aca="false">MONTH(B600)</f>
        <v>8</v>
      </c>
      <c r="F600" s="10" t="str">
        <f aca="false">CHOOSE(MOD(A600-1,5)+1,"Центр","Юг","Север","Запад","Восток")</f>
        <v>Запад</v>
      </c>
      <c r="G600" s="10" t="str">
        <f aca="false">"Округ_"&amp;(MOD(A600-1,5)+1)&amp;"_"&amp;(MOD(INT((A600-1)/5),5)+1)</f>
        <v>Округ_4_5</v>
      </c>
      <c r="H600" s="10" t="str">
        <f aca="false">"Город_"&amp;(MOD(A600-1,5)+1)&amp;"_"&amp;(MOD(INT((A600-1)/5),5)+1)&amp;"_"&amp;(MOD(INT((A600-1)/25),10)+1)</f>
        <v>Город_4_5_4</v>
      </c>
      <c r="I600" s="10" t="str">
        <f aca="false">CHOOSE(MOD(A600-1,4)+1,"Электроника","Одежда","Продукты","Мебель")</f>
        <v>Продукты</v>
      </c>
      <c r="J600" s="10" t="str">
        <f aca="false">CHOOSE(MOD(INT((A600-1)/4),4)+1,CHOOSE(MOD(A600-1,4)+1,"Смартфоны","Ноутбуки","Аксессуары","Аудио"),CHOOSE(MOD(A600-1,4)+1,"Верхняя одежда","Спортивная","Повседневная","Обувь"),CHOOSE(MOD(A600-1,4)+1,"Молочные","Мясные","Бакалея","Напитки"),CHOOSE(MOD(A600-1,4)+1,"Мягкая мебель","Корпусная","Офисная","Кухонная"))</f>
        <v>Повседневная</v>
      </c>
      <c r="K600" s="12" t="n">
        <f aca="false">1000+MOD(A600*317+A600*A600*7,49001)</f>
        <v>7435</v>
      </c>
      <c r="L600" s="12" t="n">
        <f aca="false">1+MOD(A600*131,100)</f>
        <v>70</v>
      </c>
      <c r="M600" s="12" t="n">
        <f aca="false">INT(K600*(0.6+MOD(A600*43,21)/100))</f>
        <v>5278</v>
      </c>
      <c r="N600" s="12" t="n">
        <f aca="false">K600-M600</f>
        <v>2157</v>
      </c>
    </row>
    <row r="601" customFormat="false" ht="12.8" hidden="false" customHeight="false" outlineLevel="0" collapsed="false">
      <c r="A601" s="10" t="n">
        <f aca="false">A600+1</f>
        <v>600</v>
      </c>
      <c r="B601" s="11" t="n">
        <f aca="false">B600+1</f>
        <v>45526</v>
      </c>
      <c r="C601" s="10" t="n">
        <f aca="false">YEAR(B601)</f>
        <v>2024</v>
      </c>
      <c r="D601" s="10" t="n">
        <f aca="false">INT((MONTH(B601)-1)/3)+1</f>
        <v>3</v>
      </c>
      <c r="E601" s="10" t="n">
        <f aca="false">MONTH(B601)</f>
        <v>8</v>
      </c>
      <c r="F601" s="10" t="str">
        <f aca="false">CHOOSE(MOD(A601-1,5)+1,"Центр","Юг","Север","Запад","Восток")</f>
        <v>Восток</v>
      </c>
      <c r="G601" s="10" t="str">
        <f aca="false">"Округ_"&amp;(MOD(A601-1,5)+1)&amp;"_"&amp;(MOD(INT((A601-1)/5),5)+1)</f>
        <v>Округ_5_5</v>
      </c>
      <c r="H601" s="10" t="str">
        <f aca="false">"Город_"&amp;(MOD(A601-1,5)+1)&amp;"_"&amp;(MOD(INT((A601-1)/5),5)+1)&amp;"_"&amp;(MOD(INT((A601-1)/25),10)+1)</f>
        <v>Город_5_5_4</v>
      </c>
      <c r="I601" s="10" t="str">
        <f aca="false">CHOOSE(MOD(A601-1,4)+1,"Электроника","Одежда","Продукты","Мебель")</f>
        <v>Мебель</v>
      </c>
      <c r="J601" s="10" t="str">
        <f aca="false">CHOOSE(MOD(INT((A601-1)/4),4)+1,CHOOSE(MOD(A601-1,4)+1,"Смартфоны","Ноутбуки","Аксессуары","Аудио"),CHOOSE(MOD(A601-1,4)+1,"Верхняя одежда","Спортивная","Повседневная","Обувь"),CHOOSE(MOD(A601-1,4)+1,"Молочные","Мясные","Бакалея","Напитки"),CHOOSE(MOD(A601-1,4)+1,"Мягкая мебель","Корпусная","Офисная","Кухонная"))</f>
        <v>Обувь</v>
      </c>
      <c r="K601" s="12" t="n">
        <f aca="false">1000+MOD(A601*317+A601*A601*7,49001)</f>
        <v>16145</v>
      </c>
      <c r="L601" s="12" t="n">
        <f aca="false">1+MOD(A601*131,100)</f>
        <v>1</v>
      </c>
      <c r="M601" s="12" t="n">
        <f aca="false">INT(K601*(0.6+MOD(A601*43,21)/100))</f>
        <v>11624</v>
      </c>
      <c r="N601" s="12" t="n">
        <f aca="false">K601-M601</f>
        <v>4521</v>
      </c>
    </row>
    <row r="602" customFormat="false" ht="12.8" hidden="false" customHeight="false" outlineLevel="0" collapsed="false">
      <c r="A602" s="10" t="n">
        <f aca="false">A601+1</f>
        <v>601</v>
      </c>
      <c r="B602" s="11" t="n">
        <f aca="false">B601+1</f>
        <v>45527</v>
      </c>
      <c r="C602" s="10" t="n">
        <f aca="false">YEAR(B602)</f>
        <v>2024</v>
      </c>
      <c r="D602" s="10" t="n">
        <f aca="false">INT((MONTH(B602)-1)/3)+1</f>
        <v>3</v>
      </c>
      <c r="E602" s="10" t="n">
        <f aca="false">MONTH(B602)</f>
        <v>8</v>
      </c>
      <c r="F602" s="10" t="str">
        <f aca="false">CHOOSE(MOD(A602-1,5)+1,"Центр","Юг","Север","Запад","Восток")</f>
        <v>Центр</v>
      </c>
      <c r="G602" s="10" t="str">
        <f aca="false">"Округ_"&amp;(MOD(A602-1,5)+1)&amp;"_"&amp;(MOD(INT((A602-1)/5),5)+1)</f>
        <v>Округ_1_1</v>
      </c>
      <c r="H602" s="10" t="str">
        <f aca="false">"Город_"&amp;(MOD(A602-1,5)+1)&amp;"_"&amp;(MOD(INT((A602-1)/5),5)+1)&amp;"_"&amp;(MOD(INT((A602-1)/25),10)+1)</f>
        <v>Город_1_1_5</v>
      </c>
      <c r="I602" s="10" t="str">
        <f aca="false">CHOOSE(MOD(A602-1,4)+1,"Электроника","Одежда","Продукты","Мебель")</f>
        <v>Электроника</v>
      </c>
      <c r="J602" s="10" t="str">
        <f aca="false">CHOOSE(MOD(INT((A602-1)/4),4)+1,CHOOSE(MOD(A602-1,4)+1,"Смартфоны","Ноутбуки","Аксессуары","Аудио"),CHOOSE(MOD(A602-1,4)+1,"Верхняя одежда","Спортивная","Повседневная","Обувь"),CHOOSE(MOD(A602-1,4)+1,"Молочные","Мясные","Бакалея","Напитки"),CHOOSE(MOD(A602-1,4)+1,"Мягкая мебель","Корпусная","Офисная","Кухонная"))</f>
        <v>Молочные</v>
      </c>
      <c r="K602" s="12" t="n">
        <f aca="false">1000+MOD(A602*317+A602*A602*7,49001)</f>
        <v>24869</v>
      </c>
      <c r="L602" s="12" t="n">
        <f aca="false">1+MOD(A602*131,100)</f>
        <v>32</v>
      </c>
      <c r="M602" s="12" t="n">
        <f aca="false">INT(K602*(0.6+MOD(A602*43,21)/100))</f>
        <v>18154</v>
      </c>
      <c r="N602" s="12" t="n">
        <f aca="false">K602-M602</f>
        <v>6715</v>
      </c>
    </row>
    <row r="603" customFormat="false" ht="12.8" hidden="false" customHeight="false" outlineLevel="0" collapsed="false">
      <c r="A603" s="10" t="n">
        <f aca="false">A602+1</f>
        <v>602</v>
      </c>
      <c r="B603" s="11" t="n">
        <f aca="false">B602+1</f>
        <v>45528</v>
      </c>
      <c r="C603" s="10" t="n">
        <f aca="false">YEAR(B603)</f>
        <v>2024</v>
      </c>
      <c r="D603" s="10" t="n">
        <f aca="false">INT((MONTH(B603)-1)/3)+1</f>
        <v>3</v>
      </c>
      <c r="E603" s="10" t="n">
        <f aca="false">MONTH(B603)</f>
        <v>8</v>
      </c>
      <c r="F603" s="10" t="str">
        <f aca="false">CHOOSE(MOD(A603-1,5)+1,"Центр","Юг","Север","Запад","Восток")</f>
        <v>Юг</v>
      </c>
      <c r="G603" s="10" t="str">
        <f aca="false">"Округ_"&amp;(MOD(A603-1,5)+1)&amp;"_"&amp;(MOD(INT((A603-1)/5),5)+1)</f>
        <v>Округ_2_1</v>
      </c>
      <c r="H603" s="10" t="str">
        <f aca="false">"Город_"&amp;(MOD(A603-1,5)+1)&amp;"_"&amp;(MOD(INT((A603-1)/5),5)+1)&amp;"_"&amp;(MOD(INT((A603-1)/25),10)+1)</f>
        <v>Город_2_1_5</v>
      </c>
      <c r="I603" s="10" t="str">
        <f aca="false">CHOOSE(MOD(A603-1,4)+1,"Электроника","Одежда","Продукты","Мебель")</f>
        <v>Одежда</v>
      </c>
      <c r="J603" s="10" t="str">
        <f aca="false">CHOOSE(MOD(INT((A603-1)/4),4)+1,CHOOSE(MOD(A603-1,4)+1,"Смартфоны","Ноутбуки","Аксессуары","Аудио"),CHOOSE(MOD(A603-1,4)+1,"Верхняя одежда","Спортивная","Повседневная","Обувь"),CHOOSE(MOD(A603-1,4)+1,"Молочные","Мясные","Бакалея","Напитки"),CHOOSE(MOD(A603-1,4)+1,"Мягкая мебель","Корпусная","Офисная","Кухонная"))</f>
        <v>Мясные</v>
      </c>
      <c r="K603" s="12" t="n">
        <f aca="false">1000+MOD(A603*317+A603*A603*7,49001)</f>
        <v>33607</v>
      </c>
      <c r="L603" s="12" t="n">
        <f aca="false">1+MOD(A603*131,100)</f>
        <v>63</v>
      </c>
      <c r="M603" s="12" t="n">
        <f aca="false">INT(K603*(0.6+MOD(A603*43,21)/100))</f>
        <v>24869</v>
      </c>
      <c r="N603" s="12" t="n">
        <f aca="false">K603-M603</f>
        <v>8738</v>
      </c>
    </row>
    <row r="604" customFormat="false" ht="12.8" hidden="false" customHeight="false" outlineLevel="0" collapsed="false">
      <c r="A604" s="10" t="n">
        <f aca="false">A603+1</f>
        <v>603</v>
      </c>
      <c r="B604" s="11" t="n">
        <f aca="false">B603+1</f>
        <v>45529</v>
      </c>
      <c r="C604" s="10" t="n">
        <f aca="false">YEAR(B604)</f>
        <v>2024</v>
      </c>
      <c r="D604" s="10" t="n">
        <f aca="false">INT((MONTH(B604)-1)/3)+1</f>
        <v>3</v>
      </c>
      <c r="E604" s="10" t="n">
        <f aca="false">MONTH(B604)</f>
        <v>8</v>
      </c>
      <c r="F604" s="10" t="str">
        <f aca="false">CHOOSE(MOD(A604-1,5)+1,"Центр","Юг","Север","Запад","Восток")</f>
        <v>Север</v>
      </c>
      <c r="G604" s="10" t="str">
        <f aca="false">"Округ_"&amp;(MOD(A604-1,5)+1)&amp;"_"&amp;(MOD(INT((A604-1)/5),5)+1)</f>
        <v>Округ_3_1</v>
      </c>
      <c r="H604" s="10" t="str">
        <f aca="false">"Город_"&amp;(MOD(A604-1,5)+1)&amp;"_"&amp;(MOD(INT((A604-1)/5),5)+1)&amp;"_"&amp;(MOD(INT((A604-1)/25),10)+1)</f>
        <v>Город_3_1_5</v>
      </c>
      <c r="I604" s="10" t="str">
        <f aca="false">CHOOSE(MOD(A604-1,4)+1,"Электроника","Одежда","Продукты","Мебель")</f>
        <v>Продукты</v>
      </c>
      <c r="J604" s="10" t="str">
        <f aca="false">CHOOSE(MOD(INT((A604-1)/4),4)+1,CHOOSE(MOD(A604-1,4)+1,"Смартфоны","Ноутбуки","Аксессуары","Аудио"),CHOOSE(MOD(A604-1,4)+1,"Верхняя одежда","Спортивная","Повседневная","Обувь"),CHOOSE(MOD(A604-1,4)+1,"Молочные","Мясные","Бакалея","Напитки"),CHOOSE(MOD(A604-1,4)+1,"Мягкая мебель","Корпусная","Офисная","Кухонная"))</f>
        <v>Бакалея</v>
      </c>
      <c r="K604" s="12" t="n">
        <f aca="false">1000+MOD(A604*317+A604*A604*7,49001)</f>
        <v>42359</v>
      </c>
      <c r="L604" s="12" t="n">
        <f aca="false">1+MOD(A604*131,100)</f>
        <v>94</v>
      </c>
      <c r="M604" s="12" t="n">
        <f aca="false">INT(K604*(0.6+MOD(A604*43,21)/100))</f>
        <v>31769</v>
      </c>
      <c r="N604" s="12" t="n">
        <f aca="false">K604-M604</f>
        <v>10590</v>
      </c>
    </row>
    <row r="605" customFormat="false" ht="12.8" hidden="false" customHeight="false" outlineLevel="0" collapsed="false">
      <c r="A605" s="10" t="n">
        <f aca="false">A604+1</f>
        <v>604</v>
      </c>
      <c r="B605" s="11" t="n">
        <f aca="false">B604+1</f>
        <v>45530</v>
      </c>
      <c r="C605" s="10" t="n">
        <f aca="false">YEAR(B605)</f>
        <v>2024</v>
      </c>
      <c r="D605" s="10" t="n">
        <f aca="false">INT((MONTH(B605)-1)/3)+1</f>
        <v>3</v>
      </c>
      <c r="E605" s="10" t="n">
        <f aca="false">MONTH(B605)</f>
        <v>8</v>
      </c>
      <c r="F605" s="10" t="str">
        <f aca="false">CHOOSE(MOD(A605-1,5)+1,"Центр","Юг","Север","Запад","Восток")</f>
        <v>Запад</v>
      </c>
      <c r="G605" s="10" t="str">
        <f aca="false">"Округ_"&amp;(MOD(A605-1,5)+1)&amp;"_"&amp;(MOD(INT((A605-1)/5),5)+1)</f>
        <v>Округ_4_1</v>
      </c>
      <c r="H605" s="10" t="str">
        <f aca="false">"Город_"&amp;(MOD(A605-1,5)+1)&amp;"_"&amp;(MOD(INT((A605-1)/5),5)+1)&amp;"_"&amp;(MOD(INT((A605-1)/25),10)+1)</f>
        <v>Город_4_1_5</v>
      </c>
      <c r="I605" s="10" t="str">
        <f aca="false">CHOOSE(MOD(A605-1,4)+1,"Электроника","Одежда","Продукты","Мебель")</f>
        <v>Мебель</v>
      </c>
      <c r="J605" s="10" t="str">
        <f aca="false">CHOOSE(MOD(INT((A605-1)/4),4)+1,CHOOSE(MOD(A605-1,4)+1,"Смартфоны","Ноутбуки","Аксессуары","Аудио"),CHOOSE(MOD(A605-1,4)+1,"Верхняя одежда","Спортивная","Повседневная","Обувь"),CHOOSE(MOD(A605-1,4)+1,"Молочные","Мясные","Бакалея","Напитки"),CHOOSE(MOD(A605-1,4)+1,"Мягкая мебель","Корпусная","Офисная","Кухонная"))</f>
        <v>Напитки</v>
      </c>
      <c r="K605" s="12" t="n">
        <f aca="false">1000+MOD(A605*317+A605*A605*7,49001)</f>
        <v>2124</v>
      </c>
      <c r="L605" s="12" t="n">
        <f aca="false">1+MOD(A605*131,100)</f>
        <v>25</v>
      </c>
      <c r="M605" s="12" t="n">
        <f aca="false">INT(K605*(0.6+MOD(A605*43,21)/100))</f>
        <v>1614</v>
      </c>
      <c r="N605" s="12" t="n">
        <f aca="false">K605-M605</f>
        <v>510</v>
      </c>
    </row>
    <row r="606" customFormat="false" ht="12.8" hidden="false" customHeight="false" outlineLevel="0" collapsed="false">
      <c r="A606" s="10" t="n">
        <f aca="false">A605+1</f>
        <v>605</v>
      </c>
      <c r="B606" s="11" t="n">
        <f aca="false">B605+1</f>
        <v>45531</v>
      </c>
      <c r="C606" s="10" t="n">
        <f aca="false">YEAR(B606)</f>
        <v>2024</v>
      </c>
      <c r="D606" s="10" t="n">
        <f aca="false">INT((MONTH(B606)-1)/3)+1</f>
        <v>3</v>
      </c>
      <c r="E606" s="10" t="n">
        <f aca="false">MONTH(B606)</f>
        <v>8</v>
      </c>
      <c r="F606" s="10" t="str">
        <f aca="false">CHOOSE(MOD(A606-1,5)+1,"Центр","Юг","Север","Запад","Восток")</f>
        <v>Восток</v>
      </c>
      <c r="G606" s="10" t="str">
        <f aca="false">"Округ_"&amp;(MOD(A606-1,5)+1)&amp;"_"&amp;(MOD(INT((A606-1)/5),5)+1)</f>
        <v>Округ_5_1</v>
      </c>
      <c r="H606" s="10" t="str">
        <f aca="false">"Город_"&amp;(MOD(A606-1,5)+1)&amp;"_"&amp;(MOD(INT((A606-1)/5),5)+1)&amp;"_"&amp;(MOD(INT((A606-1)/25),10)+1)</f>
        <v>Город_5_1_5</v>
      </c>
      <c r="I606" s="10" t="str">
        <f aca="false">CHOOSE(MOD(A606-1,4)+1,"Электроника","Одежда","Продукты","Мебель")</f>
        <v>Электроника</v>
      </c>
      <c r="J606" s="10" t="str">
        <f aca="false">CHOOSE(MOD(INT((A606-1)/4),4)+1,CHOOSE(MOD(A606-1,4)+1,"Смартфоны","Ноутбуки","Аксессуары","Аудио"),CHOOSE(MOD(A606-1,4)+1,"Верхняя одежда","Спортивная","Повседневная","Обувь"),CHOOSE(MOD(A606-1,4)+1,"Молочные","Мясные","Бакалея","Напитки"),CHOOSE(MOD(A606-1,4)+1,"Мягкая мебель","Корпусная","Офисная","Кухонная"))</f>
        <v>Мягкая мебель</v>
      </c>
      <c r="K606" s="12" t="n">
        <f aca="false">1000+MOD(A606*317+A606*A606*7,49001)</f>
        <v>10904</v>
      </c>
      <c r="L606" s="12" t="n">
        <f aca="false">1+MOD(A606*131,100)</f>
        <v>56</v>
      </c>
      <c r="M606" s="12" t="n">
        <f aca="false">INT(K606*(0.6+MOD(A606*43,21)/100))</f>
        <v>8396</v>
      </c>
      <c r="N606" s="12" t="n">
        <f aca="false">K606-M606</f>
        <v>2508</v>
      </c>
    </row>
    <row r="607" customFormat="false" ht="12.8" hidden="false" customHeight="false" outlineLevel="0" collapsed="false">
      <c r="A607" s="10" t="n">
        <f aca="false">A606+1</f>
        <v>606</v>
      </c>
      <c r="B607" s="11" t="n">
        <f aca="false">B606+1</f>
        <v>45532</v>
      </c>
      <c r="C607" s="10" t="n">
        <f aca="false">YEAR(B607)</f>
        <v>2024</v>
      </c>
      <c r="D607" s="10" t="n">
        <f aca="false">INT((MONTH(B607)-1)/3)+1</f>
        <v>3</v>
      </c>
      <c r="E607" s="10" t="n">
        <f aca="false">MONTH(B607)</f>
        <v>8</v>
      </c>
      <c r="F607" s="10" t="str">
        <f aca="false">CHOOSE(MOD(A607-1,5)+1,"Центр","Юг","Север","Запад","Восток")</f>
        <v>Центр</v>
      </c>
      <c r="G607" s="10" t="str">
        <f aca="false">"Округ_"&amp;(MOD(A607-1,5)+1)&amp;"_"&amp;(MOD(INT((A607-1)/5),5)+1)</f>
        <v>Округ_1_2</v>
      </c>
      <c r="H607" s="10" t="str">
        <f aca="false">"Город_"&amp;(MOD(A607-1,5)+1)&amp;"_"&amp;(MOD(INT((A607-1)/5),5)+1)&amp;"_"&amp;(MOD(INT((A607-1)/25),10)+1)</f>
        <v>Город_1_2_5</v>
      </c>
      <c r="I607" s="10" t="str">
        <f aca="false">CHOOSE(MOD(A607-1,4)+1,"Электроника","Одежда","Продукты","Мебель")</f>
        <v>Одежда</v>
      </c>
      <c r="J607" s="10" t="str">
        <f aca="false">CHOOSE(MOD(INT((A607-1)/4),4)+1,CHOOSE(MOD(A607-1,4)+1,"Смартфоны","Ноутбуки","Аксессуары","Аудио"),CHOOSE(MOD(A607-1,4)+1,"Верхняя одежда","Спортивная","Повседневная","Обувь"),CHOOSE(MOD(A607-1,4)+1,"Молочные","Мясные","Бакалея","Напитки"),CHOOSE(MOD(A607-1,4)+1,"Мягкая мебель","Корпусная","Офисная","Кухонная"))</f>
        <v>Корпусная</v>
      </c>
      <c r="K607" s="12" t="n">
        <f aca="false">1000+MOD(A607*317+A607*A607*7,49001)</f>
        <v>19698</v>
      </c>
      <c r="L607" s="12" t="n">
        <f aca="false">1+MOD(A607*131,100)</f>
        <v>87</v>
      </c>
      <c r="M607" s="12" t="n">
        <f aca="false">INT(K607*(0.6+MOD(A607*43,21)/100))</f>
        <v>15364</v>
      </c>
      <c r="N607" s="12" t="n">
        <f aca="false">K607-M607</f>
        <v>4334</v>
      </c>
    </row>
    <row r="608" customFormat="false" ht="12.8" hidden="false" customHeight="false" outlineLevel="0" collapsed="false">
      <c r="A608" s="10" t="n">
        <f aca="false">A607+1</f>
        <v>607</v>
      </c>
      <c r="B608" s="11" t="n">
        <f aca="false">B607+1</f>
        <v>45533</v>
      </c>
      <c r="C608" s="10" t="n">
        <f aca="false">YEAR(B608)</f>
        <v>2024</v>
      </c>
      <c r="D608" s="10" t="n">
        <f aca="false">INT((MONTH(B608)-1)/3)+1</f>
        <v>3</v>
      </c>
      <c r="E608" s="10" t="n">
        <f aca="false">MONTH(B608)</f>
        <v>8</v>
      </c>
      <c r="F608" s="10" t="str">
        <f aca="false">CHOOSE(MOD(A608-1,5)+1,"Центр","Юг","Север","Запад","Восток")</f>
        <v>Юг</v>
      </c>
      <c r="G608" s="10" t="str">
        <f aca="false">"Округ_"&amp;(MOD(A608-1,5)+1)&amp;"_"&amp;(MOD(INT((A608-1)/5),5)+1)</f>
        <v>Округ_2_2</v>
      </c>
      <c r="H608" s="10" t="str">
        <f aca="false">"Город_"&amp;(MOD(A608-1,5)+1)&amp;"_"&amp;(MOD(INT((A608-1)/5),5)+1)&amp;"_"&amp;(MOD(INT((A608-1)/25),10)+1)</f>
        <v>Город_2_2_5</v>
      </c>
      <c r="I608" s="10" t="str">
        <f aca="false">CHOOSE(MOD(A608-1,4)+1,"Электроника","Одежда","Продукты","Мебель")</f>
        <v>Продукты</v>
      </c>
      <c r="J608" s="10" t="str">
        <f aca="false">CHOOSE(MOD(INT((A608-1)/4),4)+1,CHOOSE(MOD(A608-1,4)+1,"Смартфоны","Ноутбуки","Аксессуары","Аудио"),CHOOSE(MOD(A608-1,4)+1,"Верхняя одежда","Спортивная","Повседневная","Обувь"),CHOOSE(MOD(A608-1,4)+1,"Молочные","Мясные","Бакалея","Напитки"),CHOOSE(MOD(A608-1,4)+1,"Мягкая мебель","Корпусная","Офисная","Кухонная"))</f>
        <v>Офисная</v>
      </c>
      <c r="K608" s="12" t="n">
        <f aca="false">1000+MOD(A608*317+A608*A608*7,49001)</f>
        <v>28506</v>
      </c>
      <c r="L608" s="12" t="n">
        <f aca="false">1+MOD(A608*131,100)</f>
        <v>18</v>
      </c>
      <c r="M608" s="12" t="n">
        <f aca="false">INT(K608*(0.6+MOD(A608*43,21)/100))</f>
        <v>22519</v>
      </c>
      <c r="N608" s="12" t="n">
        <f aca="false">K608-M608</f>
        <v>5987</v>
      </c>
    </row>
    <row r="609" customFormat="false" ht="12.8" hidden="false" customHeight="false" outlineLevel="0" collapsed="false">
      <c r="A609" s="10" t="n">
        <f aca="false">A608+1</f>
        <v>608</v>
      </c>
      <c r="B609" s="11" t="n">
        <f aca="false">B608+1</f>
        <v>45534</v>
      </c>
      <c r="C609" s="10" t="n">
        <f aca="false">YEAR(B609)</f>
        <v>2024</v>
      </c>
      <c r="D609" s="10" t="n">
        <f aca="false">INT((MONTH(B609)-1)/3)+1</f>
        <v>3</v>
      </c>
      <c r="E609" s="10" t="n">
        <f aca="false">MONTH(B609)</f>
        <v>8</v>
      </c>
      <c r="F609" s="10" t="str">
        <f aca="false">CHOOSE(MOD(A609-1,5)+1,"Центр","Юг","Север","Запад","Восток")</f>
        <v>Север</v>
      </c>
      <c r="G609" s="10" t="str">
        <f aca="false">"Округ_"&amp;(MOD(A609-1,5)+1)&amp;"_"&amp;(MOD(INT((A609-1)/5),5)+1)</f>
        <v>Округ_3_2</v>
      </c>
      <c r="H609" s="10" t="str">
        <f aca="false">"Город_"&amp;(MOD(A609-1,5)+1)&amp;"_"&amp;(MOD(INT((A609-1)/5),5)+1)&amp;"_"&amp;(MOD(INT((A609-1)/25),10)+1)</f>
        <v>Город_3_2_5</v>
      </c>
      <c r="I609" s="10" t="str">
        <f aca="false">CHOOSE(MOD(A609-1,4)+1,"Электроника","Одежда","Продукты","Мебель")</f>
        <v>Мебель</v>
      </c>
      <c r="J609" s="10" t="str">
        <f aca="false">CHOOSE(MOD(INT((A609-1)/4),4)+1,CHOOSE(MOD(A609-1,4)+1,"Смартфоны","Ноутбуки","Аксессуары","Аудио"),CHOOSE(MOD(A609-1,4)+1,"Верхняя одежда","Спортивная","Повседневная","Обувь"),CHOOSE(MOD(A609-1,4)+1,"Молочные","Мясные","Бакалея","Напитки"),CHOOSE(MOD(A609-1,4)+1,"Мягкая мебель","Корпусная","Офисная","Кухонная"))</f>
        <v>Кухонная</v>
      </c>
      <c r="K609" s="12" t="n">
        <f aca="false">1000+MOD(A609*317+A609*A609*7,49001)</f>
        <v>37328</v>
      </c>
      <c r="L609" s="12" t="n">
        <f aca="false">1+MOD(A609*131,100)</f>
        <v>49</v>
      </c>
      <c r="M609" s="12" t="n">
        <f aca="false">INT(K609*(0.6+MOD(A609*43,21)/100))</f>
        <v>29862</v>
      </c>
      <c r="N609" s="12" t="n">
        <f aca="false">K609-M609</f>
        <v>7466</v>
      </c>
    </row>
    <row r="610" customFormat="false" ht="12.8" hidden="false" customHeight="false" outlineLevel="0" collapsed="false">
      <c r="A610" s="10" t="n">
        <f aca="false">A609+1</f>
        <v>609</v>
      </c>
      <c r="B610" s="11" t="n">
        <f aca="false">B609+1</f>
        <v>45535</v>
      </c>
      <c r="C610" s="10" t="n">
        <f aca="false">YEAR(B610)</f>
        <v>2024</v>
      </c>
      <c r="D610" s="10" t="n">
        <f aca="false">INT((MONTH(B610)-1)/3)+1</f>
        <v>3</v>
      </c>
      <c r="E610" s="10" t="n">
        <f aca="false">MONTH(B610)</f>
        <v>8</v>
      </c>
      <c r="F610" s="10" t="str">
        <f aca="false">CHOOSE(MOD(A610-1,5)+1,"Центр","Юг","Север","Запад","Восток")</f>
        <v>Запад</v>
      </c>
      <c r="G610" s="10" t="str">
        <f aca="false">"Округ_"&amp;(MOD(A610-1,5)+1)&amp;"_"&amp;(MOD(INT((A610-1)/5),5)+1)</f>
        <v>Округ_4_2</v>
      </c>
      <c r="H610" s="10" t="str">
        <f aca="false">"Город_"&amp;(MOD(A610-1,5)+1)&amp;"_"&amp;(MOD(INT((A610-1)/5),5)+1)&amp;"_"&amp;(MOD(INT((A610-1)/25),10)+1)</f>
        <v>Город_4_2_5</v>
      </c>
      <c r="I610" s="10" t="str">
        <f aca="false">CHOOSE(MOD(A610-1,4)+1,"Электроника","Одежда","Продукты","Мебель")</f>
        <v>Электроника</v>
      </c>
      <c r="J610" s="10" t="str">
        <f aca="false">CHOOSE(MOD(INT((A610-1)/4),4)+1,CHOOSE(MOD(A610-1,4)+1,"Смартфоны","Ноутбуки","Аксессуары","Аудио"),CHOOSE(MOD(A610-1,4)+1,"Верхняя одежда","Спортивная","Повседневная","Обувь"),CHOOSE(MOD(A610-1,4)+1,"Молочные","Мясные","Бакалея","Напитки"),CHOOSE(MOD(A610-1,4)+1,"Мягкая мебель","Корпусная","Офисная","Кухонная"))</f>
        <v>Смартфоны</v>
      </c>
      <c r="K610" s="12" t="n">
        <f aca="false">1000+MOD(A610*317+A610*A610*7,49001)</f>
        <v>46164</v>
      </c>
      <c r="L610" s="12" t="n">
        <f aca="false">1+MOD(A610*131,100)</f>
        <v>80</v>
      </c>
      <c r="M610" s="12" t="n">
        <f aca="false">INT(K610*(0.6+MOD(A610*43,21)/100))</f>
        <v>27698</v>
      </c>
      <c r="N610" s="12" t="n">
        <f aca="false">K610-M610</f>
        <v>18466</v>
      </c>
    </row>
    <row r="611" customFormat="false" ht="12.8" hidden="false" customHeight="false" outlineLevel="0" collapsed="false">
      <c r="A611" s="10" t="n">
        <f aca="false">A610+1</f>
        <v>610</v>
      </c>
      <c r="B611" s="11" t="n">
        <f aca="false">B610+1</f>
        <v>45536</v>
      </c>
      <c r="C611" s="10" t="n">
        <f aca="false">YEAR(B611)</f>
        <v>2024</v>
      </c>
      <c r="D611" s="10" t="n">
        <f aca="false">INT((MONTH(B611)-1)/3)+1</f>
        <v>3</v>
      </c>
      <c r="E611" s="10" t="n">
        <f aca="false">MONTH(B611)</f>
        <v>9</v>
      </c>
      <c r="F611" s="10" t="str">
        <f aca="false">CHOOSE(MOD(A611-1,5)+1,"Центр","Юг","Север","Запад","Восток")</f>
        <v>Восток</v>
      </c>
      <c r="G611" s="10" t="str">
        <f aca="false">"Округ_"&amp;(MOD(A611-1,5)+1)&amp;"_"&amp;(MOD(INT((A611-1)/5),5)+1)</f>
        <v>Округ_5_2</v>
      </c>
      <c r="H611" s="10" t="str">
        <f aca="false">"Город_"&amp;(MOD(A611-1,5)+1)&amp;"_"&amp;(MOD(INT((A611-1)/5),5)+1)&amp;"_"&amp;(MOD(INT((A611-1)/25),10)+1)</f>
        <v>Город_5_2_5</v>
      </c>
      <c r="I611" s="10" t="str">
        <f aca="false">CHOOSE(MOD(A611-1,4)+1,"Электроника","Одежда","Продукты","Мебель")</f>
        <v>Одежда</v>
      </c>
      <c r="J611" s="10" t="str">
        <f aca="false">CHOOSE(MOD(INT((A611-1)/4),4)+1,CHOOSE(MOD(A611-1,4)+1,"Смартфоны","Ноутбуки","Аксессуары","Аудио"),CHOOSE(MOD(A611-1,4)+1,"Верхняя одежда","Спортивная","Повседневная","Обувь"),CHOOSE(MOD(A611-1,4)+1,"Молочные","Мясные","Бакалея","Напитки"),CHOOSE(MOD(A611-1,4)+1,"Мягкая мебель","Корпусная","Офисная","Кухонная"))</f>
        <v>Ноутбуки</v>
      </c>
      <c r="K611" s="12" t="n">
        <f aca="false">1000+MOD(A611*317+A611*A611*7,49001)</f>
        <v>6013</v>
      </c>
      <c r="L611" s="12" t="n">
        <f aca="false">1+MOD(A611*131,100)</f>
        <v>11</v>
      </c>
      <c r="M611" s="12" t="n">
        <f aca="false">INT(K611*(0.6+MOD(A611*43,21)/100))</f>
        <v>3667</v>
      </c>
      <c r="N611" s="12" t="n">
        <f aca="false">K611-M611</f>
        <v>2346</v>
      </c>
    </row>
    <row r="612" customFormat="false" ht="12.8" hidden="false" customHeight="false" outlineLevel="0" collapsed="false">
      <c r="A612" s="10" t="n">
        <f aca="false">A611+1</f>
        <v>611</v>
      </c>
      <c r="B612" s="11" t="n">
        <f aca="false">B611+1</f>
        <v>45537</v>
      </c>
      <c r="C612" s="10" t="n">
        <f aca="false">YEAR(B612)</f>
        <v>2024</v>
      </c>
      <c r="D612" s="10" t="n">
        <f aca="false">INT((MONTH(B612)-1)/3)+1</f>
        <v>3</v>
      </c>
      <c r="E612" s="10" t="n">
        <f aca="false">MONTH(B612)</f>
        <v>9</v>
      </c>
      <c r="F612" s="10" t="str">
        <f aca="false">CHOOSE(MOD(A612-1,5)+1,"Центр","Юг","Север","Запад","Восток")</f>
        <v>Центр</v>
      </c>
      <c r="G612" s="10" t="str">
        <f aca="false">"Округ_"&amp;(MOD(A612-1,5)+1)&amp;"_"&amp;(MOD(INT((A612-1)/5),5)+1)</f>
        <v>Округ_1_3</v>
      </c>
      <c r="H612" s="10" t="str">
        <f aca="false">"Город_"&amp;(MOD(A612-1,5)+1)&amp;"_"&amp;(MOD(INT((A612-1)/5),5)+1)&amp;"_"&amp;(MOD(INT((A612-1)/25),10)+1)</f>
        <v>Город_1_3_5</v>
      </c>
      <c r="I612" s="10" t="str">
        <f aca="false">CHOOSE(MOD(A612-1,4)+1,"Электроника","Одежда","Продукты","Мебель")</f>
        <v>Продукты</v>
      </c>
      <c r="J612" s="10" t="str">
        <f aca="false">CHOOSE(MOD(INT((A612-1)/4),4)+1,CHOOSE(MOD(A612-1,4)+1,"Смартфоны","Ноутбуки","Аксессуары","Аудио"),CHOOSE(MOD(A612-1,4)+1,"Верхняя одежда","Спортивная","Повседневная","Обувь"),CHOOSE(MOD(A612-1,4)+1,"Молочные","Мясные","Бакалея","Напитки"),CHOOSE(MOD(A612-1,4)+1,"Мягкая мебель","Корпусная","Офисная","Кухонная"))</f>
        <v>Аксессуары</v>
      </c>
      <c r="K612" s="12" t="n">
        <f aca="false">1000+MOD(A612*317+A612*A612*7,49001)</f>
        <v>14877</v>
      </c>
      <c r="L612" s="12" t="n">
        <f aca="false">1+MOD(A612*131,100)</f>
        <v>42</v>
      </c>
      <c r="M612" s="12" t="n">
        <f aca="false">INT(K612*(0.6+MOD(A612*43,21)/100))</f>
        <v>9223</v>
      </c>
      <c r="N612" s="12" t="n">
        <f aca="false">K612-M612</f>
        <v>5654</v>
      </c>
    </row>
    <row r="613" customFormat="false" ht="12.8" hidden="false" customHeight="false" outlineLevel="0" collapsed="false">
      <c r="A613" s="10" t="n">
        <f aca="false">A612+1</f>
        <v>612</v>
      </c>
      <c r="B613" s="11" t="n">
        <f aca="false">B612+1</f>
        <v>45538</v>
      </c>
      <c r="C613" s="10" t="n">
        <f aca="false">YEAR(B613)</f>
        <v>2024</v>
      </c>
      <c r="D613" s="10" t="n">
        <f aca="false">INT((MONTH(B613)-1)/3)+1</f>
        <v>3</v>
      </c>
      <c r="E613" s="10" t="n">
        <f aca="false">MONTH(B613)</f>
        <v>9</v>
      </c>
      <c r="F613" s="10" t="str">
        <f aca="false">CHOOSE(MOD(A613-1,5)+1,"Центр","Юг","Север","Запад","Восток")</f>
        <v>Юг</v>
      </c>
      <c r="G613" s="10" t="str">
        <f aca="false">"Округ_"&amp;(MOD(A613-1,5)+1)&amp;"_"&amp;(MOD(INT((A613-1)/5),5)+1)</f>
        <v>Округ_2_3</v>
      </c>
      <c r="H613" s="10" t="str">
        <f aca="false">"Город_"&amp;(MOD(A613-1,5)+1)&amp;"_"&amp;(MOD(INT((A613-1)/5),5)+1)&amp;"_"&amp;(MOD(INT((A613-1)/25),10)+1)</f>
        <v>Город_2_3_5</v>
      </c>
      <c r="I613" s="10" t="str">
        <f aca="false">CHOOSE(MOD(A613-1,4)+1,"Электроника","Одежда","Продукты","Мебель")</f>
        <v>Мебель</v>
      </c>
      <c r="J613" s="10" t="str">
        <f aca="false">CHOOSE(MOD(INT((A613-1)/4),4)+1,CHOOSE(MOD(A613-1,4)+1,"Смартфоны","Ноутбуки","Аксессуары","Аудио"),CHOOSE(MOD(A613-1,4)+1,"Верхняя одежда","Спортивная","Повседневная","Обувь"),CHOOSE(MOD(A613-1,4)+1,"Молочные","Мясные","Бакалея","Напитки"),CHOOSE(MOD(A613-1,4)+1,"Мягкая мебель","Корпусная","Офисная","Кухонная"))</f>
        <v>Аудио</v>
      </c>
      <c r="K613" s="12" t="n">
        <f aca="false">1000+MOD(A613*317+A613*A613*7,49001)</f>
        <v>23755</v>
      </c>
      <c r="L613" s="12" t="n">
        <f aca="false">1+MOD(A613*131,100)</f>
        <v>73</v>
      </c>
      <c r="M613" s="12" t="n">
        <f aca="false">INT(K613*(0.6+MOD(A613*43,21)/100))</f>
        <v>14965</v>
      </c>
      <c r="N613" s="12" t="n">
        <f aca="false">K613-M613</f>
        <v>8790</v>
      </c>
    </row>
    <row r="614" customFormat="false" ht="12.8" hidden="false" customHeight="false" outlineLevel="0" collapsed="false">
      <c r="A614" s="10" t="n">
        <f aca="false">A613+1</f>
        <v>613</v>
      </c>
      <c r="B614" s="11" t="n">
        <f aca="false">B613+1</f>
        <v>45539</v>
      </c>
      <c r="C614" s="10" t="n">
        <f aca="false">YEAR(B614)</f>
        <v>2024</v>
      </c>
      <c r="D614" s="10" t="n">
        <f aca="false">INT((MONTH(B614)-1)/3)+1</f>
        <v>3</v>
      </c>
      <c r="E614" s="10" t="n">
        <f aca="false">MONTH(B614)</f>
        <v>9</v>
      </c>
      <c r="F614" s="10" t="str">
        <f aca="false">CHOOSE(MOD(A614-1,5)+1,"Центр","Юг","Север","Запад","Восток")</f>
        <v>Север</v>
      </c>
      <c r="G614" s="10" t="str">
        <f aca="false">"Округ_"&amp;(MOD(A614-1,5)+1)&amp;"_"&amp;(MOD(INT((A614-1)/5),5)+1)</f>
        <v>Округ_3_3</v>
      </c>
      <c r="H614" s="10" t="str">
        <f aca="false">"Город_"&amp;(MOD(A614-1,5)+1)&amp;"_"&amp;(MOD(INT((A614-1)/5),5)+1)&amp;"_"&amp;(MOD(INT((A614-1)/25),10)+1)</f>
        <v>Город_3_3_5</v>
      </c>
      <c r="I614" s="10" t="str">
        <f aca="false">CHOOSE(MOD(A614-1,4)+1,"Электроника","Одежда","Продукты","Мебель")</f>
        <v>Электроника</v>
      </c>
      <c r="J614" s="10" t="str">
        <f aca="false">CHOOSE(MOD(INT((A614-1)/4),4)+1,CHOOSE(MOD(A614-1,4)+1,"Смартфоны","Ноутбуки","Аксессуары","Аудио"),CHOOSE(MOD(A614-1,4)+1,"Верхняя одежда","Спортивная","Повседневная","Обувь"),CHOOSE(MOD(A614-1,4)+1,"Молочные","Мясные","Бакалея","Напитки"),CHOOSE(MOD(A614-1,4)+1,"Мягкая мебель","Корпусная","Офисная","Кухонная"))</f>
        <v>Верхняя одежда</v>
      </c>
      <c r="K614" s="12" t="n">
        <f aca="false">1000+MOD(A614*317+A614*A614*7,49001)</f>
        <v>32647</v>
      </c>
      <c r="L614" s="12" t="n">
        <f aca="false">1+MOD(A614*131,100)</f>
        <v>4</v>
      </c>
      <c r="M614" s="12" t="n">
        <f aca="false">INT(K614*(0.6+MOD(A614*43,21)/100))</f>
        <v>20894</v>
      </c>
      <c r="N614" s="12" t="n">
        <f aca="false">K614-M614</f>
        <v>11753</v>
      </c>
    </row>
    <row r="615" customFormat="false" ht="12.8" hidden="false" customHeight="false" outlineLevel="0" collapsed="false">
      <c r="A615" s="10" t="n">
        <f aca="false">A614+1</f>
        <v>614</v>
      </c>
      <c r="B615" s="11" t="n">
        <f aca="false">B614+1</f>
        <v>45540</v>
      </c>
      <c r="C615" s="10" t="n">
        <f aca="false">YEAR(B615)</f>
        <v>2024</v>
      </c>
      <c r="D615" s="10" t="n">
        <f aca="false">INT((MONTH(B615)-1)/3)+1</f>
        <v>3</v>
      </c>
      <c r="E615" s="10" t="n">
        <f aca="false">MONTH(B615)</f>
        <v>9</v>
      </c>
      <c r="F615" s="10" t="str">
        <f aca="false">CHOOSE(MOD(A615-1,5)+1,"Центр","Юг","Север","Запад","Восток")</f>
        <v>Запад</v>
      </c>
      <c r="G615" s="10" t="str">
        <f aca="false">"Округ_"&amp;(MOD(A615-1,5)+1)&amp;"_"&amp;(MOD(INT((A615-1)/5),5)+1)</f>
        <v>Округ_4_3</v>
      </c>
      <c r="H615" s="10" t="str">
        <f aca="false">"Город_"&amp;(MOD(A615-1,5)+1)&amp;"_"&amp;(MOD(INT((A615-1)/5),5)+1)&amp;"_"&amp;(MOD(INT((A615-1)/25),10)+1)</f>
        <v>Город_4_3_5</v>
      </c>
      <c r="I615" s="10" t="str">
        <f aca="false">CHOOSE(MOD(A615-1,4)+1,"Электроника","Одежда","Продукты","Мебель")</f>
        <v>Одежда</v>
      </c>
      <c r="J615" s="10" t="str">
        <f aca="false">CHOOSE(MOD(INT((A615-1)/4),4)+1,CHOOSE(MOD(A615-1,4)+1,"Смартфоны","Ноутбуки","Аксессуары","Аудио"),CHOOSE(MOD(A615-1,4)+1,"Верхняя одежда","Спортивная","Повседневная","Обувь"),CHOOSE(MOD(A615-1,4)+1,"Молочные","Мясные","Бакалея","Напитки"),CHOOSE(MOD(A615-1,4)+1,"Мягкая мебель","Корпусная","Офисная","Кухонная"))</f>
        <v>Спортивная</v>
      </c>
      <c r="K615" s="12" t="n">
        <f aca="false">1000+MOD(A615*317+A615*A615*7,49001)</f>
        <v>41553</v>
      </c>
      <c r="L615" s="12" t="n">
        <f aca="false">1+MOD(A615*131,100)</f>
        <v>35</v>
      </c>
      <c r="M615" s="12" t="n">
        <f aca="false">INT(K615*(0.6+MOD(A615*43,21)/100))</f>
        <v>27009</v>
      </c>
      <c r="N615" s="12" t="n">
        <f aca="false">K615-M615</f>
        <v>14544</v>
      </c>
    </row>
    <row r="616" customFormat="false" ht="12.8" hidden="false" customHeight="false" outlineLevel="0" collapsed="false">
      <c r="A616" s="10" t="n">
        <f aca="false">A615+1</f>
        <v>615</v>
      </c>
      <c r="B616" s="11" t="n">
        <f aca="false">B615+1</f>
        <v>45541</v>
      </c>
      <c r="C616" s="10" t="n">
        <f aca="false">YEAR(B616)</f>
        <v>2024</v>
      </c>
      <c r="D616" s="10" t="n">
        <f aca="false">INT((MONTH(B616)-1)/3)+1</f>
        <v>3</v>
      </c>
      <c r="E616" s="10" t="n">
        <f aca="false">MONTH(B616)</f>
        <v>9</v>
      </c>
      <c r="F616" s="10" t="str">
        <f aca="false">CHOOSE(MOD(A616-1,5)+1,"Центр","Юг","Север","Запад","Восток")</f>
        <v>Восток</v>
      </c>
      <c r="G616" s="10" t="str">
        <f aca="false">"Округ_"&amp;(MOD(A616-1,5)+1)&amp;"_"&amp;(MOD(INT((A616-1)/5),5)+1)</f>
        <v>Округ_5_3</v>
      </c>
      <c r="H616" s="10" t="str">
        <f aca="false">"Город_"&amp;(MOD(A616-1,5)+1)&amp;"_"&amp;(MOD(INT((A616-1)/5),5)+1)&amp;"_"&amp;(MOD(INT((A616-1)/25),10)+1)</f>
        <v>Город_5_3_5</v>
      </c>
      <c r="I616" s="10" t="str">
        <f aca="false">CHOOSE(MOD(A616-1,4)+1,"Электроника","Одежда","Продукты","Мебель")</f>
        <v>Продукты</v>
      </c>
      <c r="J616" s="10" t="str">
        <f aca="false">CHOOSE(MOD(INT((A616-1)/4),4)+1,CHOOSE(MOD(A616-1,4)+1,"Смартфоны","Ноутбуки","Аксессуары","Аудио"),CHOOSE(MOD(A616-1,4)+1,"Верхняя одежда","Спортивная","Повседневная","Обувь"),CHOOSE(MOD(A616-1,4)+1,"Молочные","Мясные","Бакалея","Напитки"),CHOOSE(MOD(A616-1,4)+1,"Мягкая мебель","Корпусная","Офисная","Кухонная"))</f>
        <v>Повседневная</v>
      </c>
      <c r="K616" s="12" t="n">
        <f aca="false">1000+MOD(A616*317+A616*A616*7,49001)</f>
        <v>1472</v>
      </c>
      <c r="L616" s="12" t="n">
        <f aca="false">1+MOD(A616*131,100)</f>
        <v>66</v>
      </c>
      <c r="M616" s="12" t="n">
        <f aca="false">INT(K616*(0.6+MOD(A616*43,21)/100))</f>
        <v>971</v>
      </c>
      <c r="N616" s="12" t="n">
        <f aca="false">K616-M616</f>
        <v>501</v>
      </c>
    </row>
    <row r="617" customFormat="false" ht="12.8" hidden="false" customHeight="false" outlineLevel="0" collapsed="false">
      <c r="A617" s="10" t="n">
        <f aca="false">A616+1</f>
        <v>616</v>
      </c>
      <c r="B617" s="11" t="n">
        <f aca="false">B616+1</f>
        <v>45542</v>
      </c>
      <c r="C617" s="10" t="n">
        <f aca="false">YEAR(B617)</f>
        <v>2024</v>
      </c>
      <c r="D617" s="10" t="n">
        <f aca="false">INT((MONTH(B617)-1)/3)+1</f>
        <v>3</v>
      </c>
      <c r="E617" s="10" t="n">
        <f aca="false">MONTH(B617)</f>
        <v>9</v>
      </c>
      <c r="F617" s="10" t="str">
        <f aca="false">CHOOSE(MOD(A617-1,5)+1,"Центр","Юг","Север","Запад","Восток")</f>
        <v>Центр</v>
      </c>
      <c r="G617" s="10" t="str">
        <f aca="false">"Округ_"&amp;(MOD(A617-1,5)+1)&amp;"_"&amp;(MOD(INT((A617-1)/5),5)+1)</f>
        <v>Округ_1_4</v>
      </c>
      <c r="H617" s="10" t="str">
        <f aca="false">"Город_"&amp;(MOD(A617-1,5)+1)&amp;"_"&amp;(MOD(INT((A617-1)/5),5)+1)&amp;"_"&amp;(MOD(INT((A617-1)/25),10)+1)</f>
        <v>Город_1_4_5</v>
      </c>
      <c r="I617" s="10" t="str">
        <f aca="false">CHOOSE(MOD(A617-1,4)+1,"Электроника","Одежда","Продукты","Мебель")</f>
        <v>Мебель</v>
      </c>
      <c r="J617" s="10" t="str">
        <f aca="false">CHOOSE(MOD(INT((A617-1)/4),4)+1,CHOOSE(MOD(A617-1,4)+1,"Смартфоны","Ноутбуки","Аксессуары","Аудио"),CHOOSE(MOD(A617-1,4)+1,"Верхняя одежда","Спортивная","Повседневная","Обувь"),CHOOSE(MOD(A617-1,4)+1,"Молочные","Мясные","Бакалея","Напитки"),CHOOSE(MOD(A617-1,4)+1,"Мягкая мебель","Корпусная","Офисная","Кухонная"))</f>
        <v>Обувь</v>
      </c>
      <c r="K617" s="12" t="n">
        <f aca="false">1000+MOD(A617*317+A617*A617*7,49001)</f>
        <v>10406</v>
      </c>
      <c r="L617" s="12" t="n">
        <f aca="false">1+MOD(A617*131,100)</f>
        <v>97</v>
      </c>
      <c r="M617" s="12" t="n">
        <f aca="false">INT(K617*(0.6+MOD(A617*43,21)/100))</f>
        <v>6972</v>
      </c>
      <c r="N617" s="12" t="n">
        <f aca="false">K617-M617</f>
        <v>3434</v>
      </c>
    </row>
    <row r="618" customFormat="false" ht="12.8" hidden="false" customHeight="false" outlineLevel="0" collapsed="false">
      <c r="A618" s="10" t="n">
        <f aca="false">A617+1</f>
        <v>617</v>
      </c>
      <c r="B618" s="11" t="n">
        <f aca="false">B617+1</f>
        <v>45543</v>
      </c>
      <c r="C618" s="10" t="n">
        <f aca="false">YEAR(B618)</f>
        <v>2024</v>
      </c>
      <c r="D618" s="10" t="n">
        <f aca="false">INT((MONTH(B618)-1)/3)+1</f>
        <v>3</v>
      </c>
      <c r="E618" s="10" t="n">
        <f aca="false">MONTH(B618)</f>
        <v>9</v>
      </c>
      <c r="F618" s="10" t="str">
        <f aca="false">CHOOSE(MOD(A618-1,5)+1,"Центр","Юг","Север","Запад","Восток")</f>
        <v>Юг</v>
      </c>
      <c r="G618" s="10" t="str">
        <f aca="false">"Округ_"&amp;(MOD(A618-1,5)+1)&amp;"_"&amp;(MOD(INT((A618-1)/5),5)+1)</f>
        <v>Округ_2_4</v>
      </c>
      <c r="H618" s="10" t="str">
        <f aca="false">"Город_"&amp;(MOD(A618-1,5)+1)&amp;"_"&amp;(MOD(INT((A618-1)/5),5)+1)&amp;"_"&amp;(MOD(INT((A618-1)/25),10)+1)</f>
        <v>Город_2_4_5</v>
      </c>
      <c r="I618" s="10" t="str">
        <f aca="false">CHOOSE(MOD(A618-1,4)+1,"Электроника","Одежда","Продукты","Мебель")</f>
        <v>Электроника</v>
      </c>
      <c r="J618" s="10" t="str">
        <f aca="false">CHOOSE(MOD(INT((A618-1)/4),4)+1,CHOOSE(MOD(A618-1,4)+1,"Смартфоны","Ноутбуки","Аксессуары","Аудио"),CHOOSE(MOD(A618-1,4)+1,"Верхняя одежда","Спортивная","Повседневная","Обувь"),CHOOSE(MOD(A618-1,4)+1,"Молочные","Мясные","Бакалея","Напитки"),CHOOSE(MOD(A618-1,4)+1,"Мягкая мебель","Корпусная","Офисная","Кухонная"))</f>
        <v>Молочные</v>
      </c>
      <c r="K618" s="12" t="n">
        <f aca="false">1000+MOD(A618*317+A618*A618*7,49001)</f>
        <v>19354</v>
      </c>
      <c r="L618" s="12" t="n">
        <f aca="false">1+MOD(A618*131,100)</f>
        <v>28</v>
      </c>
      <c r="M618" s="12" t="n">
        <f aca="false">INT(K618*(0.6+MOD(A618*43,21)/100))</f>
        <v>13160</v>
      </c>
      <c r="N618" s="12" t="n">
        <f aca="false">K618-M618</f>
        <v>6194</v>
      </c>
    </row>
    <row r="619" customFormat="false" ht="12.8" hidden="false" customHeight="false" outlineLevel="0" collapsed="false">
      <c r="A619" s="10" t="n">
        <f aca="false">A618+1</f>
        <v>618</v>
      </c>
      <c r="B619" s="11" t="n">
        <f aca="false">B618+1</f>
        <v>45544</v>
      </c>
      <c r="C619" s="10" t="n">
        <f aca="false">YEAR(B619)</f>
        <v>2024</v>
      </c>
      <c r="D619" s="10" t="n">
        <f aca="false">INT((MONTH(B619)-1)/3)+1</f>
        <v>3</v>
      </c>
      <c r="E619" s="10" t="n">
        <f aca="false">MONTH(B619)</f>
        <v>9</v>
      </c>
      <c r="F619" s="10" t="str">
        <f aca="false">CHOOSE(MOD(A619-1,5)+1,"Центр","Юг","Север","Запад","Восток")</f>
        <v>Север</v>
      </c>
      <c r="G619" s="10" t="str">
        <f aca="false">"Округ_"&amp;(MOD(A619-1,5)+1)&amp;"_"&amp;(MOD(INT((A619-1)/5),5)+1)</f>
        <v>Округ_3_4</v>
      </c>
      <c r="H619" s="10" t="str">
        <f aca="false">"Город_"&amp;(MOD(A619-1,5)+1)&amp;"_"&amp;(MOD(INT((A619-1)/5),5)+1)&amp;"_"&amp;(MOD(INT((A619-1)/25),10)+1)</f>
        <v>Город_3_4_5</v>
      </c>
      <c r="I619" s="10" t="str">
        <f aca="false">CHOOSE(MOD(A619-1,4)+1,"Электроника","Одежда","Продукты","Мебель")</f>
        <v>Одежда</v>
      </c>
      <c r="J619" s="10" t="str">
        <f aca="false">CHOOSE(MOD(INT((A619-1)/4),4)+1,CHOOSE(MOD(A619-1,4)+1,"Смартфоны","Ноутбуки","Аксессуары","Аудио"),CHOOSE(MOD(A619-1,4)+1,"Верхняя одежда","Спортивная","Повседневная","Обувь"),CHOOSE(MOD(A619-1,4)+1,"Молочные","Мясные","Бакалея","Напитки"),CHOOSE(MOD(A619-1,4)+1,"Мягкая мебель","Корпусная","Офисная","Кухонная"))</f>
        <v>Мясные</v>
      </c>
      <c r="K619" s="12" t="n">
        <f aca="false">1000+MOD(A619*317+A619*A619*7,49001)</f>
        <v>28316</v>
      </c>
      <c r="L619" s="12" t="n">
        <f aca="false">1+MOD(A619*131,100)</f>
        <v>59</v>
      </c>
      <c r="M619" s="12" t="n">
        <f aca="false">INT(K619*(0.6+MOD(A619*43,21)/100))</f>
        <v>19538</v>
      </c>
      <c r="N619" s="12" t="n">
        <f aca="false">K619-M619</f>
        <v>8778</v>
      </c>
    </row>
    <row r="620" customFormat="false" ht="12.8" hidden="false" customHeight="false" outlineLevel="0" collapsed="false">
      <c r="A620" s="10" t="n">
        <f aca="false">A619+1</f>
        <v>619</v>
      </c>
      <c r="B620" s="11" t="n">
        <f aca="false">B619+1</f>
        <v>45545</v>
      </c>
      <c r="C620" s="10" t="n">
        <f aca="false">YEAR(B620)</f>
        <v>2024</v>
      </c>
      <c r="D620" s="10" t="n">
        <f aca="false">INT((MONTH(B620)-1)/3)+1</f>
        <v>3</v>
      </c>
      <c r="E620" s="10" t="n">
        <f aca="false">MONTH(B620)</f>
        <v>9</v>
      </c>
      <c r="F620" s="10" t="str">
        <f aca="false">CHOOSE(MOD(A620-1,5)+1,"Центр","Юг","Север","Запад","Восток")</f>
        <v>Запад</v>
      </c>
      <c r="G620" s="10" t="str">
        <f aca="false">"Округ_"&amp;(MOD(A620-1,5)+1)&amp;"_"&amp;(MOD(INT((A620-1)/5),5)+1)</f>
        <v>Округ_4_4</v>
      </c>
      <c r="H620" s="10" t="str">
        <f aca="false">"Город_"&amp;(MOD(A620-1,5)+1)&amp;"_"&amp;(MOD(INT((A620-1)/5),5)+1)&amp;"_"&amp;(MOD(INT((A620-1)/25),10)+1)</f>
        <v>Город_4_4_5</v>
      </c>
      <c r="I620" s="10" t="str">
        <f aca="false">CHOOSE(MOD(A620-1,4)+1,"Электроника","Одежда","Продукты","Мебель")</f>
        <v>Продукты</v>
      </c>
      <c r="J620" s="10" t="str">
        <f aca="false">CHOOSE(MOD(INT((A620-1)/4),4)+1,CHOOSE(MOD(A620-1,4)+1,"Смартфоны","Ноутбуки","Аксессуары","Аудио"),CHOOSE(MOD(A620-1,4)+1,"Верхняя одежда","Спортивная","Повседневная","Обувь"),CHOOSE(MOD(A620-1,4)+1,"Молочные","Мясные","Бакалея","Напитки"),CHOOSE(MOD(A620-1,4)+1,"Мягкая мебель","Корпусная","Офисная","Кухонная"))</f>
        <v>Бакалея</v>
      </c>
      <c r="K620" s="12" t="n">
        <f aca="false">1000+MOD(A620*317+A620*A620*7,49001)</f>
        <v>37292</v>
      </c>
      <c r="L620" s="12" t="n">
        <f aca="false">1+MOD(A620*131,100)</f>
        <v>90</v>
      </c>
      <c r="M620" s="12" t="n">
        <f aca="false">INT(K620*(0.6+MOD(A620*43,21)/100))</f>
        <v>26104</v>
      </c>
      <c r="N620" s="12" t="n">
        <f aca="false">K620-M620</f>
        <v>11188</v>
      </c>
    </row>
    <row r="621" customFormat="false" ht="12.8" hidden="false" customHeight="false" outlineLevel="0" collapsed="false">
      <c r="A621" s="10" t="n">
        <f aca="false">A620+1</f>
        <v>620</v>
      </c>
      <c r="B621" s="11" t="n">
        <f aca="false">B620+1</f>
        <v>45546</v>
      </c>
      <c r="C621" s="10" t="n">
        <f aca="false">YEAR(B621)</f>
        <v>2024</v>
      </c>
      <c r="D621" s="10" t="n">
        <f aca="false">INT((MONTH(B621)-1)/3)+1</f>
        <v>3</v>
      </c>
      <c r="E621" s="10" t="n">
        <f aca="false">MONTH(B621)</f>
        <v>9</v>
      </c>
      <c r="F621" s="10" t="str">
        <f aca="false">CHOOSE(MOD(A621-1,5)+1,"Центр","Юг","Север","Запад","Восток")</f>
        <v>Восток</v>
      </c>
      <c r="G621" s="10" t="str">
        <f aca="false">"Округ_"&amp;(MOD(A621-1,5)+1)&amp;"_"&amp;(MOD(INT((A621-1)/5),5)+1)</f>
        <v>Округ_5_4</v>
      </c>
      <c r="H621" s="10" t="str">
        <f aca="false">"Город_"&amp;(MOD(A621-1,5)+1)&amp;"_"&amp;(MOD(INT((A621-1)/5),5)+1)&amp;"_"&amp;(MOD(INT((A621-1)/25),10)+1)</f>
        <v>Город_5_4_5</v>
      </c>
      <c r="I621" s="10" t="str">
        <f aca="false">CHOOSE(MOD(A621-1,4)+1,"Электроника","Одежда","Продукты","Мебель")</f>
        <v>Мебель</v>
      </c>
      <c r="J621" s="10" t="str">
        <f aca="false">CHOOSE(MOD(INT((A621-1)/4),4)+1,CHOOSE(MOD(A621-1,4)+1,"Смартфоны","Ноутбуки","Аксессуары","Аудио"),CHOOSE(MOD(A621-1,4)+1,"Верхняя одежда","Спортивная","Повседневная","Обувь"),CHOOSE(MOD(A621-1,4)+1,"Молочные","Мясные","Бакалея","Напитки"),CHOOSE(MOD(A621-1,4)+1,"Мягкая мебель","Корпусная","Офисная","Кухонная"))</f>
        <v>Напитки</v>
      </c>
      <c r="K621" s="12" t="n">
        <f aca="false">1000+MOD(A621*317+A621*A621*7,49001)</f>
        <v>46282</v>
      </c>
      <c r="L621" s="12" t="n">
        <f aca="false">1+MOD(A621*131,100)</f>
        <v>21</v>
      </c>
      <c r="M621" s="12" t="n">
        <f aca="false">INT(K621*(0.6+MOD(A621*43,21)/100))</f>
        <v>32860</v>
      </c>
      <c r="N621" s="12" t="n">
        <f aca="false">K621-M621</f>
        <v>13422</v>
      </c>
    </row>
    <row r="622" customFormat="false" ht="12.8" hidden="false" customHeight="false" outlineLevel="0" collapsed="false">
      <c r="A622" s="10" t="n">
        <f aca="false">A621+1</f>
        <v>621</v>
      </c>
      <c r="B622" s="11" t="n">
        <f aca="false">B621+1</f>
        <v>45547</v>
      </c>
      <c r="C622" s="10" t="n">
        <f aca="false">YEAR(B622)</f>
        <v>2024</v>
      </c>
      <c r="D622" s="10" t="n">
        <f aca="false">INT((MONTH(B622)-1)/3)+1</f>
        <v>3</v>
      </c>
      <c r="E622" s="10" t="n">
        <f aca="false">MONTH(B622)</f>
        <v>9</v>
      </c>
      <c r="F622" s="10" t="str">
        <f aca="false">CHOOSE(MOD(A622-1,5)+1,"Центр","Юг","Север","Запад","Восток")</f>
        <v>Центр</v>
      </c>
      <c r="G622" s="10" t="str">
        <f aca="false">"Округ_"&amp;(MOD(A622-1,5)+1)&amp;"_"&amp;(MOD(INT((A622-1)/5),5)+1)</f>
        <v>Округ_1_5</v>
      </c>
      <c r="H622" s="10" t="str">
        <f aca="false">"Город_"&amp;(MOD(A622-1,5)+1)&amp;"_"&amp;(MOD(INT((A622-1)/5),5)+1)&amp;"_"&amp;(MOD(INT((A622-1)/25),10)+1)</f>
        <v>Город_1_5_5</v>
      </c>
      <c r="I622" s="10" t="str">
        <f aca="false">CHOOSE(MOD(A622-1,4)+1,"Электроника","Одежда","Продукты","Мебель")</f>
        <v>Электроника</v>
      </c>
      <c r="J622" s="10" t="str">
        <f aca="false">CHOOSE(MOD(INT((A622-1)/4),4)+1,CHOOSE(MOD(A622-1,4)+1,"Смартфоны","Ноутбуки","Аксессуары","Аудио"),CHOOSE(MOD(A622-1,4)+1,"Верхняя одежда","Спортивная","Повседневная","Обувь"),CHOOSE(MOD(A622-1,4)+1,"Молочные","Мясные","Бакалея","Напитки"),CHOOSE(MOD(A622-1,4)+1,"Мягкая мебель","Корпусная","Офисная","Кухонная"))</f>
        <v>Мягкая мебель</v>
      </c>
      <c r="K622" s="12" t="n">
        <f aca="false">1000+MOD(A622*317+A622*A622*7,49001)</f>
        <v>6285</v>
      </c>
      <c r="L622" s="12" t="n">
        <f aca="false">1+MOD(A622*131,100)</f>
        <v>52</v>
      </c>
      <c r="M622" s="12" t="n">
        <f aca="false">INT(K622*(0.6+MOD(A622*43,21)/100))</f>
        <v>4525</v>
      </c>
      <c r="N622" s="12" t="n">
        <f aca="false">K622-M622</f>
        <v>1760</v>
      </c>
    </row>
    <row r="623" customFormat="false" ht="12.8" hidden="false" customHeight="false" outlineLevel="0" collapsed="false">
      <c r="A623" s="10" t="n">
        <f aca="false">A622+1</f>
        <v>622</v>
      </c>
      <c r="B623" s="11" t="n">
        <f aca="false">B622+1</f>
        <v>45548</v>
      </c>
      <c r="C623" s="10" t="n">
        <f aca="false">YEAR(B623)</f>
        <v>2024</v>
      </c>
      <c r="D623" s="10" t="n">
        <f aca="false">INT((MONTH(B623)-1)/3)+1</f>
        <v>3</v>
      </c>
      <c r="E623" s="10" t="n">
        <f aca="false">MONTH(B623)</f>
        <v>9</v>
      </c>
      <c r="F623" s="10" t="str">
        <f aca="false">CHOOSE(MOD(A623-1,5)+1,"Центр","Юг","Север","Запад","Восток")</f>
        <v>Юг</v>
      </c>
      <c r="G623" s="10" t="str">
        <f aca="false">"Округ_"&amp;(MOD(A623-1,5)+1)&amp;"_"&amp;(MOD(INT((A623-1)/5),5)+1)</f>
        <v>Округ_2_5</v>
      </c>
      <c r="H623" s="10" t="str">
        <f aca="false">"Город_"&amp;(MOD(A623-1,5)+1)&amp;"_"&amp;(MOD(INT((A623-1)/5),5)+1)&amp;"_"&amp;(MOD(INT((A623-1)/25),10)+1)</f>
        <v>Город_2_5_5</v>
      </c>
      <c r="I623" s="10" t="str">
        <f aca="false">CHOOSE(MOD(A623-1,4)+1,"Электроника","Одежда","Продукты","Мебель")</f>
        <v>Одежда</v>
      </c>
      <c r="J623" s="10" t="str">
        <f aca="false">CHOOSE(MOD(INT((A623-1)/4),4)+1,CHOOSE(MOD(A623-1,4)+1,"Смартфоны","Ноутбуки","Аксессуары","Аудио"),CHOOSE(MOD(A623-1,4)+1,"Верхняя одежда","Спортивная","Повседневная","Обувь"),CHOOSE(MOD(A623-1,4)+1,"Молочные","Мясные","Бакалея","Напитки"),CHOOSE(MOD(A623-1,4)+1,"Мягкая мебель","Корпусная","Офисная","Кухонная"))</f>
        <v>Корпусная</v>
      </c>
      <c r="K623" s="12" t="n">
        <f aca="false">1000+MOD(A623*317+A623*A623*7,49001)</f>
        <v>15303</v>
      </c>
      <c r="L623" s="12" t="n">
        <f aca="false">1+MOD(A623*131,100)</f>
        <v>83</v>
      </c>
      <c r="M623" s="12" t="n">
        <f aca="false">INT(K623*(0.6+MOD(A623*43,21)/100))</f>
        <v>11171</v>
      </c>
      <c r="N623" s="12" t="n">
        <f aca="false">K623-M623</f>
        <v>4132</v>
      </c>
    </row>
    <row r="624" customFormat="false" ht="12.8" hidden="false" customHeight="false" outlineLevel="0" collapsed="false">
      <c r="A624" s="10" t="n">
        <f aca="false">A623+1</f>
        <v>623</v>
      </c>
      <c r="B624" s="11" t="n">
        <f aca="false">B623+1</f>
        <v>45549</v>
      </c>
      <c r="C624" s="10" t="n">
        <f aca="false">YEAR(B624)</f>
        <v>2024</v>
      </c>
      <c r="D624" s="10" t="n">
        <f aca="false">INT((MONTH(B624)-1)/3)+1</f>
        <v>3</v>
      </c>
      <c r="E624" s="10" t="n">
        <f aca="false">MONTH(B624)</f>
        <v>9</v>
      </c>
      <c r="F624" s="10" t="str">
        <f aca="false">CHOOSE(MOD(A624-1,5)+1,"Центр","Юг","Север","Запад","Восток")</f>
        <v>Север</v>
      </c>
      <c r="G624" s="10" t="str">
        <f aca="false">"Округ_"&amp;(MOD(A624-1,5)+1)&amp;"_"&amp;(MOD(INT((A624-1)/5),5)+1)</f>
        <v>Округ_3_5</v>
      </c>
      <c r="H624" s="10" t="str">
        <f aca="false">"Город_"&amp;(MOD(A624-1,5)+1)&amp;"_"&amp;(MOD(INT((A624-1)/5),5)+1)&amp;"_"&amp;(MOD(INT((A624-1)/25),10)+1)</f>
        <v>Город_3_5_5</v>
      </c>
      <c r="I624" s="10" t="str">
        <f aca="false">CHOOSE(MOD(A624-1,4)+1,"Электроника","Одежда","Продукты","Мебель")</f>
        <v>Продукты</v>
      </c>
      <c r="J624" s="10" t="str">
        <f aca="false">CHOOSE(MOD(INT((A624-1)/4),4)+1,CHOOSE(MOD(A624-1,4)+1,"Смартфоны","Ноутбуки","Аксессуары","Аудио"),CHOOSE(MOD(A624-1,4)+1,"Верхняя одежда","Спортивная","Повседневная","Обувь"),CHOOSE(MOD(A624-1,4)+1,"Молочные","Мясные","Бакалея","Напитки"),CHOOSE(MOD(A624-1,4)+1,"Мягкая мебель","Корпусная","Офисная","Кухонная"))</f>
        <v>Офисная</v>
      </c>
      <c r="K624" s="12" t="n">
        <f aca="false">1000+MOD(A624*317+A624*A624*7,49001)</f>
        <v>24335</v>
      </c>
      <c r="L624" s="12" t="n">
        <f aca="false">1+MOD(A624*131,100)</f>
        <v>14</v>
      </c>
      <c r="M624" s="12" t="n">
        <f aca="false">INT(K624*(0.6+MOD(A624*43,21)/100))</f>
        <v>18007</v>
      </c>
      <c r="N624" s="12" t="n">
        <f aca="false">K624-M624</f>
        <v>6328</v>
      </c>
    </row>
    <row r="625" customFormat="false" ht="12.8" hidden="false" customHeight="false" outlineLevel="0" collapsed="false">
      <c r="A625" s="10" t="n">
        <f aca="false">A624+1</f>
        <v>624</v>
      </c>
      <c r="B625" s="11" t="n">
        <f aca="false">B624+1</f>
        <v>45550</v>
      </c>
      <c r="C625" s="10" t="n">
        <f aca="false">YEAR(B625)</f>
        <v>2024</v>
      </c>
      <c r="D625" s="10" t="n">
        <f aca="false">INT((MONTH(B625)-1)/3)+1</f>
        <v>3</v>
      </c>
      <c r="E625" s="10" t="n">
        <f aca="false">MONTH(B625)</f>
        <v>9</v>
      </c>
      <c r="F625" s="10" t="str">
        <f aca="false">CHOOSE(MOD(A625-1,5)+1,"Центр","Юг","Север","Запад","Восток")</f>
        <v>Запад</v>
      </c>
      <c r="G625" s="10" t="str">
        <f aca="false">"Округ_"&amp;(MOD(A625-1,5)+1)&amp;"_"&amp;(MOD(INT((A625-1)/5),5)+1)</f>
        <v>Округ_4_5</v>
      </c>
      <c r="H625" s="10" t="str">
        <f aca="false">"Город_"&amp;(MOD(A625-1,5)+1)&amp;"_"&amp;(MOD(INT((A625-1)/5),5)+1)&amp;"_"&amp;(MOD(INT((A625-1)/25),10)+1)</f>
        <v>Город_4_5_5</v>
      </c>
      <c r="I625" s="10" t="str">
        <f aca="false">CHOOSE(MOD(A625-1,4)+1,"Электроника","Одежда","Продукты","Мебель")</f>
        <v>Мебель</v>
      </c>
      <c r="J625" s="10" t="str">
        <f aca="false">CHOOSE(MOD(INT((A625-1)/4),4)+1,CHOOSE(MOD(A625-1,4)+1,"Смартфоны","Ноутбуки","Аксессуары","Аудио"),CHOOSE(MOD(A625-1,4)+1,"Верхняя одежда","Спортивная","Повседневная","Обувь"),CHOOSE(MOD(A625-1,4)+1,"Молочные","Мясные","Бакалея","Напитки"),CHOOSE(MOD(A625-1,4)+1,"Мягкая мебель","Корпусная","Офисная","Кухонная"))</f>
        <v>Кухонная</v>
      </c>
      <c r="K625" s="12" t="n">
        <f aca="false">1000+MOD(A625*317+A625*A625*7,49001)</f>
        <v>33381</v>
      </c>
      <c r="L625" s="12" t="n">
        <f aca="false">1+MOD(A625*131,100)</f>
        <v>45</v>
      </c>
      <c r="M625" s="12" t="n">
        <f aca="false">INT(K625*(0.6+MOD(A625*43,21)/100))</f>
        <v>25035</v>
      </c>
      <c r="N625" s="12" t="n">
        <f aca="false">K625-M625</f>
        <v>8346</v>
      </c>
    </row>
    <row r="626" customFormat="false" ht="12.8" hidden="false" customHeight="false" outlineLevel="0" collapsed="false">
      <c r="A626" s="10" t="n">
        <f aca="false">A625+1</f>
        <v>625</v>
      </c>
      <c r="B626" s="11" t="n">
        <f aca="false">B625+1</f>
        <v>45551</v>
      </c>
      <c r="C626" s="10" t="n">
        <f aca="false">YEAR(B626)</f>
        <v>2024</v>
      </c>
      <c r="D626" s="10" t="n">
        <f aca="false">INT((MONTH(B626)-1)/3)+1</f>
        <v>3</v>
      </c>
      <c r="E626" s="10" t="n">
        <f aca="false">MONTH(B626)</f>
        <v>9</v>
      </c>
      <c r="F626" s="10" t="str">
        <f aca="false">CHOOSE(MOD(A626-1,5)+1,"Центр","Юг","Север","Запад","Восток")</f>
        <v>Восток</v>
      </c>
      <c r="G626" s="10" t="str">
        <f aca="false">"Округ_"&amp;(MOD(A626-1,5)+1)&amp;"_"&amp;(MOD(INT((A626-1)/5),5)+1)</f>
        <v>Округ_5_5</v>
      </c>
      <c r="H626" s="10" t="str">
        <f aca="false">"Город_"&amp;(MOD(A626-1,5)+1)&amp;"_"&amp;(MOD(INT((A626-1)/5),5)+1)&amp;"_"&amp;(MOD(INT((A626-1)/25),10)+1)</f>
        <v>Город_5_5_5</v>
      </c>
      <c r="I626" s="10" t="str">
        <f aca="false">CHOOSE(MOD(A626-1,4)+1,"Электроника","Одежда","Продукты","Мебель")</f>
        <v>Электроника</v>
      </c>
      <c r="J626" s="10" t="str">
        <f aca="false">CHOOSE(MOD(INT((A626-1)/4),4)+1,CHOOSE(MOD(A626-1,4)+1,"Смартфоны","Ноутбуки","Аксессуары","Аудио"),CHOOSE(MOD(A626-1,4)+1,"Верхняя одежда","Спортивная","Повседневная","Обувь"),CHOOSE(MOD(A626-1,4)+1,"Молочные","Мясные","Бакалея","Напитки"),CHOOSE(MOD(A626-1,4)+1,"Мягкая мебель","Корпусная","Офисная","Кухонная"))</f>
        <v>Смартфоны</v>
      </c>
      <c r="K626" s="12" t="n">
        <f aca="false">1000+MOD(A626*317+A626*A626*7,49001)</f>
        <v>42441</v>
      </c>
      <c r="L626" s="12" t="n">
        <f aca="false">1+MOD(A626*131,100)</f>
        <v>76</v>
      </c>
      <c r="M626" s="12" t="n">
        <f aca="false">INT(K626*(0.6+MOD(A626*43,21)/100))</f>
        <v>32255</v>
      </c>
      <c r="N626" s="12" t="n">
        <f aca="false">K626-M626</f>
        <v>10186</v>
      </c>
    </row>
    <row r="627" customFormat="false" ht="12.8" hidden="false" customHeight="false" outlineLevel="0" collapsed="false">
      <c r="A627" s="10" t="n">
        <f aca="false">A626+1</f>
        <v>626</v>
      </c>
      <c r="B627" s="11" t="n">
        <f aca="false">B626+1</f>
        <v>45552</v>
      </c>
      <c r="C627" s="10" t="n">
        <f aca="false">YEAR(B627)</f>
        <v>2024</v>
      </c>
      <c r="D627" s="10" t="n">
        <f aca="false">INT((MONTH(B627)-1)/3)+1</f>
        <v>3</v>
      </c>
      <c r="E627" s="10" t="n">
        <f aca="false">MONTH(B627)</f>
        <v>9</v>
      </c>
      <c r="F627" s="10" t="str">
        <f aca="false">CHOOSE(MOD(A627-1,5)+1,"Центр","Юг","Север","Запад","Восток")</f>
        <v>Центр</v>
      </c>
      <c r="G627" s="10" t="str">
        <f aca="false">"Округ_"&amp;(MOD(A627-1,5)+1)&amp;"_"&amp;(MOD(INT((A627-1)/5),5)+1)</f>
        <v>Округ_1_1</v>
      </c>
      <c r="H627" s="10" t="str">
        <f aca="false">"Город_"&amp;(MOD(A627-1,5)+1)&amp;"_"&amp;(MOD(INT((A627-1)/5),5)+1)&amp;"_"&amp;(MOD(INT((A627-1)/25),10)+1)</f>
        <v>Город_1_1_6</v>
      </c>
      <c r="I627" s="10" t="str">
        <f aca="false">CHOOSE(MOD(A627-1,4)+1,"Электроника","Одежда","Продукты","Мебель")</f>
        <v>Одежда</v>
      </c>
      <c r="J627" s="10" t="str">
        <f aca="false">CHOOSE(MOD(INT((A627-1)/4),4)+1,CHOOSE(MOD(A627-1,4)+1,"Смартфоны","Ноутбуки","Аксессуары","Аудио"),CHOOSE(MOD(A627-1,4)+1,"Верхняя одежда","Спортивная","Повседневная","Обувь"),CHOOSE(MOD(A627-1,4)+1,"Молочные","Мясные","Бакалея","Напитки"),CHOOSE(MOD(A627-1,4)+1,"Мягкая мебель","Корпусная","Офисная","Кухонная"))</f>
        <v>Ноутбуки</v>
      </c>
      <c r="K627" s="12" t="n">
        <f aca="false">1000+MOD(A627*317+A627*A627*7,49001)</f>
        <v>2514</v>
      </c>
      <c r="L627" s="12" t="n">
        <f aca="false">1+MOD(A627*131,100)</f>
        <v>7</v>
      </c>
      <c r="M627" s="12" t="n">
        <f aca="false">INT(K627*(0.6+MOD(A627*43,21)/100))</f>
        <v>1935</v>
      </c>
      <c r="N627" s="12" t="n">
        <f aca="false">K627-M627</f>
        <v>579</v>
      </c>
    </row>
    <row r="628" customFormat="false" ht="12.8" hidden="false" customHeight="false" outlineLevel="0" collapsed="false">
      <c r="A628" s="10" t="n">
        <f aca="false">A627+1</f>
        <v>627</v>
      </c>
      <c r="B628" s="11" t="n">
        <f aca="false">B627+1</f>
        <v>45553</v>
      </c>
      <c r="C628" s="10" t="n">
        <f aca="false">YEAR(B628)</f>
        <v>2024</v>
      </c>
      <c r="D628" s="10" t="n">
        <f aca="false">INT((MONTH(B628)-1)/3)+1</f>
        <v>3</v>
      </c>
      <c r="E628" s="10" t="n">
        <f aca="false">MONTH(B628)</f>
        <v>9</v>
      </c>
      <c r="F628" s="10" t="str">
        <f aca="false">CHOOSE(MOD(A628-1,5)+1,"Центр","Юг","Север","Запад","Восток")</f>
        <v>Юг</v>
      </c>
      <c r="G628" s="10" t="str">
        <f aca="false">"Округ_"&amp;(MOD(A628-1,5)+1)&amp;"_"&amp;(MOD(INT((A628-1)/5),5)+1)</f>
        <v>Округ_2_1</v>
      </c>
      <c r="H628" s="10" t="str">
        <f aca="false">"Город_"&amp;(MOD(A628-1,5)+1)&amp;"_"&amp;(MOD(INT((A628-1)/5),5)+1)&amp;"_"&amp;(MOD(INT((A628-1)/25),10)+1)</f>
        <v>Город_2_1_6</v>
      </c>
      <c r="I628" s="10" t="str">
        <f aca="false">CHOOSE(MOD(A628-1,4)+1,"Электроника","Одежда","Продукты","Мебель")</f>
        <v>Продукты</v>
      </c>
      <c r="J628" s="10" t="str">
        <f aca="false">CHOOSE(MOD(INT((A628-1)/4),4)+1,CHOOSE(MOD(A628-1,4)+1,"Смартфоны","Ноутбуки","Аксессуары","Аудио"),CHOOSE(MOD(A628-1,4)+1,"Верхняя одежда","Спортивная","Повседневная","Обувь"),CHOOSE(MOD(A628-1,4)+1,"Молочные","Мясные","Бакалея","Напитки"),CHOOSE(MOD(A628-1,4)+1,"Мягкая мебель","Корпусная","Офисная","Кухонная"))</f>
        <v>Аксессуары</v>
      </c>
      <c r="K628" s="12" t="n">
        <f aca="false">1000+MOD(A628*317+A628*A628*7,49001)</f>
        <v>11602</v>
      </c>
      <c r="L628" s="12" t="n">
        <f aca="false">1+MOD(A628*131,100)</f>
        <v>38</v>
      </c>
      <c r="M628" s="12" t="n">
        <f aca="false">INT(K628*(0.6+MOD(A628*43,21)/100))</f>
        <v>9049</v>
      </c>
      <c r="N628" s="12" t="n">
        <f aca="false">K628-M628</f>
        <v>2553</v>
      </c>
    </row>
    <row r="629" customFormat="false" ht="12.8" hidden="false" customHeight="false" outlineLevel="0" collapsed="false">
      <c r="A629" s="10" t="n">
        <f aca="false">A628+1</f>
        <v>628</v>
      </c>
      <c r="B629" s="11" t="n">
        <f aca="false">B628+1</f>
        <v>45554</v>
      </c>
      <c r="C629" s="10" t="n">
        <f aca="false">YEAR(B629)</f>
        <v>2024</v>
      </c>
      <c r="D629" s="10" t="n">
        <f aca="false">INT((MONTH(B629)-1)/3)+1</f>
        <v>3</v>
      </c>
      <c r="E629" s="10" t="n">
        <f aca="false">MONTH(B629)</f>
        <v>9</v>
      </c>
      <c r="F629" s="10" t="str">
        <f aca="false">CHOOSE(MOD(A629-1,5)+1,"Центр","Юг","Север","Запад","Восток")</f>
        <v>Север</v>
      </c>
      <c r="G629" s="10" t="str">
        <f aca="false">"Округ_"&amp;(MOD(A629-1,5)+1)&amp;"_"&amp;(MOD(INT((A629-1)/5),5)+1)</f>
        <v>Округ_3_1</v>
      </c>
      <c r="H629" s="10" t="str">
        <f aca="false">"Город_"&amp;(MOD(A629-1,5)+1)&amp;"_"&amp;(MOD(INT((A629-1)/5),5)+1)&amp;"_"&amp;(MOD(INT((A629-1)/25),10)+1)</f>
        <v>Город_3_1_6</v>
      </c>
      <c r="I629" s="10" t="str">
        <f aca="false">CHOOSE(MOD(A629-1,4)+1,"Электроника","Одежда","Продукты","Мебель")</f>
        <v>Мебель</v>
      </c>
      <c r="J629" s="10" t="str">
        <f aca="false">CHOOSE(MOD(INT((A629-1)/4),4)+1,CHOOSE(MOD(A629-1,4)+1,"Смартфоны","Ноутбуки","Аксессуары","Аудио"),CHOOSE(MOD(A629-1,4)+1,"Верхняя одежда","Спортивная","Повседневная","Обувь"),CHOOSE(MOD(A629-1,4)+1,"Молочные","Мясные","Бакалея","Напитки"),CHOOSE(MOD(A629-1,4)+1,"Мягкая мебель","Корпусная","Офисная","Кухонная"))</f>
        <v>Аудио</v>
      </c>
      <c r="K629" s="12" t="n">
        <f aca="false">1000+MOD(A629*317+A629*A629*7,49001)</f>
        <v>20704</v>
      </c>
      <c r="L629" s="12" t="n">
        <f aca="false">1+MOD(A629*131,100)</f>
        <v>69</v>
      </c>
      <c r="M629" s="12" t="n">
        <f aca="false">INT(K629*(0.6+MOD(A629*43,21)/100))</f>
        <v>16356</v>
      </c>
      <c r="N629" s="12" t="n">
        <f aca="false">K629-M629</f>
        <v>4348</v>
      </c>
    </row>
    <row r="630" customFormat="false" ht="12.8" hidden="false" customHeight="false" outlineLevel="0" collapsed="false">
      <c r="A630" s="10" t="n">
        <f aca="false">A629+1</f>
        <v>629</v>
      </c>
      <c r="B630" s="11" t="n">
        <f aca="false">B629+1</f>
        <v>45555</v>
      </c>
      <c r="C630" s="10" t="n">
        <f aca="false">YEAR(B630)</f>
        <v>2024</v>
      </c>
      <c r="D630" s="10" t="n">
        <f aca="false">INT((MONTH(B630)-1)/3)+1</f>
        <v>3</v>
      </c>
      <c r="E630" s="10" t="n">
        <f aca="false">MONTH(B630)</f>
        <v>9</v>
      </c>
      <c r="F630" s="10" t="str">
        <f aca="false">CHOOSE(MOD(A630-1,5)+1,"Центр","Юг","Север","Запад","Восток")</f>
        <v>Запад</v>
      </c>
      <c r="G630" s="10" t="str">
        <f aca="false">"Округ_"&amp;(MOD(A630-1,5)+1)&amp;"_"&amp;(MOD(INT((A630-1)/5),5)+1)</f>
        <v>Округ_4_1</v>
      </c>
      <c r="H630" s="10" t="str">
        <f aca="false">"Город_"&amp;(MOD(A630-1,5)+1)&amp;"_"&amp;(MOD(INT((A630-1)/5),5)+1)&amp;"_"&amp;(MOD(INT((A630-1)/25),10)+1)</f>
        <v>Город_4_1_6</v>
      </c>
      <c r="I630" s="10" t="str">
        <f aca="false">CHOOSE(MOD(A630-1,4)+1,"Электроника","Одежда","Продукты","Мебель")</f>
        <v>Электроника</v>
      </c>
      <c r="J630" s="10" t="str">
        <f aca="false">CHOOSE(MOD(INT((A630-1)/4),4)+1,CHOOSE(MOD(A630-1,4)+1,"Смартфоны","Ноутбуки","Аксессуары","Аудио"),CHOOSE(MOD(A630-1,4)+1,"Верхняя одежда","Спортивная","Повседневная","Обувь"),CHOOSE(MOD(A630-1,4)+1,"Молочные","Мясные","Бакалея","Напитки"),CHOOSE(MOD(A630-1,4)+1,"Мягкая мебель","Корпусная","Офисная","Кухонная"))</f>
        <v>Верхняя одежда</v>
      </c>
      <c r="K630" s="12" t="n">
        <f aca="false">1000+MOD(A630*317+A630*A630*7,49001)</f>
        <v>29820</v>
      </c>
      <c r="L630" s="12" t="n">
        <f aca="false">1+MOD(A630*131,100)</f>
        <v>100</v>
      </c>
      <c r="M630" s="12" t="n">
        <f aca="false">INT(K630*(0.6+MOD(A630*43,21)/100))</f>
        <v>23856</v>
      </c>
      <c r="N630" s="12" t="n">
        <f aca="false">K630-M630</f>
        <v>5964</v>
      </c>
    </row>
    <row r="631" customFormat="false" ht="12.8" hidden="false" customHeight="false" outlineLevel="0" collapsed="false">
      <c r="A631" s="10" t="n">
        <f aca="false">A630+1</f>
        <v>630</v>
      </c>
      <c r="B631" s="11" t="n">
        <f aca="false">B630+1</f>
        <v>45556</v>
      </c>
      <c r="C631" s="10" t="n">
        <f aca="false">YEAR(B631)</f>
        <v>2024</v>
      </c>
      <c r="D631" s="10" t="n">
        <f aca="false">INT((MONTH(B631)-1)/3)+1</f>
        <v>3</v>
      </c>
      <c r="E631" s="10" t="n">
        <f aca="false">MONTH(B631)</f>
        <v>9</v>
      </c>
      <c r="F631" s="10" t="str">
        <f aca="false">CHOOSE(MOD(A631-1,5)+1,"Центр","Юг","Север","Запад","Восток")</f>
        <v>Восток</v>
      </c>
      <c r="G631" s="10" t="str">
        <f aca="false">"Округ_"&amp;(MOD(A631-1,5)+1)&amp;"_"&amp;(MOD(INT((A631-1)/5),5)+1)</f>
        <v>Округ_5_1</v>
      </c>
      <c r="H631" s="10" t="str">
        <f aca="false">"Город_"&amp;(MOD(A631-1,5)+1)&amp;"_"&amp;(MOD(INT((A631-1)/5),5)+1)&amp;"_"&amp;(MOD(INT((A631-1)/25),10)+1)</f>
        <v>Город_5_1_6</v>
      </c>
      <c r="I631" s="10" t="str">
        <f aca="false">CHOOSE(MOD(A631-1,4)+1,"Электроника","Одежда","Продукты","Мебель")</f>
        <v>Одежда</v>
      </c>
      <c r="J631" s="10" t="str">
        <f aca="false">CHOOSE(MOD(INT((A631-1)/4),4)+1,CHOOSE(MOD(A631-1,4)+1,"Смартфоны","Ноутбуки","Аксессуары","Аудио"),CHOOSE(MOD(A631-1,4)+1,"Верхняя одежда","Спортивная","Повседневная","Обувь"),CHOOSE(MOD(A631-1,4)+1,"Молочные","Мясные","Бакалея","Напитки"),CHOOSE(MOD(A631-1,4)+1,"Мягкая мебель","Корпусная","Офисная","Кухонная"))</f>
        <v>Спортивная</v>
      </c>
      <c r="K631" s="12" t="n">
        <f aca="false">1000+MOD(A631*317+A631*A631*7,49001)</f>
        <v>38950</v>
      </c>
      <c r="L631" s="12" t="n">
        <f aca="false">1+MOD(A631*131,100)</f>
        <v>31</v>
      </c>
      <c r="M631" s="12" t="n">
        <f aca="false">INT(K631*(0.6+MOD(A631*43,21)/100))</f>
        <v>23370</v>
      </c>
      <c r="N631" s="12" t="n">
        <f aca="false">K631-M631</f>
        <v>15580</v>
      </c>
    </row>
    <row r="632" customFormat="false" ht="12.8" hidden="false" customHeight="false" outlineLevel="0" collapsed="false">
      <c r="A632" s="10" t="n">
        <f aca="false">A631+1</f>
        <v>631</v>
      </c>
      <c r="B632" s="11" t="n">
        <f aca="false">B631+1</f>
        <v>45557</v>
      </c>
      <c r="C632" s="10" t="n">
        <f aca="false">YEAR(B632)</f>
        <v>2024</v>
      </c>
      <c r="D632" s="10" t="n">
        <f aca="false">INT((MONTH(B632)-1)/3)+1</f>
        <v>3</v>
      </c>
      <c r="E632" s="10" t="n">
        <f aca="false">MONTH(B632)</f>
        <v>9</v>
      </c>
      <c r="F632" s="10" t="str">
        <f aca="false">CHOOSE(MOD(A632-1,5)+1,"Центр","Юг","Север","Запад","Восток")</f>
        <v>Центр</v>
      </c>
      <c r="G632" s="10" t="str">
        <f aca="false">"Округ_"&amp;(MOD(A632-1,5)+1)&amp;"_"&amp;(MOD(INT((A632-1)/5),5)+1)</f>
        <v>Округ_1_2</v>
      </c>
      <c r="H632" s="10" t="str">
        <f aca="false">"Город_"&amp;(MOD(A632-1,5)+1)&amp;"_"&amp;(MOD(INT((A632-1)/5),5)+1)&amp;"_"&amp;(MOD(INT((A632-1)/25),10)+1)</f>
        <v>Город_1_2_6</v>
      </c>
      <c r="I632" s="10" t="str">
        <f aca="false">CHOOSE(MOD(A632-1,4)+1,"Электроника","Одежда","Продукты","Мебель")</f>
        <v>Продукты</v>
      </c>
      <c r="J632" s="10" t="str">
        <f aca="false">CHOOSE(MOD(INT((A632-1)/4),4)+1,CHOOSE(MOD(A632-1,4)+1,"Смартфоны","Ноутбуки","Аксессуары","Аудио"),CHOOSE(MOD(A632-1,4)+1,"Верхняя одежда","Спортивная","Повседневная","Обувь"),CHOOSE(MOD(A632-1,4)+1,"Молочные","Мясные","Бакалея","Напитки"),CHOOSE(MOD(A632-1,4)+1,"Мягкая мебель","Корпусная","Офисная","Кухонная"))</f>
        <v>Повседневная</v>
      </c>
      <c r="K632" s="12" t="n">
        <f aca="false">1000+MOD(A632*317+A632*A632*7,49001)</f>
        <v>48094</v>
      </c>
      <c r="L632" s="12" t="n">
        <f aca="false">1+MOD(A632*131,100)</f>
        <v>62</v>
      </c>
      <c r="M632" s="12" t="n">
        <f aca="false">INT(K632*(0.6+MOD(A632*43,21)/100))</f>
        <v>29337</v>
      </c>
      <c r="N632" s="12" t="n">
        <f aca="false">K632-M632</f>
        <v>18757</v>
      </c>
    </row>
    <row r="633" customFormat="false" ht="12.8" hidden="false" customHeight="false" outlineLevel="0" collapsed="false">
      <c r="A633" s="10" t="n">
        <f aca="false">A632+1</f>
        <v>632</v>
      </c>
      <c r="B633" s="11" t="n">
        <f aca="false">B632+1</f>
        <v>45558</v>
      </c>
      <c r="C633" s="10" t="n">
        <f aca="false">YEAR(B633)</f>
        <v>2024</v>
      </c>
      <c r="D633" s="10" t="n">
        <f aca="false">INT((MONTH(B633)-1)/3)+1</f>
        <v>3</v>
      </c>
      <c r="E633" s="10" t="n">
        <f aca="false">MONTH(B633)</f>
        <v>9</v>
      </c>
      <c r="F633" s="10" t="str">
        <f aca="false">CHOOSE(MOD(A633-1,5)+1,"Центр","Юг","Север","Запад","Восток")</f>
        <v>Юг</v>
      </c>
      <c r="G633" s="10" t="str">
        <f aca="false">"Округ_"&amp;(MOD(A633-1,5)+1)&amp;"_"&amp;(MOD(INT((A633-1)/5),5)+1)</f>
        <v>Округ_2_2</v>
      </c>
      <c r="H633" s="10" t="str">
        <f aca="false">"Город_"&amp;(MOD(A633-1,5)+1)&amp;"_"&amp;(MOD(INT((A633-1)/5),5)+1)&amp;"_"&amp;(MOD(INT((A633-1)/25),10)+1)</f>
        <v>Город_2_2_6</v>
      </c>
      <c r="I633" s="10" t="str">
        <f aca="false">CHOOSE(MOD(A633-1,4)+1,"Электроника","Одежда","Продукты","Мебель")</f>
        <v>Мебель</v>
      </c>
      <c r="J633" s="10" t="str">
        <f aca="false">CHOOSE(MOD(INT((A633-1)/4),4)+1,CHOOSE(MOD(A633-1,4)+1,"Смартфоны","Ноутбуки","Аксессуары","Аудио"),CHOOSE(MOD(A633-1,4)+1,"Верхняя одежда","Спортивная","Повседневная","Обувь"),CHOOSE(MOD(A633-1,4)+1,"Молочные","Мясные","Бакалея","Напитки"),CHOOSE(MOD(A633-1,4)+1,"Мягкая мебель","Корпусная","Офисная","Кухонная"))</f>
        <v>Обувь</v>
      </c>
      <c r="K633" s="12" t="n">
        <f aca="false">1000+MOD(A633*317+A633*A633*7,49001)</f>
        <v>8251</v>
      </c>
      <c r="L633" s="12" t="n">
        <f aca="false">1+MOD(A633*131,100)</f>
        <v>93</v>
      </c>
      <c r="M633" s="12" t="n">
        <f aca="false">INT(K633*(0.6+MOD(A633*43,21)/100))</f>
        <v>5115</v>
      </c>
      <c r="N633" s="12" t="n">
        <f aca="false">K633-M633</f>
        <v>3136</v>
      </c>
    </row>
    <row r="634" customFormat="false" ht="12.8" hidden="false" customHeight="false" outlineLevel="0" collapsed="false">
      <c r="A634" s="10" t="n">
        <f aca="false">A633+1</f>
        <v>633</v>
      </c>
      <c r="B634" s="11" t="n">
        <f aca="false">B633+1</f>
        <v>45559</v>
      </c>
      <c r="C634" s="10" t="n">
        <f aca="false">YEAR(B634)</f>
        <v>2024</v>
      </c>
      <c r="D634" s="10" t="n">
        <f aca="false">INT((MONTH(B634)-1)/3)+1</f>
        <v>3</v>
      </c>
      <c r="E634" s="10" t="n">
        <f aca="false">MONTH(B634)</f>
        <v>9</v>
      </c>
      <c r="F634" s="10" t="str">
        <f aca="false">CHOOSE(MOD(A634-1,5)+1,"Центр","Юг","Север","Запад","Восток")</f>
        <v>Север</v>
      </c>
      <c r="G634" s="10" t="str">
        <f aca="false">"Округ_"&amp;(MOD(A634-1,5)+1)&amp;"_"&amp;(MOD(INT((A634-1)/5),5)+1)</f>
        <v>Округ_3_2</v>
      </c>
      <c r="H634" s="10" t="str">
        <f aca="false">"Город_"&amp;(MOD(A634-1,5)+1)&amp;"_"&amp;(MOD(INT((A634-1)/5),5)+1)&amp;"_"&amp;(MOD(INT((A634-1)/25),10)+1)</f>
        <v>Город_3_2_6</v>
      </c>
      <c r="I634" s="10" t="str">
        <f aca="false">CHOOSE(MOD(A634-1,4)+1,"Электроника","Одежда","Продукты","Мебель")</f>
        <v>Электроника</v>
      </c>
      <c r="J634" s="10" t="str">
        <f aca="false">CHOOSE(MOD(INT((A634-1)/4),4)+1,CHOOSE(MOD(A634-1,4)+1,"Смартфоны","Ноутбуки","Аксессуары","Аудио"),CHOOSE(MOD(A634-1,4)+1,"Верхняя одежда","Спортивная","Повседневная","Обувь"),CHOOSE(MOD(A634-1,4)+1,"Молочные","Мясные","Бакалея","Напитки"),CHOOSE(MOD(A634-1,4)+1,"Мягкая мебель","Корпусная","Офисная","Кухонная"))</f>
        <v>Молочные</v>
      </c>
      <c r="K634" s="12" t="n">
        <f aca="false">1000+MOD(A634*317+A634*A634*7,49001)</f>
        <v>17423</v>
      </c>
      <c r="L634" s="12" t="n">
        <f aca="false">1+MOD(A634*131,100)</f>
        <v>24</v>
      </c>
      <c r="M634" s="12" t="n">
        <f aca="false">INT(K634*(0.6+MOD(A634*43,21)/100))</f>
        <v>10976</v>
      </c>
      <c r="N634" s="12" t="n">
        <f aca="false">K634-M634</f>
        <v>6447</v>
      </c>
    </row>
    <row r="635" customFormat="false" ht="12.8" hidden="false" customHeight="false" outlineLevel="0" collapsed="false">
      <c r="A635" s="10" t="n">
        <f aca="false">A634+1</f>
        <v>634</v>
      </c>
      <c r="B635" s="11" t="n">
        <f aca="false">B634+1</f>
        <v>45560</v>
      </c>
      <c r="C635" s="10" t="n">
        <f aca="false">YEAR(B635)</f>
        <v>2024</v>
      </c>
      <c r="D635" s="10" t="n">
        <f aca="false">INT((MONTH(B635)-1)/3)+1</f>
        <v>3</v>
      </c>
      <c r="E635" s="10" t="n">
        <f aca="false">MONTH(B635)</f>
        <v>9</v>
      </c>
      <c r="F635" s="10" t="str">
        <f aca="false">CHOOSE(MOD(A635-1,5)+1,"Центр","Юг","Север","Запад","Восток")</f>
        <v>Запад</v>
      </c>
      <c r="G635" s="10" t="str">
        <f aca="false">"Округ_"&amp;(MOD(A635-1,5)+1)&amp;"_"&amp;(MOD(INT((A635-1)/5),5)+1)</f>
        <v>Округ_4_2</v>
      </c>
      <c r="H635" s="10" t="str">
        <f aca="false">"Город_"&amp;(MOD(A635-1,5)+1)&amp;"_"&amp;(MOD(INT((A635-1)/5),5)+1)&amp;"_"&amp;(MOD(INT((A635-1)/25),10)+1)</f>
        <v>Город_4_2_6</v>
      </c>
      <c r="I635" s="10" t="str">
        <f aca="false">CHOOSE(MOD(A635-1,4)+1,"Электроника","Одежда","Продукты","Мебель")</f>
        <v>Одежда</v>
      </c>
      <c r="J635" s="10" t="str">
        <f aca="false">CHOOSE(MOD(INT((A635-1)/4),4)+1,CHOOSE(MOD(A635-1,4)+1,"Смартфоны","Ноутбуки","Аксессуары","Аудио"),CHOOSE(MOD(A635-1,4)+1,"Верхняя одежда","Спортивная","Повседневная","Обувь"),CHOOSE(MOD(A635-1,4)+1,"Молочные","Мясные","Бакалея","Напитки"),CHOOSE(MOD(A635-1,4)+1,"Мягкая мебель","Корпусная","Офисная","Кухонная"))</f>
        <v>Мясные</v>
      </c>
      <c r="K635" s="12" t="n">
        <f aca="false">1000+MOD(A635*317+A635*A635*7,49001)</f>
        <v>26609</v>
      </c>
      <c r="L635" s="12" t="n">
        <f aca="false">1+MOD(A635*131,100)</f>
        <v>55</v>
      </c>
      <c r="M635" s="12" t="n">
        <f aca="false">INT(K635*(0.6+MOD(A635*43,21)/100))</f>
        <v>17029</v>
      </c>
      <c r="N635" s="12" t="n">
        <f aca="false">K635-M635</f>
        <v>9580</v>
      </c>
    </row>
    <row r="636" customFormat="false" ht="12.8" hidden="false" customHeight="false" outlineLevel="0" collapsed="false">
      <c r="A636" s="10" t="n">
        <f aca="false">A635+1</f>
        <v>635</v>
      </c>
      <c r="B636" s="11" t="n">
        <f aca="false">B635+1</f>
        <v>45561</v>
      </c>
      <c r="C636" s="10" t="n">
        <f aca="false">YEAR(B636)</f>
        <v>2024</v>
      </c>
      <c r="D636" s="10" t="n">
        <f aca="false">INT((MONTH(B636)-1)/3)+1</f>
        <v>3</v>
      </c>
      <c r="E636" s="10" t="n">
        <f aca="false">MONTH(B636)</f>
        <v>9</v>
      </c>
      <c r="F636" s="10" t="str">
        <f aca="false">CHOOSE(MOD(A636-1,5)+1,"Центр","Юг","Север","Запад","Восток")</f>
        <v>Восток</v>
      </c>
      <c r="G636" s="10" t="str">
        <f aca="false">"Округ_"&amp;(MOD(A636-1,5)+1)&amp;"_"&amp;(MOD(INT((A636-1)/5),5)+1)</f>
        <v>Округ_5_2</v>
      </c>
      <c r="H636" s="10" t="str">
        <f aca="false">"Город_"&amp;(MOD(A636-1,5)+1)&amp;"_"&amp;(MOD(INT((A636-1)/5),5)+1)&amp;"_"&amp;(MOD(INT((A636-1)/25),10)+1)</f>
        <v>Город_5_2_6</v>
      </c>
      <c r="I636" s="10" t="str">
        <f aca="false">CHOOSE(MOD(A636-1,4)+1,"Электроника","Одежда","Продукты","Мебель")</f>
        <v>Продукты</v>
      </c>
      <c r="J636" s="10" t="str">
        <f aca="false">CHOOSE(MOD(INT((A636-1)/4),4)+1,CHOOSE(MOD(A636-1,4)+1,"Смартфоны","Ноутбуки","Аксессуары","Аудио"),CHOOSE(MOD(A636-1,4)+1,"Верхняя одежда","Спортивная","Повседневная","Обувь"),CHOOSE(MOD(A636-1,4)+1,"Молочные","Мясные","Бакалея","Напитки"),CHOOSE(MOD(A636-1,4)+1,"Мягкая мебель","Корпусная","Офисная","Кухонная"))</f>
        <v>Бакалея</v>
      </c>
      <c r="K636" s="12" t="n">
        <f aca="false">1000+MOD(A636*317+A636*A636*7,49001)</f>
        <v>35809</v>
      </c>
      <c r="L636" s="12" t="n">
        <f aca="false">1+MOD(A636*131,100)</f>
        <v>86</v>
      </c>
      <c r="M636" s="12" t="n">
        <f aca="false">INT(K636*(0.6+MOD(A636*43,21)/100))</f>
        <v>23275</v>
      </c>
      <c r="N636" s="12" t="n">
        <f aca="false">K636-M636</f>
        <v>12534</v>
      </c>
    </row>
    <row r="637" customFormat="false" ht="12.8" hidden="false" customHeight="false" outlineLevel="0" collapsed="false">
      <c r="A637" s="10" t="n">
        <f aca="false">A636+1</f>
        <v>636</v>
      </c>
      <c r="B637" s="11" t="n">
        <f aca="false">B636+1</f>
        <v>45562</v>
      </c>
      <c r="C637" s="10" t="n">
        <f aca="false">YEAR(B637)</f>
        <v>2024</v>
      </c>
      <c r="D637" s="10" t="n">
        <f aca="false">INT((MONTH(B637)-1)/3)+1</f>
        <v>3</v>
      </c>
      <c r="E637" s="10" t="n">
        <f aca="false">MONTH(B637)</f>
        <v>9</v>
      </c>
      <c r="F637" s="10" t="str">
        <f aca="false">CHOOSE(MOD(A637-1,5)+1,"Центр","Юг","Север","Запад","Восток")</f>
        <v>Центр</v>
      </c>
      <c r="G637" s="10" t="str">
        <f aca="false">"Округ_"&amp;(MOD(A637-1,5)+1)&amp;"_"&amp;(MOD(INT((A637-1)/5),5)+1)</f>
        <v>Округ_1_3</v>
      </c>
      <c r="H637" s="10" t="str">
        <f aca="false">"Город_"&amp;(MOD(A637-1,5)+1)&amp;"_"&amp;(MOD(INT((A637-1)/5),5)+1)&amp;"_"&amp;(MOD(INT((A637-1)/25),10)+1)</f>
        <v>Город_1_3_6</v>
      </c>
      <c r="I637" s="10" t="str">
        <f aca="false">CHOOSE(MOD(A637-1,4)+1,"Электроника","Одежда","Продукты","Мебель")</f>
        <v>Мебель</v>
      </c>
      <c r="J637" s="10" t="str">
        <f aca="false">CHOOSE(MOD(INT((A637-1)/4),4)+1,CHOOSE(MOD(A637-1,4)+1,"Смартфоны","Ноутбуки","Аксессуары","Аудио"),CHOOSE(MOD(A637-1,4)+1,"Верхняя одежда","Спортивная","Повседневная","Обувь"),CHOOSE(MOD(A637-1,4)+1,"Молочные","Мясные","Бакалея","Напитки"),CHOOSE(MOD(A637-1,4)+1,"Мягкая мебель","Корпусная","Офисная","Кухонная"))</f>
        <v>Напитки</v>
      </c>
      <c r="K637" s="12" t="n">
        <f aca="false">1000+MOD(A637*317+A637*A637*7,49001)</f>
        <v>45023</v>
      </c>
      <c r="L637" s="12" t="n">
        <f aca="false">1+MOD(A637*131,100)</f>
        <v>17</v>
      </c>
      <c r="M637" s="12" t="n">
        <f aca="false">INT(K637*(0.6+MOD(A637*43,21)/100))</f>
        <v>29715</v>
      </c>
      <c r="N637" s="12" t="n">
        <f aca="false">K637-M637</f>
        <v>15308</v>
      </c>
    </row>
    <row r="638" customFormat="false" ht="12.8" hidden="false" customHeight="false" outlineLevel="0" collapsed="false">
      <c r="A638" s="10" t="n">
        <f aca="false">A637+1</f>
        <v>637</v>
      </c>
      <c r="B638" s="11" t="n">
        <f aca="false">B637+1</f>
        <v>45563</v>
      </c>
      <c r="C638" s="10" t="n">
        <f aca="false">YEAR(B638)</f>
        <v>2024</v>
      </c>
      <c r="D638" s="10" t="n">
        <f aca="false">INT((MONTH(B638)-1)/3)+1</f>
        <v>3</v>
      </c>
      <c r="E638" s="10" t="n">
        <f aca="false">MONTH(B638)</f>
        <v>9</v>
      </c>
      <c r="F638" s="10" t="str">
        <f aca="false">CHOOSE(MOD(A638-1,5)+1,"Центр","Юг","Север","Запад","Восток")</f>
        <v>Юг</v>
      </c>
      <c r="G638" s="10" t="str">
        <f aca="false">"Округ_"&amp;(MOD(A638-1,5)+1)&amp;"_"&amp;(MOD(INT((A638-1)/5),5)+1)</f>
        <v>Округ_2_3</v>
      </c>
      <c r="H638" s="10" t="str">
        <f aca="false">"Город_"&amp;(MOD(A638-1,5)+1)&amp;"_"&amp;(MOD(INT((A638-1)/5),5)+1)&amp;"_"&amp;(MOD(INT((A638-1)/25),10)+1)</f>
        <v>Город_2_3_6</v>
      </c>
      <c r="I638" s="10" t="str">
        <f aca="false">CHOOSE(MOD(A638-1,4)+1,"Электроника","Одежда","Продукты","Мебель")</f>
        <v>Электроника</v>
      </c>
      <c r="J638" s="10" t="str">
        <f aca="false">CHOOSE(MOD(INT((A638-1)/4),4)+1,CHOOSE(MOD(A638-1,4)+1,"Смартфоны","Ноутбуки","Аксессуары","Аудио"),CHOOSE(MOD(A638-1,4)+1,"Верхняя одежда","Спортивная","Повседневная","Обувь"),CHOOSE(MOD(A638-1,4)+1,"Молочные","Мясные","Бакалея","Напитки"),CHOOSE(MOD(A638-1,4)+1,"Мягкая мебель","Корпусная","Офисная","Кухонная"))</f>
        <v>Мягкая мебель</v>
      </c>
      <c r="K638" s="12" t="n">
        <f aca="false">1000+MOD(A638*317+A638*A638*7,49001)</f>
        <v>5250</v>
      </c>
      <c r="L638" s="12" t="n">
        <f aca="false">1+MOD(A638*131,100)</f>
        <v>48</v>
      </c>
      <c r="M638" s="12" t="n">
        <f aca="false">INT(K638*(0.6+MOD(A638*43,21)/100))</f>
        <v>3517</v>
      </c>
      <c r="N638" s="12" t="n">
        <f aca="false">K638-M638</f>
        <v>1733</v>
      </c>
    </row>
    <row r="639" customFormat="false" ht="12.8" hidden="false" customHeight="false" outlineLevel="0" collapsed="false">
      <c r="A639" s="10" t="n">
        <f aca="false">A638+1</f>
        <v>638</v>
      </c>
      <c r="B639" s="11" t="n">
        <f aca="false">B638+1</f>
        <v>45564</v>
      </c>
      <c r="C639" s="10" t="n">
        <f aca="false">YEAR(B639)</f>
        <v>2024</v>
      </c>
      <c r="D639" s="10" t="n">
        <f aca="false">INT((MONTH(B639)-1)/3)+1</f>
        <v>3</v>
      </c>
      <c r="E639" s="10" t="n">
        <f aca="false">MONTH(B639)</f>
        <v>9</v>
      </c>
      <c r="F639" s="10" t="str">
        <f aca="false">CHOOSE(MOD(A639-1,5)+1,"Центр","Юг","Север","Запад","Восток")</f>
        <v>Север</v>
      </c>
      <c r="G639" s="10" t="str">
        <f aca="false">"Округ_"&amp;(MOD(A639-1,5)+1)&amp;"_"&amp;(MOD(INT((A639-1)/5),5)+1)</f>
        <v>Округ_3_3</v>
      </c>
      <c r="H639" s="10" t="str">
        <f aca="false">"Город_"&amp;(MOD(A639-1,5)+1)&amp;"_"&amp;(MOD(INT((A639-1)/5),5)+1)&amp;"_"&amp;(MOD(INT((A639-1)/25),10)+1)</f>
        <v>Город_3_3_6</v>
      </c>
      <c r="I639" s="10" t="str">
        <f aca="false">CHOOSE(MOD(A639-1,4)+1,"Электроника","Одежда","Продукты","Мебель")</f>
        <v>Одежда</v>
      </c>
      <c r="J639" s="10" t="str">
        <f aca="false">CHOOSE(MOD(INT((A639-1)/4),4)+1,CHOOSE(MOD(A639-1,4)+1,"Смартфоны","Ноутбуки","Аксессуары","Аудио"),CHOOSE(MOD(A639-1,4)+1,"Верхняя одежда","Спортивная","Повседневная","Обувь"),CHOOSE(MOD(A639-1,4)+1,"Молочные","Мясные","Бакалея","Напитки"),CHOOSE(MOD(A639-1,4)+1,"Мягкая мебель","Корпусная","Офисная","Кухонная"))</f>
        <v>Корпусная</v>
      </c>
      <c r="K639" s="12" t="n">
        <f aca="false">1000+MOD(A639*317+A639*A639*7,49001)</f>
        <v>14492</v>
      </c>
      <c r="L639" s="12" t="n">
        <f aca="false">1+MOD(A639*131,100)</f>
        <v>79</v>
      </c>
      <c r="M639" s="12" t="n">
        <f aca="false">INT(K639*(0.6+MOD(A639*43,21)/100))</f>
        <v>9854</v>
      </c>
      <c r="N639" s="12" t="n">
        <f aca="false">K639-M639</f>
        <v>4638</v>
      </c>
    </row>
    <row r="640" customFormat="false" ht="12.8" hidden="false" customHeight="false" outlineLevel="0" collapsed="false">
      <c r="A640" s="10" t="n">
        <f aca="false">A639+1</f>
        <v>639</v>
      </c>
      <c r="B640" s="11" t="n">
        <f aca="false">B639+1</f>
        <v>45565</v>
      </c>
      <c r="C640" s="10" t="n">
        <f aca="false">YEAR(B640)</f>
        <v>2024</v>
      </c>
      <c r="D640" s="10" t="n">
        <f aca="false">INT((MONTH(B640)-1)/3)+1</f>
        <v>3</v>
      </c>
      <c r="E640" s="10" t="n">
        <f aca="false">MONTH(B640)</f>
        <v>9</v>
      </c>
      <c r="F640" s="10" t="str">
        <f aca="false">CHOOSE(MOD(A640-1,5)+1,"Центр","Юг","Север","Запад","Восток")</f>
        <v>Запад</v>
      </c>
      <c r="G640" s="10" t="str">
        <f aca="false">"Округ_"&amp;(MOD(A640-1,5)+1)&amp;"_"&amp;(MOD(INT((A640-1)/5),5)+1)</f>
        <v>Округ_4_3</v>
      </c>
      <c r="H640" s="10" t="str">
        <f aca="false">"Город_"&amp;(MOD(A640-1,5)+1)&amp;"_"&amp;(MOD(INT((A640-1)/5),5)+1)&amp;"_"&amp;(MOD(INT((A640-1)/25),10)+1)</f>
        <v>Город_4_3_6</v>
      </c>
      <c r="I640" s="10" t="str">
        <f aca="false">CHOOSE(MOD(A640-1,4)+1,"Электроника","Одежда","Продукты","Мебель")</f>
        <v>Продукты</v>
      </c>
      <c r="J640" s="10" t="str">
        <f aca="false">CHOOSE(MOD(INT((A640-1)/4),4)+1,CHOOSE(MOD(A640-1,4)+1,"Смартфоны","Ноутбуки","Аксессуары","Аудио"),CHOOSE(MOD(A640-1,4)+1,"Верхняя одежда","Спортивная","Повседневная","Обувь"),CHOOSE(MOD(A640-1,4)+1,"Молочные","Мясные","Бакалея","Напитки"),CHOOSE(MOD(A640-1,4)+1,"Мягкая мебель","Корпусная","Офисная","Кухонная"))</f>
        <v>Офисная</v>
      </c>
      <c r="K640" s="12" t="n">
        <f aca="false">1000+MOD(A640*317+A640*A640*7,49001)</f>
        <v>23748</v>
      </c>
      <c r="L640" s="12" t="n">
        <f aca="false">1+MOD(A640*131,100)</f>
        <v>10</v>
      </c>
      <c r="M640" s="12" t="n">
        <f aca="false">INT(K640*(0.6+MOD(A640*43,21)/100))</f>
        <v>16386</v>
      </c>
      <c r="N640" s="12" t="n">
        <f aca="false">K640-M640</f>
        <v>7362</v>
      </c>
    </row>
    <row r="641" customFormat="false" ht="12.8" hidden="false" customHeight="false" outlineLevel="0" collapsed="false">
      <c r="A641" s="10" t="n">
        <f aca="false">A640+1</f>
        <v>640</v>
      </c>
      <c r="B641" s="11" t="n">
        <f aca="false">B640+1</f>
        <v>45566</v>
      </c>
      <c r="C641" s="10" t="n">
        <f aca="false">YEAR(B641)</f>
        <v>2024</v>
      </c>
      <c r="D641" s="10" t="n">
        <f aca="false">INT((MONTH(B641)-1)/3)+1</f>
        <v>4</v>
      </c>
      <c r="E641" s="10" t="n">
        <f aca="false">MONTH(B641)</f>
        <v>10</v>
      </c>
      <c r="F641" s="10" t="str">
        <f aca="false">CHOOSE(MOD(A641-1,5)+1,"Центр","Юг","Север","Запад","Восток")</f>
        <v>Восток</v>
      </c>
      <c r="G641" s="10" t="str">
        <f aca="false">"Округ_"&amp;(MOD(A641-1,5)+1)&amp;"_"&amp;(MOD(INT((A641-1)/5),5)+1)</f>
        <v>Округ_5_3</v>
      </c>
      <c r="H641" s="10" t="str">
        <f aca="false">"Город_"&amp;(MOD(A641-1,5)+1)&amp;"_"&amp;(MOD(INT((A641-1)/5),5)+1)&amp;"_"&amp;(MOD(INT((A641-1)/25),10)+1)</f>
        <v>Город_5_3_6</v>
      </c>
      <c r="I641" s="10" t="str">
        <f aca="false">CHOOSE(MOD(A641-1,4)+1,"Электроника","Одежда","Продукты","Мебель")</f>
        <v>Мебель</v>
      </c>
      <c r="J641" s="10" t="str">
        <f aca="false">CHOOSE(MOD(INT((A641-1)/4),4)+1,CHOOSE(MOD(A641-1,4)+1,"Смартфоны","Ноутбуки","Аксессуары","Аудио"),CHOOSE(MOD(A641-1,4)+1,"Верхняя одежда","Спортивная","Повседневная","Обувь"),CHOOSE(MOD(A641-1,4)+1,"Молочные","Мясные","Бакалея","Напитки"),CHOOSE(MOD(A641-1,4)+1,"Мягкая мебель","Корпусная","Офисная","Кухонная"))</f>
        <v>Кухонная</v>
      </c>
      <c r="K641" s="12" t="n">
        <f aca="false">1000+MOD(A641*317+A641*A641*7,49001)</f>
        <v>33018</v>
      </c>
      <c r="L641" s="12" t="n">
        <f aca="false">1+MOD(A641*131,100)</f>
        <v>41</v>
      </c>
      <c r="M641" s="12" t="n">
        <f aca="false">INT(K641*(0.6+MOD(A641*43,21)/100))</f>
        <v>23112</v>
      </c>
      <c r="N641" s="12" t="n">
        <f aca="false">K641-M641</f>
        <v>9906</v>
      </c>
    </row>
    <row r="642" customFormat="false" ht="12.8" hidden="false" customHeight="false" outlineLevel="0" collapsed="false">
      <c r="A642" s="10" t="n">
        <f aca="false">A641+1</f>
        <v>641</v>
      </c>
      <c r="B642" s="11" t="n">
        <f aca="false">B641+1</f>
        <v>45567</v>
      </c>
      <c r="C642" s="10" t="n">
        <f aca="false">YEAR(B642)</f>
        <v>2024</v>
      </c>
      <c r="D642" s="10" t="n">
        <f aca="false">INT((MONTH(B642)-1)/3)+1</f>
        <v>4</v>
      </c>
      <c r="E642" s="10" t="n">
        <f aca="false">MONTH(B642)</f>
        <v>10</v>
      </c>
      <c r="F642" s="10" t="str">
        <f aca="false">CHOOSE(MOD(A642-1,5)+1,"Центр","Юг","Север","Запад","Восток")</f>
        <v>Центр</v>
      </c>
      <c r="G642" s="10" t="str">
        <f aca="false">"Округ_"&amp;(MOD(A642-1,5)+1)&amp;"_"&amp;(MOD(INT((A642-1)/5),5)+1)</f>
        <v>Округ_1_4</v>
      </c>
      <c r="H642" s="10" t="str">
        <f aca="false">"Город_"&amp;(MOD(A642-1,5)+1)&amp;"_"&amp;(MOD(INT((A642-1)/5),5)+1)&amp;"_"&amp;(MOD(INT((A642-1)/25),10)+1)</f>
        <v>Город_1_4_6</v>
      </c>
      <c r="I642" s="10" t="str">
        <f aca="false">CHOOSE(MOD(A642-1,4)+1,"Электроника","Одежда","Продукты","Мебель")</f>
        <v>Электроника</v>
      </c>
      <c r="J642" s="10" t="str">
        <f aca="false">CHOOSE(MOD(INT((A642-1)/4),4)+1,CHOOSE(MOD(A642-1,4)+1,"Смартфоны","Ноутбуки","Аксессуары","Аудио"),CHOOSE(MOD(A642-1,4)+1,"Верхняя одежда","Спортивная","Повседневная","Обувь"),CHOOSE(MOD(A642-1,4)+1,"Молочные","Мясные","Бакалея","Напитки"),CHOOSE(MOD(A642-1,4)+1,"Мягкая мебель","Корпусная","Офисная","Кухонная"))</f>
        <v>Смартфоны</v>
      </c>
      <c r="K642" s="12" t="n">
        <f aca="false">1000+MOD(A642*317+A642*A642*7,49001)</f>
        <v>42302</v>
      </c>
      <c r="L642" s="12" t="n">
        <f aca="false">1+MOD(A642*131,100)</f>
        <v>72</v>
      </c>
      <c r="M642" s="12" t="n">
        <f aca="false">INT(K642*(0.6+MOD(A642*43,21)/100))</f>
        <v>30034</v>
      </c>
      <c r="N642" s="12" t="n">
        <f aca="false">K642-M642</f>
        <v>12268</v>
      </c>
    </row>
    <row r="643" customFormat="false" ht="12.8" hidden="false" customHeight="false" outlineLevel="0" collapsed="false">
      <c r="A643" s="10" t="n">
        <f aca="false">A642+1</f>
        <v>642</v>
      </c>
      <c r="B643" s="11" t="n">
        <f aca="false">B642+1</f>
        <v>45568</v>
      </c>
      <c r="C643" s="10" t="n">
        <f aca="false">YEAR(B643)</f>
        <v>2024</v>
      </c>
      <c r="D643" s="10" t="n">
        <f aca="false">INT((MONTH(B643)-1)/3)+1</f>
        <v>4</v>
      </c>
      <c r="E643" s="10" t="n">
        <f aca="false">MONTH(B643)</f>
        <v>10</v>
      </c>
      <c r="F643" s="10" t="str">
        <f aca="false">CHOOSE(MOD(A643-1,5)+1,"Центр","Юг","Север","Запад","Восток")</f>
        <v>Юг</v>
      </c>
      <c r="G643" s="10" t="str">
        <f aca="false">"Округ_"&amp;(MOD(A643-1,5)+1)&amp;"_"&amp;(MOD(INT((A643-1)/5),5)+1)</f>
        <v>Округ_2_4</v>
      </c>
      <c r="H643" s="10" t="str">
        <f aca="false">"Город_"&amp;(MOD(A643-1,5)+1)&amp;"_"&amp;(MOD(INT((A643-1)/5),5)+1)&amp;"_"&amp;(MOD(INT((A643-1)/25),10)+1)</f>
        <v>Город_2_4_6</v>
      </c>
      <c r="I643" s="10" t="str">
        <f aca="false">CHOOSE(MOD(A643-1,4)+1,"Электроника","Одежда","Продукты","Мебель")</f>
        <v>Одежда</v>
      </c>
      <c r="J643" s="10" t="str">
        <f aca="false">CHOOSE(MOD(INT((A643-1)/4),4)+1,CHOOSE(MOD(A643-1,4)+1,"Смартфоны","Ноутбуки","Аксессуары","Аудио"),CHOOSE(MOD(A643-1,4)+1,"Верхняя одежда","Спортивная","Повседневная","Обувь"),CHOOSE(MOD(A643-1,4)+1,"Молочные","Мясные","Бакалея","Напитки"),CHOOSE(MOD(A643-1,4)+1,"Мягкая мебель","Корпусная","Офисная","Кухонная"))</f>
        <v>Ноутбуки</v>
      </c>
      <c r="K643" s="12" t="n">
        <f aca="false">1000+MOD(A643*317+A643*A643*7,49001)</f>
        <v>2599</v>
      </c>
      <c r="L643" s="12" t="n">
        <f aca="false">1+MOD(A643*131,100)</f>
        <v>3</v>
      </c>
      <c r="M643" s="12" t="n">
        <f aca="false">INT(K643*(0.6+MOD(A643*43,21)/100))</f>
        <v>1871</v>
      </c>
      <c r="N643" s="12" t="n">
        <f aca="false">K643-M643</f>
        <v>728</v>
      </c>
    </row>
    <row r="644" customFormat="false" ht="12.8" hidden="false" customHeight="false" outlineLevel="0" collapsed="false">
      <c r="A644" s="10" t="n">
        <f aca="false">A643+1</f>
        <v>643</v>
      </c>
      <c r="B644" s="11" t="n">
        <f aca="false">B643+1</f>
        <v>45569</v>
      </c>
      <c r="C644" s="10" t="n">
        <f aca="false">YEAR(B644)</f>
        <v>2024</v>
      </c>
      <c r="D644" s="10" t="n">
        <f aca="false">INT((MONTH(B644)-1)/3)+1</f>
        <v>4</v>
      </c>
      <c r="E644" s="10" t="n">
        <f aca="false">MONTH(B644)</f>
        <v>10</v>
      </c>
      <c r="F644" s="10" t="str">
        <f aca="false">CHOOSE(MOD(A644-1,5)+1,"Центр","Юг","Север","Запад","Восток")</f>
        <v>Север</v>
      </c>
      <c r="G644" s="10" t="str">
        <f aca="false">"Округ_"&amp;(MOD(A644-1,5)+1)&amp;"_"&amp;(MOD(INT((A644-1)/5),5)+1)</f>
        <v>Округ_3_4</v>
      </c>
      <c r="H644" s="10" t="str">
        <f aca="false">"Город_"&amp;(MOD(A644-1,5)+1)&amp;"_"&amp;(MOD(INT((A644-1)/5),5)+1)&amp;"_"&amp;(MOD(INT((A644-1)/25),10)+1)</f>
        <v>Город_3_4_6</v>
      </c>
      <c r="I644" s="10" t="str">
        <f aca="false">CHOOSE(MOD(A644-1,4)+1,"Электроника","Одежда","Продукты","Мебель")</f>
        <v>Продукты</v>
      </c>
      <c r="J644" s="10" t="str">
        <f aca="false">CHOOSE(MOD(INT((A644-1)/4),4)+1,CHOOSE(MOD(A644-1,4)+1,"Смартфоны","Ноутбуки","Аксессуары","Аудио"),CHOOSE(MOD(A644-1,4)+1,"Верхняя одежда","Спортивная","Повседневная","Обувь"),CHOOSE(MOD(A644-1,4)+1,"Молочные","Мясные","Бакалея","Напитки"),CHOOSE(MOD(A644-1,4)+1,"Мягкая мебель","Корпусная","Офисная","Кухонная"))</f>
        <v>Аксессуары</v>
      </c>
      <c r="K644" s="12" t="n">
        <f aca="false">1000+MOD(A644*317+A644*A644*7,49001)</f>
        <v>11911</v>
      </c>
      <c r="L644" s="12" t="n">
        <f aca="false">1+MOD(A644*131,100)</f>
        <v>34</v>
      </c>
      <c r="M644" s="12" t="n">
        <f aca="false">INT(K644*(0.6+MOD(A644*43,21)/100))</f>
        <v>8695</v>
      </c>
      <c r="N644" s="12" t="n">
        <f aca="false">K644-M644</f>
        <v>3216</v>
      </c>
    </row>
    <row r="645" customFormat="false" ht="12.8" hidden="false" customHeight="false" outlineLevel="0" collapsed="false">
      <c r="A645" s="10" t="n">
        <f aca="false">A644+1</f>
        <v>644</v>
      </c>
      <c r="B645" s="11" t="n">
        <f aca="false">B644+1</f>
        <v>45570</v>
      </c>
      <c r="C645" s="10" t="n">
        <f aca="false">YEAR(B645)</f>
        <v>2024</v>
      </c>
      <c r="D645" s="10" t="n">
        <f aca="false">INT((MONTH(B645)-1)/3)+1</f>
        <v>4</v>
      </c>
      <c r="E645" s="10" t="n">
        <f aca="false">MONTH(B645)</f>
        <v>10</v>
      </c>
      <c r="F645" s="10" t="str">
        <f aca="false">CHOOSE(MOD(A645-1,5)+1,"Центр","Юг","Север","Запад","Восток")</f>
        <v>Запад</v>
      </c>
      <c r="G645" s="10" t="str">
        <f aca="false">"Округ_"&amp;(MOD(A645-1,5)+1)&amp;"_"&amp;(MOD(INT((A645-1)/5),5)+1)</f>
        <v>Округ_4_4</v>
      </c>
      <c r="H645" s="10" t="str">
        <f aca="false">"Город_"&amp;(MOD(A645-1,5)+1)&amp;"_"&amp;(MOD(INT((A645-1)/5),5)+1)&amp;"_"&amp;(MOD(INT((A645-1)/25),10)+1)</f>
        <v>Город_4_4_6</v>
      </c>
      <c r="I645" s="10" t="str">
        <f aca="false">CHOOSE(MOD(A645-1,4)+1,"Электроника","Одежда","Продукты","Мебель")</f>
        <v>Мебель</v>
      </c>
      <c r="J645" s="10" t="str">
        <f aca="false">CHOOSE(MOD(INT((A645-1)/4),4)+1,CHOOSE(MOD(A645-1,4)+1,"Смартфоны","Ноутбуки","Аксессуары","Аудио"),CHOOSE(MOD(A645-1,4)+1,"Верхняя одежда","Спортивная","Повседневная","Обувь"),CHOOSE(MOD(A645-1,4)+1,"Молочные","Мясные","Бакалея","Напитки"),CHOOSE(MOD(A645-1,4)+1,"Мягкая мебель","Корпусная","Офисная","Кухонная"))</f>
        <v>Аудио</v>
      </c>
      <c r="K645" s="12" t="n">
        <f aca="false">1000+MOD(A645*317+A645*A645*7,49001)</f>
        <v>21237</v>
      </c>
      <c r="L645" s="12" t="n">
        <f aca="false">1+MOD(A645*131,100)</f>
        <v>65</v>
      </c>
      <c r="M645" s="12" t="n">
        <f aca="false">INT(K645*(0.6+MOD(A645*43,21)/100))</f>
        <v>15715</v>
      </c>
      <c r="N645" s="12" t="n">
        <f aca="false">K645-M645</f>
        <v>5522</v>
      </c>
    </row>
    <row r="646" customFormat="false" ht="12.8" hidden="false" customHeight="false" outlineLevel="0" collapsed="false">
      <c r="A646" s="10" t="n">
        <f aca="false">A645+1</f>
        <v>645</v>
      </c>
      <c r="B646" s="11" t="n">
        <f aca="false">B645+1</f>
        <v>45571</v>
      </c>
      <c r="C646" s="10" t="n">
        <f aca="false">YEAR(B646)</f>
        <v>2024</v>
      </c>
      <c r="D646" s="10" t="n">
        <f aca="false">INT((MONTH(B646)-1)/3)+1</f>
        <v>4</v>
      </c>
      <c r="E646" s="10" t="n">
        <f aca="false">MONTH(B646)</f>
        <v>10</v>
      </c>
      <c r="F646" s="10" t="str">
        <f aca="false">CHOOSE(MOD(A646-1,5)+1,"Центр","Юг","Север","Запад","Восток")</f>
        <v>Восток</v>
      </c>
      <c r="G646" s="10" t="str">
        <f aca="false">"Округ_"&amp;(MOD(A646-1,5)+1)&amp;"_"&amp;(MOD(INT((A646-1)/5),5)+1)</f>
        <v>Округ_5_4</v>
      </c>
      <c r="H646" s="10" t="str">
        <f aca="false">"Город_"&amp;(MOD(A646-1,5)+1)&amp;"_"&amp;(MOD(INT((A646-1)/5),5)+1)&amp;"_"&amp;(MOD(INT((A646-1)/25),10)+1)</f>
        <v>Город_5_4_6</v>
      </c>
      <c r="I646" s="10" t="str">
        <f aca="false">CHOOSE(MOD(A646-1,4)+1,"Электроника","Одежда","Продукты","Мебель")</f>
        <v>Электроника</v>
      </c>
      <c r="J646" s="10" t="str">
        <f aca="false">CHOOSE(MOD(INT((A646-1)/4),4)+1,CHOOSE(MOD(A646-1,4)+1,"Смартфоны","Ноутбуки","Аксессуары","Аудио"),CHOOSE(MOD(A646-1,4)+1,"Верхняя одежда","Спортивная","Повседневная","Обувь"),CHOOSE(MOD(A646-1,4)+1,"Молочные","Мясные","Бакалея","Напитки"),CHOOSE(MOD(A646-1,4)+1,"Мягкая мебель","Корпусная","Офисная","Кухонная"))</f>
        <v>Верхняя одежда</v>
      </c>
      <c r="K646" s="12" t="n">
        <f aca="false">1000+MOD(A646*317+A646*A646*7,49001)</f>
        <v>30577</v>
      </c>
      <c r="L646" s="12" t="n">
        <f aca="false">1+MOD(A646*131,100)</f>
        <v>96</v>
      </c>
      <c r="M646" s="12" t="n">
        <f aca="false">INT(K646*(0.6+MOD(A646*43,21)/100))</f>
        <v>22932</v>
      </c>
      <c r="N646" s="12" t="n">
        <f aca="false">K646-M646</f>
        <v>7645</v>
      </c>
    </row>
    <row r="647" customFormat="false" ht="12.8" hidden="false" customHeight="false" outlineLevel="0" collapsed="false">
      <c r="A647" s="10" t="n">
        <f aca="false">A646+1</f>
        <v>646</v>
      </c>
      <c r="B647" s="11" t="n">
        <f aca="false">B646+1</f>
        <v>45572</v>
      </c>
      <c r="C647" s="10" t="n">
        <f aca="false">YEAR(B647)</f>
        <v>2024</v>
      </c>
      <c r="D647" s="10" t="n">
        <f aca="false">INT((MONTH(B647)-1)/3)+1</f>
        <v>4</v>
      </c>
      <c r="E647" s="10" t="n">
        <f aca="false">MONTH(B647)</f>
        <v>10</v>
      </c>
      <c r="F647" s="10" t="str">
        <f aca="false">CHOOSE(MOD(A647-1,5)+1,"Центр","Юг","Север","Запад","Восток")</f>
        <v>Центр</v>
      </c>
      <c r="G647" s="10" t="str">
        <f aca="false">"Округ_"&amp;(MOD(A647-1,5)+1)&amp;"_"&amp;(MOD(INT((A647-1)/5),5)+1)</f>
        <v>Округ_1_5</v>
      </c>
      <c r="H647" s="10" t="str">
        <f aca="false">"Город_"&amp;(MOD(A647-1,5)+1)&amp;"_"&amp;(MOD(INT((A647-1)/5),5)+1)&amp;"_"&amp;(MOD(INT((A647-1)/25),10)+1)</f>
        <v>Город_1_5_6</v>
      </c>
      <c r="I647" s="10" t="str">
        <f aca="false">CHOOSE(MOD(A647-1,4)+1,"Электроника","Одежда","Продукты","Мебель")</f>
        <v>Одежда</v>
      </c>
      <c r="J647" s="10" t="str">
        <f aca="false">CHOOSE(MOD(INT((A647-1)/4),4)+1,CHOOSE(MOD(A647-1,4)+1,"Смартфоны","Ноутбуки","Аксессуары","Аудио"),CHOOSE(MOD(A647-1,4)+1,"Верхняя одежда","Спортивная","Повседневная","Обувь"),CHOOSE(MOD(A647-1,4)+1,"Молочные","Мясные","Бакалея","Напитки"),CHOOSE(MOD(A647-1,4)+1,"Мягкая мебель","Корпусная","Офисная","Кухонная"))</f>
        <v>Спортивная</v>
      </c>
      <c r="K647" s="12" t="n">
        <f aca="false">1000+MOD(A647*317+A647*A647*7,49001)</f>
        <v>39931</v>
      </c>
      <c r="L647" s="12" t="n">
        <f aca="false">1+MOD(A647*131,100)</f>
        <v>27</v>
      </c>
      <c r="M647" s="12" t="n">
        <f aca="false">INT(K647*(0.6+MOD(A647*43,21)/100))</f>
        <v>30347</v>
      </c>
      <c r="N647" s="12" t="n">
        <f aca="false">K647-M647</f>
        <v>9584</v>
      </c>
    </row>
    <row r="648" customFormat="false" ht="12.8" hidden="false" customHeight="false" outlineLevel="0" collapsed="false">
      <c r="A648" s="10" t="n">
        <f aca="false">A647+1</f>
        <v>647</v>
      </c>
      <c r="B648" s="11" t="n">
        <f aca="false">B647+1</f>
        <v>45573</v>
      </c>
      <c r="C648" s="10" t="n">
        <f aca="false">YEAR(B648)</f>
        <v>2024</v>
      </c>
      <c r="D648" s="10" t="n">
        <f aca="false">INT((MONTH(B648)-1)/3)+1</f>
        <v>4</v>
      </c>
      <c r="E648" s="10" t="n">
        <f aca="false">MONTH(B648)</f>
        <v>10</v>
      </c>
      <c r="F648" s="10" t="str">
        <f aca="false">CHOOSE(MOD(A648-1,5)+1,"Центр","Юг","Север","Запад","Восток")</f>
        <v>Юг</v>
      </c>
      <c r="G648" s="10" t="str">
        <f aca="false">"Округ_"&amp;(MOD(A648-1,5)+1)&amp;"_"&amp;(MOD(INT((A648-1)/5),5)+1)</f>
        <v>Округ_2_5</v>
      </c>
      <c r="H648" s="10" t="str">
        <f aca="false">"Город_"&amp;(MOD(A648-1,5)+1)&amp;"_"&amp;(MOD(INT((A648-1)/5),5)+1)&amp;"_"&amp;(MOD(INT((A648-1)/25),10)+1)</f>
        <v>Город_2_5_6</v>
      </c>
      <c r="I648" s="10" t="str">
        <f aca="false">CHOOSE(MOD(A648-1,4)+1,"Электроника","Одежда","Продукты","Мебель")</f>
        <v>Продукты</v>
      </c>
      <c r="J648" s="10" t="str">
        <f aca="false">CHOOSE(MOD(INT((A648-1)/4),4)+1,CHOOSE(MOD(A648-1,4)+1,"Смартфоны","Ноутбуки","Аксессуары","Аудио"),CHOOSE(MOD(A648-1,4)+1,"Верхняя одежда","Спортивная","Повседневная","Обувь"),CHOOSE(MOD(A648-1,4)+1,"Молочные","Мясные","Бакалея","Напитки"),CHOOSE(MOD(A648-1,4)+1,"Мягкая мебель","Корпусная","Офисная","Кухонная"))</f>
        <v>Повседневная</v>
      </c>
      <c r="K648" s="12" t="n">
        <f aca="false">1000+MOD(A648*317+A648*A648*7,49001)</f>
        <v>49299</v>
      </c>
      <c r="L648" s="12" t="n">
        <f aca="false">1+MOD(A648*131,100)</f>
        <v>58</v>
      </c>
      <c r="M648" s="12" t="n">
        <f aca="false">INT(K648*(0.6+MOD(A648*43,21)/100))</f>
        <v>37960</v>
      </c>
      <c r="N648" s="12" t="n">
        <f aca="false">K648-M648</f>
        <v>11339</v>
      </c>
    </row>
    <row r="649" customFormat="false" ht="12.8" hidden="false" customHeight="false" outlineLevel="0" collapsed="false">
      <c r="A649" s="10" t="n">
        <f aca="false">A648+1</f>
        <v>648</v>
      </c>
      <c r="B649" s="11" t="n">
        <f aca="false">B648+1</f>
        <v>45574</v>
      </c>
      <c r="C649" s="10" t="n">
        <f aca="false">YEAR(B649)</f>
        <v>2024</v>
      </c>
      <c r="D649" s="10" t="n">
        <f aca="false">INT((MONTH(B649)-1)/3)+1</f>
        <v>4</v>
      </c>
      <c r="E649" s="10" t="n">
        <f aca="false">MONTH(B649)</f>
        <v>10</v>
      </c>
      <c r="F649" s="10" t="str">
        <f aca="false">CHOOSE(MOD(A649-1,5)+1,"Центр","Юг","Север","Запад","Восток")</f>
        <v>Север</v>
      </c>
      <c r="G649" s="10" t="str">
        <f aca="false">"Округ_"&amp;(MOD(A649-1,5)+1)&amp;"_"&amp;(MOD(INT((A649-1)/5),5)+1)</f>
        <v>Округ_3_5</v>
      </c>
      <c r="H649" s="10" t="str">
        <f aca="false">"Город_"&amp;(MOD(A649-1,5)+1)&amp;"_"&amp;(MOD(INT((A649-1)/5),5)+1)&amp;"_"&amp;(MOD(INT((A649-1)/25),10)+1)</f>
        <v>Город_3_5_6</v>
      </c>
      <c r="I649" s="10" t="str">
        <f aca="false">CHOOSE(MOD(A649-1,4)+1,"Электроника","Одежда","Продукты","Мебель")</f>
        <v>Мебель</v>
      </c>
      <c r="J649" s="10" t="str">
        <f aca="false">CHOOSE(MOD(INT((A649-1)/4),4)+1,CHOOSE(MOD(A649-1,4)+1,"Смартфоны","Ноутбуки","Аксессуары","Аудио"),CHOOSE(MOD(A649-1,4)+1,"Верхняя одежда","Спортивная","Повседневная","Обувь"),CHOOSE(MOD(A649-1,4)+1,"Молочные","Мясные","Бакалея","Напитки"),CHOOSE(MOD(A649-1,4)+1,"Мягкая мебель","Корпусная","Офисная","Кухонная"))</f>
        <v>Обувь</v>
      </c>
      <c r="K649" s="12" t="n">
        <f aca="false">1000+MOD(A649*317+A649*A649*7,49001)</f>
        <v>9680</v>
      </c>
      <c r="L649" s="12" t="n">
        <f aca="false">1+MOD(A649*131,100)</f>
        <v>89</v>
      </c>
      <c r="M649" s="12" t="n">
        <f aca="false">INT(K649*(0.6+MOD(A649*43,21)/100))</f>
        <v>7550</v>
      </c>
      <c r="N649" s="12" t="n">
        <f aca="false">K649-M649</f>
        <v>2130</v>
      </c>
    </row>
    <row r="650" customFormat="false" ht="12.8" hidden="false" customHeight="false" outlineLevel="0" collapsed="false">
      <c r="A650" s="10" t="n">
        <f aca="false">A649+1</f>
        <v>649</v>
      </c>
      <c r="B650" s="11" t="n">
        <f aca="false">B649+1</f>
        <v>45575</v>
      </c>
      <c r="C650" s="10" t="n">
        <f aca="false">YEAR(B650)</f>
        <v>2024</v>
      </c>
      <c r="D650" s="10" t="n">
        <f aca="false">INT((MONTH(B650)-1)/3)+1</f>
        <v>4</v>
      </c>
      <c r="E650" s="10" t="n">
        <f aca="false">MONTH(B650)</f>
        <v>10</v>
      </c>
      <c r="F650" s="10" t="str">
        <f aca="false">CHOOSE(MOD(A650-1,5)+1,"Центр","Юг","Север","Запад","Восток")</f>
        <v>Запад</v>
      </c>
      <c r="G650" s="10" t="str">
        <f aca="false">"Округ_"&amp;(MOD(A650-1,5)+1)&amp;"_"&amp;(MOD(INT((A650-1)/5),5)+1)</f>
        <v>Округ_4_5</v>
      </c>
      <c r="H650" s="10" t="str">
        <f aca="false">"Город_"&amp;(MOD(A650-1,5)+1)&amp;"_"&amp;(MOD(INT((A650-1)/5),5)+1)&amp;"_"&amp;(MOD(INT((A650-1)/25),10)+1)</f>
        <v>Город_4_5_6</v>
      </c>
      <c r="I650" s="10" t="str">
        <f aca="false">CHOOSE(MOD(A650-1,4)+1,"Электроника","Одежда","Продукты","Мебель")</f>
        <v>Электроника</v>
      </c>
      <c r="J650" s="10" t="str">
        <f aca="false">CHOOSE(MOD(INT((A650-1)/4),4)+1,CHOOSE(MOD(A650-1,4)+1,"Смартфоны","Ноутбуки","Аксессуары","Аудио"),CHOOSE(MOD(A650-1,4)+1,"Верхняя одежда","Спортивная","Повседневная","Обувь"),CHOOSE(MOD(A650-1,4)+1,"Молочные","Мясные","Бакалея","Напитки"),CHOOSE(MOD(A650-1,4)+1,"Мягкая мебель","Корпусная","Офисная","Кухонная"))</f>
        <v>Молочные</v>
      </c>
      <c r="K650" s="12" t="n">
        <f aca="false">1000+MOD(A650*317+A650*A650*7,49001)</f>
        <v>19076</v>
      </c>
      <c r="L650" s="12" t="n">
        <f aca="false">1+MOD(A650*131,100)</f>
        <v>20</v>
      </c>
      <c r="M650" s="12" t="n">
        <f aca="false">INT(K650*(0.6+MOD(A650*43,21)/100))</f>
        <v>15070</v>
      </c>
      <c r="N650" s="12" t="n">
        <f aca="false">K650-M650</f>
        <v>4006</v>
      </c>
    </row>
    <row r="651" customFormat="false" ht="12.8" hidden="false" customHeight="false" outlineLevel="0" collapsed="false">
      <c r="A651" s="10" t="n">
        <f aca="false">A650+1</f>
        <v>650</v>
      </c>
      <c r="B651" s="11" t="n">
        <f aca="false">B650+1</f>
        <v>45576</v>
      </c>
      <c r="C651" s="10" t="n">
        <f aca="false">YEAR(B651)</f>
        <v>2024</v>
      </c>
      <c r="D651" s="10" t="n">
        <f aca="false">INT((MONTH(B651)-1)/3)+1</f>
        <v>4</v>
      </c>
      <c r="E651" s="10" t="n">
        <f aca="false">MONTH(B651)</f>
        <v>10</v>
      </c>
      <c r="F651" s="10" t="str">
        <f aca="false">CHOOSE(MOD(A651-1,5)+1,"Центр","Юг","Север","Запад","Восток")</f>
        <v>Восток</v>
      </c>
      <c r="G651" s="10" t="str">
        <f aca="false">"Округ_"&amp;(MOD(A651-1,5)+1)&amp;"_"&amp;(MOD(INT((A651-1)/5),5)+1)</f>
        <v>Округ_5_5</v>
      </c>
      <c r="H651" s="10" t="str">
        <f aca="false">"Город_"&amp;(MOD(A651-1,5)+1)&amp;"_"&amp;(MOD(INT((A651-1)/5),5)+1)&amp;"_"&amp;(MOD(INT((A651-1)/25),10)+1)</f>
        <v>Город_5_5_6</v>
      </c>
      <c r="I651" s="10" t="str">
        <f aca="false">CHOOSE(MOD(A651-1,4)+1,"Электроника","Одежда","Продукты","Мебель")</f>
        <v>Одежда</v>
      </c>
      <c r="J651" s="10" t="str">
        <f aca="false">CHOOSE(MOD(INT((A651-1)/4),4)+1,CHOOSE(MOD(A651-1,4)+1,"Смартфоны","Ноутбуки","Аксессуары","Аудио"),CHOOSE(MOD(A651-1,4)+1,"Верхняя одежда","Спортивная","Повседневная","Обувь"),CHOOSE(MOD(A651-1,4)+1,"Молочные","Мясные","Бакалея","Напитки"),CHOOSE(MOD(A651-1,4)+1,"Мягкая мебель","Корпусная","Офисная","Кухонная"))</f>
        <v>Мясные</v>
      </c>
      <c r="K651" s="12" t="n">
        <f aca="false">1000+MOD(A651*317+A651*A651*7,49001)</f>
        <v>28486</v>
      </c>
      <c r="L651" s="12" t="n">
        <f aca="false">1+MOD(A651*131,100)</f>
        <v>51</v>
      </c>
      <c r="M651" s="12" t="n">
        <f aca="false">INT(K651*(0.6+MOD(A651*43,21)/100))</f>
        <v>22788</v>
      </c>
      <c r="N651" s="12" t="n">
        <f aca="false">K651-M651</f>
        <v>5698</v>
      </c>
    </row>
    <row r="652" customFormat="false" ht="12.8" hidden="false" customHeight="false" outlineLevel="0" collapsed="false">
      <c r="A652" s="10" t="n">
        <f aca="false">A651+1</f>
        <v>651</v>
      </c>
      <c r="B652" s="11" t="n">
        <f aca="false">B651+1</f>
        <v>45577</v>
      </c>
      <c r="C652" s="10" t="n">
        <f aca="false">YEAR(B652)</f>
        <v>2024</v>
      </c>
      <c r="D652" s="10" t="n">
        <f aca="false">INT((MONTH(B652)-1)/3)+1</f>
        <v>4</v>
      </c>
      <c r="E652" s="10" t="n">
        <f aca="false">MONTH(B652)</f>
        <v>10</v>
      </c>
      <c r="F652" s="10" t="str">
        <f aca="false">CHOOSE(MOD(A652-1,5)+1,"Центр","Юг","Север","Запад","Восток")</f>
        <v>Центр</v>
      </c>
      <c r="G652" s="10" t="str">
        <f aca="false">"Округ_"&amp;(MOD(A652-1,5)+1)&amp;"_"&amp;(MOD(INT((A652-1)/5),5)+1)</f>
        <v>Округ_1_1</v>
      </c>
      <c r="H652" s="10" t="str">
        <f aca="false">"Город_"&amp;(MOD(A652-1,5)+1)&amp;"_"&amp;(MOD(INT((A652-1)/5),5)+1)&amp;"_"&amp;(MOD(INT((A652-1)/25),10)+1)</f>
        <v>Город_1_1_7</v>
      </c>
      <c r="I652" s="10" t="str">
        <f aca="false">CHOOSE(MOD(A652-1,4)+1,"Электроника","Одежда","Продукты","Мебель")</f>
        <v>Продукты</v>
      </c>
      <c r="J652" s="10" t="str">
        <f aca="false">CHOOSE(MOD(INT((A652-1)/4),4)+1,CHOOSE(MOD(A652-1,4)+1,"Смартфоны","Ноутбуки","Аксессуары","Аудио"),CHOOSE(MOD(A652-1,4)+1,"Верхняя одежда","Спортивная","Повседневная","Обувь"),CHOOSE(MOD(A652-1,4)+1,"Молочные","Мясные","Бакалея","Напитки"),CHOOSE(MOD(A652-1,4)+1,"Мягкая мебель","Корпусная","Офисная","Кухонная"))</f>
        <v>Бакалея</v>
      </c>
      <c r="K652" s="12" t="n">
        <f aca="false">1000+MOD(A652*317+A652*A652*7,49001)</f>
        <v>37910</v>
      </c>
      <c r="L652" s="12" t="n">
        <f aca="false">1+MOD(A652*131,100)</f>
        <v>82</v>
      </c>
      <c r="M652" s="12" t="n">
        <f aca="false">INT(K652*(0.6+MOD(A652*43,21)/100))</f>
        <v>22746</v>
      </c>
      <c r="N652" s="12" t="n">
        <f aca="false">K652-M652</f>
        <v>15164</v>
      </c>
    </row>
    <row r="653" customFormat="false" ht="12.8" hidden="false" customHeight="false" outlineLevel="0" collapsed="false">
      <c r="A653" s="10" t="n">
        <f aca="false">A652+1</f>
        <v>652</v>
      </c>
      <c r="B653" s="11" t="n">
        <f aca="false">B652+1</f>
        <v>45578</v>
      </c>
      <c r="C653" s="10" t="n">
        <f aca="false">YEAR(B653)</f>
        <v>2024</v>
      </c>
      <c r="D653" s="10" t="n">
        <f aca="false">INT((MONTH(B653)-1)/3)+1</f>
        <v>4</v>
      </c>
      <c r="E653" s="10" t="n">
        <f aca="false">MONTH(B653)</f>
        <v>10</v>
      </c>
      <c r="F653" s="10" t="str">
        <f aca="false">CHOOSE(MOD(A653-1,5)+1,"Центр","Юг","Север","Запад","Восток")</f>
        <v>Юг</v>
      </c>
      <c r="G653" s="10" t="str">
        <f aca="false">"Округ_"&amp;(MOD(A653-1,5)+1)&amp;"_"&amp;(MOD(INT((A653-1)/5),5)+1)</f>
        <v>Округ_2_1</v>
      </c>
      <c r="H653" s="10" t="str">
        <f aca="false">"Город_"&amp;(MOD(A653-1,5)+1)&amp;"_"&amp;(MOD(INT((A653-1)/5),5)+1)&amp;"_"&amp;(MOD(INT((A653-1)/25),10)+1)</f>
        <v>Город_2_1_7</v>
      </c>
      <c r="I653" s="10" t="str">
        <f aca="false">CHOOSE(MOD(A653-1,4)+1,"Электроника","Одежда","Продукты","Мебель")</f>
        <v>Мебель</v>
      </c>
      <c r="J653" s="10" t="str">
        <f aca="false">CHOOSE(MOD(INT((A653-1)/4),4)+1,CHOOSE(MOD(A653-1,4)+1,"Смартфоны","Ноутбуки","Аксессуары","Аудио"),CHOOSE(MOD(A653-1,4)+1,"Верхняя одежда","Спортивная","Повседневная","Обувь"),CHOOSE(MOD(A653-1,4)+1,"Молочные","Мясные","Бакалея","Напитки"),CHOOSE(MOD(A653-1,4)+1,"Мягкая мебель","Корпусная","Офисная","Кухонная"))</f>
        <v>Напитки</v>
      </c>
      <c r="K653" s="12" t="n">
        <f aca="false">1000+MOD(A653*317+A653*A653*7,49001)</f>
        <v>47348</v>
      </c>
      <c r="L653" s="12" t="n">
        <f aca="false">1+MOD(A653*131,100)</f>
        <v>13</v>
      </c>
      <c r="M653" s="12" t="n">
        <f aca="false">INT(K653*(0.6+MOD(A653*43,21)/100))</f>
        <v>28882</v>
      </c>
      <c r="N653" s="12" t="n">
        <f aca="false">K653-M653</f>
        <v>18466</v>
      </c>
    </row>
    <row r="654" customFormat="false" ht="12.8" hidden="false" customHeight="false" outlineLevel="0" collapsed="false">
      <c r="A654" s="10" t="n">
        <f aca="false">A653+1</f>
        <v>653</v>
      </c>
      <c r="B654" s="11" t="n">
        <f aca="false">B653+1</f>
        <v>45579</v>
      </c>
      <c r="C654" s="10" t="n">
        <f aca="false">YEAR(B654)</f>
        <v>2024</v>
      </c>
      <c r="D654" s="10" t="n">
        <f aca="false">INT((MONTH(B654)-1)/3)+1</f>
        <v>4</v>
      </c>
      <c r="E654" s="10" t="n">
        <f aca="false">MONTH(B654)</f>
        <v>10</v>
      </c>
      <c r="F654" s="10" t="str">
        <f aca="false">CHOOSE(MOD(A654-1,5)+1,"Центр","Юг","Север","Запад","Восток")</f>
        <v>Север</v>
      </c>
      <c r="G654" s="10" t="str">
        <f aca="false">"Округ_"&amp;(MOD(A654-1,5)+1)&amp;"_"&amp;(MOD(INT((A654-1)/5),5)+1)</f>
        <v>Округ_3_1</v>
      </c>
      <c r="H654" s="10" t="str">
        <f aca="false">"Город_"&amp;(MOD(A654-1,5)+1)&amp;"_"&amp;(MOD(INT((A654-1)/5),5)+1)&amp;"_"&amp;(MOD(INT((A654-1)/25),10)+1)</f>
        <v>Город_3_1_7</v>
      </c>
      <c r="I654" s="10" t="str">
        <f aca="false">CHOOSE(MOD(A654-1,4)+1,"Электроника","Одежда","Продукты","Мебель")</f>
        <v>Электроника</v>
      </c>
      <c r="J654" s="10" t="str">
        <f aca="false">CHOOSE(MOD(INT((A654-1)/4),4)+1,CHOOSE(MOD(A654-1,4)+1,"Смартфоны","Ноутбуки","Аксессуары","Аудио"),CHOOSE(MOD(A654-1,4)+1,"Верхняя одежда","Спортивная","Повседневная","Обувь"),CHOOSE(MOD(A654-1,4)+1,"Молочные","Мясные","Бакалея","Напитки"),CHOOSE(MOD(A654-1,4)+1,"Мягкая мебель","Корпусная","Офисная","Кухонная"))</f>
        <v>Мягкая мебель</v>
      </c>
      <c r="K654" s="12" t="n">
        <f aca="false">1000+MOD(A654*317+A654*A654*7,49001)</f>
        <v>7799</v>
      </c>
      <c r="L654" s="12" t="n">
        <f aca="false">1+MOD(A654*131,100)</f>
        <v>44</v>
      </c>
      <c r="M654" s="12" t="n">
        <f aca="false">INT(K654*(0.6+MOD(A654*43,21)/100))</f>
        <v>4835</v>
      </c>
      <c r="N654" s="12" t="n">
        <f aca="false">K654-M654</f>
        <v>2964</v>
      </c>
    </row>
    <row r="655" customFormat="false" ht="12.8" hidden="false" customHeight="false" outlineLevel="0" collapsed="false">
      <c r="A655" s="10" t="n">
        <f aca="false">A654+1</f>
        <v>654</v>
      </c>
      <c r="B655" s="11" t="n">
        <f aca="false">B654+1</f>
        <v>45580</v>
      </c>
      <c r="C655" s="10" t="n">
        <f aca="false">YEAR(B655)</f>
        <v>2024</v>
      </c>
      <c r="D655" s="10" t="n">
        <f aca="false">INT((MONTH(B655)-1)/3)+1</f>
        <v>4</v>
      </c>
      <c r="E655" s="10" t="n">
        <f aca="false">MONTH(B655)</f>
        <v>10</v>
      </c>
      <c r="F655" s="10" t="str">
        <f aca="false">CHOOSE(MOD(A655-1,5)+1,"Центр","Юг","Север","Запад","Восток")</f>
        <v>Запад</v>
      </c>
      <c r="G655" s="10" t="str">
        <f aca="false">"Округ_"&amp;(MOD(A655-1,5)+1)&amp;"_"&amp;(MOD(INT((A655-1)/5),5)+1)</f>
        <v>Округ_4_1</v>
      </c>
      <c r="H655" s="10" t="str">
        <f aca="false">"Город_"&amp;(MOD(A655-1,5)+1)&amp;"_"&amp;(MOD(INT((A655-1)/5),5)+1)&amp;"_"&amp;(MOD(INT((A655-1)/25),10)+1)</f>
        <v>Город_4_1_7</v>
      </c>
      <c r="I655" s="10" t="str">
        <f aca="false">CHOOSE(MOD(A655-1,4)+1,"Электроника","Одежда","Продукты","Мебель")</f>
        <v>Одежда</v>
      </c>
      <c r="J655" s="10" t="str">
        <f aca="false">CHOOSE(MOD(INT((A655-1)/4),4)+1,CHOOSE(MOD(A655-1,4)+1,"Смартфоны","Ноутбуки","Аксессуары","Аудио"),CHOOSE(MOD(A655-1,4)+1,"Верхняя одежда","Спортивная","Повседневная","Обувь"),CHOOSE(MOD(A655-1,4)+1,"Молочные","Мясные","Бакалея","Напитки"),CHOOSE(MOD(A655-1,4)+1,"Мягкая мебель","Корпусная","Офисная","Кухонная"))</f>
        <v>Корпусная</v>
      </c>
      <c r="K655" s="12" t="n">
        <f aca="false">1000+MOD(A655*317+A655*A655*7,49001)</f>
        <v>17265</v>
      </c>
      <c r="L655" s="12" t="n">
        <f aca="false">1+MOD(A655*131,100)</f>
        <v>75</v>
      </c>
      <c r="M655" s="12" t="n">
        <f aca="false">INT(K655*(0.6+MOD(A655*43,21)/100))</f>
        <v>10876</v>
      </c>
      <c r="N655" s="12" t="n">
        <f aca="false">K655-M655</f>
        <v>6389</v>
      </c>
    </row>
    <row r="656" customFormat="false" ht="12.8" hidden="false" customHeight="false" outlineLevel="0" collapsed="false">
      <c r="A656" s="10" t="n">
        <f aca="false">A655+1</f>
        <v>655</v>
      </c>
      <c r="B656" s="11" t="n">
        <f aca="false">B655+1</f>
        <v>45581</v>
      </c>
      <c r="C656" s="10" t="n">
        <f aca="false">YEAR(B656)</f>
        <v>2024</v>
      </c>
      <c r="D656" s="10" t="n">
        <f aca="false">INT((MONTH(B656)-1)/3)+1</f>
        <v>4</v>
      </c>
      <c r="E656" s="10" t="n">
        <f aca="false">MONTH(B656)</f>
        <v>10</v>
      </c>
      <c r="F656" s="10" t="str">
        <f aca="false">CHOOSE(MOD(A656-1,5)+1,"Центр","Юг","Север","Запад","Восток")</f>
        <v>Восток</v>
      </c>
      <c r="G656" s="10" t="str">
        <f aca="false">"Округ_"&amp;(MOD(A656-1,5)+1)&amp;"_"&amp;(MOD(INT((A656-1)/5),5)+1)</f>
        <v>Округ_5_1</v>
      </c>
      <c r="H656" s="10" t="str">
        <f aca="false">"Город_"&amp;(MOD(A656-1,5)+1)&amp;"_"&amp;(MOD(INT((A656-1)/5),5)+1)&amp;"_"&amp;(MOD(INT((A656-1)/25),10)+1)</f>
        <v>Город_5_1_7</v>
      </c>
      <c r="I656" s="10" t="str">
        <f aca="false">CHOOSE(MOD(A656-1,4)+1,"Электроника","Одежда","Продукты","Мебель")</f>
        <v>Продукты</v>
      </c>
      <c r="J656" s="10" t="str">
        <f aca="false">CHOOSE(MOD(INT((A656-1)/4),4)+1,CHOOSE(MOD(A656-1,4)+1,"Смартфоны","Ноутбуки","Аксессуары","Аудио"),CHOOSE(MOD(A656-1,4)+1,"Верхняя одежда","Спортивная","Повседневная","Обувь"),CHOOSE(MOD(A656-1,4)+1,"Молочные","Мясные","Бакалея","Напитки"),CHOOSE(MOD(A656-1,4)+1,"Мягкая мебель","Корпусная","Офисная","Кухонная"))</f>
        <v>Офисная</v>
      </c>
      <c r="K656" s="12" t="n">
        <f aca="false">1000+MOD(A656*317+A656*A656*7,49001)</f>
        <v>26745</v>
      </c>
      <c r="L656" s="12" t="n">
        <f aca="false">1+MOD(A656*131,100)</f>
        <v>6</v>
      </c>
      <c r="M656" s="12" t="n">
        <f aca="false">INT(K656*(0.6+MOD(A656*43,21)/100))</f>
        <v>17116</v>
      </c>
      <c r="N656" s="12" t="n">
        <f aca="false">K656-M656</f>
        <v>9629</v>
      </c>
    </row>
    <row r="657" customFormat="false" ht="12.8" hidden="false" customHeight="false" outlineLevel="0" collapsed="false">
      <c r="A657" s="10" t="n">
        <f aca="false">A656+1</f>
        <v>656</v>
      </c>
      <c r="B657" s="11" t="n">
        <f aca="false">B656+1</f>
        <v>45582</v>
      </c>
      <c r="C657" s="10" t="n">
        <f aca="false">YEAR(B657)</f>
        <v>2024</v>
      </c>
      <c r="D657" s="10" t="n">
        <f aca="false">INT((MONTH(B657)-1)/3)+1</f>
        <v>4</v>
      </c>
      <c r="E657" s="10" t="n">
        <f aca="false">MONTH(B657)</f>
        <v>10</v>
      </c>
      <c r="F657" s="10" t="str">
        <f aca="false">CHOOSE(MOD(A657-1,5)+1,"Центр","Юг","Север","Запад","Восток")</f>
        <v>Центр</v>
      </c>
      <c r="G657" s="10" t="str">
        <f aca="false">"Округ_"&amp;(MOD(A657-1,5)+1)&amp;"_"&amp;(MOD(INT((A657-1)/5),5)+1)</f>
        <v>Округ_1_2</v>
      </c>
      <c r="H657" s="10" t="str">
        <f aca="false">"Город_"&amp;(MOD(A657-1,5)+1)&amp;"_"&amp;(MOD(INT((A657-1)/5),5)+1)&amp;"_"&amp;(MOD(INT((A657-1)/25),10)+1)</f>
        <v>Город_1_2_7</v>
      </c>
      <c r="I657" s="10" t="str">
        <f aca="false">CHOOSE(MOD(A657-1,4)+1,"Электроника","Одежда","Продукты","Мебель")</f>
        <v>Мебель</v>
      </c>
      <c r="J657" s="10" t="str">
        <f aca="false">CHOOSE(MOD(INT((A657-1)/4),4)+1,CHOOSE(MOD(A657-1,4)+1,"Смартфоны","Ноутбуки","Аксессуары","Аудио"),CHOOSE(MOD(A657-1,4)+1,"Верхняя одежда","Спортивная","Повседневная","Обувь"),CHOOSE(MOD(A657-1,4)+1,"Молочные","Мясные","Бакалея","Напитки"),CHOOSE(MOD(A657-1,4)+1,"Мягкая мебель","Корпусная","Офисная","Кухонная"))</f>
        <v>Кухонная</v>
      </c>
      <c r="K657" s="12" t="n">
        <f aca="false">1000+MOD(A657*317+A657*A657*7,49001)</f>
        <v>36239</v>
      </c>
      <c r="L657" s="12" t="n">
        <f aca="false">1+MOD(A657*131,100)</f>
        <v>37</v>
      </c>
      <c r="M657" s="12" t="n">
        <f aca="false">INT(K657*(0.6+MOD(A657*43,21)/100))</f>
        <v>23555</v>
      </c>
      <c r="N657" s="12" t="n">
        <f aca="false">K657-M657</f>
        <v>12684</v>
      </c>
    </row>
    <row r="658" customFormat="false" ht="12.8" hidden="false" customHeight="false" outlineLevel="0" collapsed="false">
      <c r="A658" s="10" t="n">
        <f aca="false">A657+1</f>
        <v>657</v>
      </c>
      <c r="B658" s="11" t="n">
        <f aca="false">B657+1</f>
        <v>45583</v>
      </c>
      <c r="C658" s="10" t="n">
        <f aca="false">YEAR(B658)</f>
        <v>2024</v>
      </c>
      <c r="D658" s="10" t="n">
        <f aca="false">INT((MONTH(B658)-1)/3)+1</f>
        <v>4</v>
      </c>
      <c r="E658" s="10" t="n">
        <f aca="false">MONTH(B658)</f>
        <v>10</v>
      </c>
      <c r="F658" s="10" t="str">
        <f aca="false">CHOOSE(MOD(A658-1,5)+1,"Центр","Юг","Север","Запад","Восток")</f>
        <v>Юг</v>
      </c>
      <c r="G658" s="10" t="str">
        <f aca="false">"Округ_"&amp;(MOD(A658-1,5)+1)&amp;"_"&amp;(MOD(INT((A658-1)/5),5)+1)</f>
        <v>Округ_2_2</v>
      </c>
      <c r="H658" s="10" t="str">
        <f aca="false">"Город_"&amp;(MOD(A658-1,5)+1)&amp;"_"&amp;(MOD(INT((A658-1)/5),5)+1)&amp;"_"&amp;(MOD(INT((A658-1)/25),10)+1)</f>
        <v>Город_2_2_7</v>
      </c>
      <c r="I658" s="10" t="str">
        <f aca="false">CHOOSE(MOD(A658-1,4)+1,"Электроника","Одежда","Продукты","Мебель")</f>
        <v>Электроника</v>
      </c>
      <c r="J658" s="10" t="str">
        <f aca="false">CHOOSE(MOD(INT((A658-1)/4),4)+1,CHOOSE(MOD(A658-1,4)+1,"Смартфоны","Ноутбуки","Аксессуары","Аудио"),CHOOSE(MOD(A658-1,4)+1,"Верхняя одежда","Спортивная","Повседневная","Обувь"),CHOOSE(MOD(A658-1,4)+1,"Молочные","Мясные","Бакалея","Напитки"),CHOOSE(MOD(A658-1,4)+1,"Мягкая мебель","Корпусная","Офисная","Кухонная"))</f>
        <v>Смартфоны</v>
      </c>
      <c r="K658" s="12" t="n">
        <f aca="false">1000+MOD(A658*317+A658*A658*7,49001)</f>
        <v>45747</v>
      </c>
      <c r="L658" s="12" t="n">
        <f aca="false">1+MOD(A658*131,100)</f>
        <v>68</v>
      </c>
      <c r="M658" s="12" t="n">
        <f aca="false">INT(K658*(0.6+MOD(A658*43,21)/100))</f>
        <v>30193</v>
      </c>
      <c r="N658" s="12" t="n">
        <f aca="false">K658-M658</f>
        <v>15554</v>
      </c>
    </row>
    <row r="659" customFormat="false" ht="12.8" hidden="false" customHeight="false" outlineLevel="0" collapsed="false">
      <c r="A659" s="10" t="n">
        <f aca="false">A658+1</f>
        <v>658</v>
      </c>
      <c r="B659" s="11" t="n">
        <f aca="false">B658+1</f>
        <v>45584</v>
      </c>
      <c r="C659" s="10" t="n">
        <f aca="false">YEAR(B659)</f>
        <v>2024</v>
      </c>
      <c r="D659" s="10" t="n">
        <f aca="false">INT((MONTH(B659)-1)/3)+1</f>
        <v>4</v>
      </c>
      <c r="E659" s="10" t="n">
        <f aca="false">MONTH(B659)</f>
        <v>10</v>
      </c>
      <c r="F659" s="10" t="str">
        <f aca="false">CHOOSE(MOD(A659-1,5)+1,"Центр","Юг","Север","Запад","Восток")</f>
        <v>Север</v>
      </c>
      <c r="G659" s="10" t="str">
        <f aca="false">"Округ_"&amp;(MOD(A659-1,5)+1)&amp;"_"&amp;(MOD(INT((A659-1)/5),5)+1)</f>
        <v>Округ_3_2</v>
      </c>
      <c r="H659" s="10" t="str">
        <f aca="false">"Город_"&amp;(MOD(A659-1,5)+1)&amp;"_"&amp;(MOD(INT((A659-1)/5),5)+1)&amp;"_"&amp;(MOD(INT((A659-1)/25),10)+1)</f>
        <v>Город_3_2_7</v>
      </c>
      <c r="I659" s="10" t="str">
        <f aca="false">CHOOSE(MOD(A659-1,4)+1,"Электроника","Одежда","Продукты","Мебель")</f>
        <v>Одежда</v>
      </c>
      <c r="J659" s="10" t="str">
        <f aca="false">CHOOSE(MOD(INT((A659-1)/4),4)+1,CHOOSE(MOD(A659-1,4)+1,"Смартфоны","Ноутбуки","Аксессуары","Аудио"),CHOOSE(MOD(A659-1,4)+1,"Верхняя одежда","Спортивная","Повседневная","Обувь"),CHOOSE(MOD(A659-1,4)+1,"Молочные","Мясные","Бакалея","Напитки"),CHOOSE(MOD(A659-1,4)+1,"Мягкая мебель","Корпусная","Офисная","Кухонная"))</f>
        <v>Ноутбуки</v>
      </c>
      <c r="K659" s="12" t="n">
        <f aca="false">1000+MOD(A659*317+A659*A659*7,49001)</f>
        <v>6268</v>
      </c>
      <c r="L659" s="12" t="n">
        <f aca="false">1+MOD(A659*131,100)</f>
        <v>99</v>
      </c>
      <c r="M659" s="12" t="n">
        <f aca="false">INT(K659*(0.6+MOD(A659*43,21)/100))</f>
        <v>4199</v>
      </c>
      <c r="N659" s="12" t="n">
        <f aca="false">K659-M659</f>
        <v>2069</v>
      </c>
    </row>
    <row r="660" customFormat="false" ht="12.8" hidden="false" customHeight="false" outlineLevel="0" collapsed="false">
      <c r="A660" s="10" t="n">
        <f aca="false">A659+1</f>
        <v>659</v>
      </c>
      <c r="B660" s="11" t="n">
        <f aca="false">B659+1</f>
        <v>45585</v>
      </c>
      <c r="C660" s="10" t="n">
        <f aca="false">YEAR(B660)</f>
        <v>2024</v>
      </c>
      <c r="D660" s="10" t="n">
        <f aca="false">INT((MONTH(B660)-1)/3)+1</f>
        <v>4</v>
      </c>
      <c r="E660" s="10" t="n">
        <f aca="false">MONTH(B660)</f>
        <v>10</v>
      </c>
      <c r="F660" s="10" t="str">
        <f aca="false">CHOOSE(MOD(A660-1,5)+1,"Центр","Юг","Север","Запад","Восток")</f>
        <v>Запад</v>
      </c>
      <c r="G660" s="10" t="str">
        <f aca="false">"Округ_"&amp;(MOD(A660-1,5)+1)&amp;"_"&amp;(MOD(INT((A660-1)/5),5)+1)</f>
        <v>Округ_4_2</v>
      </c>
      <c r="H660" s="10" t="str">
        <f aca="false">"Город_"&amp;(MOD(A660-1,5)+1)&amp;"_"&amp;(MOD(INT((A660-1)/5),5)+1)&amp;"_"&amp;(MOD(INT((A660-1)/25),10)+1)</f>
        <v>Город_4_2_7</v>
      </c>
      <c r="I660" s="10" t="str">
        <f aca="false">CHOOSE(MOD(A660-1,4)+1,"Электроника","Одежда","Продукты","Мебель")</f>
        <v>Продукты</v>
      </c>
      <c r="J660" s="10" t="str">
        <f aca="false">CHOOSE(MOD(INT((A660-1)/4),4)+1,CHOOSE(MOD(A660-1,4)+1,"Смартфоны","Ноутбуки","Аксессуары","Аудио"),CHOOSE(MOD(A660-1,4)+1,"Верхняя одежда","Спортивная","Повседневная","Обувь"),CHOOSE(MOD(A660-1,4)+1,"Молочные","Мясные","Бакалея","Напитки"),CHOOSE(MOD(A660-1,4)+1,"Мягкая мебель","Корпусная","Офисная","Кухонная"))</f>
        <v>Аксессуары</v>
      </c>
      <c r="K660" s="12" t="n">
        <f aca="false">1000+MOD(A660*317+A660*A660*7,49001)</f>
        <v>15804</v>
      </c>
      <c r="L660" s="12" t="n">
        <f aca="false">1+MOD(A660*131,100)</f>
        <v>30</v>
      </c>
      <c r="M660" s="12" t="n">
        <f aca="false">INT(K660*(0.6+MOD(A660*43,21)/100))</f>
        <v>10746</v>
      </c>
      <c r="N660" s="12" t="n">
        <f aca="false">K660-M660</f>
        <v>5058</v>
      </c>
    </row>
    <row r="661" customFormat="false" ht="12.8" hidden="false" customHeight="false" outlineLevel="0" collapsed="false">
      <c r="A661" s="10" t="n">
        <f aca="false">A660+1</f>
        <v>660</v>
      </c>
      <c r="B661" s="11" t="n">
        <f aca="false">B660+1</f>
        <v>45586</v>
      </c>
      <c r="C661" s="10" t="n">
        <f aca="false">YEAR(B661)</f>
        <v>2024</v>
      </c>
      <c r="D661" s="10" t="n">
        <f aca="false">INT((MONTH(B661)-1)/3)+1</f>
        <v>4</v>
      </c>
      <c r="E661" s="10" t="n">
        <f aca="false">MONTH(B661)</f>
        <v>10</v>
      </c>
      <c r="F661" s="10" t="str">
        <f aca="false">CHOOSE(MOD(A661-1,5)+1,"Центр","Юг","Север","Запад","Восток")</f>
        <v>Восток</v>
      </c>
      <c r="G661" s="10" t="str">
        <f aca="false">"Округ_"&amp;(MOD(A661-1,5)+1)&amp;"_"&amp;(MOD(INT((A661-1)/5),5)+1)</f>
        <v>Округ_5_2</v>
      </c>
      <c r="H661" s="10" t="str">
        <f aca="false">"Город_"&amp;(MOD(A661-1,5)+1)&amp;"_"&amp;(MOD(INT((A661-1)/5),5)+1)&amp;"_"&amp;(MOD(INT((A661-1)/25),10)+1)</f>
        <v>Город_5_2_7</v>
      </c>
      <c r="I661" s="10" t="str">
        <f aca="false">CHOOSE(MOD(A661-1,4)+1,"Электроника","Одежда","Продукты","Мебель")</f>
        <v>Мебель</v>
      </c>
      <c r="J661" s="10" t="str">
        <f aca="false">CHOOSE(MOD(INT((A661-1)/4),4)+1,CHOOSE(MOD(A661-1,4)+1,"Смартфоны","Ноутбуки","Аксессуары","Аудио"),CHOOSE(MOD(A661-1,4)+1,"Верхняя одежда","Спортивная","Повседневная","Обувь"),CHOOSE(MOD(A661-1,4)+1,"Молочные","Мясные","Бакалея","Напитки"),CHOOSE(MOD(A661-1,4)+1,"Мягкая мебель","Корпусная","Офисная","Кухонная"))</f>
        <v>Аудио</v>
      </c>
      <c r="K661" s="12" t="n">
        <f aca="false">1000+MOD(A661*317+A661*A661*7,49001)</f>
        <v>25354</v>
      </c>
      <c r="L661" s="12" t="n">
        <f aca="false">1+MOD(A661*131,100)</f>
        <v>61</v>
      </c>
      <c r="M661" s="12" t="n">
        <f aca="false">INT(K661*(0.6+MOD(A661*43,21)/100))</f>
        <v>17494</v>
      </c>
      <c r="N661" s="12" t="n">
        <f aca="false">K661-M661</f>
        <v>7860</v>
      </c>
    </row>
    <row r="662" customFormat="false" ht="12.8" hidden="false" customHeight="false" outlineLevel="0" collapsed="false">
      <c r="A662" s="10" t="n">
        <f aca="false">A661+1</f>
        <v>661</v>
      </c>
      <c r="B662" s="11" t="n">
        <f aca="false">B661+1</f>
        <v>45587</v>
      </c>
      <c r="C662" s="10" t="n">
        <f aca="false">YEAR(B662)</f>
        <v>2024</v>
      </c>
      <c r="D662" s="10" t="n">
        <f aca="false">INT((MONTH(B662)-1)/3)+1</f>
        <v>4</v>
      </c>
      <c r="E662" s="10" t="n">
        <f aca="false">MONTH(B662)</f>
        <v>10</v>
      </c>
      <c r="F662" s="10" t="str">
        <f aca="false">CHOOSE(MOD(A662-1,5)+1,"Центр","Юг","Север","Запад","Восток")</f>
        <v>Центр</v>
      </c>
      <c r="G662" s="10" t="str">
        <f aca="false">"Округ_"&amp;(MOD(A662-1,5)+1)&amp;"_"&amp;(MOD(INT((A662-1)/5),5)+1)</f>
        <v>Округ_1_3</v>
      </c>
      <c r="H662" s="10" t="str">
        <f aca="false">"Город_"&amp;(MOD(A662-1,5)+1)&amp;"_"&amp;(MOD(INT((A662-1)/5),5)+1)&amp;"_"&amp;(MOD(INT((A662-1)/25),10)+1)</f>
        <v>Город_1_3_7</v>
      </c>
      <c r="I662" s="10" t="str">
        <f aca="false">CHOOSE(MOD(A662-1,4)+1,"Электроника","Одежда","Продукты","Мебель")</f>
        <v>Электроника</v>
      </c>
      <c r="J662" s="10" t="str">
        <f aca="false">CHOOSE(MOD(INT((A662-1)/4),4)+1,CHOOSE(MOD(A662-1,4)+1,"Смартфоны","Ноутбуки","Аксессуары","Аудио"),CHOOSE(MOD(A662-1,4)+1,"Верхняя одежда","Спортивная","Повседневная","Обувь"),CHOOSE(MOD(A662-1,4)+1,"Молочные","Мясные","Бакалея","Напитки"),CHOOSE(MOD(A662-1,4)+1,"Мягкая мебель","Корпусная","Офисная","Кухонная"))</f>
        <v>Верхняя одежда</v>
      </c>
      <c r="K662" s="12" t="n">
        <f aca="false">1000+MOD(A662*317+A662*A662*7,49001)</f>
        <v>34918</v>
      </c>
      <c r="L662" s="12" t="n">
        <f aca="false">1+MOD(A662*131,100)</f>
        <v>92</v>
      </c>
      <c r="M662" s="12" t="n">
        <f aca="false">INT(K662*(0.6+MOD(A662*43,21)/100))</f>
        <v>24442</v>
      </c>
      <c r="N662" s="12" t="n">
        <f aca="false">K662-M662</f>
        <v>10476</v>
      </c>
    </row>
    <row r="663" customFormat="false" ht="12.8" hidden="false" customHeight="false" outlineLevel="0" collapsed="false">
      <c r="A663" s="10" t="n">
        <f aca="false">A662+1</f>
        <v>662</v>
      </c>
      <c r="B663" s="11" t="n">
        <f aca="false">B662+1</f>
        <v>45588</v>
      </c>
      <c r="C663" s="10" t="n">
        <f aca="false">YEAR(B663)</f>
        <v>2024</v>
      </c>
      <c r="D663" s="10" t="n">
        <f aca="false">INT((MONTH(B663)-1)/3)+1</f>
        <v>4</v>
      </c>
      <c r="E663" s="10" t="n">
        <f aca="false">MONTH(B663)</f>
        <v>10</v>
      </c>
      <c r="F663" s="10" t="str">
        <f aca="false">CHOOSE(MOD(A663-1,5)+1,"Центр","Юг","Север","Запад","Восток")</f>
        <v>Юг</v>
      </c>
      <c r="G663" s="10" t="str">
        <f aca="false">"Округ_"&amp;(MOD(A663-1,5)+1)&amp;"_"&amp;(MOD(INT((A663-1)/5),5)+1)</f>
        <v>Округ_2_3</v>
      </c>
      <c r="H663" s="10" t="str">
        <f aca="false">"Город_"&amp;(MOD(A663-1,5)+1)&amp;"_"&amp;(MOD(INT((A663-1)/5),5)+1)&amp;"_"&amp;(MOD(INT((A663-1)/25),10)+1)</f>
        <v>Город_2_3_7</v>
      </c>
      <c r="I663" s="10" t="str">
        <f aca="false">CHOOSE(MOD(A663-1,4)+1,"Электроника","Одежда","Продукты","Мебель")</f>
        <v>Одежда</v>
      </c>
      <c r="J663" s="10" t="str">
        <f aca="false">CHOOSE(MOD(INT((A663-1)/4),4)+1,CHOOSE(MOD(A663-1,4)+1,"Смартфоны","Ноутбуки","Аксессуары","Аудио"),CHOOSE(MOD(A663-1,4)+1,"Верхняя одежда","Спортивная","Повседневная","Обувь"),CHOOSE(MOD(A663-1,4)+1,"Молочные","Мясные","Бакалея","Напитки"),CHOOSE(MOD(A663-1,4)+1,"Мягкая мебель","Корпусная","Офисная","Кухонная"))</f>
        <v>Спортивная</v>
      </c>
      <c r="K663" s="12" t="n">
        <f aca="false">1000+MOD(A663*317+A663*A663*7,49001)</f>
        <v>44496</v>
      </c>
      <c r="L663" s="12" t="n">
        <f aca="false">1+MOD(A663*131,100)</f>
        <v>23</v>
      </c>
      <c r="M663" s="12" t="n">
        <f aca="false">INT(K663*(0.6+MOD(A663*43,21)/100))</f>
        <v>31592</v>
      </c>
      <c r="N663" s="12" t="n">
        <f aca="false">K663-M663</f>
        <v>12904</v>
      </c>
    </row>
    <row r="664" customFormat="false" ht="12.8" hidden="false" customHeight="false" outlineLevel="0" collapsed="false">
      <c r="A664" s="10" t="n">
        <f aca="false">A663+1</f>
        <v>663</v>
      </c>
      <c r="B664" s="11" t="n">
        <f aca="false">B663+1</f>
        <v>45589</v>
      </c>
      <c r="C664" s="10" t="n">
        <f aca="false">YEAR(B664)</f>
        <v>2024</v>
      </c>
      <c r="D664" s="10" t="n">
        <f aca="false">INT((MONTH(B664)-1)/3)+1</f>
        <v>4</v>
      </c>
      <c r="E664" s="10" t="n">
        <f aca="false">MONTH(B664)</f>
        <v>10</v>
      </c>
      <c r="F664" s="10" t="str">
        <f aca="false">CHOOSE(MOD(A664-1,5)+1,"Центр","Юг","Север","Запад","Восток")</f>
        <v>Север</v>
      </c>
      <c r="G664" s="10" t="str">
        <f aca="false">"Округ_"&amp;(MOD(A664-1,5)+1)&amp;"_"&amp;(MOD(INT((A664-1)/5),5)+1)</f>
        <v>Округ_3_3</v>
      </c>
      <c r="H664" s="10" t="str">
        <f aca="false">"Город_"&amp;(MOD(A664-1,5)+1)&amp;"_"&amp;(MOD(INT((A664-1)/5),5)+1)&amp;"_"&amp;(MOD(INT((A664-1)/25),10)+1)</f>
        <v>Город_3_3_7</v>
      </c>
      <c r="I664" s="10" t="str">
        <f aca="false">CHOOSE(MOD(A664-1,4)+1,"Электроника","Одежда","Продукты","Мебель")</f>
        <v>Продукты</v>
      </c>
      <c r="J664" s="10" t="str">
        <f aca="false">CHOOSE(MOD(INT((A664-1)/4),4)+1,CHOOSE(MOD(A664-1,4)+1,"Смартфоны","Ноутбуки","Аксессуары","Аудио"),CHOOSE(MOD(A664-1,4)+1,"Верхняя одежда","Спортивная","Повседневная","Обувь"),CHOOSE(MOD(A664-1,4)+1,"Молочные","Мясные","Бакалея","Напитки"),CHOOSE(MOD(A664-1,4)+1,"Мягкая мебель","Корпусная","Офисная","Кухонная"))</f>
        <v>Повседневная</v>
      </c>
      <c r="K664" s="12" t="n">
        <f aca="false">1000+MOD(A664*317+A664*A664*7,49001)</f>
        <v>5087</v>
      </c>
      <c r="L664" s="12" t="n">
        <f aca="false">1+MOD(A664*131,100)</f>
        <v>54</v>
      </c>
      <c r="M664" s="12" t="n">
        <f aca="false">INT(K664*(0.6+MOD(A664*43,21)/100))</f>
        <v>3662</v>
      </c>
      <c r="N664" s="12" t="n">
        <f aca="false">K664-M664</f>
        <v>1425</v>
      </c>
    </row>
    <row r="665" customFormat="false" ht="12.8" hidden="false" customHeight="false" outlineLevel="0" collapsed="false">
      <c r="A665" s="10" t="n">
        <f aca="false">A664+1</f>
        <v>664</v>
      </c>
      <c r="B665" s="11" t="n">
        <f aca="false">B664+1</f>
        <v>45590</v>
      </c>
      <c r="C665" s="10" t="n">
        <f aca="false">YEAR(B665)</f>
        <v>2024</v>
      </c>
      <c r="D665" s="10" t="n">
        <f aca="false">INT((MONTH(B665)-1)/3)+1</f>
        <v>4</v>
      </c>
      <c r="E665" s="10" t="n">
        <f aca="false">MONTH(B665)</f>
        <v>10</v>
      </c>
      <c r="F665" s="10" t="str">
        <f aca="false">CHOOSE(MOD(A665-1,5)+1,"Центр","Юг","Север","Запад","Восток")</f>
        <v>Запад</v>
      </c>
      <c r="G665" s="10" t="str">
        <f aca="false">"Округ_"&amp;(MOD(A665-1,5)+1)&amp;"_"&amp;(MOD(INT((A665-1)/5),5)+1)</f>
        <v>Округ_4_3</v>
      </c>
      <c r="H665" s="10" t="str">
        <f aca="false">"Город_"&amp;(MOD(A665-1,5)+1)&amp;"_"&amp;(MOD(INT((A665-1)/5),5)+1)&amp;"_"&amp;(MOD(INT((A665-1)/25),10)+1)</f>
        <v>Город_4_3_7</v>
      </c>
      <c r="I665" s="10" t="str">
        <f aca="false">CHOOSE(MOD(A665-1,4)+1,"Электроника","Одежда","Продукты","Мебель")</f>
        <v>Мебель</v>
      </c>
      <c r="J665" s="10" t="str">
        <f aca="false">CHOOSE(MOD(INT((A665-1)/4),4)+1,CHOOSE(MOD(A665-1,4)+1,"Смартфоны","Ноутбуки","Аксессуары","Аудио"),CHOOSE(MOD(A665-1,4)+1,"Верхняя одежда","Спортивная","Повседневная","Обувь"),CHOOSE(MOD(A665-1,4)+1,"Молочные","Мясные","Бакалея","Напитки"),CHOOSE(MOD(A665-1,4)+1,"Мягкая мебель","Корпусная","Офисная","Кухонная"))</f>
        <v>Обувь</v>
      </c>
      <c r="K665" s="12" t="n">
        <f aca="false">1000+MOD(A665*317+A665*A665*7,49001)</f>
        <v>14693</v>
      </c>
      <c r="L665" s="12" t="n">
        <f aca="false">1+MOD(A665*131,100)</f>
        <v>85</v>
      </c>
      <c r="M665" s="12" t="n">
        <f aca="false">INT(K665*(0.6+MOD(A665*43,21)/100))</f>
        <v>10725</v>
      </c>
      <c r="N665" s="12" t="n">
        <f aca="false">K665-M665</f>
        <v>3968</v>
      </c>
    </row>
    <row r="666" customFormat="false" ht="12.8" hidden="false" customHeight="false" outlineLevel="0" collapsed="false">
      <c r="A666" s="10" t="n">
        <f aca="false">A665+1</f>
        <v>665</v>
      </c>
      <c r="B666" s="11" t="n">
        <f aca="false">B665+1</f>
        <v>45591</v>
      </c>
      <c r="C666" s="10" t="n">
        <f aca="false">YEAR(B666)</f>
        <v>2024</v>
      </c>
      <c r="D666" s="10" t="n">
        <f aca="false">INT((MONTH(B666)-1)/3)+1</f>
        <v>4</v>
      </c>
      <c r="E666" s="10" t="n">
        <f aca="false">MONTH(B666)</f>
        <v>10</v>
      </c>
      <c r="F666" s="10" t="str">
        <f aca="false">CHOOSE(MOD(A666-1,5)+1,"Центр","Юг","Север","Запад","Восток")</f>
        <v>Восток</v>
      </c>
      <c r="G666" s="10" t="str">
        <f aca="false">"Округ_"&amp;(MOD(A666-1,5)+1)&amp;"_"&amp;(MOD(INT((A666-1)/5),5)+1)</f>
        <v>Округ_5_3</v>
      </c>
      <c r="H666" s="10" t="str">
        <f aca="false">"Город_"&amp;(MOD(A666-1,5)+1)&amp;"_"&amp;(MOD(INT((A666-1)/5),5)+1)&amp;"_"&amp;(MOD(INT((A666-1)/25),10)+1)</f>
        <v>Город_5_3_7</v>
      </c>
      <c r="I666" s="10" t="str">
        <f aca="false">CHOOSE(MOD(A666-1,4)+1,"Электроника","Одежда","Продукты","Мебель")</f>
        <v>Электроника</v>
      </c>
      <c r="J666" s="10" t="str">
        <f aca="false">CHOOSE(MOD(INT((A666-1)/4),4)+1,CHOOSE(MOD(A666-1,4)+1,"Смартфоны","Ноутбуки","Аксессуары","Аудио"),CHOOSE(MOD(A666-1,4)+1,"Верхняя одежда","Спортивная","Повседневная","Обувь"),CHOOSE(MOD(A666-1,4)+1,"Молочные","Мясные","Бакалея","Напитки"),CHOOSE(MOD(A666-1,4)+1,"Мягкая мебель","Корпусная","Офисная","Кухонная"))</f>
        <v>Молочные</v>
      </c>
      <c r="K666" s="12" t="n">
        <f aca="false">1000+MOD(A666*317+A666*A666*7,49001)</f>
        <v>24313</v>
      </c>
      <c r="L666" s="12" t="n">
        <f aca="false">1+MOD(A666*131,100)</f>
        <v>16</v>
      </c>
      <c r="M666" s="12" t="n">
        <f aca="false">INT(K666*(0.6+MOD(A666*43,21)/100))</f>
        <v>17991</v>
      </c>
      <c r="N666" s="12" t="n">
        <f aca="false">K666-M666</f>
        <v>6322</v>
      </c>
    </row>
    <row r="667" customFormat="false" ht="12.8" hidden="false" customHeight="false" outlineLevel="0" collapsed="false">
      <c r="A667" s="10" t="n">
        <f aca="false">A666+1</f>
        <v>666</v>
      </c>
      <c r="B667" s="11" t="n">
        <f aca="false">B666+1</f>
        <v>45592</v>
      </c>
      <c r="C667" s="10" t="n">
        <f aca="false">YEAR(B667)</f>
        <v>2024</v>
      </c>
      <c r="D667" s="10" t="n">
        <f aca="false">INT((MONTH(B667)-1)/3)+1</f>
        <v>4</v>
      </c>
      <c r="E667" s="10" t="n">
        <f aca="false">MONTH(B667)</f>
        <v>10</v>
      </c>
      <c r="F667" s="10" t="str">
        <f aca="false">CHOOSE(MOD(A667-1,5)+1,"Центр","Юг","Север","Запад","Восток")</f>
        <v>Центр</v>
      </c>
      <c r="G667" s="10" t="str">
        <f aca="false">"Округ_"&amp;(MOD(A667-1,5)+1)&amp;"_"&amp;(MOD(INT((A667-1)/5),5)+1)</f>
        <v>Округ_1_4</v>
      </c>
      <c r="H667" s="10" t="str">
        <f aca="false">"Город_"&amp;(MOD(A667-1,5)+1)&amp;"_"&amp;(MOD(INT((A667-1)/5),5)+1)&amp;"_"&amp;(MOD(INT((A667-1)/25),10)+1)</f>
        <v>Город_1_4_7</v>
      </c>
      <c r="I667" s="10" t="str">
        <f aca="false">CHOOSE(MOD(A667-1,4)+1,"Электроника","Одежда","Продукты","Мебель")</f>
        <v>Одежда</v>
      </c>
      <c r="J667" s="10" t="str">
        <f aca="false">CHOOSE(MOD(INT((A667-1)/4),4)+1,CHOOSE(MOD(A667-1,4)+1,"Смартфоны","Ноутбуки","Аксессуары","Аудио"),CHOOSE(MOD(A667-1,4)+1,"Верхняя одежда","Спортивная","Повседневная","Обувь"),CHOOSE(MOD(A667-1,4)+1,"Молочные","Мясные","Бакалея","Напитки"),CHOOSE(MOD(A667-1,4)+1,"Мягкая мебель","Корпусная","Офисная","Кухонная"))</f>
        <v>Мясные</v>
      </c>
      <c r="K667" s="12" t="n">
        <f aca="false">1000+MOD(A667*317+A667*A667*7,49001)</f>
        <v>33947</v>
      </c>
      <c r="L667" s="12" t="n">
        <f aca="false">1+MOD(A667*131,100)</f>
        <v>47</v>
      </c>
      <c r="M667" s="12" t="n">
        <f aca="false">INT(K667*(0.6+MOD(A667*43,21)/100))</f>
        <v>25460</v>
      </c>
      <c r="N667" s="12" t="n">
        <f aca="false">K667-M667</f>
        <v>8487</v>
      </c>
    </row>
    <row r="668" customFormat="false" ht="12.8" hidden="false" customHeight="false" outlineLevel="0" collapsed="false">
      <c r="A668" s="10" t="n">
        <f aca="false">A667+1</f>
        <v>667</v>
      </c>
      <c r="B668" s="11" t="n">
        <f aca="false">B667+1</f>
        <v>45593</v>
      </c>
      <c r="C668" s="10" t="n">
        <f aca="false">YEAR(B668)</f>
        <v>2024</v>
      </c>
      <c r="D668" s="10" t="n">
        <f aca="false">INT((MONTH(B668)-1)/3)+1</f>
        <v>4</v>
      </c>
      <c r="E668" s="10" t="n">
        <f aca="false">MONTH(B668)</f>
        <v>10</v>
      </c>
      <c r="F668" s="10" t="str">
        <f aca="false">CHOOSE(MOD(A668-1,5)+1,"Центр","Юг","Север","Запад","Восток")</f>
        <v>Юг</v>
      </c>
      <c r="G668" s="10" t="str">
        <f aca="false">"Округ_"&amp;(MOD(A668-1,5)+1)&amp;"_"&amp;(MOD(INT((A668-1)/5),5)+1)</f>
        <v>Округ_2_4</v>
      </c>
      <c r="H668" s="10" t="str">
        <f aca="false">"Город_"&amp;(MOD(A668-1,5)+1)&amp;"_"&amp;(MOD(INT((A668-1)/5),5)+1)&amp;"_"&amp;(MOD(INT((A668-1)/25),10)+1)</f>
        <v>Город_2_4_7</v>
      </c>
      <c r="I668" s="10" t="str">
        <f aca="false">CHOOSE(MOD(A668-1,4)+1,"Электроника","Одежда","Продукты","Мебель")</f>
        <v>Продукты</v>
      </c>
      <c r="J668" s="10" t="str">
        <f aca="false">CHOOSE(MOD(INT((A668-1)/4),4)+1,CHOOSE(MOD(A668-1,4)+1,"Смартфоны","Ноутбуки","Аксессуары","Аудио"),CHOOSE(MOD(A668-1,4)+1,"Верхняя одежда","Спортивная","Повседневная","Обувь"),CHOOSE(MOD(A668-1,4)+1,"Молочные","Мясные","Бакалея","Напитки"),CHOOSE(MOD(A668-1,4)+1,"Мягкая мебель","Корпусная","Офисная","Кухонная"))</f>
        <v>Бакалея</v>
      </c>
      <c r="K668" s="12" t="n">
        <f aca="false">1000+MOD(A668*317+A668*A668*7,49001)</f>
        <v>43595</v>
      </c>
      <c r="L668" s="12" t="n">
        <f aca="false">1+MOD(A668*131,100)</f>
        <v>78</v>
      </c>
      <c r="M668" s="12" t="n">
        <f aca="false">INT(K668*(0.6+MOD(A668*43,21)/100))</f>
        <v>33132</v>
      </c>
      <c r="N668" s="12" t="n">
        <f aca="false">K668-M668</f>
        <v>10463</v>
      </c>
    </row>
    <row r="669" customFormat="false" ht="12.8" hidden="false" customHeight="false" outlineLevel="0" collapsed="false">
      <c r="A669" s="10" t="n">
        <f aca="false">A668+1</f>
        <v>668</v>
      </c>
      <c r="B669" s="11" t="n">
        <f aca="false">B668+1</f>
        <v>45594</v>
      </c>
      <c r="C669" s="10" t="n">
        <f aca="false">YEAR(B669)</f>
        <v>2024</v>
      </c>
      <c r="D669" s="10" t="n">
        <f aca="false">INT((MONTH(B669)-1)/3)+1</f>
        <v>4</v>
      </c>
      <c r="E669" s="10" t="n">
        <f aca="false">MONTH(B669)</f>
        <v>10</v>
      </c>
      <c r="F669" s="10" t="str">
        <f aca="false">CHOOSE(MOD(A669-1,5)+1,"Центр","Юг","Север","Запад","Восток")</f>
        <v>Север</v>
      </c>
      <c r="G669" s="10" t="str">
        <f aca="false">"Округ_"&amp;(MOD(A669-1,5)+1)&amp;"_"&amp;(MOD(INT((A669-1)/5),5)+1)</f>
        <v>Округ_3_4</v>
      </c>
      <c r="H669" s="10" t="str">
        <f aca="false">"Город_"&amp;(MOD(A669-1,5)+1)&amp;"_"&amp;(MOD(INT((A669-1)/5),5)+1)&amp;"_"&amp;(MOD(INT((A669-1)/25),10)+1)</f>
        <v>Город_3_4_7</v>
      </c>
      <c r="I669" s="10" t="str">
        <f aca="false">CHOOSE(MOD(A669-1,4)+1,"Электроника","Одежда","Продукты","Мебель")</f>
        <v>Мебель</v>
      </c>
      <c r="J669" s="10" t="str">
        <f aca="false">CHOOSE(MOD(INT((A669-1)/4),4)+1,CHOOSE(MOD(A669-1,4)+1,"Смартфоны","Ноутбуки","Аксессуары","Аудио"),CHOOSE(MOD(A669-1,4)+1,"Верхняя одежда","Спортивная","Повседневная","Обувь"),CHOOSE(MOD(A669-1,4)+1,"Молочные","Мясные","Бакалея","Напитки"),CHOOSE(MOD(A669-1,4)+1,"Мягкая мебель","Корпусная","Офисная","Кухонная"))</f>
        <v>Напитки</v>
      </c>
      <c r="K669" s="12" t="n">
        <f aca="false">1000+MOD(A669*317+A669*A669*7,49001)</f>
        <v>4256</v>
      </c>
      <c r="L669" s="12" t="n">
        <f aca="false">1+MOD(A669*131,100)</f>
        <v>9</v>
      </c>
      <c r="M669" s="12" t="n">
        <f aca="false">INT(K669*(0.6+MOD(A669*43,21)/100))</f>
        <v>3277</v>
      </c>
      <c r="N669" s="12" t="n">
        <f aca="false">K669-M669</f>
        <v>979</v>
      </c>
    </row>
    <row r="670" customFormat="false" ht="12.8" hidden="false" customHeight="false" outlineLevel="0" collapsed="false">
      <c r="A670" s="10" t="n">
        <f aca="false">A669+1</f>
        <v>669</v>
      </c>
      <c r="B670" s="11" t="n">
        <f aca="false">B669+1</f>
        <v>45595</v>
      </c>
      <c r="C670" s="10" t="n">
        <f aca="false">YEAR(B670)</f>
        <v>2024</v>
      </c>
      <c r="D670" s="10" t="n">
        <f aca="false">INT((MONTH(B670)-1)/3)+1</f>
        <v>4</v>
      </c>
      <c r="E670" s="10" t="n">
        <f aca="false">MONTH(B670)</f>
        <v>10</v>
      </c>
      <c r="F670" s="10" t="str">
        <f aca="false">CHOOSE(MOD(A670-1,5)+1,"Центр","Юг","Север","Запад","Восток")</f>
        <v>Запад</v>
      </c>
      <c r="G670" s="10" t="str">
        <f aca="false">"Округ_"&amp;(MOD(A670-1,5)+1)&amp;"_"&amp;(MOD(INT((A670-1)/5),5)+1)</f>
        <v>Округ_4_4</v>
      </c>
      <c r="H670" s="10" t="str">
        <f aca="false">"Город_"&amp;(MOD(A670-1,5)+1)&amp;"_"&amp;(MOD(INT((A670-1)/5),5)+1)&amp;"_"&amp;(MOD(INT((A670-1)/25),10)+1)</f>
        <v>Город_4_4_7</v>
      </c>
      <c r="I670" s="10" t="str">
        <f aca="false">CHOOSE(MOD(A670-1,4)+1,"Электроника","Одежда","Продукты","Мебель")</f>
        <v>Электроника</v>
      </c>
      <c r="J670" s="10" t="str">
        <f aca="false">CHOOSE(MOD(INT((A670-1)/4),4)+1,CHOOSE(MOD(A670-1,4)+1,"Смартфоны","Ноутбуки","Аксессуары","Аудио"),CHOOSE(MOD(A670-1,4)+1,"Верхняя одежда","Спортивная","Повседневная","Обувь"),CHOOSE(MOD(A670-1,4)+1,"Молочные","Мясные","Бакалея","Напитки"),CHOOSE(MOD(A670-1,4)+1,"Мягкая мебель","Корпусная","Офисная","Кухонная"))</f>
        <v>Мягкая мебель</v>
      </c>
      <c r="K670" s="12" t="n">
        <f aca="false">1000+MOD(A670*317+A670*A670*7,49001)</f>
        <v>13932</v>
      </c>
      <c r="L670" s="12" t="n">
        <f aca="false">1+MOD(A670*131,100)</f>
        <v>40</v>
      </c>
      <c r="M670" s="12" t="n">
        <f aca="false">INT(K670*(0.6+MOD(A670*43,21)/100))</f>
        <v>10866</v>
      </c>
      <c r="N670" s="12" t="n">
        <f aca="false">K670-M670</f>
        <v>3066</v>
      </c>
    </row>
    <row r="671" customFormat="false" ht="12.8" hidden="false" customHeight="false" outlineLevel="0" collapsed="false">
      <c r="A671" s="10" t="n">
        <f aca="false">A670+1</f>
        <v>670</v>
      </c>
      <c r="B671" s="11" t="n">
        <f aca="false">B670+1</f>
        <v>45596</v>
      </c>
      <c r="C671" s="10" t="n">
        <f aca="false">YEAR(B671)</f>
        <v>2024</v>
      </c>
      <c r="D671" s="10" t="n">
        <f aca="false">INT((MONTH(B671)-1)/3)+1</f>
        <v>4</v>
      </c>
      <c r="E671" s="10" t="n">
        <f aca="false">MONTH(B671)</f>
        <v>10</v>
      </c>
      <c r="F671" s="10" t="str">
        <f aca="false">CHOOSE(MOD(A671-1,5)+1,"Центр","Юг","Север","Запад","Восток")</f>
        <v>Восток</v>
      </c>
      <c r="G671" s="10" t="str">
        <f aca="false">"Округ_"&amp;(MOD(A671-1,5)+1)&amp;"_"&amp;(MOD(INT((A671-1)/5),5)+1)</f>
        <v>Округ_5_4</v>
      </c>
      <c r="H671" s="10" t="str">
        <f aca="false">"Город_"&amp;(MOD(A671-1,5)+1)&amp;"_"&amp;(MOD(INT((A671-1)/5),5)+1)&amp;"_"&amp;(MOD(INT((A671-1)/25),10)+1)</f>
        <v>Город_5_4_7</v>
      </c>
      <c r="I671" s="10" t="str">
        <f aca="false">CHOOSE(MOD(A671-1,4)+1,"Электроника","Одежда","Продукты","Мебель")</f>
        <v>Одежда</v>
      </c>
      <c r="J671" s="10" t="str">
        <f aca="false">CHOOSE(MOD(INT((A671-1)/4),4)+1,CHOOSE(MOD(A671-1,4)+1,"Смартфоны","Ноутбуки","Аксессуары","Аудио"),CHOOSE(MOD(A671-1,4)+1,"Верхняя одежда","Спортивная","Повседневная","Обувь"),CHOOSE(MOD(A671-1,4)+1,"Молочные","Мясные","Бакалея","Напитки"),CHOOSE(MOD(A671-1,4)+1,"Мягкая мебель","Корпусная","Офисная","Кухонная"))</f>
        <v>Корпусная</v>
      </c>
      <c r="K671" s="12" t="n">
        <f aca="false">1000+MOD(A671*317+A671*A671*7,49001)</f>
        <v>23622</v>
      </c>
      <c r="L671" s="12" t="n">
        <f aca="false">1+MOD(A671*131,100)</f>
        <v>71</v>
      </c>
      <c r="M671" s="12" t="n">
        <f aca="false">INT(K671*(0.6+MOD(A671*43,21)/100))</f>
        <v>18661</v>
      </c>
      <c r="N671" s="12" t="n">
        <f aca="false">K671-M671</f>
        <v>4961</v>
      </c>
    </row>
    <row r="672" customFormat="false" ht="12.8" hidden="false" customHeight="false" outlineLevel="0" collapsed="false">
      <c r="A672" s="10" t="n">
        <f aca="false">A671+1</f>
        <v>671</v>
      </c>
      <c r="B672" s="11" t="n">
        <f aca="false">B671+1</f>
        <v>45597</v>
      </c>
      <c r="C672" s="10" t="n">
        <f aca="false">YEAR(B672)</f>
        <v>2024</v>
      </c>
      <c r="D672" s="10" t="n">
        <f aca="false">INT((MONTH(B672)-1)/3)+1</f>
        <v>4</v>
      </c>
      <c r="E672" s="10" t="n">
        <f aca="false">MONTH(B672)</f>
        <v>11</v>
      </c>
      <c r="F672" s="10" t="str">
        <f aca="false">CHOOSE(MOD(A672-1,5)+1,"Центр","Юг","Север","Запад","Восток")</f>
        <v>Центр</v>
      </c>
      <c r="G672" s="10" t="str">
        <f aca="false">"Округ_"&amp;(MOD(A672-1,5)+1)&amp;"_"&amp;(MOD(INT((A672-1)/5),5)+1)</f>
        <v>Округ_1_5</v>
      </c>
      <c r="H672" s="10" t="str">
        <f aca="false">"Город_"&amp;(MOD(A672-1,5)+1)&amp;"_"&amp;(MOD(INT((A672-1)/5),5)+1)&amp;"_"&amp;(MOD(INT((A672-1)/25),10)+1)</f>
        <v>Город_1_5_7</v>
      </c>
      <c r="I672" s="10" t="str">
        <f aca="false">CHOOSE(MOD(A672-1,4)+1,"Электроника","Одежда","Продукты","Мебель")</f>
        <v>Продукты</v>
      </c>
      <c r="J672" s="10" t="str">
        <f aca="false">CHOOSE(MOD(INT((A672-1)/4),4)+1,CHOOSE(MOD(A672-1,4)+1,"Смартфоны","Ноутбуки","Аксессуары","Аудио"),CHOOSE(MOD(A672-1,4)+1,"Верхняя одежда","Спортивная","Повседневная","Обувь"),CHOOSE(MOD(A672-1,4)+1,"Молочные","Мясные","Бакалея","Напитки"),CHOOSE(MOD(A672-1,4)+1,"Мягкая мебель","Корпусная","Офисная","Кухонная"))</f>
        <v>Офисная</v>
      </c>
      <c r="K672" s="12" t="n">
        <f aca="false">1000+MOD(A672*317+A672*A672*7,49001)</f>
        <v>33326</v>
      </c>
      <c r="L672" s="12" t="n">
        <f aca="false">1+MOD(A672*131,100)</f>
        <v>2</v>
      </c>
      <c r="M672" s="12" t="n">
        <f aca="false">INT(K672*(0.6+MOD(A672*43,21)/100))</f>
        <v>26660</v>
      </c>
      <c r="N672" s="12" t="n">
        <f aca="false">K672-M672</f>
        <v>6666</v>
      </c>
    </row>
    <row r="673" customFormat="false" ht="12.8" hidden="false" customHeight="false" outlineLevel="0" collapsed="false">
      <c r="A673" s="10" t="n">
        <f aca="false">A672+1</f>
        <v>672</v>
      </c>
      <c r="B673" s="11" t="n">
        <f aca="false">B672+1</f>
        <v>45598</v>
      </c>
      <c r="C673" s="10" t="n">
        <f aca="false">YEAR(B673)</f>
        <v>2024</v>
      </c>
      <c r="D673" s="10" t="n">
        <f aca="false">INT((MONTH(B673)-1)/3)+1</f>
        <v>4</v>
      </c>
      <c r="E673" s="10" t="n">
        <f aca="false">MONTH(B673)</f>
        <v>11</v>
      </c>
      <c r="F673" s="10" t="str">
        <f aca="false">CHOOSE(MOD(A673-1,5)+1,"Центр","Юг","Север","Запад","Восток")</f>
        <v>Юг</v>
      </c>
      <c r="G673" s="10" t="str">
        <f aca="false">"Округ_"&amp;(MOD(A673-1,5)+1)&amp;"_"&amp;(MOD(INT((A673-1)/5),5)+1)</f>
        <v>Округ_2_5</v>
      </c>
      <c r="H673" s="10" t="str">
        <f aca="false">"Город_"&amp;(MOD(A673-1,5)+1)&amp;"_"&amp;(MOD(INT((A673-1)/5),5)+1)&amp;"_"&amp;(MOD(INT((A673-1)/25),10)+1)</f>
        <v>Город_2_5_7</v>
      </c>
      <c r="I673" s="10" t="str">
        <f aca="false">CHOOSE(MOD(A673-1,4)+1,"Электроника","Одежда","Продукты","Мебель")</f>
        <v>Мебель</v>
      </c>
      <c r="J673" s="10" t="str">
        <f aca="false">CHOOSE(MOD(INT((A673-1)/4),4)+1,CHOOSE(MOD(A673-1,4)+1,"Смартфоны","Ноутбуки","Аксессуары","Аудио"),CHOOSE(MOD(A673-1,4)+1,"Верхняя одежда","Спортивная","Повседневная","Обувь"),CHOOSE(MOD(A673-1,4)+1,"Молочные","Мясные","Бакалея","Напитки"),CHOOSE(MOD(A673-1,4)+1,"Мягкая мебель","Корпусная","Офисная","Кухонная"))</f>
        <v>Кухонная</v>
      </c>
      <c r="K673" s="12" t="n">
        <f aca="false">1000+MOD(A673*317+A673*A673*7,49001)</f>
        <v>43044</v>
      </c>
      <c r="L673" s="12" t="n">
        <f aca="false">1+MOD(A673*131,100)</f>
        <v>33</v>
      </c>
      <c r="M673" s="12" t="n">
        <f aca="false">INT(K673*(0.6+MOD(A673*43,21)/100))</f>
        <v>25826</v>
      </c>
      <c r="N673" s="12" t="n">
        <f aca="false">K673-M673</f>
        <v>17218</v>
      </c>
    </row>
    <row r="674" customFormat="false" ht="12.8" hidden="false" customHeight="false" outlineLevel="0" collapsed="false">
      <c r="A674" s="10" t="n">
        <f aca="false">A673+1</f>
        <v>673</v>
      </c>
      <c r="B674" s="11" t="n">
        <f aca="false">B673+1</f>
        <v>45599</v>
      </c>
      <c r="C674" s="10" t="n">
        <f aca="false">YEAR(B674)</f>
        <v>2024</v>
      </c>
      <c r="D674" s="10" t="n">
        <f aca="false">INT((MONTH(B674)-1)/3)+1</f>
        <v>4</v>
      </c>
      <c r="E674" s="10" t="n">
        <f aca="false">MONTH(B674)</f>
        <v>11</v>
      </c>
      <c r="F674" s="10" t="str">
        <f aca="false">CHOOSE(MOD(A674-1,5)+1,"Центр","Юг","Север","Запад","Восток")</f>
        <v>Север</v>
      </c>
      <c r="G674" s="10" t="str">
        <f aca="false">"Округ_"&amp;(MOD(A674-1,5)+1)&amp;"_"&amp;(MOD(INT((A674-1)/5),5)+1)</f>
        <v>Округ_3_5</v>
      </c>
      <c r="H674" s="10" t="str">
        <f aca="false">"Город_"&amp;(MOD(A674-1,5)+1)&amp;"_"&amp;(MOD(INT((A674-1)/5),5)+1)&amp;"_"&amp;(MOD(INT((A674-1)/25),10)+1)</f>
        <v>Город_3_5_7</v>
      </c>
      <c r="I674" s="10" t="str">
        <f aca="false">CHOOSE(MOD(A674-1,4)+1,"Электроника","Одежда","Продукты","Мебель")</f>
        <v>Электроника</v>
      </c>
      <c r="J674" s="10" t="str">
        <f aca="false">CHOOSE(MOD(INT((A674-1)/4),4)+1,CHOOSE(MOD(A674-1,4)+1,"Смартфоны","Ноутбуки","Аксессуары","Аудио"),CHOOSE(MOD(A674-1,4)+1,"Верхняя одежда","Спортивная","Повседневная","Обувь"),CHOOSE(MOD(A674-1,4)+1,"Молочные","Мясные","Бакалея","Напитки"),CHOOSE(MOD(A674-1,4)+1,"Мягкая мебель","Корпусная","Офисная","Кухонная"))</f>
        <v>Смартфоны</v>
      </c>
      <c r="K674" s="12" t="n">
        <f aca="false">1000+MOD(A674*317+A674*A674*7,49001)</f>
        <v>3775</v>
      </c>
      <c r="L674" s="12" t="n">
        <f aca="false">1+MOD(A674*131,100)</f>
        <v>64</v>
      </c>
      <c r="M674" s="12" t="n">
        <f aca="false">INT(K674*(0.6+MOD(A674*43,21)/100))</f>
        <v>2302</v>
      </c>
      <c r="N674" s="12" t="n">
        <f aca="false">K674-M674</f>
        <v>1473</v>
      </c>
    </row>
    <row r="675" customFormat="false" ht="12.8" hidden="false" customHeight="false" outlineLevel="0" collapsed="false">
      <c r="A675" s="10" t="n">
        <f aca="false">A674+1</f>
        <v>674</v>
      </c>
      <c r="B675" s="11" t="n">
        <f aca="false">B674+1</f>
        <v>45600</v>
      </c>
      <c r="C675" s="10" t="n">
        <f aca="false">YEAR(B675)</f>
        <v>2024</v>
      </c>
      <c r="D675" s="10" t="n">
        <f aca="false">INT((MONTH(B675)-1)/3)+1</f>
        <v>4</v>
      </c>
      <c r="E675" s="10" t="n">
        <f aca="false">MONTH(B675)</f>
        <v>11</v>
      </c>
      <c r="F675" s="10" t="str">
        <f aca="false">CHOOSE(MOD(A675-1,5)+1,"Центр","Юг","Север","Запад","Восток")</f>
        <v>Запад</v>
      </c>
      <c r="G675" s="10" t="str">
        <f aca="false">"Округ_"&amp;(MOD(A675-1,5)+1)&amp;"_"&amp;(MOD(INT((A675-1)/5),5)+1)</f>
        <v>Округ_4_5</v>
      </c>
      <c r="H675" s="10" t="str">
        <f aca="false">"Город_"&amp;(MOD(A675-1,5)+1)&amp;"_"&amp;(MOD(INT((A675-1)/5),5)+1)&amp;"_"&amp;(MOD(INT((A675-1)/25),10)+1)</f>
        <v>Город_4_5_7</v>
      </c>
      <c r="I675" s="10" t="str">
        <f aca="false">CHOOSE(MOD(A675-1,4)+1,"Электроника","Одежда","Продукты","Мебель")</f>
        <v>Одежда</v>
      </c>
      <c r="J675" s="10" t="str">
        <f aca="false">CHOOSE(MOD(INT((A675-1)/4),4)+1,CHOOSE(MOD(A675-1,4)+1,"Смартфоны","Ноутбуки","Аксессуары","Аудио"),CHOOSE(MOD(A675-1,4)+1,"Верхняя одежда","Спортивная","Повседневная","Обувь"),CHOOSE(MOD(A675-1,4)+1,"Молочные","Мясные","Бакалея","Напитки"),CHOOSE(MOD(A675-1,4)+1,"Мягкая мебель","Корпусная","Офисная","Кухонная"))</f>
        <v>Ноутбуки</v>
      </c>
      <c r="K675" s="12" t="n">
        <f aca="false">1000+MOD(A675*317+A675*A675*7,49001)</f>
        <v>13521</v>
      </c>
      <c r="L675" s="12" t="n">
        <f aca="false">1+MOD(A675*131,100)</f>
        <v>95</v>
      </c>
      <c r="M675" s="12" t="n">
        <f aca="false">INT(K675*(0.6+MOD(A675*43,21)/100))</f>
        <v>8383</v>
      </c>
      <c r="N675" s="12" t="n">
        <f aca="false">K675-M675</f>
        <v>5138</v>
      </c>
    </row>
    <row r="676" customFormat="false" ht="12.8" hidden="false" customHeight="false" outlineLevel="0" collapsed="false">
      <c r="A676" s="10" t="n">
        <f aca="false">A675+1</f>
        <v>675</v>
      </c>
      <c r="B676" s="11" t="n">
        <f aca="false">B675+1</f>
        <v>45601</v>
      </c>
      <c r="C676" s="10" t="n">
        <f aca="false">YEAR(B676)</f>
        <v>2024</v>
      </c>
      <c r="D676" s="10" t="n">
        <f aca="false">INT((MONTH(B676)-1)/3)+1</f>
        <v>4</v>
      </c>
      <c r="E676" s="10" t="n">
        <f aca="false">MONTH(B676)</f>
        <v>11</v>
      </c>
      <c r="F676" s="10" t="str">
        <f aca="false">CHOOSE(MOD(A676-1,5)+1,"Центр","Юг","Север","Запад","Восток")</f>
        <v>Восток</v>
      </c>
      <c r="G676" s="10" t="str">
        <f aca="false">"Округ_"&amp;(MOD(A676-1,5)+1)&amp;"_"&amp;(MOD(INT((A676-1)/5),5)+1)</f>
        <v>Округ_5_5</v>
      </c>
      <c r="H676" s="10" t="str">
        <f aca="false">"Город_"&amp;(MOD(A676-1,5)+1)&amp;"_"&amp;(MOD(INT((A676-1)/5),5)+1)&amp;"_"&amp;(MOD(INT((A676-1)/25),10)+1)</f>
        <v>Город_5_5_7</v>
      </c>
      <c r="I676" s="10" t="str">
        <f aca="false">CHOOSE(MOD(A676-1,4)+1,"Электроника","Одежда","Продукты","Мебель")</f>
        <v>Продукты</v>
      </c>
      <c r="J676" s="10" t="str">
        <f aca="false">CHOOSE(MOD(INT((A676-1)/4),4)+1,CHOOSE(MOD(A676-1,4)+1,"Смартфоны","Ноутбуки","Аксессуары","Аудио"),CHOOSE(MOD(A676-1,4)+1,"Верхняя одежда","Спортивная","Повседневная","Обувь"),CHOOSE(MOD(A676-1,4)+1,"Молочные","Мясные","Бакалея","Напитки"),CHOOSE(MOD(A676-1,4)+1,"Мягкая мебель","Корпусная","Офисная","Кухонная"))</f>
        <v>Аксессуары</v>
      </c>
      <c r="K676" s="12" t="n">
        <f aca="false">1000+MOD(A676*317+A676*A676*7,49001)</f>
        <v>23281</v>
      </c>
      <c r="L676" s="12" t="n">
        <f aca="false">1+MOD(A676*131,100)</f>
        <v>26</v>
      </c>
      <c r="M676" s="12" t="n">
        <f aca="false">INT(K676*(0.6+MOD(A676*43,21)/100))</f>
        <v>14667</v>
      </c>
      <c r="N676" s="12" t="n">
        <f aca="false">K676-M676</f>
        <v>8614</v>
      </c>
    </row>
    <row r="677" customFormat="false" ht="12.8" hidden="false" customHeight="false" outlineLevel="0" collapsed="false">
      <c r="A677" s="10" t="n">
        <f aca="false">A676+1</f>
        <v>676</v>
      </c>
      <c r="B677" s="11" t="n">
        <f aca="false">B676+1</f>
        <v>45602</v>
      </c>
      <c r="C677" s="10" t="n">
        <f aca="false">YEAR(B677)</f>
        <v>2024</v>
      </c>
      <c r="D677" s="10" t="n">
        <f aca="false">INT((MONTH(B677)-1)/3)+1</f>
        <v>4</v>
      </c>
      <c r="E677" s="10" t="n">
        <f aca="false">MONTH(B677)</f>
        <v>11</v>
      </c>
      <c r="F677" s="10" t="str">
        <f aca="false">CHOOSE(MOD(A677-1,5)+1,"Центр","Юг","Север","Запад","Восток")</f>
        <v>Центр</v>
      </c>
      <c r="G677" s="10" t="str">
        <f aca="false">"Округ_"&amp;(MOD(A677-1,5)+1)&amp;"_"&amp;(MOD(INT((A677-1)/5),5)+1)</f>
        <v>Округ_1_1</v>
      </c>
      <c r="H677" s="10" t="str">
        <f aca="false">"Город_"&amp;(MOD(A677-1,5)+1)&amp;"_"&amp;(MOD(INT((A677-1)/5),5)+1)&amp;"_"&amp;(MOD(INT((A677-1)/25),10)+1)</f>
        <v>Город_1_1_8</v>
      </c>
      <c r="I677" s="10" t="str">
        <f aca="false">CHOOSE(MOD(A677-1,4)+1,"Электроника","Одежда","Продукты","Мебель")</f>
        <v>Мебель</v>
      </c>
      <c r="J677" s="10" t="str">
        <f aca="false">CHOOSE(MOD(INT((A677-1)/4),4)+1,CHOOSE(MOD(A677-1,4)+1,"Смартфоны","Ноутбуки","Аксессуары","Аудио"),CHOOSE(MOD(A677-1,4)+1,"Верхняя одежда","Спортивная","Повседневная","Обувь"),CHOOSE(MOD(A677-1,4)+1,"Молочные","Мясные","Бакалея","Напитки"),CHOOSE(MOD(A677-1,4)+1,"Мягкая мебель","Корпусная","Офисная","Кухонная"))</f>
        <v>Аудио</v>
      </c>
      <c r="K677" s="12" t="n">
        <f aca="false">1000+MOD(A677*317+A677*A677*7,49001)</f>
        <v>33055</v>
      </c>
      <c r="L677" s="12" t="n">
        <f aca="false">1+MOD(A677*131,100)</f>
        <v>57</v>
      </c>
      <c r="M677" s="12" t="n">
        <f aca="false">INT(K677*(0.6+MOD(A677*43,21)/100))</f>
        <v>21155</v>
      </c>
      <c r="N677" s="12" t="n">
        <f aca="false">K677-M677</f>
        <v>11900</v>
      </c>
    </row>
    <row r="678" customFormat="false" ht="12.8" hidden="false" customHeight="false" outlineLevel="0" collapsed="false">
      <c r="A678" s="10" t="n">
        <f aca="false">A677+1</f>
        <v>677</v>
      </c>
      <c r="B678" s="11" t="n">
        <f aca="false">B677+1</f>
        <v>45603</v>
      </c>
      <c r="C678" s="10" t="n">
        <f aca="false">YEAR(B678)</f>
        <v>2024</v>
      </c>
      <c r="D678" s="10" t="n">
        <f aca="false">INT((MONTH(B678)-1)/3)+1</f>
        <v>4</v>
      </c>
      <c r="E678" s="10" t="n">
        <f aca="false">MONTH(B678)</f>
        <v>11</v>
      </c>
      <c r="F678" s="10" t="str">
        <f aca="false">CHOOSE(MOD(A678-1,5)+1,"Центр","Юг","Север","Запад","Восток")</f>
        <v>Юг</v>
      </c>
      <c r="G678" s="10" t="str">
        <f aca="false">"Округ_"&amp;(MOD(A678-1,5)+1)&amp;"_"&amp;(MOD(INT((A678-1)/5),5)+1)</f>
        <v>Округ_2_1</v>
      </c>
      <c r="H678" s="10" t="str">
        <f aca="false">"Город_"&amp;(MOD(A678-1,5)+1)&amp;"_"&amp;(MOD(INT((A678-1)/5),5)+1)&amp;"_"&amp;(MOD(INT((A678-1)/25),10)+1)</f>
        <v>Город_2_1_8</v>
      </c>
      <c r="I678" s="10" t="str">
        <f aca="false">CHOOSE(MOD(A678-1,4)+1,"Электроника","Одежда","Продукты","Мебель")</f>
        <v>Электроника</v>
      </c>
      <c r="J678" s="10" t="str">
        <f aca="false">CHOOSE(MOD(INT((A678-1)/4),4)+1,CHOOSE(MOD(A678-1,4)+1,"Смартфоны","Ноутбуки","Аксессуары","Аудио"),CHOOSE(MOD(A678-1,4)+1,"Верхняя одежда","Спортивная","Повседневная","Обувь"),CHOOSE(MOD(A678-1,4)+1,"Молочные","Мясные","Бакалея","Напитки"),CHOOSE(MOD(A678-1,4)+1,"Мягкая мебель","Корпусная","Офисная","Кухонная"))</f>
        <v>Верхняя одежда</v>
      </c>
      <c r="K678" s="12" t="n">
        <f aca="false">1000+MOD(A678*317+A678*A678*7,49001)</f>
        <v>42843</v>
      </c>
      <c r="L678" s="12" t="n">
        <f aca="false">1+MOD(A678*131,100)</f>
        <v>88</v>
      </c>
      <c r="M678" s="12" t="n">
        <f aca="false">INT(K678*(0.6+MOD(A678*43,21)/100))</f>
        <v>27847</v>
      </c>
      <c r="N678" s="12" t="n">
        <f aca="false">K678-M678</f>
        <v>14996</v>
      </c>
    </row>
    <row r="679" customFormat="false" ht="12.8" hidden="false" customHeight="false" outlineLevel="0" collapsed="false">
      <c r="A679" s="10" t="n">
        <f aca="false">A678+1</f>
        <v>678</v>
      </c>
      <c r="B679" s="11" t="n">
        <f aca="false">B678+1</f>
        <v>45604</v>
      </c>
      <c r="C679" s="10" t="n">
        <f aca="false">YEAR(B679)</f>
        <v>2024</v>
      </c>
      <c r="D679" s="10" t="n">
        <f aca="false">INT((MONTH(B679)-1)/3)+1</f>
        <v>4</v>
      </c>
      <c r="E679" s="10" t="n">
        <f aca="false">MONTH(B679)</f>
        <v>11</v>
      </c>
      <c r="F679" s="10" t="str">
        <f aca="false">CHOOSE(MOD(A679-1,5)+1,"Центр","Юг","Север","Запад","Восток")</f>
        <v>Север</v>
      </c>
      <c r="G679" s="10" t="str">
        <f aca="false">"Округ_"&amp;(MOD(A679-1,5)+1)&amp;"_"&amp;(MOD(INT((A679-1)/5),5)+1)</f>
        <v>Округ_3_1</v>
      </c>
      <c r="H679" s="10" t="str">
        <f aca="false">"Город_"&amp;(MOD(A679-1,5)+1)&amp;"_"&amp;(MOD(INT((A679-1)/5),5)+1)&amp;"_"&amp;(MOD(INT((A679-1)/25),10)+1)</f>
        <v>Город_3_1_8</v>
      </c>
      <c r="I679" s="10" t="str">
        <f aca="false">CHOOSE(MOD(A679-1,4)+1,"Электроника","Одежда","Продукты","Мебель")</f>
        <v>Одежда</v>
      </c>
      <c r="J679" s="10" t="str">
        <f aca="false">CHOOSE(MOD(INT((A679-1)/4),4)+1,CHOOSE(MOD(A679-1,4)+1,"Смартфоны","Ноутбуки","Аксессуары","Аудио"),CHOOSE(MOD(A679-1,4)+1,"Верхняя одежда","Спортивная","Повседневная","Обувь"),CHOOSE(MOD(A679-1,4)+1,"Молочные","Мясные","Бакалея","Напитки"),CHOOSE(MOD(A679-1,4)+1,"Мягкая мебель","Корпусная","Офисная","Кухонная"))</f>
        <v>Спортивная</v>
      </c>
      <c r="K679" s="12" t="n">
        <f aca="false">1000+MOD(A679*317+A679*A679*7,49001)</f>
        <v>3644</v>
      </c>
      <c r="L679" s="12" t="n">
        <f aca="false">1+MOD(A679*131,100)</f>
        <v>19</v>
      </c>
      <c r="M679" s="12" t="n">
        <f aca="false">INT(K679*(0.6+MOD(A679*43,21)/100))</f>
        <v>2405</v>
      </c>
      <c r="N679" s="12" t="n">
        <f aca="false">K679-M679</f>
        <v>1239</v>
      </c>
    </row>
    <row r="680" customFormat="false" ht="12.8" hidden="false" customHeight="false" outlineLevel="0" collapsed="false">
      <c r="A680" s="10" t="n">
        <f aca="false">A679+1</f>
        <v>679</v>
      </c>
      <c r="B680" s="11" t="n">
        <f aca="false">B679+1</f>
        <v>45605</v>
      </c>
      <c r="C680" s="10" t="n">
        <f aca="false">YEAR(B680)</f>
        <v>2024</v>
      </c>
      <c r="D680" s="10" t="n">
        <f aca="false">INT((MONTH(B680)-1)/3)+1</f>
        <v>4</v>
      </c>
      <c r="E680" s="10" t="n">
        <f aca="false">MONTH(B680)</f>
        <v>11</v>
      </c>
      <c r="F680" s="10" t="str">
        <f aca="false">CHOOSE(MOD(A680-1,5)+1,"Центр","Юг","Север","Запад","Восток")</f>
        <v>Запад</v>
      </c>
      <c r="G680" s="10" t="str">
        <f aca="false">"Округ_"&amp;(MOD(A680-1,5)+1)&amp;"_"&amp;(MOD(INT((A680-1)/5),5)+1)</f>
        <v>Округ_4_1</v>
      </c>
      <c r="H680" s="10" t="str">
        <f aca="false">"Город_"&amp;(MOD(A680-1,5)+1)&amp;"_"&amp;(MOD(INT((A680-1)/5),5)+1)&amp;"_"&amp;(MOD(INT((A680-1)/25),10)+1)</f>
        <v>Город_4_1_8</v>
      </c>
      <c r="I680" s="10" t="str">
        <f aca="false">CHOOSE(MOD(A680-1,4)+1,"Электроника","Одежда","Продукты","Мебель")</f>
        <v>Продукты</v>
      </c>
      <c r="J680" s="10" t="str">
        <f aca="false">CHOOSE(MOD(INT((A680-1)/4),4)+1,CHOOSE(MOD(A680-1,4)+1,"Смартфоны","Ноутбуки","Аксессуары","Аудио"),CHOOSE(MOD(A680-1,4)+1,"Верхняя одежда","Спортивная","Повседневная","Обувь"),CHOOSE(MOD(A680-1,4)+1,"Молочные","Мясные","Бакалея","Напитки"),CHOOSE(MOD(A680-1,4)+1,"Мягкая мебель","Корпусная","Офисная","Кухонная"))</f>
        <v>Повседневная</v>
      </c>
      <c r="K680" s="12" t="n">
        <f aca="false">1000+MOD(A680*317+A680*A680*7,49001)</f>
        <v>13460</v>
      </c>
      <c r="L680" s="12" t="n">
        <f aca="false">1+MOD(A680*131,100)</f>
        <v>50</v>
      </c>
      <c r="M680" s="12" t="n">
        <f aca="false">INT(K680*(0.6+MOD(A680*43,21)/100))</f>
        <v>9018</v>
      </c>
      <c r="N680" s="12" t="n">
        <f aca="false">K680-M680</f>
        <v>4442</v>
      </c>
    </row>
    <row r="681" customFormat="false" ht="12.8" hidden="false" customHeight="false" outlineLevel="0" collapsed="false">
      <c r="A681" s="10" t="n">
        <f aca="false">A680+1</f>
        <v>680</v>
      </c>
      <c r="B681" s="11" t="n">
        <f aca="false">B680+1</f>
        <v>45606</v>
      </c>
      <c r="C681" s="10" t="n">
        <f aca="false">YEAR(B681)</f>
        <v>2024</v>
      </c>
      <c r="D681" s="10" t="n">
        <f aca="false">INT((MONTH(B681)-1)/3)+1</f>
        <v>4</v>
      </c>
      <c r="E681" s="10" t="n">
        <f aca="false">MONTH(B681)</f>
        <v>11</v>
      </c>
      <c r="F681" s="10" t="str">
        <f aca="false">CHOOSE(MOD(A681-1,5)+1,"Центр","Юг","Север","Запад","Восток")</f>
        <v>Восток</v>
      </c>
      <c r="G681" s="10" t="str">
        <f aca="false">"Округ_"&amp;(MOD(A681-1,5)+1)&amp;"_"&amp;(MOD(INT((A681-1)/5),5)+1)</f>
        <v>Округ_5_1</v>
      </c>
      <c r="H681" s="10" t="str">
        <f aca="false">"Город_"&amp;(MOD(A681-1,5)+1)&amp;"_"&amp;(MOD(INT((A681-1)/5),5)+1)&amp;"_"&amp;(MOD(INT((A681-1)/25),10)+1)</f>
        <v>Город_5_1_8</v>
      </c>
      <c r="I681" s="10" t="str">
        <f aca="false">CHOOSE(MOD(A681-1,4)+1,"Электроника","Одежда","Продукты","Мебель")</f>
        <v>Мебель</v>
      </c>
      <c r="J681" s="10" t="str">
        <f aca="false">CHOOSE(MOD(INT((A681-1)/4),4)+1,CHOOSE(MOD(A681-1,4)+1,"Смартфоны","Ноутбуки","Аксессуары","Аудио"),CHOOSE(MOD(A681-1,4)+1,"Верхняя одежда","Спортивная","Повседневная","Обувь"),CHOOSE(MOD(A681-1,4)+1,"Молочные","Мясные","Бакалея","Напитки"),CHOOSE(MOD(A681-1,4)+1,"Мягкая мебель","Корпусная","Офисная","Кухонная"))</f>
        <v>Обувь</v>
      </c>
      <c r="K681" s="12" t="n">
        <f aca="false">1000+MOD(A681*317+A681*A681*7,49001)</f>
        <v>23290</v>
      </c>
      <c r="L681" s="12" t="n">
        <f aca="false">1+MOD(A681*131,100)</f>
        <v>81</v>
      </c>
      <c r="M681" s="12" t="n">
        <f aca="false">INT(K681*(0.6+MOD(A681*43,21)/100))</f>
        <v>15837</v>
      </c>
      <c r="N681" s="12" t="n">
        <f aca="false">K681-M681</f>
        <v>7453</v>
      </c>
    </row>
    <row r="682" customFormat="false" ht="12.8" hidden="false" customHeight="false" outlineLevel="0" collapsed="false">
      <c r="A682" s="10" t="n">
        <f aca="false">A681+1</f>
        <v>681</v>
      </c>
      <c r="B682" s="11" t="n">
        <f aca="false">B681+1</f>
        <v>45607</v>
      </c>
      <c r="C682" s="10" t="n">
        <f aca="false">YEAR(B682)</f>
        <v>2024</v>
      </c>
      <c r="D682" s="10" t="n">
        <f aca="false">INT((MONTH(B682)-1)/3)+1</f>
        <v>4</v>
      </c>
      <c r="E682" s="10" t="n">
        <f aca="false">MONTH(B682)</f>
        <v>11</v>
      </c>
      <c r="F682" s="10" t="str">
        <f aca="false">CHOOSE(MOD(A682-1,5)+1,"Центр","Юг","Север","Запад","Восток")</f>
        <v>Центр</v>
      </c>
      <c r="G682" s="10" t="str">
        <f aca="false">"Округ_"&amp;(MOD(A682-1,5)+1)&amp;"_"&amp;(MOD(INT((A682-1)/5),5)+1)</f>
        <v>Округ_1_2</v>
      </c>
      <c r="H682" s="10" t="str">
        <f aca="false">"Город_"&amp;(MOD(A682-1,5)+1)&amp;"_"&amp;(MOD(INT((A682-1)/5),5)+1)&amp;"_"&amp;(MOD(INT((A682-1)/25),10)+1)</f>
        <v>Город_1_2_8</v>
      </c>
      <c r="I682" s="10" t="str">
        <f aca="false">CHOOSE(MOD(A682-1,4)+1,"Электроника","Одежда","Продукты","Мебель")</f>
        <v>Электроника</v>
      </c>
      <c r="J682" s="10" t="str">
        <f aca="false">CHOOSE(MOD(INT((A682-1)/4),4)+1,CHOOSE(MOD(A682-1,4)+1,"Смартфоны","Ноутбуки","Аксессуары","Аудио"),CHOOSE(MOD(A682-1,4)+1,"Верхняя одежда","Спортивная","Повседневная","Обувь"),CHOOSE(MOD(A682-1,4)+1,"Молочные","Мясные","Бакалея","Напитки"),CHOOSE(MOD(A682-1,4)+1,"Мягкая мебель","Корпусная","Офисная","Кухонная"))</f>
        <v>Молочные</v>
      </c>
      <c r="K682" s="12" t="n">
        <f aca="false">1000+MOD(A682*317+A682*A682*7,49001)</f>
        <v>33134</v>
      </c>
      <c r="L682" s="12" t="n">
        <f aca="false">1+MOD(A682*131,100)</f>
        <v>12</v>
      </c>
      <c r="M682" s="12" t="n">
        <f aca="false">INT(K682*(0.6+MOD(A682*43,21)/100))</f>
        <v>22862</v>
      </c>
      <c r="N682" s="12" t="n">
        <f aca="false">K682-M682</f>
        <v>10272</v>
      </c>
    </row>
    <row r="683" customFormat="false" ht="12.8" hidden="false" customHeight="false" outlineLevel="0" collapsed="false">
      <c r="A683" s="10" t="n">
        <f aca="false">A682+1</f>
        <v>682</v>
      </c>
      <c r="B683" s="11" t="n">
        <f aca="false">B682+1</f>
        <v>45608</v>
      </c>
      <c r="C683" s="10" t="n">
        <f aca="false">YEAR(B683)</f>
        <v>2024</v>
      </c>
      <c r="D683" s="10" t="n">
        <f aca="false">INT((MONTH(B683)-1)/3)+1</f>
        <v>4</v>
      </c>
      <c r="E683" s="10" t="n">
        <f aca="false">MONTH(B683)</f>
        <v>11</v>
      </c>
      <c r="F683" s="10" t="str">
        <f aca="false">CHOOSE(MOD(A683-1,5)+1,"Центр","Юг","Север","Запад","Восток")</f>
        <v>Юг</v>
      </c>
      <c r="G683" s="10" t="str">
        <f aca="false">"Округ_"&amp;(MOD(A683-1,5)+1)&amp;"_"&amp;(MOD(INT((A683-1)/5),5)+1)</f>
        <v>Округ_2_2</v>
      </c>
      <c r="H683" s="10" t="str">
        <f aca="false">"Город_"&amp;(MOD(A683-1,5)+1)&amp;"_"&amp;(MOD(INT((A683-1)/5),5)+1)&amp;"_"&amp;(MOD(INT((A683-1)/25),10)+1)</f>
        <v>Город_2_2_8</v>
      </c>
      <c r="I683" s="10" t="str">
        <f aca="false">CHOOSE(MOD(A683-1,4)+1,"Электроника","Одежда","Продукты","Мебель")</f>
        <v>Одежда</v>
      </c>
      <c r="J683" s="10" t="str">
        <f aca="false">CHOOSE(MOD(INT((A683-1)/4),4)+1,CHOOSE(MOD(A683-1,4)+1,"Смартфоны","Ноутбуки","Аксессуары","Аудио"),CHOOSE(MOD(A683-1,4)+1,"Верхняя одежда","Спортивная","Повседневная","Обувь"),CHOOSE(MOD(A683-1,4)+1,"Молочные","Мясные","Бакалея","Напитки"),CHOOSE(MOD(A683-1,4)+1,"Мягкая мебель","Корпусная","Офисная","Кухонная"))</f>
        <v>Мясные</v>
      </c>
      <c r="K683" s="12" t="n">
        <f aca="false">1000+MOD(A683*317+A683*A683*7,49001)</f>
        <v>42992</v>
      </c>
      <c r="L683" s="12" t="n">
        <f aca="false">1+MOD(A683*131,100)</f>
        <v>43</v>
      </c>
      <c r="M683" s="12" t="n">
        <f aca="false">INT(K683*(0.6+MOD(A683*43,21)/100))</f>
        <v>30094</v>
      </c>
      <c r="N683" s="12" t="n">
        <f aca="false">K683-M683</f>
        <v>12898</v>
      </c>
    </row>
    <row r="684" customFormat="false" ht="12.8" hidden="false" customHeight="false" outlineLevel="0" collapsed="false">
      <c r="A684" s="10" t="n">
        <f aca="false">A683+1</f>
        <v>683</v>
      </c>
      <c r="B684" s="11" t="n">
        <f aca="false">B683+1</f>
        <v>45609</v>
      </c>
      <c r="C684" s="10" t="n">
        <f aca="false">YEAR(B684)</f>
        <v>2024</v>
      </c>
      <c r="D684" s="10" t="n">
        <f aca="false">INT((MONTH(B684)-1)/3)+1</f>
        <v>4</v>
      </c>
      <c r="E684" s="10" t="n">
        <f aca="false">MONTH(B684)</f>
        <v>11</v>
      </c>
      <c r="F684" s="10" t="str">
        <f aca="false">CHOOSE(MOD(A684-1,5)+1,"Центр","Юг","Север","Запад","Восток")</f>
        <v>Север</v>
      </c>
      <c r="G684" s="10" t="str">
        <f aca="false">"Округ_"&amp;(MOD(A684-1,5)+1)&amp;"_"&amp;(MOD(INT((A684-1)/5),5)+1)</f>
        <v>Округ_3_2</v>
      </c>
      <c r="H684" s="10" t="str">
        <f aca="false">"Город_"&amp;(MOD(A684-1,5)+1)&amp;"_"&amp;(MOD(INT((A684-1)/5),5)+1)&amp;"_"&amp;(MOD(INT((A684-1)/25),10)+1)</f>
        <v>Город_3_2_8</v>
      </c>
      <c r="I684" s="10" t="str">
        <f aca="false">CHOOSE(MOD(A684-1,4)+1,"Электроника","Одежда","Продукты","Мебель")</f>
        <v>Продукты</v>
      </c>
      <c r="J684" s="10" t="str">
        <f aca="false">CHOOSE(MOD(INT((A684-1)/4),4)+1,CHOOSE(MOD(A684-1,4)+1,"Смартфоны","Ноутбуки","Аксессуары","Аудио"),CHOOSE(MOD(A684-1,4)+1,"Верхняя одежда","Спортивная","Повседневная","Обувь"),CHOOSE(MOD(A684-1,4)+1,"Молочные","Мясные","Бакалея","Напитки"),CHOOSE(MOD(A684-1,4)+1,"Мягкая мебель","Корпусная","Офисная","Кухонная"))</f>
        <v>Бакалея</v>
      </c>
      <c r="K684" s="12" t="n">
        <f aca="false">1000+MOD(A684*317+A684*A684*7,49001)</f>
        <v>3863</v>
      </c>
      <c r="L684" s="12" t="n">
        <f aca="false">1+MOD(A684*131,100)</f>
        <v>74</v>
      </c>
      <c r="M684" s="12" t="n">
        <f aca="false">INT(K684*(0.6+MOD(A684*43,21)/100))</f>
        <v>2742</v>
      </c>
      <c r="N684" s="12" t="n">
        <f aca="false">K684-M684</f>
        <v>1121</v>
      </c>
    </row>
    <row r="685" customFormat="false" ht="12.8" hidden="false" customHeight="false" outlineLevel="0" collapsed="false">
      <c r="A685" s="10" t="n">
        <f aca="false">A684+1</f>
        <v>684</v>
      </c>
      <c r="B685" s="11" t="n">
        <f aca="false">B684+1</f>
        <v>45610</v>
      </c>
      <c r="C685" s="10" t="n">
        <f aca="false">YEAR(B685)</f>
        <v>2024</v>
      </c>
      <c r="D685" s="10" t="n">
        <f aca="false">INT((MONTH(B685)-1)/3)+1</f>
        <v>4</v>
      </c>
      <c r="E685" s="10" t="n">
        <f aca="false">MONTH(B685)</f>
        <v>11</v>
      </c>
      <c r="F685" s="10" t="str">
        <f aca="false">CHOOSE(MOD(A685-1,5)+1,"Центр","Юг","Север","Запад","Восток")</f>
        <v>Запад</v>
      </c>
      <c r="G685" s="10" t="str">
        <f aca="false">"Округ_"&amp;(MOD(A685-1,5)+1)&amp;"_"&amp;(MOD(INT((A685-1)/5),5)+1)</f>
        <v>Округ_4_2</v>
      </c>
      <c r="H685" s="10" t="str">
        <f aca="false">"Город_"&amp;(MOD(A685-1,5)+1)&amp;"_"&amp;(MOD(INT((A685-1)/5),5)+1)&amp;"_"&amp;(MOD(INT((A685-1)/25),10)+1)</f>
        <v>Город_4_2_8</v>
      </c>
      <c r="I685" s="10" t="str">
        <f aca="false">CHOOSE(MOD(A685-1,4)+1,"Электроника","Одежда","Продукты","Мебель")</f>
        <v>Мебель</v>
      </c>
      <c r="J685" s="10" t="str">
        <f aca="false">CHOOSE(MOD(INT((A685-1)/4),4)+1,CHOOSE(MOD(A685-1,4)+1,"Смартфоны","Ноутбуки","Аксессуары","Аудио"),CHOOSE(MOD(A685-1,4)+1,"Верхняя одежда","Спортивная","Повседневная","Обувь"),CHOOSE(MOD(A685-1,4)+1,"Молочные","Мясные","Бакалея","Напитки"),CHOOSE(MOD(A685-1,4)+1,"Мягкая мебель","Корпусная","Офисная","Кухонная"))</f>
        <v>Напитки</v>
      </c>
      <c r="K685" s="12" t="n">
        <f aca="false">1000+MOD(A685*317+A685*A685*7,49001)</f>
        <v>13749</v>
      </c>
      <c r="L685" s="12" t="n">
        <f aca="false">1+MOD(A685*131,100)</f>
        <v>5</v>
      </c>
      <c r="M685" s="12" t="n">
        <f aca="false">INT(K685*(0.6+MOD(A685*43,21)/100))</f>
        <v>9899</v>
      </c>
      <c r="N685" s="12" t="n">
        <f aca="false">K685-M685</f>
        <v>3850</v>
      </c>
    </row>
    <row r="686" customFormat="false" ht="12.8" hidden="false" customHeight="false" outlineLevel="0" collapsed="false">
      <c r="A686" s="10" t="n">
        <f aca="false">A685+1</f>
        <v>685</v>
      </c>
      <c r="B686" s="11" t="n">
        <f aca="false">B685+1</f>
        <v>45611</v>
      </c>
      <c r="C686" s="10" t="n">
        <f aca="false">YEAR(B686)</f>
        <v>2024</v>
      </c>
      <c r="D686" s="10" t="n">
        <f aca="false">INT((MONTH(B686)-1)/3)+1</f>
        <v>4</v>
      </c>
      <c r="E686" s="10" t="n">
        <f aca="false">MONTH(B686)</f>
        <v>11</v>
      </c>
      <c r="F686" s="10" t="str">
        <f aca="false">CHOOSE(MOD(A686-1,5)+1,"Центр","Юг","Север","Запад","Восток")</f>
        <v>Восток</v>
      </c>
      <c r="G686" s="10" t="str">
        <f aca="false">"Округ_"&amp;(MOD(A686-1,5)+1)&amp;"_"&amp;(MOD(INT((A686-1)/5),5)+1)</f>
        <v>Округ_5_2</v>
      </c>
      <c r="H686" s="10" t="str">
        <f aca="false">"Город_"&amp;(MOD(A686-1,5)+1)&amp;"_"&amp;(MOD(INT((A686-1)/5),5)+1)&amp;"_"&amp;(MOD(INT((A686-1)/25),10)+1)</f>
        <v>Город_5_2_8</v>
      </c>
      <c r="I686" s="10" t="str">
        <f aca="false">CHOOSE(MOD(A686-1,4)+1,"Электроника","Одежда","Продукты","Мебель")</f>
        <v>Электроника</v>
      </c>
      <c r="J686" s="10" t="str">
        <f aca="false">CHOOSE(MOD(INT((A686-1)/4),4)+1,CHOOSE(MOD(A686-1,4)+1,"Смартфоны","Ноутбуки","Аксессуары","Аудио"),CHOOSE(MOD(A686-1,4)+1,"Верхняя одежда","Спортивная","Повседневная","Обувь"),CHOOSE(MOD(A686-1,4)+1,"Молочные","Мясные","Бакалея","Напитки"),CHOOSE(MOD(A686-1,4)+1,"Мягкая мебель","Корпусная","Офисная","Кухонная"))</f>
        <v>Мягкая мебель</v>
      </c>
      <c r="K686" s="12" t="n">
        <f aca="false">1000+MOD(A686*317+A686*A686*7,49001)</f>
        <v>23649</v>
      </c>
      <c r="L686" s="12" t="n">
        <f aca="false">1+MOD(A686*131,100)</f>
        <v>36</v>
      </c>
      <c r="M686" s="12" t="n">
        <f aca="false">INT(K686*(0.6+MOD(A686*43,21)/100))</f>
        <v>17263</v>
      </c>
      <c r="N686" s="12" t="n">
        <f aca="false">K686-M686</f>
        <v>6386</v>
      </c>
    </row>
    <row r="687" customFormat="false" ht="12.8" hidden="false" customHeight="false" outlineLevel="0" collapsed="false">
      <c r="A687" s="10" t="n">
        <f aca="false">A686+1</f>
        <v>686</v>
      </c>
      <c r="B687" s="11" t="n">
        <f aca="false">B686+1</f>
        <v>45612</v>
      </c>
      <c r="C687" s="10" t="n">
        <f aca="false">YEAR(B687)</f>
        <v>2024</v>
      </c>
      <c r="D687" s="10" t="n">
        <f aca="false">INT((MONTH(B687)-1)/3)+1</f>
        <v>4</v>
      </c>
      <c r="E687" s="10" t="n">
        <f aca="false">MONTH(B687)</f>
        <v>11</v>
      </c>
      <c r="F687" s="10" t="str">
        <f aca="false">CHOOSE(MOD(A687-1,5)+1,"Центр","Юг","Север","Запад","Восток")</f>
        <v>Центр</v>
      </c>
      <c r="G687" s="10" t="str">
        <f aca="false">"Округ_"&amp;(MOD(A687-1,5)+1)&amp;"_"&amp;(MOD(INT((A687-1)/5),5)+1)</f>
        <v>Округ_1_3</v>
      </c>
      <c r="H687" s="10" t="str">
        <f aca="false">"Город_"&amp;(MOD(A687-1,5)+1)&amp;"_"&amp;(MOD(INT((A687-1)/5),5)+1)&amp;"_"&amp;(MOD(INT((A687-1)/25),10)+1)</f>
        <v>Город_1_3_8</v>
      </c>
      <c r="I687" s="10" t="str">
        <f aca="false">CHOOSE(MOD(A687-1,4)+1,"Электроника","Одежда","Продукты","Мебель")</f>
        <v>Одежда</v>
      </c>
      <c r="J687" s="10" t="str">
        <f aca="false">CHOOSE(MOD(INT((A687-1)/4),4)+1,CHOOSE(MOD(A687-1,4)+1,"Смартфоны","Ноутбуки","Аксессуары","Аудио"),CHOOSE(MOD(A687-1,4)+1,"Верхняя одежда","Спортивная","Повседневная","Обувь"),CHOOSE(MOD(A687-1,4)+1,"Молочные","Мясные","Бакалея","Напитки"),CHOOSE(MOD(A687-1,4)+1,"Мягкая мебель","Корпусная","Офисная","Кухонная"))</f>
        <v>Корпусная</v>
      </c>
      <c r="K687" s="12" t="n">
        <f aca="false">1000+MOD(A687*317+A687*A687*7,49001)</f>
        <v>33563</v>
      </c>
      <c r="L687" s="12" t="n">
        <f aca="false">1+MOD(A687*131,100)</f>
        <v>67</v>
      </c>
      <c r="M687" s="12" t="n">
        <f aca="false">INT(K687*(0.6+MOD(A687*43,21)/100))</f>
        <v>24836</v>
      </c>
      <c r="N687" s="12" t="n">
        <f aca="false">K687-M687</f>
        <v>8727</v>
      </c>
    </row>
    <row r="688" customFormat="false" ht="12.8" hidden="false" customHeight="false" outlineLevel="0" collapsed="false">
      <c r="A688" s="10" t="n">
        <f aca="false">A687+1</f>
        <v>687</v>
      </c>
      <c r="B688" s="11" t="n">
        <f aca="false">B687+1</f>
        <v>45613</v>
      </c>
      <c r="C688" s="10" t="n">
        <f aca="false">YEAR(B688)</f>
        <v>2024</v>
      </c>
      <c r="D688" s="10" t="n">
        <f aca="false">INT((MONTH(B688)-1)/3)+1</f>
        <v>4</v>
      </c>
      <c r="E688" s="10" t="n">
        <f aca="false">MONTH(B688)</f>
        <v>11</v>
      </c>
      <c r="F688" s="10" t="str">
        <f aca="false">CHOOSE(MOD(A688-1,5)+1,"Центр","Юг","Север","Запад","Восток")</f>
        <v>Юг</v>
      </c>
      <c r="G688" s="10" t="str">
        <f aca="false">"Округ_"&amp;(MOD(A688-1,5)+1)&amp;"_"&amp;(MOD(INT((A688-1)/5),5)+1)</f>
        <v>Округ_2_3</v>
      </c>
      <c r="H688" s="10" t="str">
        <f aca="false">"Город_"&amp;(MOD(A688-1,5)+1)&amp;"_"&amp;(MOD(INT((A688-1)/5),5)+1)&amp;"_"&amp;(MOD(INT((A688-1)/25),10)+1)</f>
        <v>Город_2_3_8</v>
      </c>
      <c r="I688" s="10" t="str">
        <f aca="false">CHOOSE(MOD(A688-1,4)+1,"Электроника","Одежда","Продукты","Мебель")</f>
        <v>Продукты</v>
      </c>
      <c r="J688" s="10" t="str">
        <f aca="false">CHOOSE(MOD(INT((A688-1)/4),4)+1,CHOOSE(MOD(A688-1,4)+1,"Смартфоны","Ноутбуки","Аксессуары","Аудио"),CHOOSE(MOD(A688-1,4)+1,"Верхняя одежда","Спортивная","Повседневная","Обувь"),CHOOSE(MOD(A688-1,4)+1,"Молочные","Мясные","Бакалея","Напитки"),CHOOSE(MOD(A688-1,4)+1,"Мягкая мебель","Корпусная","Офисная","Кухонная"))</f>
        <v>Офисная</v>
      </c>
      <c r="K688" s="12" t="n">
        <f aca="false">1000+MOD(A688*317+A688*A688*7,49001)</f>
        <v>43491</v>
      </c>
      <c r="L688" s="12" t="n">
        <f aca="false">1+MOD(A688*131,100)</f>
        <v>98</v>
      </c>
      <c r="M688" s="12" t="n">
        <f aca="false">INT(K688*(0.6+MOD(A688*43,21)/100))</f>
        <v>32618</v>
      </c>
      <c r="N688" s="12" t="n">
        <f aca="false">K688-M688</f>
        <v>10873</v>
      </c>
    </row>
    <row r="689" customFormat="false" ht="12.8" hidden="false" customHeight="false" outlineLevel="0" collapsed="false">
      <c r="A689" s="10" t="n">
        <f aca="false">A688+1</f>
        <v>688</v>
      </c>
      <c r="B689" s="11" t="n">
        <f aca="false">B688+1</f>
        <v>45614</v>
      </c>
      <c r="C689" s="10" t="n">
        <f aca="false">YEAR(B689)</f>
        <v>2024</v>
      </c>
      <c r="D689" s="10" t="n">
        <f aca="false">INT((MONTH(B689)-1)/3)+1</f>
        <v>4</v>
      </c>
      <c r="E689" s="10" t="n">
        <f aca="false">MONTH(B689)</f>
        <v>11</v>
      </c>
      <c r="F689" s="10" t="str">
        <f aca="false">CHOOSE(MOD(A689-1,5)+1,"Центр","Юг","Север","Запад","Восток")</f>
        <v>Север</v>
      </c>
      <c r="G689" s="10" t="str">
        <f aca="false">"Округ_"&amp;(MOD(A689-1,5)+1)&amp;"_"&amp;(MOD(INT((A689-1)/5),5)+1)</f>
        <v>Округ_3_3</v>
      </c>
      <c r="H689" s="10" t="str">
        <f aca="false">"Город_"&amp;(MOD(A689-1,5)+1)&amp;"_"&amp;(MOD(INT((A689-1)/5),5)+1)&amp;"_"&amp;(MOD(INT((A689-1)/25),10)+1)</f>
        <v>Город_3_3_8</v>
      </c>
      <c r="I689" s="10" t="str">
        <f aca="false">CHOOSE(MOD(A689-1,4)+1,"Электроника","Одежда","Продукты","Мебель")</f>
        <v>Мебель</v>
      </c>
      <c r="J689" s="10" t="str">
        <f aca="false">CHOOSE(MOD(INT((A689-1)/4),4)+1,CHOOSE(MOD(A689-1,4)+1,"Смартфоны","Ноутбуки","Аксессуары","Аудио"),CHOOSE(MOD(A689-1,4)+1,"Верхняя одежда","Спортивная","Повседневная","Обувь"),CHOOSE(MOD(A689-1,4)+1,"Молочные","Мясные","Бакалея","Напитки"),CHOOSE(MOD(A689-1,4)+1,"Мягкая мебель","Корпусная","Офисная","Кухонная"))</f>
        <v>Кухонная</v>
      </c>
      <c r="K689" s="12" t="n">
        <f aca="false">1000+MOD(A689*317+A689*A689*7,49001)</f>
        <v>4432</v>
      </c>
      <c r="L689" s="12" t="n">
        <f aca="false">1+MOD(A689*131,100)</f>
        <v>29</v>
      </c>
      <c r="M689" s="12" t="n">
        <f aca="false">INT(K689*(0.6+MOD(A689*43,21)/100))</f>
        <v>3368</v>
      </c>
      <c r="N689" s="12" t="n">
        <f aca="false">K689-M689</f>
        <v>1064</v>
      </c>
    </row>
    <row r="690" customFormat="false" ht="12.8" hidden="false" customHeight="false" outlineLevel="0" collapsed="false">
      <c r="A690" s="10" t="n">
        <f aca="false">A689+1</f>
        <v>689</v>
      </c>
      <c r="B690" s="11" t="n">
        <f aca="false">B689+1</f>
        <v>45615</v>
      </c>
      <c r="C690" s="10" t="n">
        <f aca="false">YEAR(B690)</f>
        <v>2024</v>
      </c>
      <c r="D690" s="10" t="n">
        <f aca="false">INT((MONTH(B690)-1)/3)+1</f>
        <v>4</v>
      </c>
      <c r="E690" s="10" t="n">
        <f aca="false">MONTH(B690)</f>
        <v>11</v>
      </c>
      <c r="F690" s="10" t="str">
        <f aca="false">CHOOSE(MOD(A690-1,5)+1,"Центр","Юг","Север","Запад","Восток")</f>
        <v>Запад</v>
      </c>
      <c r="G690" s="10" t="str">
        <f aca="false">"Округ_"&amp;(MOD(A690-1,5)+1)&amp;"_"&amp;(MOD(INT((A690-1)/5),5)+1)</f>
        <v>Округ_4_3</v>
      </c>
      <c r="H690" s="10" t="str">
        <f aca="false">"Город_"&amp;(MOD(A690-1,5)+1)&amp;"_"&amp;(MOD(INT((A690-1)/5),5)+1)&amp;"_"&amp;(MOD(INT((A690-1)/25),10)+1)</f>
        <v>Город_4_3_8</v>
      </c>
      <c r="I690" s="10" t="str">
        <f aca="false">CHOOSE(MOD(A690-1,4)+1,"Электроника","Одежда","Продукты","Мебель")</f>
        <v>Электроника</v>
      </c>
      <c r="J690" s="10" t="str">
        <f aca="false">CHOOSE(MOD(INT((A690-1)/4),4)+1,CHOOSE(MOD(A690-1,4)+1,"Смартфоны","Ноутбуки","Аксессуары","Аудио"),CHOOSE(MOD(A690-1,4)+1,"Верхняя одежда","Спортивная","Повседневная","Обувь"),CHOOSE(MOD(A690-1,4)+1,"Молочные","Мясные","Бакалея","Напитки"),CHOOSE(MOD(A690-1,4)+1,"Мягкая мебель","Корпусная","Офисная","Кухонная"))</f>
        <v>Смартфоны</v>
      </c>
      <c r="K690" s="12" t="n">
        <f aca="false">1000+MOD(A690*317+A690*A690*7,49001)</f>
        <v>14388</v>
      </c>
      <c r="L690" s="12" t="n">
        <f aca="false">1+MOD(A690*131,100)</f>
        <v>60</v>
      </c>
      <c r="M690" s="12" t="n">
        <f aca="false">INT(K690*(0.6+MOD(A690*43,21)/100))</f>
        <v>11078</v>
      </c>
      <c r="N690" s="12" t="n">
        <f aca="false">K690-M690</f>
        <v>3310</v>
      </c>
    </row>
    <row r="691" customFormat="false" ht="12.8" hidden="false" customHeight="false" outlineLevel="0" collapsed="false">
      <c r="A691" s="10" t="n">
        <f aca="false">A690+1</f>
        <v>690</v>
      </c>
      <c r="B691" s="11" t="n">
        <f aca="false">B690+1</f>
        <v>45616</v>
      </c>
      <c r="C691" s="10" t="n">
        <f aca="false">YEAR(B691)</f>
        <v>2024</v>
      </c>
      <c r="D691" s="10" t="n">
        <f aca="false">INT((MONTH(B691)-1)/3)+1</f>
        <v>4</v>
      </c>
      <c r="E691" s="10" t="n">
        <f aca="false">MONTH(B691)</f>
        <v>11</v>
      </c>
      <c r="F691" s="10" t="str">
        <f aca="false">CHOOSE(MOD(A691-1,5)+1,"Центр","Юг","Север","Запад","Восток")</f>
        <v>Восток</v>
      </c>
      <c r="G691" s="10" t="str">
        <f aca="false">"Округ_"&amp;(MOD(A691-1,5)+1)&amp;"_"&amp;(MOD(INT((A691-1)/5),5)+1)</f>
        <v>Округ_5_3</v>
      </c>
      <c r="H691" s="10" t="str">
        <f aca="false">"Город_"&amp;(MOD(A691-1,5)+1)&amp;"_"&amp;(MOD(INT((A691-1)/5),5)+1)&amp;"_"&amp;(MOD(INT((A691-1)/25),10)+1)</f>
        <v>Город_5_3_8</v>
      </c>
      <c r="I691" s="10" t="str">
        <f aca="false">CHOOSE(MOD(A691-1,4)+1,"Электроника","Одежда","Продукты","Мебель")</f>
        <v>Одежда</v>
      </c>
      <c r="J691" s="10" t="str">
        <f aca="false">CHOOSE(MOD(INT((A691-1)/4),4)+1,CHOOSE(MOD(A691-1,4)+1,"Смартфоны","Ноутбуки","Аксессуары","Аудио"),CHOOSE(MOD(A691-1,4)+1,"Верхняя одежда","Спортивная","Повседневная","Обувь"),CHOOSE(MOD(A691-1,4)+1,"Молочные","Мясные","Бакалея","Напитки"),CHOOSE(MOD(A691-1,4)+1,"Мягкая мебель","Корпусная","Офисная","Кухонная"))</f>
        <v>Ноутбуки</v>
      </c>
      <c r="K691" s="12" t="n">
        <f aca="false">1000+MOD(A691*317+A691*A691*7,49001)</f>
        <v>24358</v>
      </c>
      <c r="L691" s="12" t="n">
        <f aca="false">1+MOD(A691*131,100)</f>
        <v>91</v>
      </c>
      <c r="M691" s="12" t="n">
        <f aca="false">INT(K691*(0.6+MOD(A691*43,21)/100))</f>
        <v>18999</v>
      </c>
      <c r="N691" s="12" t="n">
        <f aca="false">K691-M691</f>
        <v>5359</v>
      </c>
    </row>
    <row r="692" customFormat="false" ht="12.8" hidden="false" customHeight="false" outlineLevel="0" collapsed="false">
      <c r="A692" s="10" t="n">
        <f aca="false">A691+1</f>
        <v>691</v>
      </c>
      <c r="B692" s="11" t="n">
        <f aca="false">B691+1</f>
        <v>45617</v>
      </c>
      <c r="C692" s="10" t="n">
        <f aca="false">YEAR(B692)</f>
        <v>2024</v>
      </c>
      <c r="D692" s="10" t="n">
        <f aca="false">INT((MONTH(B692)-1)/3)+1</f>
        <v>4</v>
      </c>
      <c r="E692" s="10" t="n">
        <f aca="false">MONTH(B692)</f>
        <v>11</v>
      </c>
      <c r="F692" s="10" t="str">
        <f aca="false">CHOOSE(MOD(A692-1,5)+1,"Центр","Юг","Север","Запад","Восток")</f>
        <v>Центр</v>
      </c>
      <c r="G692" s="10" t="str">
        <f aca="false">"Округ_"&amp;(MOD(A692-1,5)+1)&amp;"_"&amp;(MOD(INT((A692-1)/5),5)+1)</f>
        <v>Округ_1_4</v>
      </c>
      <c r="H692" s="10" t="str">
        <f aca="false">"Город_"&amp;(MOD(A692-1,5)+1)&amp;"_"&amp;(MOD(INT((A692-1)/5),5)+1)&amp;"_"&amp;(MOD(INT((A692-1)/25),10)+1)</f>
        <v>Город_1_4_8</v>
      </c>
      <c r="I692" s="10" t="str">
        <f aca="false">CHOOSE(MOD(A692-1,4)+1,"Электроника","Одежда","Продукты","Мебель")</f>
        <v>Продукты</v>
      </c>
      <c r="J692" s="10" t="str">
        <f aca="false">CHOOSE(MOD(INT((A692-1)/4),4)+1,CHOOSE(MOD(A692-1,4)+1,"Смартфоны","Ноутбуки","Аксессуары","Аудио"),CHOOSE(MOD(A692-1,4)+1,"Верхняя одежда","Спортивная","Повседневная","Обувь"),CHOOSE(MOD(A692-1,4)+1,"Молочные","Мясные","Бакалея","Напитки"),CHOOSE(MOD(A692-1,4)+1,"Мягкая мебель","Корпусная","Офисная","Кухонная"))</f>
        <v>Аксессуары</v>
      </c>
      <c r="K692" s="12" t="n">
        <f aca="false">1000+MOD(A692*317+A692*A692*7,49001)</f>
        <v>34342</v>
      </c>
      <c r="L692" s="12" t="n">
        <f aca="false">1+MOD(A692*131,100)</f>
        <v>22</v>
      </c>
      <c r="M692" s="12" t="n">
        <f aca="false">INT(K692*(0.6+MOD(A692*43,21)/100))</f>
        <v>27130</v>
      </c>
      <c r="N692" s="12" t="n">
        <f aca="false">K692-M692</f>
        <v>7212</v>
      </c>
    </row>
    <row r="693" customFormat="false" ht="12.8" hidden="false" customHeight="false" outlineLevel="0" collapsed="false">
      <c r="A693" s="10" t="n">
        <f aca="false">A692+1</f>
        <v>692</v>
      </c>
      <c r="B693" s="11" t="n">
        <f aca="false">B692+1</f>
        <v>45618</v>
      </c>
      <c r="C693" s="10" t="n">
        <f aca="false">YEAR(B693)</f>
        <v>2024</v>
      </c>
      <c r="D693" s="10" t="n">
        <f aca="false">INT((MONTH(B693)-1)/3)+1</f>
        <v>4</v>
      </c>
      <c r="E693" s="10" t="n">
        <f aca="false">MONTH(B693)</f>
        <v>11</v>
      </c>
      <c r="F693" s="10" t="str">
        <f aca="false">CHOOSE(MOD(A693-1,5)+1,"Центр","Юг","Север","Запад","Восток")</f>
        <v>Юг</v>
      </c>
      <c r="G693" s="10" t="str">
        <f aca="false">"Округ_"&amp;(MOD(A693-1,5)+1)&amp;"_"&amp;(MOD(INT((A693-1)/5),5)+1)</f>
        <v>Округ_2_4</v>
      </c>
      <c r="H693" s="10" t="str">
        <f aca="false">"Город_"&amp;(MOD(A693-1,5)+1)&amp;"_"&amp;(MOD(INT((A693-1)/5),5)+1)&amp;"_"&amp;(MOD(INT((A693-1)/25),10)+1)</f>
        <v>Город_2_4_8</v>
      </c>
      <c r="I693" s="10" t="str">
        <f aca="false">CHOOSE(MOD(A693-1,4)+1,"Электроника","Одежда","Продукты","Мебель")</f>
        <v>Мебель</v>
      </c>
      <c r="J693" s="10" t="str">
        <f aca="false">CHOOSE(MOD(INT((A693-1)/4),4)+1,CHOOSE(MOD(A693-1,4)+1,"Смартфоны","Ноутбуки","Аксессуары","Аудио"),CHOOSE(MOD(A693-1,4)+1,"Верхняя одежда","Спортивная","Повседневная","Обувь"),CHOOSE(MOD(A693-1,4)+1,"Молочные","Мясные","Бакалея","Напитки"),CHOOSE(MOD(A693-1,4)+1,"Мягкая мебель","Корпусная","Офисная","Кухонная"))</f>
        <v>Аудио</v>
      </c>
      <c r="K693" s="12" t="n">
        <f aca="false">1000+MOD(A693*317+A693*A693*7,49001)</f>
        <v>44340</v>
      </c>
      <c r="L693" s="12" t="n">
        <f aca="false">1+MOD(A693*131,100)</f>
        <v>53</v>
      </c>
      <c r="M693" s="12" t="n">
        <f aca="false">INT(K693*(0.6+MOD(A693*43,21)/100))</f>
        <v>35472</v>
      </c>
      <c r="N693" s="12" t="n">
        <f aca="false">K693-M693</f>
        <v>8868</v>
      </c>
    </row>
    <row r="694" customFormat="false" ht="12.8" hidden="false" customHeight="false" outlineLevel="0" collapsed="false">
      <c r="A694" s="10" t="n">
        <f aca="false">A693+1</f>
        <v>693</v>
      </c>
      <c r="B694" s="11" t="n">
        <f aca="false">B693+1</f>
        <v>45619</v>
      </c>
      <c r="C694" s="10" t="n">
        <f aca="false">YEAR(B694)</f>
        <v>2024</v>
      </c>
      <c r="D694" s="10" t="n">
        <f aca="false">INT((MONTH(B694)-1)/3)+1</f>
        <v>4</v>
      </c>
      <c r="E694" s="10" t="n">
        <f aca="false">MONTH(B694)</f>
        <v>11</v>
      </c>
      <c r="F694" s="10" t="str">
        <f aca="false">CHOOSE(MOD(A694-1,5)+1,"Центр","Юг","Север","Запад","Восток")</f>
        <v>Север</v>
      </c>
      <c r="G694" s="10" t="str">
        <f aca="false">"Округ_"&amp;(MOD(A694-1,5)+1)&amp;"_"&amp;(MOD(INT((A694-1)/5),5)+1)</f>
        <v>Округ_3_4</v>
      </c>
      <c r="H694" s="10" t="str">
        <f aca="false">"Город_"&amp;(MOD(A694-1,5)+1)&amp;"_"&amp;(MOD(INT((A694-1)/5),5)+1)&amp;"_"&amp;(MOD(INT((A694-1)/25),10)+1)</f>
        <v>Город_3_4_8</v>
      </c>
      <c r="I694" s="10" t="str">
        <f aca="false">CHOOSE(MOD(A694-1,4)+1,"Электроника","Одежда","Продукты","Мебель")</f>
        <v>Электроника</v>
      </c>
      <c r="J694" s="10" t="str">
        <f aca="false">CHOOSE(MOD(INT((A694-1)/4),4)+1,CHOOSE(MOD(A694-1,4)+1,"Смартфоны","Ноутбуки","Аксессуары","Аудио"),CHOOSE(MOD(A694-1,4)+1,"Верхняя одежда","Спортивная","Повседневная","Обувь"),CHOOSE(MOD(A694-1,4)+1,"Молочные","Мясные","Бакалея","Напитки"),CHOOSE(MOD(A694-1,4)+1,"Мягкая мебель","Корпусная","Офисная","Кухонная"))</f>
        <v>Верхняя одежда</v>
      </c>
      <c r="K694" s="12" t="n">
        <f aca="false">1000+MOD(A694*317+A694*A694*7,49001)</f>
        <v>5351</v>
      </c>
      <c r="L694" s="12" t="n">
        <f aca="false">1+MOD(A694*131,100)</f>
        <v>84</v>
      </c>
      <c r="M694" s="12" t="n">
        <f aca="false">INT(K694*(0.6+MOD(A694*43,21)/100))</f>
        <v>3210</v>
      </c>
      <c r="N694" s="12" t="n">
        <f aca="false">K694-M694</f>
        <v>2141</v>
      </c>
    </row>
    <row r="695" customFormat="false" ht="12.8" hidden="false" customHeight="false" outlineLevel="0" collapsed="false">
      <c r="A695" s="10" t="n">
        <f aca="false">A694+1</f>
        <v>694</v>
      </c>
      <c r="B695" s="11" t="n">
        <f aca="false">B694+1</f>
        <v>45620</v>
      </c>
      <c r="C695" s="10" t="n">
        <f aca="false">YEAR(B695)</f>
        <v>2024</v>
      </c>
      <c r="D695" s="10" t="n">
        <f aca="false">INT((MONTH(B695)-1)/3)+1</f>
        <v>4</v>
      </c>
      <c r="E695" s="10" t="n">
        <f aca="false">MONTH(B695)</f>
        <v>11</v>
      </c>
      <c r="F695" s="10" t="str">
        <f aca="false">CHOOSE(MOD(A695-1,5)+1,"Центр","Юг","Север","Запад","Восток")</f>
        <v>Запад</v>
      </c>
      <c r="G695" s="10" t="str">
        <f aca="false">"Округ_"&amp;(MOD(A695-1,5)+1)&amp;"_"&amp;(MOD(INT((A695-1)/5),5)+1)</f>
        <v>Округ_4_4</v>
      </c>
      <c r="H695" s="10" t="str">
        <f aca="false">"Город_"&amp;(MOD(A695-1,5)+1)&amp;"_"&amp;(MOD(INT((A695-1)/5),5)+1)&amp;"_"&amp;(MOD(INT((A695-1)/25),10)+1)</f>
        <v>Город_4_4_8</v>
      </c>
      <c r="I695" s="10" t="str">
        <f aca="false">CHOOSE(MOD(A695-1,4)+1,"Электроника","Одежда","Продукты","Мебель")</f>
        <v>Одежда</v>
      </c>
      <c r="J695" s="10" t="str">
        <f aca="false">CHOOSE(MOD(INT((A695-1)/4),4)+1,CHOOSE(MOD(A695-1,4)+1,"Смартфоны","Ноутбуки","Аксессуары","Аудио"),CHOOSE(MOD(A695-1,4)+1,"Верхняя одежда","Спортивная","Повседневная","Обувь"),CHOOSE(MOD(A695-1,4)+1,"Молочные","Мясные","Бакалея","Напитки"),CHOOSE(MOD(A695-1,4)+1,"Мягкая мебель","Корпусная","Офисная","Кухонная"))</f>
        <v>Спортивная</v>
      </c>
      <c r="K695" s="12" t="n">
        <f aca="false">1000+MOD(A695*317+A695*A695*7,49001)</f>
        <v>15377</v>
      </c>
      <c r="L695" s="12" t="n">
        <f aca="false">1+MOD(A695*131,100)</f>
        <v>15</v>
      </c>
      <c r="M695" s="12" t="n">
        <f aca="false">INT(K695*(0.6+MOD(A695*43,21)/100))</f>
        <v>9379</v>
      </c>
      <c r="N695" s="12" t="n">
        <f aca="false">K695-M695</f>
        <v>5998</v>
      </c>
    </row>
    <row r="696" customFormat="false" ht="12.8" hidden="false" customHeight="false" outlineLevel="0" collapsed="false">
      <c r="A696" s="10" t="n">
        <f aca="false">A695+1</f>
        <v>695</v>
      </c>
      <c r="B696" s="11" t="n">
        <f aca="false">B695+1</f>
        <v>45621</v>
      </c>
      <c r="C696" s="10" t="n">
        <f aca="false">YEAR(B696)</f>
        <v>2024</v>
      </c>
      <c r="D696" s="10" t="n">
        <f aca="false">INT((MONTH(B696)-1)/3)+1</f>
        <v>4</v>
      </c>
      <c r="E696" s="10" t="n">
        <f aca="false">MONTH(B696)</f>
        <v>11</v>
      </c>
      <c r="F696" s="10" t="str">
        <f aca="false">CHOOSE(MOD(A696-1,5)+1,"Центр","Юг","Север","Запад","Восток")</f>
        <v>Восток</v>
      </c>
      <c r="G696" s="10" t="str">
        <f aca="false">"Округ_"&amp;(MOD(A696-1,5)+1)&amp;"_"&amp;(MOD(INT((A696-1)/5),5)+1)</f>
        <v>Округ_5_4</v>
      </c>
      <c r="H696" s="10" t="str">
        <f aca="false">"Город_"&amp;(MOD(A696-1,5)+1)&amp;"_"&amp;(MOD(INT((A696-1)/5),5)+1)&amp;"_"&amp;(MOD(INT((A696-1)/25),10)+1)</f>
        <v>Город_5_4_8</v>
      </c>
      <c r="I696" s="10" t="str">
        <f aca="false">CHOOSE(MOD(A696-1,4)+1,"Электроника","Одежда","Продукты","Мебель")</f>
        <v>Продукты</v>
      </c>
      <c r="J696" s="10" t="str">
        <f aca="false">CHOOSE(MOD(INT((A696-1)/4),4)+1,CHOOSE(MOD(A696-1,4)+1,"Смартфоны","Ноутбуки","Аксессуары","Аудио"),CHOOSE(MOD(A696-1,4)+1,"Верхняя одежда","Спортивная","Повседневная","Обувь"),CHOOSE(MOD(A696-1,4)+1,"Молочные","Мясные","Бакалея","Напитки"),CHOOSE(MOD(A696-1,4)+1,"Мягкая мебель","Корпусная","Офисная","Кухонная"))</f>
        <v>Повседневная</v>
      </c>
      <c r="K696" s="12" t="n">
        <f aca="false">1000+MOD(A696*317+A696*A696*7,49001)</f>
        <v>25417</v>
      </c>
      <c r="L696" s="12" t="n">
        <f aca="false">1+MOD(A696*131,100)</f>
        <v>46</v>
      </c>
      <c r="M696" s="12" t="n">
        <f aca="false">INT(K696*(0.6+MOD(A696*43,21)/100))</f>
        <v>15758</v>
      </c>
      <c r="N696" s="12" t="n">
        <f aca="false">K696-M696</f>
        <v>9659</v>
      </c>
    </row>
    <row r="697" customFormat="false" ht="12.8" hidden="false" customHeight="false" outlineLevel="0" collapsed="false">
      <c r="A697" s="10" t="n">
        <f aca="false">A696+1</f>
        <v>696</v>
      </c>
      <c r="B697" s="11" t="n">
        <f aca="false">B696+1</f>
        <v>45622</v>
      </c>
      <c r="C697" s="10" t="n">
        <f aca="false">YEAR(B697)</f>
        <v>2024</v>
      </c>
      <c r="D697" s="10" t="n">
        <f aca="false">INT((MONTH(B697)-1)/3)+1</f>
        <v>4</v>
      </c>
      <c r="E697" s="10" t="n">
        <f aca="false">MONTH(B697)</f>
        <v>11</v>
      </c>
      <c r="F697" s="10" t="str">
        <f aca="false">CHOOSE(MOD(A697-1,5)+1,"Центр","Юг","Север","Запад","Восток")</f>
        <v>Центр</v>
      </c>
      <c r="G697" s="10" t="str">
        <f aca="false">"Округ_"&amp;(MOD(A697-1,5)+1)&amp;"_"&amp;(MOD(INT((A697-1)/5),5)+1)</f>
        <v>Округ_1_5</v>
      </c>
      <c r="H697" s="10" t="str">
        <f aca="false">"Город_"&amp;(MOD(A697-1,5)+1)&amp;"_"&amp;(MOD(INT((A697-1)/5),5)+1)&amp;"_"&amp;(MOD(INT((A697-1)/25),10)+1)</f>
        <v>Город_1_5_8</v>
      </c>
      <c r="I697" s="10" t="str">
        <f aca="false">CHOOSE(MOD(A697-1,4)+1,"Электроника","Одежда","Продукты","Мебель")</f>
        <v>Мебель</v>
      </c>
      <c r="J697" s="10" t="str">
        <f aca="false">CHOOSE(MOD(INT((A697-1)/4),4)+1,CHOOSE(MOD(A697-1,4)+1,"Смартфоны","Ноутбуки","Аксессуары","Аудио"),CHOOSE(MOD(A697-1,4)+1,"Верхняя одежда","Спортивная","Повседневная","Обувь"),CHOOSE(MOD(A697-1,4)+1,"Молочные","Мясные","Бакалея","Напитки"),CHOOSE(MOD(A697-1,4)+1,"Мягкая мебель","Корпусная","Офисная","Кухонная"))</f>
        <v>Обувь</v>
      </c>
      <c r="K697" s="12" t="n">
        <f aca="false">1000+MOD(A697*317+A697*A697*7,49001)</f>
        <v>35471</v>
      </c>
      <c r="L697" s="12" t="n">
        <f aca="false">1+MOD(A697*131,100)</f>
        <v>77</v>
      </c>
      <c r="M697" s="12" t="n">
        <f aca="false">INT(K697*(0.6+MOD(A697*43,21)/100))</f>
        <v>22346</v>
      </c>
      <c r="N697" s="12" t="n">
        <f aca="false">K697-M697</f>
        <v>13125</v>
      </c>
    </row>
    <row r="698" customFormat="false" ht="12.8" hidden="false" customHeight="false" outlineLevel="0" collapsed="false">
      <c r="A698" s="10" t="n">
        <f aca="false">A697+1</f>
        <v>697</v>
      </c>
      <c r="B698" s="11" t="n">
        <f aca="false">B697+1</f>
        <v>45623</v>
      </c>
      <c r="C698" s="10" t="n">
        <f aca="false">YEAR(B698)</f>
        <v>2024</v>
      </c>
      <c r="D698" s="10" t="n">
        <f aca="false">INT((MONTH(B698)-1)/3)+1</f>
        <v>4</v>
      </c>
      <c r="E698" s="10" t="n">
        <f aca="false">MONTH(B698)</f>
        <v>11</v>
      </c>
      <c r="F698" s="10" t="str">
        <f aca="false">CHOOSE(MOD(A698-1,5)+1,"Центр","Юг","Север","Запад","Восток")</f>
        <v>Юг</v>
      </c>
      <c r="G698" s="10" t="str">
        <f aca="false">"Округ_"&amp;(MOD(A698-1,5)+1)&amp;"_"&amp;(MOD(INT((A698-1)/5),5)+1)</f>
        <v>Округ_2_5</v>
      </c>
      <c r="H698" s="10" t="str">
        <f aca="false">"Город_"&amp;(MOD(A698-1,5)+1)&amp;"_"&amp;(MOD(INT((A698-1)/5),5)+1)&amp;"_"&amp;(MOD(INT((A698-1)/25),10)+1)</f>
        <v>Город_2_5_8</v>
      </c>
      <c r="I698" s="10" t="str">
        <f aca="false">CHOOSE(MOD(A698-1,4)+1,"Электроника","Одежда","Продукты","Мебель")</f>
        <v>Электроника</v>
      </c>
      <c r="J698" s="10" t="str">
        <f aca="false">CHOOSE(MOD(INT((A698-1)/4),4)+1,CHOOSE(MOD(A698-1,4)+1,"Смартфоны","Ноутбуки","Аксессуары","Аудио"),CHOOSE(MOD(A698-1,4)+1,"Верхняя одежда","Спортивная","Повседневная","Обувь"),CHOOSE(MOD(A698-1,4)+1,"Молочные","Мясные","Бакалея","Напитки"),CHOOSE(MOD(A698-1,4)+1,"Мягкая мебель","Корпусная","Офисная","Кухонная"))</f>
        <v>Молочные</v>
      </c>
      <c r="K698" s="12" t="n">
        <f aca="false">1000+MOD(A698*317+A698*A698*7,49001)</f>
        <v>45539</v>
      </c>
      <c r="L698" s="12" t="n">
        <f aca="false">1+MOD(A698*131,100)</f>
        <v>8</v>
      </c>
      <c r="M698" s="12" t="n">
        <f aca="false">INT(K698*(0.6+MOD(A698*43,21)/100))</f>
        <v>29144</v>
      </c>
      <c r="N698" s="12" t="n">
        <f aca="false">K698-M698</f>
        <v>16395</v>
      </c>
    </row>
    <row r="699" customFormat="false" ht="12.8" hidden="false" customHeight="false" outlineLevel="0" collapsed="false">
      <c r="A699" s="10" t="n">
        <f aca="false">A698+1</f>
        <v>698</v>
      </c>
      <c r="B699" s="11" t="n">
        <f aca="false">B698+1</f>
        <v>45624</v>
      </c>
      <c r="C699" s="10" t="n">
        <f aca="false">YEAR(B699)</f>
        <v>2024</v>
      </c>
      <c r="D699" s="10" t="n">
        <f aca="false">INT((MONTH(B699)-1)/3)+1</f>
        <v>4</v>
      </c>
      <c r="E699" s="10" t="n">
        <f aca="false">MONTH(B699)</f>
        <v>11</v>
      </c>
      <c r="F699" s="10" t="str">
        <f aca="false">CHOOSE(MOD(A699-1,5)+1,"Центр","Юг","Север","Запад","Восток")</f>
        <v>Север</v>
      </c>
      <c r="G699" s="10" t="str">
        <f aca="false">"Округ_"&amp;(MOD(A699-1,5)+1)&amp;"_"&amp;(MOD(INT((A699-1)/5),5)+1)</f>
        <v>Округ_3_5</v>
      </c>
      <c r="H699" s="10" t="str">
        <f aca="false">"Город_"&amp;(MOD(A699-1,5)+1)&amp;"_"&amp;(MOD(INT((A699-1)/5),5)+1)&amp;"_"&amp;(MOD(INT((A699-1)/25),10)+1)</f>
        <v>Город_3_5_8</v>
      </c>
      <c r="I699" s="10" t="str">
        <f aca="false">CHOOSE(MOD(A699-1,4)+1,"Электроника","Одежда","Продукты","Мебель")</f>
        <v>Одежда</v>
      </c>
      <c r="J699" s="10" t="str">
        <f aca="false">CHOOSE(MOD(INT((A699-1)/4),4)+1,CHOOSE(MOD(A699-1,4)+1,"Смартфоны","Ноутбуки","Аксессуары","Аудио"),CHOOSE(MOD(A699-1,4)+1,"Верхняя одежда","Спортивная","Повседневная","Обувь"),CHOOSE(MOD(A699-1,4)+1,"Молочные","Мясные","Бакалея","Напитки"),CHOOSE(MOD(A699-1,4)+1,"Мягкая мебель","Корпусная","Офисная","Кухонная"))</f>
        <v>Мясные</v>
      </c>
      <c r="K699" s="12" t="n">
        <f aca="false">1000+MOD(A699*317+A699*A699*7,49001)</f>
        <v>6620</v>
      </c>
      <c r="L699" s="12" t="n">
        <f aca="false">1+MOD(A699*131,100)</f>
        <v>39</v>
      </c>
      <c r="M699" s="12" t="n">
        <f aca="false">INT(K699*(0.6+MOD(A699*43,21)/100))</f>
        <v>4303</v>
      </c>
      <c r="N699" s="12" t="n">
        <f aca="false">K699-M699</f>
        <v>2317</v>
      </c>
    </row>
    <row r="700" customFormat="false" ht="12.8" hidden="false" customHeight="false" outlineLevel="0" collapsed="false">
      <c r="A700" s="10" t="n">
        <f aca="false">A699+1</f>
        <v>699</v>
      </c>
      <c r="B700" s="11" t="n">
        <f aca="false">B699+1</f>
        <v>45625</v>
      </c>
      <c r="C700" s="10" t="n">
        <f aca="false">YEAR(B700)</f>
        <v>2024</v>
      </c>
      <c r="D700" s="10" t="n">
        <f aca="false">INT((MONTH(B700)-1)/3)+1</f>
        <v>4</v>
      </c>
      <c r="E700" s="10" t="n">
        <f aca="false">MONTH(B700)</f>
        <v>11</v>
      </c>
      <c r="F700" s="10" t="str">
        <f aca="false">CHOOSE(MOD(A700-1,5)+1,"Центр","Юг","Север","Запад","Восток")</f>
        <v>Запад</v>
      </c>
      <c r="G700" s="10" t="str">
        <f aca="false">"Округ_"&amp;(MOD(A700-1,5)+1)&amp;"_"&amp;(MOD(INT((A700-1)/5),5)+1)</f>
        <v>Округ_4_5</v>
      </c>
      <c r="H700" s="10" t="str">
        <f aca="false">"Город_"&amp;(MOD(A700-1,5)+1)&amp;"_"&amp;(MOD(INT((A700-1)/5),5)+1)&amp;"_"&amp;(MOD(INT((A700-1)/25),10)+1)</f>
        <v>Город_4_5_8</v>
      </c>
      <c r="I700" s="10" t="str">
        <f aca="false">CHOOSE(MOD(A700-1,4)+1,"Электроника","Одежда","Продукты","Мебель")</f>
        <v>Продукты</v>
      </c>
      <c r="J700" s="10" t="str">
        <f aca="false">CHOOSE(MOD(INT((A700-1)/4),4)+1,CHOOSE(MOD(A700-1,4)+1,"Смартфоны","Ноутбуки","Аксессуары","Аудио"),CHOOSE(MOD(A700-1,4)+1,"Верхняя одежда","Спортивная","Повседневная","Обувь"),CHOOSE(MOD(A700-1,4)+1,"Молочные","Мясные","Бакалея","Напитки"),CHOOSE(MOD(A700-1,4)+1,"Мягкая мебель","Корпусная","Офисная","Кухонная"))</f>
        <v>Бакалея</v>
      </c>
      <c r="K700" s="12" t="n">
        <f aca="false">1000+MOD(A700*317+A700*A700*7,49001)</f>
        <v>16716</v>
      </c>
      <c r="L700" s="12" t="n">
        <f aca="false">1+MOD(A700*131,100)</f>
        <v>70</v>
      </c>
      <c r="M700" s="12" t="n">
        <f aca="false">INT(K700*(0.6+MOD(A700*43,21)/100))</f>
        <v>11032</v>
      </c>
      <c r="N700" s="12" t="n">
        <f aca="false">K700-M700</f>
        <v>5684</v>
      </c>
    </row>
    <row r="701" customFormat="false" ht="12.8" hidden="false" customHeight="false" outlineLevel="0" collapsed="false">
      <c r="A701" s="10" t="n">
        <f aca="false">A700+1</f>
        <v>700</v>
      </c>
      <c r="B701" s="11" t="n">
        <f aca="false">B700+1</f>
        <v>45626</v>
      </c>
      <c r="C701" s="10" t="n">
        <f aca="false">YEAR(B701)</f>
        <v>2024</v>
      </c>
      <c r="D701" s="10" t="n">
        <f aca="false">INT((MONTH(B701)-1)/3)+1</f>
        <v>4</v>
      </c>
      <c r="E701" s="10" t="n">
        <f aca="false">MONTH(B701)</f>
        <v>11</v>
      </c>
      <c r="F701" s="10" t="str">
        <f aca="false">CHOOSE(MOD(A701-1,5)+1,"Центр","Юг","Север","Запад","Восток")</f>
        <v>Восток</v>
      </c>
      <c r="G701" s="10" t="str">
        <f aca="false">"Округ_"&amp;(MOD(A701-1,5)+1)&amp;"_"&amp;(MOD(INT((A701-1)/5),5)+1)</f>
        <v>Округ_5_5</v>
      </c>
      <c r="H701" s="10" t="str">
        <f aca="false">"Город_"&amp;(MOD(A701-1,5)+1)&amp;"_"&amp;(MOD(INT((A701-1)/5),5)+1)&amp;"_"&amp;(MOD(INT((A701-1)/25),10)+1)</f>
        <v>Город_5_5_8</v>
      </c>
      <c r="I701" s="10" t="str">
        <f aca="false">CHOOSE(MOD(A701-1,4)+1,"Электроника","Одежда","Продукты","Мебель")</f>
        <v>Мебель</v>
      </c>
      <c r="J701" s="10" t="str">
        <f aca="false">CHOOSE(MOD(INT((A701-1)/4),4)+1,CHOOSE(MOD(A701-1,4)+1,"Смартфоны","Ноутбуки","Аксессуары","Аудио"),CHOOSE(MOD(A701-1,4)+1,"Верхняя одежда","Спортивная","Повседневная","Обувь"),CHOOSE(MOD(A701-1,4)+1,"Молочные","Мясные","Бакалея","Напитки"),CHOOSE(MOD(A701-1,4)+1,"Мягкая мебель","Корпусная","Офисная","Кухонная"))</f>
        <v>Напитки</v>
      </c>
      <c r="K701" s="12" t="n">
        <f aca="false">1000+MOD(A701*317+A701*A701*7,49001)</f>
        <v>26826</v>
      </c>
      <c r="L701" s="12" t="n">
        <f aca="false">1+MOD(A701*131,100)</f>
        <v>1</v>
      </c>
      <c r="M701" s="12" t="n">
        <f aca="false">INT(K701*(0.6+MOD(A701*43,21)/100))</f>
        <v>17973</v>
      </c>
      <c r="N701" s="12" t="n">
        <f aca="false">K701-M701</f>
        <v>8853</v>
      </c>
    </row>
    <row r="702" customFormat="false" ht="12.8" hidden="false" customHeight="false" outlineLevel="0" collapsed="false">
      <c r="A702" s="10" t="n">
        <f aca="false">A701+1</f>
        <v>701</v>
      </c>
      <c r="B702" s="11" t="n">
        <f aca="false">B701+1</f>
        <v>45627</v>
      </c>
      <c r="C702" s="10" t="n">
        <f aca="false">YEAR(B702)</f>
        <v>2024</v>
      </c>
      <c r="D702" s="10" t="n">
        <f aca="false">INT((MONTH(B702)-1)/3)+1</f>
        <v>4</v>
      </c>
      <c r="E702" s="10" t="n">
        <f aca="false">MONTH(B702)</f>
        <v>12</v>
      </c>
      <c r="F702" s="10" t="str">
        <f aca="false">CHOOSE(MOD(A702-1,5)+1,"Центр","Юг","Север","Запад","Восток")</f>
        <v>Центр</v>
      </c>
      <c r="G702" s="10" t="str">
        <f aca="false">"Округ_"&amp;(MOD(A702-1,5)+1)&amp;"_"&amp;(MOD(INT((A702-1)/5),5)+1)</f>
        <v>Округ_1_1</v>
      </c>
      <c r="H702" s="10" t="str">
        <f aca="false">"Город_"&amp;(MOD(A702-1,5)+1)&amp;"_"&amp;(MOD(INT((A702-1)/5),5)+1)&amp;"_"&amp;(MOD(INT((A702-1)/25),10)+1)</f>
        <v>Город_1_1_9</v>
      </c>
      <c r="I702" s="10" t="str">
        <f aca="false">CHOOSE(MOD(A702-1,4)+1,"Электроника","Одежда","Продукты","Мебель")</f>
        <v>Электроника</v>
      </c>
      <c r="J702" s="10" t="str">
        <f aca="false">CHOOSE(MOD(INT((A702-1)/4),4)+1,CHOOSE(MOD(A702-1,4)+1,"Смартфоны","Ноутбуки","Аксессуары","Аудио"),CHOOSE(MOD(A702-1,4)+1,"Верхняя одежда","Спортивная","Повседневная","Обувь"),CHOOSE(MOD(A702-1,4)+1,"Молочные","Мясные","Бакалея","Напитки"),CHOOSE(MOD(A702-1,4)+1,"Мягкая мебель","Корпусная","Офисная","Кухонная"))</f>
        <v>Мягкая мебель</v>
      </c>
      <c r="K702" s="12" t="n">
        <f aca="false">1000+MOD(A702*317+A702*A702*7,49001)</f>
        <v>36950</v>
      </c>
      <c r="L702" s="12" t="n">
        <f aca="false">1+MOD(A702*131,100)</f>
        <v>32</v>
      </c>
      <c r="M702" s="12" t="n">
        <f aca="false">INT(K702*(0.6+MOD(A702*43,21)/100))</f>
        <v>25126</v>
      </c>
      <c r="N702" s="12" t="n">
        <f aca="false">K702-M702</f>
        <v>11824</v>
      </c>
    </row>
    <row r="703" customFormat="false" ht="12.8" hidden="false" customHeight="false" outlineLevel="0" collapsed="false">
      <c r="A703" s="10" t="n">
        <f aca="false">A702+1</f>
        <v>702</v>
      </c>
      <c r="B703" s="11" t="n">
        <f aca="false">B702+1</f>
        <v>45628</v>
      </c>
      <c r="C703" s="10" t="n">
        <f aca="false">YEAR(B703)</f>
        <v>2024</v>
      </c>
      <c r="D703" s="10" t="n">
        <f aca="false">INT((MONTH(B703)-1)/3)+1</f>
        <v>4</v>
      </c>
      <c r="E703" s="10" t="n">
        <f aca="false">MONTH(B703)</f>
        <v>12</v>
      </c>
      <c r="F703" s="10" t="str">
        <f aca="false">CHOOSE(MOD(A703-1,5)+1,"Центр","Юг","Север","Запад","Восток")</f>
        <v>Юг</v>
      </c>
      <c r="G703" s="10" t="str">
        <f aca="false">"Округ_"&amp;(MOD(A703-1,5)+1)&amp;"_"&amp;(MOD(INT((A703-1)/5),5)+1)</f>
        <v>Округ_2_1</v>
      </c>
      <c r="H703" s="10" t="str">
        <f aca="false">"Город_"&amp;(MOD(A703-1,5)+1)&amp;"_"&amp;(MOD(INT((A703-1)/5),5)+1)&amp;"_"&amp;(MOD(INT((A703-1)/25),10)+1)</f>
        <v>Город_2_1_9</v>
      </c>
      <c r="I703" s="10" t="str">
        <f aca="false">CHOOSE(MOD(A703-1,4)+1,"Электроника","Одежда","Продукты","Мебель")</f>
        <v>Одежда</v>
      </c>
      <c r="J703" s="10" t="str">
        <f aca="false">CHOOSE(MOD(INT((A703-1)/4),4)+1,CHOOSE(MOD(A703-1,4)+1,"Смартфоны","Ноутбуки","Аксессуары","Аудио"),CHOOSE(MOD(A703-1,4)+1,"Верхняя одежда","Спортивная","Повседневная","Обувь"),CHOOSE(MOD(A703-1,4)+1,"Молочные","Мясные","Бакалея","Напитки"),CHOOSE(MOD(A703-1,4)+1,"Мягкая мебель","Корпусная","Офисная","Кухонная"))</f>
        <v>Корпусная</v>
      </c>
      <c r="K703" s="12" t="n">
        <f aca="false">1000+MOD(A703*317+A703*A703*7,49001)</f>
        <v>47088</v>
      </c>
      <c r="L703" s="12" t="n">
        <f aca="false">1+MOD(A703*131,100)</f>
        <v>63</v>
      </c>
      <c r="M703" s="12" t="n">
        <f aca="false">INT(K703*(0.6+MOD(A703*43,21)/100))</f>
        <v>32490</v>
      </c>
      <c r="N703" s="12" t="n">
        <f aca="false">K703-M703</f>
        <v>14598</v>
      </c>
    </row>
    <row r="704" customFormat="false" ht="12.8" hidden="false" customHeight="false" outlineLevel="0" collapsed="false">
      <c r="A704" s="10" t="n">
        <f aca="false">A703+1</f>
        <v>703</v>
      </c>
      <c r="B704" s="11" t="n">
        <f aca="false">B703+1</f>
        <v>45629</v>
      </c>
      <c r="C704" s="10" t="n">
        <f aca="false">YEAR(B704)</f>
        <v>2024</v>
      </c>
      <c r="D704" s="10" t="n">
        <f aca="false">INT((MONTH(B704)-1)/3)+1</f>
        <v>4</v>
      </c>
      <c r="E704" s="10" t="n">
        <f aca="false">MONTH(B704)</f>
        <v>12</v>
      </c>
      <c r="F704" s="10" t="str">
        <f aca="false">CHOOSE(MOD(A704-1,5)+1,"Центр","Юг","Север","Запад","Восток")</f>
        <v>Север</v>
      </c>
      <c r="G704" s="10" t="str">
        <f aca="false">"Округ_"&amp;(MOD(A704-1,5)+1)&amp;"_"&amp;(MOD(INT((A704-1)/5),5)+1)</f>
        <v>Округ_3_1</v>
      </c>
      <c r="H704" s="10" t="str">
        <f aca="false">"Город_"&amp;(MOD(A704-1,5)+1)&amp;"_"&amp;(MOD(INT((A704-1)/5),5)+1)&amp;"_"&amp;(MOD(INT((A704-1)/25),10)+1)</f>
        <v>Город_3_1_9</v>
      </c>
      <c r="I704" s="10" t="str">
        <f aca="false">CHOOSE(MOD(A704-1,4)+1,"Электроника","Одежда","Продукты","Мебель")</f>
        <v>Продукты</v>
      </c>
      <c r="J704" s="10" t="str">
        <f aca="false">CHOOSE(MOD(INT((A704-1)/4),4)+1,CHOOSE(MOD(A704-1,4)+1,"Смартфоны","Ноутбуки","Аксессуары","Аудио"),CHOOSE(MOD(A704-1,4)+1,"Верхняя одежда","Спортивная","Повседневная","Обувь"),CHOOSE(MOD(A704-1,4)+1,"Молочные","Мясные","Бакалея","Напитки"),CHOOSE(MOD(A704-1,4)+1,"Мягкая мебель","Корпусная","Офисная","Кухонная"))</f>
        <v>Офисная</v>
      </c>
      <c r="K704" s="12" t="n">
        <f aca="false">1000+MOD(A704*317+A704*A704*7,49001)</f>
        <v>8239</v>
      </c>
      <c r="L704" s="12" t="n">
        <f aca="false">1+MOD(A704*131,100)</f>
        <v>94</v>
      </c>
      <c r="M704" s="12" t="n">
        <f aca="false">INT(K704*(0.6+MOD(A704*43,21)/100))</f>
        <v>5767</v>
      </c>
      <c r="N704" s="12" t="n">
        <f aca="false">K704-M704</f>
        <v>2472</v>
      </c>
    </row>
    <row r="705" customFormat="false" ht="12.8" hidden="false" customHeight="false" outlineLevel="0" collapsed="false">
      <c r="A705" s="10" t="n">
        <f aca="false">A704+1</f>
        <v>704</v>
      </c>
      <c r="B705" s="11" t="n">
        <f aca="false">B704+1</f>
        <v>45630</v>
      </c>
      <c r="C705" s="10" t="n">
        <f aca="false">YEAR(B705)</f>
        <v>2024</v>
      </c>
      <c r="D705" s="10" t="n">
        <f aca="false">INT((MONTH(B705)-1)/3)+1</f>
        <v>4</v>
      </c>
      <c r="E705" s="10" t="n">
        <f aca="false">MONTH(B705)</f>
        <v>12</v>
      </c>
      <c r="F705" s="10" t="str">
        <f aca="false">CHOOSE(MOD(A705-1,5)+1,"Центр","Юг","Север","Запад","Восток")</f>
        <v>Запад</v>
      </c>
      <c r="G705" s="10" t="str">
        <f aca="false">"Округ_"&amp;(MOD(A705-1,5)+1)&amp;"_"&amp;(MOD(INT((A705-1)/5),5)+1)</f>
        <v>Округ_4_1</v>
      </c>
      <c r="H705" s="10" t="str">
        <f aca="false">"Город_"&amp;(MOD(A705-1,5)+1)&amp;"_"&amp;(MOD(INT((A705-1)/5),5)+1)&amp;"_"&amp;(MOD(INT((A705-1)/25),10)+1)</f>
        <v>Город_4_1_9</v>
      </c>
      <c r="I705" s="10" t="str">
        <f aca="false">CHOOSE(MOD(A705-1,4)+1,"Электроника","Одежда","Продукты","Мебель")</f>
        <v>Мебель</v>
      </c>
      <c r="J705" s="10" t="str">
        <f aca="false">CHOOSE(MOD(INT((A705-1)/4),4)+1,CHOOSE(MOD(A705-1,4)+1,"Смартфоны","Ноутбуки","Аксессуары","Аудио"),CHOOSE(MOD(A705-1,4)+1,"Верхняя одежда","Спортивная","Повседневная","Обувь"),CHOOSE(MOD(A705-1,4)+1,"Молочные","Мясные","Бакалея","Напитки"),CHOOSE(MOD(A705-1,4)+1,"Мягкая мебель","Корпусная","Офисная","Кухонная"))</f>
        <v>Кухонная</v>
      </c>
      <c r="K705" s="12" t="n">
        <f aca="false">1000+MOD(A705*317+A705*A705*7,49001)</f>
        <v>18405</v>
      </c>
      <c r="L705" s="12" t="n">
        <f aca="false">1+MOD(A705*131,100)</f>
        <v>25</v>
      </c>
      <c r="M705" s="12" t="n">
        <f aca="false">INT(K705*(0.6+MOD(A705*43,21)/100))</f>
        <v>13067</v>
      </c>
      <c r="N705" s="12" t="n">
        <f aca="false">K705-M705</f>
        <v>5338</v>
      </c>
    </row>
    <row r="706" customFormat="false" ht="12.8" hidden="false" customHeight="false" outlineLevel="0" collapsed="false">
      <c r="A706" s="10" t="n">
        <f aca="false">A705+1</f>
        <v>705</v>
      </c>
      <c r="B706" s="11" t="n">
        <f aca="false">B705+1</f>
        <v>45631</v>
      </c>
      <c r="C706" s="10" t="n">
        <f aca="false">YEAR(B706)</f>
        <v>2024</v>
      </c>
      <c r="D706" s="10" t="n">
        <f aca="false">INT((MONTH(B706)-1)/3)+1</f>
        <v>4</v>
      </c>
      <c r="E706" s="10" t="n">
        <f aca="false">MONTH(B706)</f>
        <v>12</v>
      </c>
      <c r="F706" s="10" t="str">
        <f aca="false">CHOOSE(MOD(A706-1,5)+1,"Центр","Юг","Север","Запад","Восток")</f>
        <v>Восток</v>
      </c>
      <c r="G706" s="10" t="str">
        <f aca="false">"Округ_"&amp;(MOD(A706-1,5)+1)&amp;"_"&amp;(MOD(INT((A706-1)/5),5)+1)</f>
        <v>Округ_5_1</v>
      </c>
      <c r="H706" s="10" t="str">
        <f aca="false">"Город_"&amp;(MOD(A706-1,5)+1)&amp;"_"&amp;(MOD(INT((A706-1)/5),5)+1)&amp;"_"&amp;(MOD(INT((A706-1)/25),10)+1)</f>
        <v>Город_5_1_9</v>
      </c>
      <c r="I706" s="10" t="str">
        <f aca="false">CHOOSE(MOD(A706-1,4)+1,"Электроника","Одежда","Продукты","Мебель")</f>
        <v>Электроника</v>
      </c>
      <c r="J706" s="10" t="str">
        <f aca="false">CHOOSE(MOD(INT((A706-1)/4),4)+1,CHOOSE(MOD(A706-1,4)+1,"Смартфоны","Ноутбуки","Аксессуары","Аудио"),CHOOSE(MOD(A706-1,4)+1,"Верхняя одежда","Спортивная","Повседневная","Обувь"),CHOOSE(MOD(A706-1,4)+1,"Молочные","Мясные","Бакалея","Напитки"),CHOOSE(MOD(A706-1,4)+1,"Мягкая мебель","Корпусная","Офисная","Кухонная"))</f>
        <v>Смартфоны</v>
      </c>
      <c r="K706" s="12" t="n">
        <f aca="false">1000+MOD(A706*317+A706*A706*7,49001)</f>
        <v>28585</v>
      </c>
      <c r="L706" s="12" t="n">
        <f aca="false">1+MOD(A706*131,100)</f>
        <v>56</v>
      </c>
      <c r="M706" s="12" t="n">
        <f aca="false">INT(K706*(0.6+MOD(A706*43,21)/100))</f>
        <v>20581</v>
      </c>
      <c r="N706" s="12" t="n">
        <f aca="false">K706-M706</f>
        <v>8004</v>
      </c>
    </row>
    <row r="707" customFormat="false" ht="12.8" hidden="false" customHeight="false" outlineLevel="0" collapsed="false">
      <c r="A707" s="10" t="n">
        <f aca="false">A706+1</f>
        <v>706</v>
      </c>
      <c r="B707" s="11" t="n">
        <f aca="false">B706+1</f>
        <v>45632</v>
      </c>
      <c r="C707" s="10" t="n">
        <f aca="false">YEAR(B707)</f>
        <v>2024</v>
      </c>
      <c r="D707" s="10" t="n">
        <f aca="false">INT((MONTH(B707)-1)/3)+1</f>
        <v>4</v>
      </c>
      <c r="E707" s="10" t="n">
        <f aca="false">MONTH(B707)</f>
        <v>12</v>
      </c>
      <c r="F707" s="10" t="str">
        <f aca="false">CHOOSE(MOD(A707-1,5)+1,"Центр","Юг","Север","Запад","Восток")</f>
        <v>Центр</v>
      </c>
      <c r="G707" s="10" t="str">
        <f aca="false">"Округ_"&amp;(MOD(A707-1,5)+1)&amp;"_"&amp;(MOD(INT((A707-1)/5),5)+1)</f>
        <v>Округ_1_2</v>
      </c>
      <c r="H707" s="10" t="str">
        <f aca="false">"Город_"&amp;(MOD(A707-1,5)+1)&amp;"_"&amp;(MOD(INT((A707-1)/5),5)+1)&amp;"_"&amp;(MOD(INT((A707-1)/25),10)+1)</f>
        <v>Город_1_2_9</v>
      </c>
      <c r="I707" s="10" t="str">
        <f aca="false">CHOOSE(MOD(A707-1,4)+1,"Электроника","Одежда","Продукты","Мебель")</f>
        <v>Одежда</v>
      </c>
      <c r="J707" s="10" t="str">
        <f aca="false">CHOOSE(MOD(INT((A707-1)/4),4)+1,CHOOSE(MOD(A707-1,4)+1,"Смартфоны","Ноутбуки","Аксессуары","Аудио"),CHOOSE(MOD(A707-1,4)+1,"Верхняя одежда","Спортивная","Повседневная","Обувь"),CHOOSE(MOD(A707-1,4)+1,"Молочные","Мясные","Бакалея","Напитки"),CHOOSE(MOD(A707-1,4)+1,"Мягкая мебель","Корпусная","Офисная","Кухонная"))</f>
        <v>Ноутбуки</v>
      </c>
      <c r="K707" s="12" t="n">
        <f aca="false">1000+MOD(A707*317+A707*A707*7,49001)</f>
        <v>38779</v>
      </c>
      <c r="L707" s="12" t="n">
        <f aca="false">1+MOD(A707*131,100)</f>
        <v>87</v>
      </c>
      <c r="M707" s="12" t="n">
        <f aca="false">INT(K707*(0.6+MOD(A707*43,21)/100))</f>
        <v>28308</v>
      </c>
      <c r="N707" s="12" t="n">
        <f aca="false">K707-M707</f>
        <v>10471</v>
      </c>
    </row>
    <row r="708" customFormat="false" ht="12.8" hidden="false" customHeight="false" outlineLevel="0" collapsed="false">
      <c r="A708" s="10" t="n">
        <f aca="false">A707+1</f>
        <v>707</v>
      </c>
      <c r="B708" s="11" t="n">
        <f aca="false">B707+1</f>
        <v>45633</v>
      </c>
      <c r="C708" s="10" t="n">
        <f aca="false">YEAR(B708)</f>
        <v>2024</v>
      </c>
      <c r="D708" s="10" t="n">
        <f aca="false">INT((MONTH(B708)-1)/3)+1</f>
        <v>4</v>
      </c>
      <c r="E708" s="10" t="n">
        <f aca="false">MONTH(B708)</f>
        <v>12</v>
      </c>
      <c r="F708" s="10" t="str">
        <f aca="false">CHOOSE(MOD(A708-1,5)+1,"Центр","Юг","Север","Запад","Восток")</f>
        <v>Юг</v>
      </c>
      <c r="G708" s="10" t="str">
        <f aca="false">"Округ_"&amp;(MOD(A708-1,5)+1)&amp;"_"&amp;(MOD(INT((A708-1)/5),5)+1)</f>
        <v>Округ_2_2</v>
      </c>
      <c r="H708" s="10" t="str">
        <f aca="false">"Город_"&amp;(MOD(A708-1,5)+1)&amp;"_"&amp;(MOD(INT((A708-1)/5),5)+1)&amp;"_"&amp;(MOD(INT((A708-1)/25),10)+1)</f>
        <v>Город_2_2_9</v>
      </c>
      <c r="I708" s="10" t="str">
        <f aca="false">CHOOSE(MOD(A708-1,4)+1,"Электроника","Одежда","Продукты","Мебель")</f>
        <v>Продукты</v>
      </c>
      <c r="J708" s="10" t="str">
        <f aca="false">CHOOSE(MOD(INT((A708-1)/4),4)+1,CHOOSE(MOD(A708-1,4)+1,"Смартфоны","Ноутбуки","Аксессуары","Аудио"),CHOOSE(MOD(A708-1,4)+1,"Верхняя одежда","Спортивная","Повседневная","Обувь"),CHOOSE(MOD(A708-1,4)+1,"Молочные","Мясные","Бакалея","Напитки"),CHOOSE(MOD(A708-1,4)+1,"Мягкая мебель","Корпусная","Офисная","Кухонная"))</f>
        <v>Аксессуары</v>
      </c>
      <c r="K708" s="12" t="n">
        <f aca="false">1000+MOD(A708*317+A708*A708*7,49001)</f>
        <v>48987</v>
      </c>
      <c r="L708" s="12" t="n">
        <f aca="false">1+MOD(A708*131,100)</f>
        <v>18</v>
      </c>
      <c r="M708" s="12" t="n">
        <f aca="false">INT(K708*(0.6+MOD(A708*43,21)/100))</f>
        <v>36250</v>
      </c>
      <c r="N708" s="12" t="n">
        <f aca="false">K708-M708</f>
        <v>12737</v>
      </c>
    </row>
    <row r="709" customFormat="false" ht="12.8" hidden="false" customHeight="false" outlineLevel="0" collapsed="false">
      <c r="A709" s="10" t="n">
        <f aca="false">A708+1</f>
        <v>708</v>
      </c>
      <c r="B709" s="11" t="n">
        <f aca="false">B708+1</f>
        <v>45634</v>
      </c>
      <c r="C709" s="10" t="n">
        <f aca="false">YEAR(B709)</f>
        <v>2024</v>
      </c>
      <c r="D709" s="10" t="n">
        <f aca="false">INT((MONTH(B709)-1)/3)+1</f>
        <v>4</v>
      </c>
      <c r="E709" s="10" t="n">
        <f aca="false">MONTH(B709)</f>
        <v>12</v>
      </c>
      <c r="F709" s="10" t="str">
        <f aca="false">CHOOSE(MOD(A709-1,5)+1,"Центр","Юг","Север","Запад","Восток")</f>
        <v>Север</v>
      </c>
      <c r="G709" s="10" t="str">
        <f aca="false">"Округ_"&amp;(MOD(A709-1,5)+1)&amp;"_"&amp;(MOD(INT((A709-1)/5),5)+1)</f>
        <v>Округ_3_2</v>
      </c>
      <c r="H709" s="10" t="str">
        <f aca="false">"Город_"&amp;(MOD(A709-1,5)+1)&amp;"_"&amp;(MOD(INT((A709-1)/5),5)+1)&amp;"_"&amp;(MOD(INT((A709-1)/25),10)+1)</f>
        <v>Город_3_2_9</v>
      </c>
      <c r="I709" s="10" t="str">
        <f aca="false">CHOOSE(MOD(A709-1,4)+1,"Электроника","Одежда","Продукты","Мебель")</f>
        <v>Мебель</v>
      </c>
      <c r="J709" s="10" t="str">
        <f aca="false">CHOOSE(MOD(INT((A709-1)/4),4)+1,CHOOSE(MOD(A709-1,4)+1,"Смартфоны","Ноутбуки","Аксессуары","Аудио"),CHOOSE(MOD(A709-1,4)+1,"Верхняя одежда","Спортивная","Повседневная","Обувь"),CHOOSE(MOD(A709-1,4)+1,"Молочные","Мясные","Бакалея","Напитки"),CHOOSE(MOD(A709-1,4)+1,"Мягкая мебель","Корпусная","Офисная","Кухонная"))</f>
        <v>Аудио</v>
      </c>
      <c r="K709" s="12" t="n">
        <f aca="false">1000+MOD(A709*317+A709*A709*7,49001)</f>
        <v>10208</v>
      </c>
      <c r="L709" s="12" t="n">
        <f aca="false">1+MOD(A709*131,100)</f>
        <v>49</v>
      </c>
      <c r="M709" s="12" t="n">
        <f aca="false">INT(K709*(0.6+MOD(A709*43,21)/100))</f>
        <v>7656</v>
      </c>
      <c r="N709" s="12" t="n">
        <f aca="false">K709-M709</f>
        <v>2552</v>
      </c>
    </row>
    <row r="710" customFormat="false" ht="12.8" hidden="false" customHeight="false" outlineLevel="0" collapsed="false">
      <c r="A710" s="10" t="n">
        <f aca="false">A709+1</f>
        <v>709</v>
      </c>
      <c r="B710" s="11" t="n">
        <f aca="false">B709+1</f>
        <v>45635</v>
      </c>
      <c r="C710" s="10" t="n">
        <f aca="false">YEAR(B710)</f>
        <v>2024</v>
      </c>
      <c r="D710" s="10" t="n">
        <f aca="false">INT((MONTH(B710)-1)/3)+1</f>
        <v>4</v>
      </c>
      <c r="E710" s="10" t="n">
        <f aca="false">MONTH(B710)</f>
        <v>12</v>
      </c>
      <c r="F710" s="10" t="str">
        <f aca="false">CHOOSE(MOD(A710-1,5)+1,"Центр","Юг","Север","Запад","Восток")</f>
        <v>Запад</v>
      </c>
      <c r="G710" s="10" t="str">
        <f aca="false">"Округ_"&amp;(MOD(A710-1,5)+1)&amp;"_"&amp;(MOD(INT((A710-1)/5),5)+1)</f>
        <v>Округ_4_2</v>
      </c>
      <c r="H710" s="10" t="str">
        <f aca="false">"Город_"&amp;(MOD(A710-1,5)+1)&amp;"_"&amp;(MOD(INT((A710-1)/5),5)+1)&amp;"_"&amp;(MOD(INT((A710-1)/25),10)+1)</f>
        <v>Город_4_2_9</v>
      </c>
      <c r="I710" s="10" t="str">
        <f aca="false">CHOOSE(MOD(A710-1,4)+1,"Электроника","Одежда","Продукты","Мебель")</f>
        <v>Электроника</v>
      </c>
      <c r="J710" s="10" t="str">
        <f aca="false">CHOOSE(MOD(INT((A710-1)/4),4)+1,CHOOSE(MOD(A710-1,4)+1,"Смартфоны","Ноутбуки","Аксессуары","Аудио"),CHOOSE(MOD(A710-1,4)+1,"Верхняя одежда","Спортивная","Повседневная","Обувь"),CHOOSE(MOD(A710-1,4)+1,"Молочные","Мясные","Бакалея","Напитки"),CHOOSE(MOD(A710-1,4)+1,"Мягкая мебель","Корпусная","Офисная","Кухонная"))</f>
        <v>Верхняя одежда</v>
      </c>
      <c r="K710" s="12" t="n">
        <f aca="false">1000+MOD(A710*317+A710*A710*7,49001)</f>
        <v>20444</v>
      </c>
      <c r="L710" s="12" t="n">
        <f aca="false">1+MOD(A710*131,100)</f>
        <v>80</v>
      </c>
      <c r="M710" s="12" t="n">
        <f aca="false">INT(K710*(0.6+MOD(A710*43,21)/100))</f>
        <v>15537</v>
      </c>
      <c r="N710" s="12" t="n">
        <f aca="false">K710-M710</f>
        <v>4907</v>
      </c>
    </row>
    <row r="711" customFormat="false" ht="12.8" hidden="false" customHeight="false" outlineLevel="0" collapsed="false">
      <c r="A711" s="10" t="n">
        <f aca="false">A710+1</f>
        <v>710</v>
      </c>
      <c r="B711" s="11" t="n">
        <f aca="false">B710+1</f>
        <v>45636</v>
      </c>
      <c r="C711" s="10" t="n">
        <f aca="false">YEAR(B711)</f>
        <v>2024</v>
      </c>
      <c r="D711" s="10" t="n">
        <f aca="false">INT((MONTH(B711)-1)/3)+1</f>
        <v>4</v>
      </c>
      <c r="E711" s="10" t="n">
        <f aca="false">MONTH(B711)</f>
        <v>12</v>
      </c>
      <c r="F711" s="10" t="str">
        <f aca="false">CHOOSE(MOD(A711-1,5)+1,"Центр","Юг","Север","Запад","Восток")</f>
        <v>Восток</v>
      </c>
      <c r="G711" s="10" t="str">
        <f aca="false">"Округ_"&amp;(MOD(A711-1,5)+1)&amp;"_"&amp;(MOD(INT((A711-1)/5),5)+1)</f>
        <v>Округ_5_2</v>
      </c>
      <c r="H711" s="10" t="str">
        <f aca="false">"Город_"&amp;(MOD(A711-1,5)+1)&amp;"_"&amp;(MOD(INT((A711-1)/5),5)+1)&amp;"_"&amp;(MOD(INT((A711-1)/25),10)+1)</f>
        <v>Город_5_2_9</v>
      </c>
      <c r="I711" s="10" t="str">
        <f aca="false">CHOOSE(MOD(A711-1,4)+1,"Электроника","Одежда","Продукты","Мебель")</f>
        <v>Одежда</v>
      </c>
      <c r="J711" s="10" t="str">
        <f aca="false">CHOOSE(MOD(INT((A711-1)/4),4)+1,CHOOSE(MOD(A711-1,4)+1,"Смартфоны","Ноутбуки","Аксессуары","Аудио"),CHOOSE(MOD(A711-1,4)+1,"Верхняя одежда","Спортивная","Повседневная","Обувь"),CHOOSE(MOD(A711-1,4)+1,"Молочные","Мясные","Бакалея","Напитки"),CHOOSE(MOD(A711-1,4)+1,"Мягкая мебель","Корпусная","Офисная","Кухонная"))</f>
        <v>Спортивная</v>
      </c>
      <c r="K711" s="12" t="n">
        <f aca="false">1000+MOD(A711*317+A711*A711*7,49001)</f>
        <v>30694</v>
      </c>
      <c r="L711" s="12" t="n">
        <f aca="false">1+MOD(A711*131,100)</f>
        <v>11</v>
      </c>
      <c r="M711" s="12" t="n">
        <f aca="false">INT(K711*(0.6+MOD(A711*43,21)/100))</f>
        <v>23634</v>
      </c>
      <c r="N711" s="12" t="n">
        <f aca="false">K711-M711</f>
        <v>7060</v>
      </c>
    </row>
    <row r="712" customFormat="false" ht="12.8" hidden="false" customHeight="false" outlineLevel="0" collapsed="false">
      <c r="A712" s="10" t="n">
        <f aca="false">A711+1</f>
        <v>711</v>
      </c>
      <c r="B712" s="11" t="n">
        <f aca="false">B711+1</f>
        <v>45637</v>
      </c>
      <c r="C712" s="10" t="n">
        <f aca="false">YEAR(B712)</f>
        <v>2024</v>
      </c>
      <c r="D712" s="10" t="n">
        <f aca="false">INT((MONTH(B712)-1)/3)+1</f>
        <v>4</v>
      </c>
      <c r="E712" s="10" t="n">
        <f aca="false">MONTH(B712)</f>
        <v>12</v>
      </c>
      <c r="F712" s="10" t="str">
        <f aca="false">CHOOSE(MOD(A712-1,5)+1,"Центр","Юг","Север","Запад","Восток")</f>
        <v>Центр</v>
      </c>
      <c r="G712" s="10" t="str">
        <f aca="false">"Округ_"&amp;(MOD(A712-1,5)+1)&amp;"_"&amp;(MOD(INT((A712-1)/5),5)+1)</f>
        <v>Округ_1_3</v>
      </c>
      <c r="H712" s="10" t="str">
        <f aca="false">"Город_"&amp;(MOD(A712-1,5)+1)&amp;"_"&amp;(MOD(INT((A712-1)/5),5)+1)&amp;"_"&amp;(MOD(INT((A712-1)/25),10)+1)</f>
        <v>Город_1_3_9</v>
      </c>
      <c r="I712" s="10" t="str">
        <f aca="false">CHOOSE(MOD(A712-1,4)+1,"Электроника","Одежда","Продукты","Мебель")</f>
        <v>Продукты</v>
      </c>
      <c r="J712" s="10" t="str">
        <f aca="false">CHOOSE(MOD(INT((A712-1)/4),4)+1,CHOOSE(MOD(A712-1,4)+1,"Смартфоны","Ноутбуки","Аксессуары","Аудио"),CHOOSE(MOD(A712-1,4)+1,"Верхняя одежда","Спортивная","Повседневная","Обувь"),CHOOSE(MOD(A712-1,4)+1,"Молочные","Мясные","Бакалея","Напитки"),CHOOSE(MOD(A712-1,4)+1,"Мягкая мебель","Корпусная","Офисная","Кухонная"))</f>
        <v>Повседневная</v>
      </c>
      <c r="K712" s="12" t="n">
        <f aca="false">1000+MOD(A712*317+A712*A712*7,49001)</f>
        <v>40958</v>
      </c>
      <c r="L712" s="12" t="n">
        <f aca="false">1+MOD(A712*131,100)</f>
        <v>42</v>
      </c>
      <c r="M712" s="12" t="n">
        <f aca="false">INT(K712*(0.6+MOD(A712*43,21)/100))</f>
        <v>31947</v>
      </c>
      <c r="N712" s="12" t="n">
        <f aca="false">K712-M712</f>
        <v>9011</v>
      </c>
    </row>
    <row r="713" customFormat="false" ht="12.8" hidden="false" customHeight="false" outlineLevel="0" collapsed="false">
      <c r="A713" s="10" t="n">
        <f aca="false">A712+1</f>
        <v>712</v>
      </c>
      <c r="B713" s="11" t="n">
        <f aca="false">B712+1</f>
        <v>45638</v>
      </c>
      <c r="C713" s="10" t="n">
        <f aca="false">YEAR(B713)</f>
        <v>2024</v>
      </c>
      <c r="D713" s="10" t="n">
        <f aca="false">INT((MONTH(B713)-1)/3)+1</f>
        <v>4</v>
      </c>
      <c r="E713" s="10" t="n">
        <f aca="false">MONTH(B713)</f>
        <v>12</v>
      </c>
      <c r="F713" s="10" t="str">
        <f aca="false">CHOOSE(MOD(A713-1,5)+1,"Центр","Юг","Север","Запад","Восток")</f>
        <v>Юг</v>
      </c>
      <c r="G713" s="10" t="str">
        <f aca="false">"Округ_"&amp;(MOD(A713-1,5)+1)&amp;"_"&amp;(MOD(INT((A713-1)/5),5)+1)</f>
        <v>Округ_2_3</v>
      </c>
      <c r="H713" s="10" t="str">
        <f aca="false">"Город_"&amp;(MOD(A713-1,5)+1)&amp;"_"&amp;(MOD(INT((A713-1)/5),5)+1)&amp;"_"&amp;(MOD(INT((A713-1)/25),10)+1)</f>
        <v>Город_2_3_9</v>
      </c>
      <c r="I713" s="10" t="str">
        <f aca="false">CHOOSE(MOD(A713-1,4)+1,"Электроника","Одежда","Продукты","Мебель")</f>
        <v>Мебель</v>
      </c>
      <c r="J713" s="10" t="str">
        <f aca="false">CHOOSE(MOD(INT((A713-1)/4),4)+1,CHOOSE(MOD(A713-1,4)+1,"Смартфоны","Ноутбуки","Аксессуары","Аудио"),CHOOSE(MOD(A713-1,4)+1,"Верхняя одежда","Спортивная","Повседневная","Обувь"),CHOOSE(MOD(A713-1,4)+1,"Молочные","Мясные","Бакалея","Напитки"),CHOOSE(MOD(A713-1,4)+1,"Мягкая мебель","Корпусная","Офисная","Кухонная"))</f>
        <v>Обувь</v>
      </c>
      <c r="K713" s="12" t="n">
        <f aca="false">1000+MOD(A713*317+A713*A713*7,49001)</f>
        <v>2235</v>
      </c>
      <c r="L713" s="12" t="n">
        <f aca="false">1+MOD(A713*131,100)</f>
        <v>73</v>
      </c>
      <c r="M713" s="12" t="n">
        <f aca="false">INT(K713*(0.6+MOD(A713*43,21)/100))</f>
        <v>1765</v>
      </c>
      <c r="N713" s="12" t="n">
        <f aca="false">K713-M713</f>
        <v>470</v>
      </c>
    </row>
    <row r="714" customFormat="false" ht="12.8" hidden="false" customHeight="false" outlineLevel="0" collapsed="false">
      <c r="A714" s="10" t="n">
        <f aca="false">A713+1</f>
        <v>713</v>
      </c>
      <c r="B714" s="11" t="n">
        <f aca="false">B713+1</f>
        <v>45639</v>
      </c>
      <c r="C714" s="10" t="n">
        <f aca="false">YEAR(B714)</f>
        <v>2024</v>
      </c>
      <c r="D714" s="10" t="n">
        <f aca="false">INT((MONTH(B714)-1)/3)+1</f>
        <v>4</v>
      </c>
      <c r="E714" s="10" t="n">
        <f aca="false">MONTH(B714)</f>
        <v>12</v>
      </c>
      <c r="F714" s="10" t="str">
        <f aca="false">CHOOSE(MOD(A714-1,5)+1,"Центр","Юг","Север","Запад","Восток")</f>
        <v>Север</v>
      </c>
      <c r="G714" s="10" t="str">
        <f aca="false">"Округ_"&amp;(MOD(A714-1,5)+1)&amp;"_"&amp;(MOD(INT((A714-1)/5),5)+1)</f>
        <v>Округ_3_3</v>
      </c>
      <c r="H714" s="10" t="str">
        <f aca="false">"Город_"&amp;(MOD(A714-1,5)+1)&amp;"_"&amp;(MOD(INT((A714-1)/5),5)+1)&amp;"_"&amp;(MOD(INT((A714-1)/25),10)+1)</f>
        <v>Город_3_3_9</v>
      </c>
      <c r="I714" s="10" t="str">
        <f aca="false">CHOOSE(MOD(A714-1,4)+1,"Электроника","Одежда","Продукты","Мебель")</f>
        <v>Электроника</v>
      </c>
      <c r="J714" s="10" t="str">
        <f aca="false">CHOOSE(MOD(INT((A714-1)/4),4)+1,CHOOSE(MOD(A714-1,4)+1,"Смартфоны","Ноутбуки","Аксессуары","Аудио"),CHOOSE(MOD(A714-1,4)+1,"Верхняя одежда","Спортивная","Повседневная","Обувь"),CHOOSE(MOD(A714-1,4)+1,"Молочные","Мясные","Бакалея","Напитки"),CHOOSE(MOD(A714-1,4)+1,"Мягкая мебель","Корпусная","Офисная","Кухонная"))</f>
        <v>Молочные</v>
      </c>
      <c r="K714" s="12" t="n">
        <f aca="false">1000+MOD(A714*317+A714*A714*7,49001)</f>
        <v>12527</v>
      </c>
      <c r="L714" s="12" t="n">
        <f aca="false">1+MOD(A714*131,100)</f>
        <v>4</v>
      </c>
      <c r="M714" s="12" t="n">
        <f aca="false">INT(K714*(0.6+MOD(A714*43,21)/100))</f>
        <v>10021</v>
      </c>
      <c r="N714" s="12" t="n">
        <f aca="false">K714-M714</f>
        <v>2506</v>
      </c>
    </row>
    <row r="715" customFormat="false" ht="12.8" hidden="false" customHeight="false" outlineLevel="0" collapsed="false">
      <c r="A715" s="10" t="n">
        <f aca="false">A714+1</f>
        <v>714</v>
      </c>
      <c r="B715" s="11" t="n">
        <f aca="false">B714+1</f>
        <v>45640</v>
      </c>
      <c r="C715" s="10" t="n">
        <f aca="false">YEAR(B715)</f>
        <v>2024</v>
      </c>
      <c r="D715" s="10" t="n">
        <f aca="false">INT((MONTH(B715)-1)/3)+1</f>
        <v>4</v>
      </c>
      <c r="E715" s="10" t="n">
        <f aca="false">MONTH(B715)</f>
        <v>12</v>
      </c>
      <c r="F715" s="10" t="str">
        <f aca="false">CHOOSE(MOD(A715-1,5)+1,"Центр","Юг","Север","Запад","Восток")</f>
        <v>Запад</v>
      </c>
      <c r="G715" s="10" t="str">
        <f aca="false">"Округ_"&amp;(MOD(A715-1,5)+1)&amp;"_"&amp;(MOD(INT((A715-1)/5),5)+1)</f>
        <v>Округ_4_3</v>
      </c>
      <c r="H715" s="10" t="str">
        <f aca="false">"Город_"&amp;(MOD(A715-1,5)+1)&amp;"_"&amp;(MOD(INT((A715-1)/5),5)+1)&amp;"_"&amp;(MOD(INT((A715-1)/25),10)+1)</f>
        <v>Город_4_3_9</v>
      </c>
      <c r="I715" s="10" t="str">
        <f aca="false">CHOOSE(MOD(A715-1,4)+1,"Электроника","Одежда","Продукты","Мебель")</f>
        <v>Одежда</v>
      </c>
      <c r="J715" s="10" t="str">
        <f aca="false">CHOOSE(MOD(INT((A715-1)/4),4)+1,CHOOSE(MOD(A715-1,4)+1,"Смартфоны","Ноутбуки","Аксессуары","Аудио"),CHOOSE(MOD(A715-1,4)+1,"Верхняя одежда","Спортивная","Повседневная","Обувь"),CHOOSE(MOD(A715-1,4)+1,"Молочные","Мясные","Бакалея","Напитки"),CHOOSE(MOD(A715-1,4)+1,"Мягкая мебель","Корпусная","Офисная","Кухонная"))</f>
        <v>Мясные</v>
      </c>
      <c r="K715" s="12" t="n">
        <f aca="false">1000+MOD(A715*317+A715*A715*7,49001)</f>
        <v>22833</v>
      </c>
      <c r="L715" s="12" t="n">
        <f aca="false">1+MOD(A715*131,100)</f>
        <v>35</v>
      </c>
      <c r="M715" s="12" t="n">
        <f aca="false">INT(K715*(0.6+MOD(A715*43,21)/100))</f>
        <v>13699</v>
      </c>
      <c r="N715" s="12" t="n">
        <f aca="false">K715-M715</f>
        <v>9134</v>
      </c>
    </row>
    <row r="716" customFormat="false" ht="12.8" hidden="false" customHeight="false" outlineLevel="0" collapsed="false">
      <c r="A716" s="10" t="n">
        <f aca="false">A715+1</f>
        <v>715</v>
      </c>
      <c r="B716" s="11" t="n">
        <f aca="false">B715+1</f>
        <v>45641</v>
      </c>
      <c r="C716" s="10" t="n">
        <f aca="false">YEAR(B716)</f>
        <v>2024</v>
      </c>
      <c r="D716" s="10" t="n">
        <f aca="false">INT((MONTH(B716)-1)/3)+1</f>
        <v>4</v>
      </c>
      <c r="E716" s="10" t="n">
        <f aca="false">MONTH(B716)</f>
        <v>12</v>
      </c>
      <c r="F716" s="10" t="str">
        <f aca="false">CHOOSE(MOD(A716-1,5)+1,"Центр","Юг","Север","Запад","Восток")</f>
        <v>Восток</v>
      </c>
      <c r="G716" s="10" t="str">
        <f aca="false">"Округ_"&amp;(MOD(A716-1,5)+1)&amp;"_"&amp;(MOD(INT((A716-1)/5),5)+1)</f>
        <v>Округ_5_3</v>
      </c>
      <c r="H716" s="10" t="str">
        <f aca="false">"Город_"&amp;(MOD(A716-1,5)+1)&amp;"_"&amp;(MOD(INT((A716-1)/5),5)+1)&amp;"_"&amp;(MOD(INT((A716-1)/25),10)+1)</f>
        <v>Город_5_3_9</v>
      </c>
      <c r="I716" s="10" t="str">
        <f aca="false">CHOOSE(MOD(A716-1,4)+1,"Электроника","Одежда","Продукты","Мебель")</f>
        <v>Продукты</v>
      </c>
      <c r="J716" s="10" t="str">
        <f aca="false">CHOOSE(MOD(INT((A716-1)/4),4)+1,CHOOSE(MOD(A716-1,4)+1,"Смартфоны","Ноутбуки","Аксессуары","Аудио"),CHOOSE(MOD(A716-1,4)+1,"Верхняя одежда","Спортивная","Повседневная","Обувь"),CHOOSE(MOD(A716-1,4)+1,"Молочные","Мясные","Бакалея","Напитки"),CHOOSE(MOD(A716-1,4)+1,"Мягкая мебель","Корпусная","Офисная","Кухонная"))</f>
        <v>Бакалея</v>
      </c>
      <c r="K716" s="12" t="n">
        <f aca="false">1000+MOD(A716*317+A716*A716*7,49001)</f>
        <v>33153</v>
      </c>
      <c r="L716" s="12" t="n">
        <f aca="false">1+MOD(A716*131,100)</f>
        <v>66</v>
      </c>
      <c r="M716" s="12" t="n">
        <f aca="false">INT(K716*(0.6+MOD(A716*43,21)/100))</f>
        <v>20223</v>
      </c>
      <c r="N716" s="12" t="n">
        <f aca="false">K716-M716</f>
        <v>12930</v>
      </c>
    </row>
    <row r="717" customFormat="false" ht="12.8" hidden="false" customHeight="false" outlineLevel="0" collapsed="false">
      <c r="A717" s="10" t="n">
        <f aca="false">A716+1</f>
        <v>716</v>
      </c>
      <c r="B717" s="11" t="n">
        <f aca="false">B716+1</f>
        <v>45642</v>
      </c>
      <c r="C717" s="10" t="n">
        <f aca="false">YEAR(B717)</f>
        <v>2024</v>
      </c>
      <c r="D717" s="10" t="n">
        <f aca="false">INT((MONTH(B717)-1)/3)+1</f>
        <v>4</v>
      </c>
      <c r="E717" s="10" t="n">
        <f aca="false">MONTH(B717)</f>
        <v>12</v>
      </c>
      <c r="F717" s="10" t="str">
        <f aca="false">CHOOSE(MOD(A717-1,5)+1,"Центр","Юг","Север","Запад","Восток")</f>
        <v>Центр</v>
      </c>
      <c r="G717" s="10" t="str">
        <f aca="false">"Округ_"&amp;(MOD(A717-1,5)+1)&amp;"_"&amp;(MOD(INT((A717-1)/5),5)+1)</f>
        <v>Округ_1_4</v>
      </c>
      <c r="H717" s="10" t="str">
        <f aca="false">"Город_"&amp;(MOD(A717-1,5)+1)&amp;"_"&amp;(MOD(INT((A717-1)/5),5)+1)&amp;"_"&amp;(MOD(INT((A717-1)/25),10)+1)</f>
        <v>Город_1_4_9</v>
      </c>
      <c r="I717" s="10" t="str">
        <f aca="false">CHOOSE(MOD(A717-1,4)+1,"Электроника","Одежда","Продукты","Мебель")</f>
        <v>Мебель</v>
      </c>
      <c r="J717" s="10" t="str">
        <f aca="false">CHOOSE(MOD(INT((A717-1)/4),4)+1,CHOOSE(MOD(A717-1,4)+1,"Смартфоны","Ноутбуки","Аксессуары","Аудио"),CHOOSE(MOD(A717-1,4)+1,"Верхняя одежда","Спортивная","Повседневная","Обувь"),CHOOSE(MOD(A717-1,4)+1,"Молочные","Мясные","Бакалея","Напитки"),CHOOSE(MOD(A717-1,4)+1,"Мягкая мебель","Корпусная","Офисная","Кухонная"))</f>
        <v>Напитки</v>
      </c>
      <c r="K717" s="12" t="n">
        <f aca="false">1000+MOD(A717*317+A717*A717*7,49001)</f>
        <v>43487</v>
      </c>
      <c r="L717" s="12" t="n">
        <f aca="false">1+MOD(A717*131,100)</f>
        <v>97</v>
      </c>
      <c r="M717" s="12" t="n">
        <f aca="false">INT(K717*(0.6+MOD(A717*43,21)/100))</f>
        <v>26961</v>
      </c>
      <c r="N717" s="12" t="n">
        <f aca="false">K717-M717</f>
        <v>16526</v>
      </c>
    </row>
    <row r="718" customFormat="false" ht="12.8" hidden="false" customHeight="false" outlineLevel="0" collapsed="false">
      <c r="A718" s="10" t="n">
        <f aca="false">A717+1</f>
        <v>717</v>
      </c>
      <c r="B718" s="11" t="n">
        <f aca="false">B717+1</f>
        <v>45643</v>
      </c>
      <c r="C718" s="10" t="n">
        <f aca="false">YEAR(B718)</f>
        <v>2024</v>
      </c>
      <c r="D718" s="10" t="n">
        <f aca="false">INT((MONTH(B718)-1)/3)+1</f>
        <v>4</v>
      </c>
      <c r="E718" s="10" t="n">
        <f aca="false">MONTH(B718)</f>
        <v>12</v>
      </c>
      <c r="F718" s="10" t="str">
        <f aca="false">CHOOSE(MOD(A718-1,5)+1,"Центр","Юг","Север","Запад","Восток")</f>
        <v>Юг</v>
      </c>
      <c r="G718" s="10" t="str">
        <f aca="false">"Округ_"&amp;(MOD(A718-1,5)+1)&amp;"_"&amp;(MOD(INT((A718-1)/5),5)+1)</f>
        <v>Округ_2_4</v>
      </c>
      <c r="H718" s="10" t="str">
        <f aca="false">"Город_"&amp;(MOD(A718-1,5)+1)&amp;"_"&amp;(MOD(INT((A718-1)/5),5)+1)&amp;"_"&amp;(MOD(INT((A718-1)/25),10)+1)</f>
        <v>Город_2_4_9</v>
      </c>
      <c r="I718" s="10" t="str">
        <f aca="false">CHOOSE(MOD(A718-1,4)+1,"Электроника","Одежда","Продукты","Мебель")</f>
        <v>Электроника</v>
      </c>
      <c r="J718" s="10" t="str">
        <f aca="false">CHOOSE(MOD(INT((A718-1)/4),4)+1,CHOOSE(MOD(A718-1,4)+1,"Смартфоны","Ноутбуки","Аксессуары","Аудио"),CHOOSE(MOD(A718-1,4)+1,"Верхняя одежда","Спортивная","Повседневная","Обувь"),CHOOSE(MOD(A718-1,4)+1,"Молочные","Мясные","Бакалея","Напитки"),CHOOSE(MOD(A718-1,4)+1,"Мягкая мебель","Корпусная","Офисная","Кухонная"))</f>
        <v>Мягкая мебель</v>
      </c>
      <c r="K718" s="12" t="n">
        <f aca="false">1000+MOD(A718*317+A718*A718*7,49001)</f>
        <v>4834</v>
      </c>
      <c r="L718" s="12" t="n">
        <f aca="false">1+MOD(A718*131,100)</f>
        <v>28</v>
      </c>
      <c r="M718" s="12" t="n">
        <f aca="false">INT(K718*(0.6+MOD(A718*43,21)/100))</f>
        <v>3045</v>
      </c>
      <c r="N718" s="12" t="n">
        <f aca="false">K718-M718</f>
        <v>1789</v>
      </c>
    </row>
    <row r="719" customFormat="false" ht="12.8" hidden="false" customHeight="false" outlineLevel="0" collapsed="false">
      <c r="A719" s="10" t="n">
        <f aca="false">A718+1</f>
        <v>718</v>
      </c>
      <c r="B719" s="11" t="n">
        <f aca="false">B718+1</f>
        <v>45644</v>
      </c>
      <c r="C719" s="10" t="n">
        <f aca="false">YEAR(B719)</f>
        <v>2024</v>
      </c>
      <c r="D719" s="10" t="n">
        <f aca="false">INT((MONTH(B719)-1)/3)+1</f>
        <v>4</v>
      </c>
      <c r="E719" s="10" t="n">
        <f aca="false">MONTH(B719)</f>
        <v>12</v>
      </c>
      <c r="F719" s="10" t="str">
        <f aca="false">CHOOSE(MOD(A719-1,5)+1,"Центр","Юг","Север","Запад","Восток")</f>
        <v>Север</v>
      </c>
      <c r="G719" s="10" t="str">
        <f aca="false">"Округ_"&amp;(MOD(A719-1,5)+1)&amp;"_"&amp;(MOD(INT((A719-1)/5),5)+1)</f>
        <v>Округ_3_4</v>
      </c>
      <c r="H719" s="10" t="str">
        <f aca="false">"Город_"&amp;(MOD(A719-1,5)+1)&amp;"_"&amp;(MOD(INT((A719-1)/5),5)+1)&amp;"_"&amp;(MOD(INT((A719-1)/25),10)+1)</f>
        <v>Город_3_4_9</v>
      </c>
      <c r="I719" s="10" t="str">
        <f aca="false">CHOOSE(MOD(A719-1,4)+1,"Электроника","Одежда","Продукты","Мебель")</f>
        <v>Одежда</v>
      </c>
      <c r="J719" s="10" t="str">
        <f aca="false">CHOOSE(MOD(INT((A719-1)/4),4)+1,CHOOSE(MOD(A719-1,4)+1,"Смартфоны","Ноутбуки","Аксессуары","Аудио"),CHOOSE(MOD(A719-1,4)+1,"Верхняя одежда","Спортивная","Повседневная","Обувь"),CHOOSE(MOD(A719-1,4)+1,"Молочные","Мясные","Бакалея","Напитки"),CHOOSE(MOD(A719-1,4)+1,"Мягкая мебель","Корпусная","Офисная","Кухонная"))</f>
        <v>Корпусная</v>
      </c>
      <c r="K719" s="12" t="n">
        <f aca="false">1000+MOD(A719*317+A719*A719*7,49001)</f>
        <v>15196</v>
      </c>
      <c r="L719" s="12" t="n">
        <f aca="false">1+MOD(A719*131,100)</f>
        <v>59</v>
      </c>
      <c r="M719" s="12" t="n">
        <f aca="false">INT(K719*(0.6+MOD(A719*43,21)/100))</f>
        <v>9725</v>
      </c>
      <c r="N719" s="12" t="n">
        <f aca="false">K719-M719</f>
        <v>5471</v>
      </c>
    </row>
    <row r="720" customFormat="false" ht="12.8" hidden="false" customHeight="false" outlineLevel="0" collapsed="false">
      <c r="A720" s="10" t="n">
        <f aca="false">A719+1</f>
        <v>719</v>
      </c>
      <c r="B720" s="11" t="n">
        <f aca="false">B719+1</f>
        <v>45645</v>
      </c>
      <c r="C720" s="10" t="n">
        <f aca="false">YEAR(B720)</f>
        <v>2024</v>
      </c>
      <c r="D720" s="10" t="n">
        <f aca="false">INT((MONTH(B720)-1)/3)+1</f>
        <v>4</v>
      </c>
      <c r="E720" s="10" t="n">
        <f aca="false">MONTH(B720)</f>
        <v>12</v>
      </c>
      <c r="F720" s="10" t="str">
        <f aca="false">CHOOSE(MOD(A720-1,5)+1,"Центр","Юг","Север","Запад","Восток")</f>
        <v>Запад</v>
      </c>
      <c r="G720" s="10" t="str">
        <f aca="false">"Округ_"&amp;(MOD(A720-1,5)+1)&amp;"_"&amp;(MOD(INT((A720-1)/5),5)+1)</f>
        <v>Округ_4_4</v>
      </c>
      <c r="H720" s="10" t="str">
        <f aca="false">"Город_"&amp;(MOD(A720-1,5)+1)&amp;"_"&amp;(MOD(INT((A720-1)/5),5)+1)&amp;"_"&amp;(MOD(INT((A720-1)/25),10)+1)</f>
        <v>Город_4_4_9</v>
      </c>
      <c r="I720" s="10" t="str">
        <f aca="false">CHOOSE(MOD(A720-1,4)+1,"Электроника","Одежда","Продукты","Мебель")</f>
        <v>Продукты</v>
      </c>
      <c r="J720" s="10" t="str">
        <f aca="false">CHOOSE(MOD(INT((A720-1)/4),4)+1,CHOOSE(MOD(A720-1,4)+1,"Смартфоны","Ноутбуки","Аксессуары","Аудио"),CHOOSE(MOD(A720-1,4)+1,"Верхняя одежда","Спортивная","Повседневная","Обувь"),CHOOSE(MOD(A720-1,4)+1,"Молочные","Мясные","Бакалея","Напитки"),CHOOSE(MOD(A720-1,4)+1,"Мягкая мебель","Корпусная","Офисная","Кухонная"))</f>
        <v>Офисная</v>
      </c>
      <c r="K720" s="12" t="n">
        <f aca="false">1000+MOD(A720*317+A720*A720*7,49001)</f>
        <v>25572</v>
      </c>
      <c r="L720" s="12" t="n">
        <f aca="false">1+MOD(A720*131,100)</f>
        <v>90</v>
      </c>
      <c r="M720" s="12" t="n">
        <f aca="false">INT(K720*(0.6+MOD(A720*43,21)/100))</f>
        <v>16621</v>
      </c>
      <c r="N720" s="12" t="n">
        <f aca="false">K720-M720</f>
        <v>8951</v>
      </c>
    </row>
    <row r="721" customFormat="false" ht="12.8" hidden="false" customHeight="false" outlineLevel="0" collapsed="false">
      <c r="A721" s="10" t="n">
        <f aca="false">A720+1</f>
        <v>720</v>
      </c>
      <c r="B721" s="11" t="n">
        <f aca="false">B720+1</f>
        <v>45646</v>
      </c>
      <c r="C721" s="10" t="n">
        <f aca="false">YEAR(B721)</f>
        <v>2024</v>
      </c>
      <c r="D721" s="10" t="n">
        <f aca="false">INT((MONTH(B721)-1)/3)+1</f>
        <v>4</v>
      </c>
      <c r="E721" s="10" t="n">
        <f aca="false">MONTH(B721)</f>
        <v>12</v>
      </c>
      <c r="F721" s="10" t="str">
        <f aca="false">CHOOSE(MOD(A721-1,5)+1,"Центр","Юг","Север","Запад","Восток")</f>
        <v>Восток</v>
      </c>
      <c r="G721" s="10" t="str">
        <f aca="false">"Округ_"&amp;(MOD(A721-1,5)+1)&amp;"_"&amp;(MOD(INT((A721-1)/5),5)+1)</f>
        <v>Округ_5_4</v>
      </c>
      <c r="H721" s="10" t="str">
        <f aca="false">"Город_"&amp;(MOD(A721-1,5)+1)&amp;"_"&amp;(MOD(INT((A721-1)/5),5)+1)&amp;"_"&amp;(MOD(INT((A721-1)/25),10)+1)</f>
        <v>Город_5_4_9</v>
      </c>
      <c r="I721" s="10" t="str">
        <f aca="false">CHOOSE(MOD(A721-1,4)+1,"Электроника","Одежда","Продукты","Мебель")</f>
        <v>Мебель</v>
      </c>
      <c r="J721" s="10" t="str">
        <f aca="false">CHOOSE(MOD(INT((A721-1)/4),4)+1,CHOOSE(MOD(A721-1,4)+1,"Смартфоны","Ноутбуки","Аксессуары","Аудио"),CHOOSE(MOD(A721-1,4)+1,"Верхняя одежда","Спортивная","Повседневная","Обувь"),CHOOSE(MOD(A721-1,4)+1,"Молочные","Мясные","Бакалея","Напитки"),CHOOSE(MOD(A721-1,4)+1,"Мягкая мебель","Корпусная","Офисная","Кухонная"))</f>
        <v>Кухонная</v>
      </c>
      <c r="K721" s="12" t="n">
        <f aca="false">1000+MOD(A721*317+A721*A721*7,49001)</f>
        <v>35962</v>
      </c>
      <c r="L721" s="12" t="n">
        <f aca="false">1+MOD(A721*131,100)</f>
        <v>21</v>
      </c>
      <c r="M721" s="12" t="n">
        <f aca="false">INT(K721*(0.6+MOD(A721*43,21)/100))</f>
        <v>23734</v>
      </c>
      <c r="N721" s="12" t="n">
        <f aca="false">K721-M721</f>
        <v>12228</v>
      </c>
    </row>
    <row r="722" customFormat="false" ht="12.8" hidden="false" customHeight="false" outlineLevel="0" collapsed="false">
      <c r="A722" s="10" t="n">
        <f aca="false">A721+1</f>
        <v>721</v>
      </c>
      <c r="B722" s="11" t="n">
        <f aca="false">B721+1</f>
        <v>45647</v>
      </c>
      <c r="C722" s="10" t="n">
        <f aca="false">YEAR(B722)</f>
        <v>2024</v>
      </c>
      <c r="D722" s="10" t="n">
        <f aca="false">INT((MONTH(B722)-1)/3)+1</f>
        <v>4</v>
      </c>
      <c r="E722" s="10" t="n">
        <f aca="false">MONTH(B722)</f>
        <v>12</v>
      </c>
      <c r="F722" s="10" t="str">
        <f aca="false">CHOOSE(MOD(A722-1,5)+1,"Центр","Юг","Север","Запад","Восток")</f>
        <v>Центр</v>
      </c>
      <c r="G722" s="10" t="str">
        <f aca="false">"Округ_"&amp;(MOD(A722-1,5)+1)&amp;"_"&amp;(MOD(INT((A722-1)/5),5)+1)</f>
        <v>Округ_1_5</v>
      </c>
      <c r="H722" s="10" t="str">
        <f aca="false">"Город_"&amp;(MOD(A722-1,5)+1)&amp;"_"&amp;(MOD(INT((A722-1)/5),5)+1)&amp;"_"&amp;(MOD(INT((A722-1)/25),10)+1)</f>
        <v>Город_1_5_9</v>
      </c>
      <c r="I722" s="10" t="str">
        <f aca="false">CHOOSE(MOD(A722-1,4)+1,"Электроника","Одежда","Продукты","Мебель")</f>
        <v>Электроника</v>
      </c>
      <c r="J722" s="10" t="str">
        <f aca="false">CHOOSE(MOD(INT((A722-1)/4),4)+1,CHOOSE(MOD(A722-1,4)+1,"Смартфоны","Ноутбуки","Аксессуары","Аудио"),CHOOSE(MOD(A722-1,4)+1,"Верхняя одежда","Спортивная","Повседневная","Обувь"),CHOOSE(MOD(A722-1,4)+1,"Молочные","Мясные","Бакалея","Напитки"),CHOOSE(MOD(A722-1,4)+1,"Мягкая мебель","Корпусная","Офисная","Кухонная"))</f>
        <v>Смартфоны</v>
      </c>
      <c r="K722" s="12" t="n">
        <f aca="false">1000+MOD(A722*317+A722*A722*7,49001)</f>
        <v>46366</v>
      </c>
      <c r="L722" s="12" t="n">
        <f aca="false">1+MOD(A722*131,100)</f>
        <v>52</v>
      </c>
      <c r="M722" s="12" t="n">
        <f aca="false">INT(K722*(0.6+MOD(A722*43,21)/100))</f>
        <v>31065</v>
      </c>
      <c r="N722" s="12" t="n">
        <f aca="false">K722-M722</f>
        <v>15301</v>
      </c>
    </row>
    <row r="723" customFormat="false" ht="12.8" hidden="false" customHeight="false" outlineLevel="0" collapsed="false">
      <c r="A723" s="10" t="n">
        <f aca="false">A722+1</f>
        <v>722</v>
      </c>
      <c r="B723" s="11" t="n">
        <f aca="false">B722+1</f>
        <v>45648</v>
      </c>
      <c r="C723" s="10" t="n">
        <f aca="false">YEAR(B723)</f>
        <v>2024</v>
      </c>
      <c r="D723" s="10" t="n">
        <f aca="false">INT((MONTH(B723)-1)/3)+1</f>
        <v>4</v>
      </c>
      <c r="E723" s="10" t="n">
        <f aca="false">MONTH(B723)</f>
        <v>12</v>
      </c>
      <c r="F723" s="10" t="str">
        <f aca="false">CHOOSE(MOD(A723-1,5)+1,"Центр","Юг","Север","Запад","Восток")</f>
        <v>Юг</v>
      </c>
      <c r="G723" s="10" t="str">
        <f aca="false">"Округ_"&amp;(MOD(A723-1,5)+1)&amp;"_"&amp;(MOD(INT((A723-1)/5),5)+1)</f>
        <v>Округ_2_5</v>
      </c>
      <c r="H723" s="10" t="str">
        <f aca="false">"Город_"&amp;(MOD(A723-1,5)+1)&amp;"_"&amp;(MOD(INT((A723-1)/5),5)+1)&amp;"_"&amp;(MOD(INT((A723-1)/25),10)+1)</f>
        <v>Город_2_5_9</v>
      </c>
      <c r="I723" s="10" t="str">
        <f aca="false">CHOOSE(MOD(A723-1,4)+1,"Электроника","Одежда","Продукты","Мебель")</f>
        <v>Одежда</v>
      </c>
      <c r="J723" s="10" t="str">
        <f aca="false">CHOOSE(MOD(INT((A723-1)/4),4)+1,CHOOSE(MOD(A723-1,4)+1,"Смартфоны","Ноутбуки","Аксессуары","Аудио"),CHOOSE(MOD(A723-1,4)+1,"Верхняя одежда","Спортивная","Повседневная","Обувь"),CHOOSE(MOD(A723-1,4)+1,"Молочные","Мясные","Бакалея","Напитки"),CHOOSE(MOD(A723-1,4)+1,"Мягкая мебель","Корпусная","Офисная","Кухонная"))</f>
        <v>Ноутбуки</v>
      </c>
      <c r="K723" s="12" t="n">
        <f aca="false">1000+MOD(A723*317+A723*A723*7,49001)</f>
        <v>7783</v>
      </c>
      <c r="L723" s="12" t="n">
        <f aca="false">1+MOD(A723*131,100)</f>
        <v>83</v>
      </c>
      <c r="M723" s="12" t="n">
        <f aca="false">INT(K723*(0.6+MOD(A723*43,21)/100))</f>
        <v>5292</v>
      </c>
      <c r="N723" s="12" t="n">
        <f aca="false">K723-M723</f>
        <v>2491</v>
      </c>
    </row>
    <row r="724" customFormat="false" ht="12.8" hidden="false" customHeight="false" outlineLevel="0" collapsed="false">
      <c r="A724" s="10" t="n">
        <f aca="false">A723+1</f>
        <v>723</v>
      </c>
      <c r="B724" s="11" t="n">
        <f aca="false">B723+1</f>
        <v>45649</v>
      </c>
      <c r="C724" s="10" t="n">
        <f aca="false">YEAR(B724)</f>
        <v>2024</v>
      </c>
      <c r="D724" s="10" t="n">
        <f aca="false">INT((MONTH(B724)-1)/3)+1</f>
        <v>4</v>
      </c>
      <c r="E724" s="10" t="n">
        <f aca="false">MONTH(B724)</f>
        <v>12</v>
      </c>
      <c r="F724" s="10" t="str">
        <f aca="false">CHOOSE(MOD(A724-1,5)+1,"Центр","Юг","Север","Запад","Восток")</f>
        <v>Север</v>
      </c>
      <c r="G724" s="10" t="str">
        <f aca="false">"Округ_"&amp;(MOD(A724-1,5)+1)&amp;"_"&amp;(MOD(INT((A724-1)/5),5)+1)</f>
        <v>Округ_3_5</v>
      </c>
      <c r="H724" s="10" t="str">
        <f aca="false">"Город_"&amp;(MOD(A724-1,5)+1)&amp;"_"&amp;(MOD(INT((A724-1)/5),5)+1)&amp;"_"&amp;(MOD(INT((A724-1)/25),10)+1)</f>
        <v>Город_3_5_9</v>
      </c>
      <c r="I724" s="10" t="str">
        <f aca="false">CHOOSE(MOD(A724-1,4)+1,"Электроника","Одежда","Продукты","Мебель")</f>
        <v>Продукты</v>
      </c>
      <c r="J724" s="10" t="str">
        <f aca="false">CHOOSE(MOD(INT((A724-1)/4),4)+1,CHOOSE(MOD(A724-1,4)+1,"Смартфоны","Ноутбуки","Аксессуары","Аудио"),CHOOSE(MOD(A724-1,4)+1,"Верхняя одежда","Спортивная","Повседневная","Обувь"),CHOOSE(MOD(A724-1,4)+1,"Молочные","Мясные","Бакалея","Напитки"),CHOOSE(MOD(A724-1,4)+1,"Мягкая мебель","Корпусная","Офисная","Кухонная"))</f>
        <v>Аксессуары</v>
      </c>
      <c r="K724" s="12" t="n">
        <f aca="false">1000+MOD(A724*317+A724*A724*7,49001)</f>
        <v>18215</v>
      </c>
      <c r="L724" s="12" t="n">
        <f aca="false">1+MOD(A724*131,100)</f>
        <v>14</v>
      </c>
      <c r="M724" s="12" t="n">
        <f aca="false">INT(K724*(0.6+MOD(A724*43,21)/100))</f>
        <v>12568</v>
      </c>
      <c r="N724" s="12" t="n">
        <f aca="false">K724-M724</f>
        <v>5647</v>
      </c>
    </row>
    <row r="725" customFormat="false" ht="12.8" hidden="false" customHeight="false" outlineLevel="0" collapsed="false">
      <c r="A725" s="10" t="n">
        <f aca="false">A724+1</f>
        <v>724</v>
      </c>
      <c r="B725" s="11" t="n">
        <f aca="false">B724+1</f>
        <v>45650</v>
      </c>
      <c r="C725" s="10" t="n">
        <f aca="false">YEAR(B725)</f>
        <v>2024</v>
      </c>
      <c r="D725" s="10" t="n">
        <f aca="false">INT((MONTH(B725)-1)/3)+1</f>
        <v>4</v>
      </c>
      <c r="E725" s="10" t="n">
        <f aca="false">MONTH(B725)</f>
        <v>12</v>
      </c>
      <c r="F725" s="10" t="str">
        <f aca="false">CHOOSE(MOD(A725-1,5)+1,"Центр","Юг","Север","Запад","Восток")</f>
        <v>Запад</v>
      </c>
      <c r="G725" s="10" t="str">
        <f aca="false">"Округ_"&amp;(MOD(A725-1,5)+1)&amp;"_"&amp;(MOD(INT((A725-1)/5),5)+1)</f>
        <v>Округ_4_5</v>
      </c>
      <c r="H725" s="10" t="str">
        <f aca="false">"Город_"&amp;(MOD(A725-1,5)+1)&amp;"_"&amp;(MOD(INT((A725-1)/5),5)+1)&amp;"_"&amp;(MOD(INT((A725-1)/25),10)+1)</f>
        <v>Город_4_5_9</v>
      </c>
      <c r="I725" s="10" t="str">
        <f aca="false">CHOOSE(MOD(A725-1,4)+1,"Электроника","Одежда","Продукты","Мебель")</f>
        <v>Мебель</v>
      </c>
      <c r="J725" s="10" t="str">
        <f aca="false">CHOOSE(MOD(INT((A725-1)/4),4)+1,CHOOSE(MOD(A725-1,4)+1,"Смартфоны","Ноутбуки","Аксессуары","Аудио"),CHOOSE(MOD(A725-1,4)+1,"Верхняя одежда","Спортивная","Повседневная","Обувь"),CHOOSE(MOD(A725-1,4)+1,"Молочные","Мясные","Бакалея","Напитки"),CHOOSE(MOD(A725-1,4)+1,"Мягкая мебель","Корпусная","Офисная","Кухонная"))</f>
        <v>Аудио</v>
      </c>
      <c r="K725" s="12" t="n">
        <f aca="false">1000+MOD(A725*317+A725*A725*7,49001)</f>
        <v>28661</v>
      </c>
      <c r="L725" s="12" t="n">
        <f aca="false">1+MOD(A725*131,100)</f>
        <v>45</v>
      </c>
      <c r="M725" s="12" t="n">
        <f aca="false">INT(K725*(0.6+MOD(A725*43,21)/100))</f>
        <v>20062</v>
      </c>
      <c r="N725" s="12" t="n">
        <f aca="false">K725-M725</f>
        <v>8599</v>
      </c>
    </row>
    <row r="726" customFormat="false" ht="12.8" hidden="false" customHeight="false" outlineLevel="0" collapsed="false">
      <c r="A726" s="10" t="n">
        <f aca="false">A725+1</f>
        <v>725</v>
      </c>
      <c r="B726" s="11" t="n">
        <f aca="false">B725+1</f>
        <v>45651</v>
      </c>
      <c r="C726" s="10" t="n">
        <f aca="false">YEAR(B726)</f>
        <v>2024</v>
      </c>
      <c r="D726" s="10" t="n">
        <f aca="false">INT((MONTH(B726)-1)/3)+1</f>
        <v>4</v>
      </c>
      <c r="E726" s="10" t="n">
        <f aca="false">MONTH(B726)</f>
        <v>12</v>
      </c>
      <c r="F726" s="10" t="str">
        <f aca="false">CHOOSE(MOD(A726-1,5)+1,"Центр","Юг","Север","Запад","Восток")</f>
        <v>Восток</v>
      </c>
      <c r="G726" s="10" t="str">
        <f aca="false">"Округ_"&amp;(MOD(A726-1,5)+1)&amp;"_"&amp;(MOD(INT((A726-1)/5),5)+1)</f>
        <v>Округ_5_5</v>
      </c>
      <c r="H726" s="10" t="str">
        <f aca="false">"Город_"&amp;(MOD(A726-1,5)+1)&amp;"_"&amp;(MOD(INT((A726-1)/5),5)+1)&amp;"_"&amp;(MOD(INT((A726-1)/25),10)+1)</f>
        <v>Город_5_5_9</v>
      </c>
      <c r="I726" s="10" t="str">
        <f aca="false">CHOOSE(MOD(A726-1,4)+1,"Электроника","Одежда","Продукты","Мебель")</f>
        <v>Электроника</v>
      </c>
      <c r="J726" s="10" t="str">
        <f aca="false">CHOOSE(MOD(INT((A726-1)/4),4)+1,CHOOSE(MOD(A726-1,4)+1,"Смартфоны","Ноутбуки","Аксессуары","Аудио"),CHOOSE(MOD(A726-1,4)+1,"Верхняя одежда","Спортивная","Повседневная","Обувь"),CHOOSE(MOD(A726-1,4)+1,"Молочные","Мясные","Бакалея","Напитки"),CHOOSE(MOD(A726-1,4)+1,"Мягкая мебель","Корпусная","Офисная","Кухонная"))</f>
        <v>Верхняя одежда</v>
      </c>
      <c r="K726" s="12" t="n">
        <f aca="false">1000+MOD(A726*317+A726*A726*7,49001)</f>
        <v>39121</v>
      </c>
      <c r="L726" s="12" t="n">
        <f aca="false">1+MOD(A726*131,100)</f>
        <v>76</v>
      </c>
      <c r="M726" s="12" t="n">
        <f aca="false">INT(K726*(0.6+MOD(A726*43,21)/100))</f>
        <v>27775</v>
      </c>
      <c r="N726" s="12" t="n">
        <f aca="false">K726-M726</f>
        <v>11346</v>
      </c>
    </row>
    <row r="727" customFormat="false" ht="12.8" hidden="false" customHeight="false" outlineLevel="0" collapsed="false">
      <c r="A727" s="10" t="n">
        <f aca="false">A726+1</f>
        <v>726</v>
      </c>
      <c r="B727" s="11" t="n">
        <f aca="false">B726+1</f>
        <v>45652</v>
      </c>
      <c r="C727" s="10" t="n">
        <f aca="false">YEAR(B727)</f>
        <v>2024</v>
      </c>
      <c r="D727" s="10" t="n">
        <f aca="false">INT((MONTH(B727)-1)/3)+1</f>
        <v>4</v>
      </c>
      <c r="E727" s="10" t="n">
        <f aca="false">MONTH(B727)</f>
        <v>12</v>
      </c>
      <c r="F727" s="10" t="str">
        <f aca="false">CHOOSE(MOD(A727-1,5)+1,"Центр","Юг","Север","Запад","Восток")</f>
        <v>Центр</v>
      </c>
      <c r="G727" s="10" t="str">
        <f aca="false">"Округ_"&amp;(MOD(A727-1,5)+1)&amp;"_"&amp;(MOD(INT((A727-1)/5),5)+1)</f>
        <v>Округ_1_1</v>
      </c>
      <c r="H727" s="10" t="str">
        <f aca="false">"Город_"&amp;(MOD(A727-1,5)+1)&amp;"_"&amp;(MOD(INT((A727-1)/5),5)+1)&amp;"_"&amp;(MOD(INT((A727-1)/25),10)+1)</f>
        <v>Город_1_1_10</v>
      </c>
      <c r="I727" s="10" t="str">
        <f aca="false">CHOOSE(MOD(A727-1,4)+1,"Электроника","Одежда","Продукты","Мебель")</f>
        <v>Одежда</v>
      </c>
      <c r="J727" s="10" t="str">
        <f aca="false">CHOOSE(MOD(INT((A727-1)/4),4)+1,CHOOSE(MOD(A727-1,4)+1,"Смартфоны","Ноутбуки","Аксессуары","Аудио"),CHOOSE(MOD(A727-1,4)+1,"Верхняя одежда","Спортивная","Повседневная","Обувь"),CHOOSE(MOD(A727-1,4)+1,"Молочные","Мясные","Бакалея","Напитки"),CHOOSE(MOD(A727-1,4)+1,"Мягкая мебель","Корпусная","Офисная","Кухонная"))</f>
        <v>Спортивная</v>
      </c>
      <c r="K727" s="12" t="n">
        <f aca="false">1000+MOD(A727*317+A727*A727*7,49001)</f>
        <v>49595</v>
      </c>
      <c r="L727" s="12" t="n">
        <f aca="false">1+MOD(A727*131,100)</f>
        <v>7</v>
      </c>
      <c r="M727" s="12" t="n">
        <f aca="false">INT(K727*(0.6+MOD(A727*43,21)/100))</f>
        <v>35708</v>
      </c>
      <c r="N727" s="12" t="n">
        <f aca="false">K727-M727</f>
        <v>13887</v>
      </c>
    </row>
    <row r="728" customFormat="false" ht="12.8" hidden="false" customHeight="false" outlineLevel="0" collapsed="false">
      <c r="A728" s="10" t="n">
        <f aca="false">A727+1</f>
        <v>727</v>
      </c>
      <c r="B728" s="11" t="n">
        <f aca="false">B727+1</f>
        <v>45653</v>
      </c>
      <c r="C728" s="10" t="n">
        <f aca="false">YEAR(B728)</f>
        <v>2024</v>
      </c>
      <c r="D728" s="10" t="n">
        <f aca="false">INT((MONTH(B728)-1)/3)+1</f>
        <v>4</v>
      </c>
      <c r="E728" s="10" t="n">
        <f aca="false">MONTH(B728)</f>
        <v>12</v>
      </c>
      <c r="F728" s="10" t="str">
        <f aca="false">CHOOSE(MOD(A728-1,5)+1,"Центр","Юг","Север","Запад","Восток")</f>
        <v>Юг</v>
      </c>
      <c r="G728" s="10" t="str">
        <f aca="false">"Округ_"&amp;(MOD(A728-1,5)+1)&amp;"_"&amp;(MOD(INT((A728-1)/5),5)+1)</f>
        <v>Округ_2_1</v>
      </c>
      <c r="H728" s="10" t="str">
        <f aca="false">"Город_"&amp;(MOD(A728-1,5)+1)&amp;"_"&amp;(MOD(INT((A728-1)/5),5)+1)&amp;"_"&amp;(MOD(INT((A728-1)/25),10)+1)</f>
        <v>Город_2_1_10</v>
      </c>
      <c r="I728" s="10" t="str">
        <f aca="false">CHOOSE(MOD(A728-1,4)+1,"Электроника","Одежда","Продукты","Мебель")</f>
        <v>Продукты</v>
      </c>
      <c r="J728" s="10" t="str">
        <f aca="false">CHOOSE(MOD(INT((A728-1)/4),4)+1,CHOOSE(MOD(A728-1,4)+1,"Смартфоны","Ноутбуки","Аксессуары","Аудио"),CHOOSE(MOD(A728-1,4)+1,"Верхняя одежда","Спортивная","Повседневная","Обувь"),CHOOSE(MOD(A728-1,4)+1,"Молочные","Мясные","Бакалея","Напитки"),CHOOSE(MOD(A728-1,4)+1,"Мягкая мебель","Корпусная","Офисная","Кухонная"))</f>
        <v>Повседневная</v>
      </c>
      <c r="K728" s="12" t="n">
        <f aca="false">1000+MOD(A728*317+A728*A728*7,49001)</f>
        <v>11082</v>
      </c>
      <c r="L728" s="12" t="n">
        <f aca="false">1+MOD(A728*131,100)</f>
        <v>38</v>
      </c>
      <c r="M728" s="12" t="n">
        <f aca="false">INT(K728*(0.6+MOD(A728*43,21)/100))</f>
        <v>8089</v>
      </c>
      <c r="N728" s="12" t="n">
        <f aca="false">K728-M728</f>
        <v>2993</v>
      </c>
    </row>
    <row r="729" customFormat="false" ht="12.8" hidden="false" customHeight="false" outlineLevel="0" collapsed="false">
      <c r="A729" s="10" t="n">
        <f aca="false">A728+1</f>
        <v>728</v>
      </c>
      <c r="B729" s="11" t="n">
        <f aca="false">B728+1</f>
        <v>45654</v>
      </c>
      <c r="C729" s="10" t="n">
        <f aca="false">YEAR(B729)</f>
        <v>2024</v>
      </c>
      <c r="D729" s="10" t="n">
        <f aca="false">INT((MONTH(B729)-1)/3)+1</f>
        <v>4</v>
      </c>
      <c r="E729" s="10" t="n">
        <f aca="false">MONTH(B729)</f>
        <v>12</v>
      </c>
      <c r="F729" s="10" t="str">
        <f aca="false">CHOOSE(MOD(A729-1,5)+1,"Центр","Юг","Север","Запад","Восток")</f>
        <v>Север</v>
      </c>
      <c r="G729" s="10" t="str">
        <f aca="false">"Округ_"&amp;(MOD(A729-1,5)+1)&amp;"_"&amp;(MOD(INT((A729-1)/5),5)+1)</f>
        <v>Округ_3_1</v>
      </c>
      <c r="H729" s="10" t="str">
        <f aca="false">"Город_"&amp;(MOD(A729-1,5)+1)&amp;"_"&amp;(MOD(INT((A729-1)/5),5)+1)&amp;"_"&amp;(MOD(INT((A729-1)/25),10)+1)</f>
        <v>Город_3_1_10</v>
      </c>
      <c r="I729" s="10" t="str">
        <f aca="false">CHOOSE(MOD(A729-1,4)+1,"Электроника","Одежда","Продукты","Мебель")</f>
        <v>Мебель</v>
      </c>
      <c r="J729" s="10" t="str">
        <f aca="false">CHOOSE(MOD(INT((A729-1)/4),4)+1,CHOOSE(MOD(A729-1,4)+1,"Смартфоны","Ноутбуки","Аксессуары","Аудио"),CHOOSE(MOD(A729-1,4)+1,"Верхняя одежда","Спортивная","Повседневная","Обувь"),CHOOSE(MOD(A729-1,4)+1,"Молочные","Мясные","Бакалея","Напитки"),CHOOSE(MOD(A729-1,4)+1,"Мягкая мебель","Корпусная","Офисная","Кухонная"))</f>
        <v>Обувь</v>
      </c>
      <c r="K729" s="12" t="n">
        <f aca="false">1000+MOD(A729*317+A729*A729*7,49001)</f>
        <v>21584</v>
      </c>
      <c r="L729" s="12" t="n">
        <f aca="false">1+MOD(A729*131,100)</f>
        <v>69</v>
      </c>
      <c r="M729" s="12" t="n">
        <f aca="false">INT(K729*(0.6+MOD(A729*43,21)/100))</f>
        <v>15972</v>
      </c>
      <c r="N729" s="12" t="n">
        <f aca="false">K729-M729</f>
        <v>5612</v>
      </c>
    </row>
    <row r="730" customFormat="false" ht="12.8" hidden="false" customHeight="false" outlineLevel="0" collapsed="false">
      <c r="A730" s="10" t="n">
        <f aca="false">A729+1</f>
        <v>729</v>
      </c>
      <c r="B730" s="11" t="n">
        <f aca="false">B729+1</f>
        <v>45655</v>
      </c>
      <c r="C730" s="10" t="n">
        <f aca="false">YEAR(B730)</f>
        <v>2024</v>
      </c>
      <c r="D730" s="10" t="n">
        <f aca="false">INT((MONTH(B730)-1)/3)+1</f>
        <v>4</v>
      </c>
      <c r="E730" s="10" t="n">
        <f aca="false">MONTH(B730)</f>
        <v>12</v>
      </c>
      <c r="F730" s="10" t="str">
        <f aca="false">CHOOSE(MOD(A730-1,5)+1,"Центр","Юг","Север","Запад","Восток")</f>
        <v>Запад</v>
      </c>
      <c r="G730" s="10" t="str">
        <f aca="false">"Округ_"&amp;(MOD(A730-1,5)+1)&amp;"_"&amp;(MOD(INT((A730-1)/5),5)+1)</f>
        <v>Округ_4_1</v>
      </c>
      <c r="H730" s="10" t="str">
        <f aca="false">"Город_"&amp;(MOD(A730-1,5)+1)&amp;"_"&amp;(MOD(INT((A730-1)/5),5)+1)&amp;"_"&amp;(MOD(INT((A730-1)/25),10)+1)</f>
        <v>Город_4_1_10</v>
      </c>
      <c r="I730" s="10" t="str">
        <f aca="false">CHOOSE(MOD(A730-1,4)+1,"Электроника","Одежда","Продукты","Мебель")</f>
        <v>Электроника</v>
      </c>
      <c r="J730" s="10" t="str">
        <f aca="false">CHOOSE(MOD(INT((A730-1)/4),4)+1,CHOOSE(MOD(A730-1,4)+1,"Смартфоны","Ноутбуки","Аксессуары","Аудио"),CHOOSE(MOD(A730-1,4)+1,"Верхняя одежда","Спортивная","Повседневная","Обувь"),CHOOSE(MOD(A730-1,4)+1,"Молочные","Мясные","Бакалея","Напитки"),CHOOSE(MOD(A730-1,4)+1,"Мягкая мебель","Корпусная","Офисная","Кухонная"))</f>
        <v>Молочные</v>
      </c>
      <c r="K730" s="12" t="n">
        <f aca="false">1000+MOD(A730*317+A730*A730*7,49001)</f>
        <v>32100</v>
      </c>
      <c r="L730" s="12" t="n">
        <f aca="false">1+MOD(A730*131,100)</f>
        <v>100</v>
      </c>
      <c r="M730" s="12" t="n">
        <f aca="false">INT(K730*(0.6+MOD(A730*43,21)/100))</f>
        <v>24075</v>
      </c>
      <c r="N730" s="12" t="n">
        <f aca="false">K730-M730</f>
        <v>8025</v>
      </c>
    </row>
    <row r="731" customFormat="false" ht="12.8" hidden="false" customHeight="false" outlineLevel="0" collapsed="false">
      <c r="A731" s="10" t="n">
        <f aca="false">A730+1</f>
        <v>730</v>
      </c>
      <c r="B731" s="11" t="n">
        <f aca="false">B730+1</f>
        <v>45656</v>
      </c>
      <c r="C731" s="10" t="n">
        <f aca="false">YEAR(B731)</f>
        <v>2024</v>
      </c>
      <c r="D731" s="10" t="n">
        <f aca="false">INT((MONTH(B731)-1)/3)+1</f>
        <v>4</v>
      </c>
      <c r="E731" s="10" t="n">
        <f aca="false">MONTH(B731)</f>
        <v>12</v>
      </c>
      <c r="F731" s="10" t="str">
        <f aca="false">CHOOSE(MOD(A731-1,5)+1,"Центр","Юг","Север","Запад","Восток")</f>
        <v>Восток</v>
      </c>
      <c r="G731" s="10" t="str">
        <f aca="false">"Округ_"&amp;(MOD(A731-1,5)+1)&amp;"_"&amp;(MOD(INT((A731-1)/5),5)+1)</f>
        <v>Округ_5_1</v>
      </c>
      <c r="H731" s="10" t="str">
        <f aca="false">"Город_"&amp;(MOD(A731-1,5)+1)&amp;"_"&amp;(MOD(INT((A731-1)/5),5)+1)&amp;"_"&amp;(MOD(INT((A731-1)/25),10)+1)</f>
        <v>Город_5_1_10</v>
      </c>
      <c r="I731" s="10" t="str">
        <f aca="false">CHOOSE(MOD(A731-1,4)+1,"Электроника","Одежда","Продукты","Мебель")</f>
        <v>Одежда</v>
      </c>
      <c r="J731" s="10" t="str">
        <f aca="false">CHOOSE(MOD(INT((A731-1)/4),4)+1,CHOOSE(MOD(A731-1,4)+1,"Смартфоны","Ноутбуки","Аксессуары","Аудио"),CHOOSE(MOD(A731-1,4)+1,"Верхняя одежда","Спортивная","Повседневная","Обувь"),CHOOSE(MOD(A731-1,4)+1,"Молочные","Мясные","Бакалея","Напитки"),CHOOSE(MOD(A731-1,4)+1,"Мягкая мебель","Корпусная","Офисная","Кухонная"))</f>
        <v>Мясные</v>
      </c>
      <c r="K731" s="12" t="n">
        <f aca="false">1000+MOD(A731*317+A731*A731*7,49001)</f>
        <v>42630</v>
      </c>
      <c r="L731" s="12" t="n">
        <f aca="false">1+MOD(A731*131,100)</f>
        <v>31</v>
      </c>
      <c r="M731" s="12" t="n">
        <f aca="false">INT(K731*(0.6+MOD(A731*43,21)/100))</f>
        <v>32398</v>
      </c>
      <c r="N731" s="12" t="n">
        <f aca="false">K731-M731</f>
        <v>10232</v>
      </c>
    </row>
    <row r="732" customFormat="false" ht="12.8" hidden="false" customHeight="false" outlineLevel="0" collapsed="false">
      <c r="A732" s="10" t="n">
        <f aca="false">A731+1</f>
        <v>731</v>
      </c>
      <c r="B732" s="11" t="n">
        <f aca="false">B731+1</f>
        <v>45657</v>
      </c>
      <c r="C732" s="10" t="n">
        <f aca="false">YEAR(B732)</f>
        <v>2024</v>
      </c>
      <c r="D732" s="10" t="n">
        <f aca="false">INT((MONTH(B732)-1)/3)+1</f>
        <v>4</v>
      </c>
      <c r="E732" s="10" t="n">
        <f aca="false">MONTH(B732)</f>
        <v>12</v>
      </c>
      <c r="F732" s="10" t="str">
        <f aca="false">CHOOSE(MOD(A732-1,5)+1,"Центр","Юг","Север","Запад","Восток")</f>
        <v>Центр</v>
      </c>
      <c r="G732" s="10" t="str">
        <f aca="false">"Округ_"&amp;(MOD(A732-1,5)+1)&amp;"_"&amp;(MOD(INT((A732-1)/5),5)+1)</f>
        <v>Округ_1_2</v>
      </c>
      <c r="H732" s="10" t="str">
        <f aca="false">"Город_"&amp;(MOD(A732-1,5)+1)&amp;"_"&amp;(MOD(INT((A732-1)/5),5)+1)&amp;"_"&amp;(MOD(INT((A732-1)/25),10)+1)</f>
        <v>Город_1_2_10</v>
      </c>
      <c r="I732" s="10" t="str">
        <f aca="false">CHOOSE(MOD(A732-1,4)+1,"Электроника","Одежда","Продукты","Мебель")</f>
        <v>Продукты</v>
      </c>
      <c r="J732" s="10" t="str">
        <f aca="false">CHOOSE(MOD(INT((A732-1)/4),4)+1,CHOOSE(MOD(A732-1,4)+1,"Смартфоны","Ноутбуки","Аксессуары","Аудио"),CHOOSE(MOD(A732-1,4)+1,"Верхняя одежда","Спортивная","Повседневная","Обувь"),CHOOSE(MOD(A732-1,4)+1,"Молочные","Мясные","Бакалея","Напитки"),CHOOSE(MOD(A732-1,4)+1,"Мягкая мебель","Корпусная","Офисная","Кухонная"))</f>
        <v>Бакалея</v>
      </c>
      <c r="K732" s="12" t="n">
        <f aca="false">1000+MOD(A732*317+A732*A732*7,49001)</f>
        <v>4173</v>
      </c>
      <c r="L732" s="12" t="n">
        <f aca="false">1+MOD(A732*131,100)</f>
        <v>62</v>
      </c>
      <c r="M732" s="12" t="n">
        <f aca="false">INT(K732*(0.6+MOD(A732*43,21)/100))</f>
        <v>3213</v>
      </c>
      <c r="N732" s="12" t="n">
        <f aca="false">K732-M732</f>
        <v>960</v>
      </c>
    </row>
    <row r="733" customFormat="false" ht="12.8" hidden="false" customHeight="false" outlineLevel="0" collapsed="false">
      <c r="A733" s="10" t="n">
        <f aca="false">A732+1</f>
        <v>732</v>
      </c>
      <c r="B733" s="11" t="n">
        <f aca="false">B732+1</f>
        <v>45658</v>
      </c>
      <c r="C733" s="10" t="n">
        <f aca="false">YEAR(B733)</f>
        <v>2025</v>
      </c>
      <c r="D733" s="10" t="n">
        <f aca="false">INT((MONTH(B733)-1)/3)+1</f>
        <v>1</v>
      </c>
      <c r="E733" s="10" t="n">
        <f aca="false">MONTH(B733)</f>
        <v>1</v>
      </c>
      <c r="F733" s="10" t="str">
        <f aca="false">CHOOSE(MOD(A733-1,5)+1,"Центр","Юг","Север","Запад","Восток")</f>
        <v>Юг</v>
      </c>
      <c r="G733" s="10" t="str">
        <f aca="false">"Округ_"&amp;(MOD(A733-1,5)+1)&amp;"_"&amp;(MOD(INT((A733-1)/5),5)+1)</f>
        <v>Округ_2_2</v>
      </c>
      <c r="H733" s="10" t="str">
        <f aca="false">"Город_"&amp;(MOD(A733-1,5)+1)&amp;"_"&amp;(MOD(INT((A733-1)/5),5)+1)&amp;"_"&amp;(MOD(INT((A733-1)/25),10)+1)</f>
        <v>Город_2_2_10</v>
      </c>
      <c r="I733" s="10" t="str">
        <f aca="false">CHOOSE(MOD(A733-1,4)+1,"Электроника","Одежда","Продукты","Мебель")</f>
        <v>Мебель</v>
      </c>
      <c r="J733" s="10" t="str">
        <f aca="false">CHOOSE(MOD(INT((A733-1)/4),4)+1,CHOOSE(MOD(A733-1,4)+1,"Смартфоны","Ноутбуки","Аксессуары","Аудио"),CHOOSE(MOD(A733-1,4)+1,"Верхняя одежда","Спортивная","Повседневная","Обувь"),CHOOSE(MOD(A733-1,4)+1,"Молочные","Мясные","Бакалея","Напитки"),CHOOSE(MOD(A733-1,4)+1,"Мягкая мебель","Корпусная","Офисная","Кухонная"))</f>
        <v>Напитки</v>
      </c>
      <c r="K733" s="12" t="n">
        <f aca="false">1000+MOD(A733*317+A733*A733*7,49001)</f>
        <v>14731</v>
      </c>
      <c r="L733" s="12" t="n">
        <f aca="false">1+MOD(A733*131,100)</f>
        <v>93</v>
      </c>
      <c r="M733" s="12" t="n">
        <f aca="false">INT(K733*(0.6+MOD(A733*43,21)/100))</f>
        <v>11490</v>
      </c>
      <c r="N733" s="12" t="n">
        <f aca="false">K733-M733</f>
        <v>3241</v>
      </c>
    </row>
    <row r="734" customFormat="false" ht="12.8" hidden="false" customHeight="false" outlineLevel="0" collapsed="false">
      <c r="A734" s="10" t="n">
        <f aca="false">A733+1</f>
        <v>733</v>
      </c>
      <c r="B734" s="11" t="n">
        <f aca="false">B733+1</f>
        <v>45659</v>
      </c>
      <c r="C734" s="10" t="n">
        <f aca="false">YEAR(B734)</f>
        <v>2025</v>
      </c>
      <c r="D734" s="10" t="n">
        <f aca="false">INT((MONTH(B734)-1)/3)+1</f>
        <v>1</v>
      </c>
      <c r="E734" s="10" t="n">
        <f aca="false">MONTH(B734)</f>
        <v>1</v>
      </c>
      <c r="F734" s="10" t="str">
        <f aca="false">CHOOSE(MOD(A734-1,5)+1,"Центр","Юг","Север","Запад","Восток")</f>
        <v>Север</v>
      </c>
      <c r="G734" s="10" t="str">
        <f aca="false">"Округ_"&amp;(MOD(A734-1,5)+1)&amp;"_"&amp;(MOD(INT((A734-1)/5),5)+1)</f>
        <v>Округ_3_2</v>
      </c>
      <c r="H734" s="10" t="str">
        <f aca="false">"Город_"&amp;(MOD(A734-1,5)+1)&amp;"_"&amp;(MOD(INT((A734-1)/5),5)+1)&amp;"_"&amp;(MOD(INT((A734-1)/25),10)+1)</f>
        <v>Город_3_2_10</v>
      </c>
      <c r="I734" s="10" t="str">
        <f aca="false">CHOOSE(MOD(A734-1,4)+1,"Электроника","Одежда","Продукты","Мебель")</f>
        <v>Электроника</v>
      </c>
      <c r="J734" s="10" t="str">
        <f aca="false">CHOOSE(MOD(INT((A734-1)/4),4)+1,CHOOSE(MOD(A734-1,4)+1,"Смартфоны","Ноутбуки","Аксессуары","Аудио"),CHOOSE(MOD(A734-1,4)+1,"Верхняя одежда","Спортивная","Повседневная","Обувь"),CHOOSE(MOD(A734-1,4)+1,"Молочные","Мясные","Бакалея","Напитки"),CHOOSE(MOD(A734-1,4)+1,"Мягкая мебель","Корпусная","Офисная","Кухонная"))</f>
        <v>Мягкая мебель</v>
      </c>
      <c r="K734" s="12" t="n">
        <f aca="false">1000+MOD(A734*317+A734*A734*7,49001)</f>
        <v>25303</v>
      </c>
      <c r="L734" s="12" t="n">
        <f aca="false">1+MOD(A734*131,100)</f>
        <v>24</v>
      </c>
      <c r="M734" s="12" t="n">
        <f aca="false">INT(K734*(0.6+MOD(A734*43,21)/100))</f>
        <v>19989</v>
      </c>
      <c r="N734" s="12" t="n">
        <f aca="false">K734-M734</f>
        <v>5314</v>
      </c>
    </row>
    <row r="735" customFormat="false" ht="12.8" hidden="false" customHeight="false" outlineLevel="0" collapsed="false">
      <c r="A735" s="10" t="n">
        <f aca="false">A734+1</f>
        <v>734</v>
      </c>
      <c r="B735" s="11" t="n">
        <f aca="false">B734+1</f>
        <v>45660</v>
      </c>
      <c r="C735" s="10" t="n">
        <f aca="false">YEAR(B735)</f>
        <v>2025</v>
      </c>
      <c r="D735" s="10" t="n">
        <f aca="false">INT((MONTH(B735)-1)/3)+1</f>
        <v>1</v>
      </c>
      <c r="E735" s="10" t="n">
        <f aca="false">MONTH(B735)</f>
        <v>1</v>
      </c>
      <c r="F735" s="10" t="str">
        <f aca="false">CHOOSE(MOD(A735-1,5)+1,"Центр","Юг","Север","Запад","Восток")</f>
        <v>Запад</v>
      </c>
      <c r="G735" s="10" t="str">
        <f aca="false">"Округ_"&amp;(MOD(A735-1,5)+1)&amp;"_"&amp;(MOD(INT((A735-1)/5),5)+1)</f>
        <v>Округ_4_2</v>
      </c>
      <c r="H735" s="10" t="str">
        <f aca="false">"Город_"&amp;(MOD(A735-1,5)+1)&amp;"_"&amp;(MOD(INT((A735-1)/5),5)+1)&amp;"_"&amp;(MOD(INT((A735-1)/25),10)+1)</f>
        <v>Город_4_2_10</v>
      </c>
      <c r="I735" s="10" t="str">
        <f aca="false">CHOOSE(MOD(A735-1,4)+1,"Электроника","Одежда","Продукты","Мебель")</f>
        <v>Одежда</v>
      </c>
      <c r="J735" s="10" t="str">
        <f aca="false">CHOOSE(MOD(INT((A735-1)/4),4)+1,CHOOSE(MOD(A735-1,4)+1,"Смартфоны","Ноутбуки","Аксессуары","Аудио"),CHOOSE(MOD(A735-1,4)+1,"Верхняя одежда","Спортивная","Повседневная","Обувь"),CHOOSE(MOD(A735-1,4)+1,"Молочные","Мясные","Бакалея","Напитки"),CHOOSE(MOD(A735-1,4)+1,"Мягкая мебель","Корпусная","Офисная","Кухонная"))</f>
        <v>Корпусная</v>
      </c>
      <c r="K735" s="12" t="n">
        <f aca="false">1000+MOD(A735*317+A735*A735*7,49001)</f>
        <v>35889</v>
      </c>
      <c r="L735" s="12" t="n">
        <f aca="false">1+MOD(A735*131,100)</f>
        <v>55</v>
      </c>
      <c r="M735" s="12" t="n">
        <f aca="false">INT(K735*(0.6+MOD(A735*43,21)/100))</f>
        <v>28711</v>
      </c>
      <c r="N735" s="12" t="n">
        <f aca="false">K735-M735</f>
        <v>7178</v>
      </c>
    </row>
    <row r="736" customFormat="false" ht="12.8" hidden="false" customHeight="false" outlineLevel="0" collapsed="false">
      <c r="A736" s="10" t="n">
        <f aca="false">A735+1</f>
        <v>735</v>
      </c>
      <c r="B736" s="11" t="n">
        <f aca="false">B735+1</f>
        <v>45661</v>
      </c>
      <c r="C736" s="10" t="n">
        <f aca="false">YEAR(B736)</f>
        <v>2025</v>
      </c>
      <c r="D736" s="10" t="n">
        <f aca="false">INT((MONTH(B736)-1)/3)+1</f>
        <v>1</v>
      </c>
      <c r="E736" s="10" t="n">
        <f aca="false">MONTH(B736)</f>
        <v>1</v>
      </c>
      <c r="F736" s="10" t="str">
        <f aca="false">CHOOSE(MOD(A736-1,5)+1,"Центр","Юг","Север","Запад","Восток")</f>
        <v>Восток</v>
      </c>
      <c r="G736" s="10" t="str">
        <f aca="false">"Округ_"&amp;(MOD(A736-1,5)+1)&amp;"_"&amp;(MOD(INT((A736-1)/5),5)+1)</f>
        <v>Округ_5_2</v>
      </c>
      <c r="H736" s="10" t="str">
        <f aca="false">"Город_"&amp;(MOD(A736-1,5)+1)&amp;"_"&amp;(MOD(INT((A736-1)/5),5)+1)&amp;"_"&amp;(MOD(INT((A736-1)/25),10)+1)</f>
        <v>Город_5_2_10</v>
      </c>
      <c r="I736" s="10" t="str">
        <f aca="false">CHOOSE(MOD(A736-1,4)+1,"Электроника","Одежда","Продукты","Мебель")</f>
        <v>Продукты</v>
      </c>
      <c r="J736" s="10" t="str">
        <f aca="false">CHOOSE(MOD(INT((A736-1)/4),4)+1,CHOOSE(MOD(A736-1,4)+1,"Смартфоны","Ноутбуки","Аксессуары","Аудио"),CHOOSE(MOD(A736-1,4)+1,"Верхняя одежда","Спортивная","Повседневная","Обувь"),CHOOSE(MOD(A736-1,4)+1,"Молочные","Мясные","Бакалея","Напитки"),CHOOSE(MOD(A736-1,4)+1,"Мягкая мебель","Корпусная","Офисная","Кухонная"))</f>
        <v>Офисная</v>
      </c>
      <c r="K736" s="12" t="n">
        <f aca="false">1000+MOD(A736*317+A736*A736*7,49001)</f>
        <v>46489</v>
      </c>
      <c r="L736" s="12" t="n">
        <f aca="false">1+MOD(A736*131,100)</f>
        <v>86</v>
      </c>
      <c r="M736" s="12" t="n">
        <f aca="false">INT(K736*(0.6+MOD(A736*43,21)/100))</f>
        <v>27893</v>
      </c>
      <c r="N736" s="12" t="n">
        <f aca="false">K736-M736</f>
        <v>18596</v>
      </c>
    </row>
    <row r="737" customFormat="false" ht="12.8" hidden="false" customHeight="false" outlineLevel="0" collapsed="false">
      <c r="A737" s="10" t="n">
        <f aca="false">A736+1</f>
        <v>736</v>
      </c>
      <c r="B737" s="11" t="n">
        <f aca="false">B736+1</f>
        <v>45662</v>
      </c>
      <c r="C737" s="10" t="n">
        <f aca="false">YEAR(B737)</f>
        <v>2025</v>
      </c>
      <c r="D737" s="10" t="n">
        <f aca="false">INT((MONTH(B737)-1)/3)+1</f>
        <v>1</v>
      </c>
      <c r="E737" s="10" t="n">
        <f aca="false">MONTH(B737)</f>
        <v>1</v>
      </c>
      <c r="F737" s="10" t="str">
        <f aca="false">CHOOSE(MOD(A737-1,5)+1,"Центр","Юг","Север","Запад","Восток")</f>
        <v>Центр</v>
      </c>
      <c r="G737" s="10" t="str">
        <f aca="false">"Округ_"&amp;(MOD(A737-1,5)+1)&amp;"_"&amp;(MOD(INT((A737-1)/5),5)+1)</f>
        <v>Округ_1_3</v>
      </c>
      <c r="H737" s="10" t="str">
        <f aca="false">"Город_"&amp;(MOD(A737-1,5)+1)&amp;"_"&amp;(MOD(INT((A737-1)/5),5)+1)&amp;"_"&amp;(MOD(INT((A737-1)/25),10)+1)</f>
        <v>Город_1_3_10</v>
      </c>
      <c r="I737" s="10" t="str">
        <f aca="false">CHOOSE(MOD(A737-1,4)+1,"Электроника","Одежда","Продукты","Мебель")</f>
        <v>Мебель</v>
      </c>
      <c r="J737" s="10" t="str">
        <f aca="false">CHOOSE(MOD(INT((A737-1)/4),4)+1,CHOOSE(MOD(A737-1,4)+1,"Смартфоны","Ноутбуки","Аксессуары","Аудио"),CHOOSE(MOD(A737-1,4)+1,"Верхняя одежда","Спортивная","Повседневная","Обувь"),CHOOSE(MOD(A737-1,4)+1,"Молочные","Мясные","Бакалея","Напитки"),CHOOSE(MOD(A737-1,4)+1,"Мягкая мебель","Корпусная","Офисная","Кухонная"))</f>
        <v>Кухонная</v>
      </c>
      <c r="K737" s="12" t="n">
        <f aca="false">1000+MOD(A737*317+A737*A737*7,49001)</f>
        <v>8102</v>
      </c>
      <c r="L737" s="12" t="n">
        <f aca="false">1+MOD(A737*131,100)</f>
        <v>17</v>
      </c>
      <c r="M737" s="12" t="n">
        <f aca="false">INT(K737*(0.6+MOD(A737*43,21)/100))</f>
        <v>4942</v>
      </c>
      <c r="N737" s="12" t="n">
        <f aca="false">K737-M737</f>
        <v>3160</v>
      </c>
    </row>
    <row r="738" customFormat="false" ht="12.8" hidden="false" customHeight="false" outlineLevel="0" collapsed="false">
      <c r="A738" s="10" t="n">
        <f aca="false">A737+1</f>
        <v>737</v>
      </c>
      <c r="B738" s="11" t="n">
        <f aca="false">B737+1</f>
        <v>45663</v>
      </c>
      <c r="C738" s="10" t="n">
        <f aca="false">YEAR(B738)</f>
        <v>2025</v>
      </c>
      <c r="D738" s="10" t="n">
        <f aca="false">INT((MONTH(B738)-1)/3)+1</f>
        <v>1</v>
      </c>
      <c r="E738" s="10" t="n">
        <f aca="false">MONTH(B738)</f>
        <v>1</v>
      </c>
      <c r="F738" s="10" t="str">
        <f aca="false">CHOOSE(MOD(A738-1,5)+1,"Центр","Юг","Север","Запад","Восток")</f>
        <v>Юг</v>
      </c>
      <c r="G738" s="10" t="str">
        <f aca="false">"Округ_"&amp;(MOD(A738-1,5)+1)&amp;"_"&amp;(MOD(INT((A738-1)/5),5)+1)</f>
        <v>Округ_2_3</v>
      </c>
      <c r="H738" s="10" t="str">
        <f aca="false">"Город_"&amp;(MOD(A738-1,5)+1)&amp;"_"&amp;(MOD(INT((A738-1)/5),5)+1)&amp;"_"&amp;(MOD(INT((A738-1)/25),10)+1)</f>
        <v>Город_2_3_10</v>
      </c>
      <c r="I738" s="10" t="str">
        <f aca="false">CHOOSE(MOD(A738-1,4)+1,"Электроника","Одежда","Продукты","Мебель")</f>
        <v>Электроника</v>
      </c>
      <c r="J738" s="10" t="str">
        <f aca="false">CHOOSE(MOD(INT((A738-1)/4),4)+1,CHOOSE(MOD(A738-1,4)+1,"Смартфоны","Ноутбуки","Аксессуары","Аудио"),CHOOSE(MOD(A738-1,4)+1,"Верхняя одежда","Спортивная","Повседневная","Обувь"),CHOOSE(MOD(A738-1,4)+1,"Молочные","Мясные","Бакалея","Напитки"),CHOOSE(MOD(A738-1,4)+1,"Мягкая мебель","Корпусная","Офисная","Кухонная"))</f>
        <v>Смартфоны</v>
      </c>
      <c r="K738" s="12" t="n">
        <f aca="false">1000+MOD(A738*317+A738*A738*7,49001)</f>
        <v>18730</v>
      </c>
      <c r="L738" s="12" t="n">
        <f aca="false">1+MOD(A738*131,100)</f>
        <v>48</v>
      </c>
      <c r="M738" s="12" t="n">
        <f aca="false">INT(K738*(0.6+MOD(A738*43,21)/100))</f>
        <v>11612</v>
      </c>
      <c r="N738" s="12" t="n">
        <f aca="false">K738-M738</f>
        <v>7118</v>
      </c>
    </row>
    <row r="739" customFormat="false" ht="12.8" hidden="false" customHeight="false" outlineLevel="0" collapsed="false">
      <c r="A739" s="10" t="n">
        <f aca="false">A738+1</f>
        <v>738</v>
      </c>
      <c r="B739" s="11" t="n">
        <f aca="false">B738+1</f>
        <v>45664</v>
      </c>
      <c r="C739" s="10" t="n">
        <f aca="false">YEAR(B739)</f>
        <v>2025</v>
      </c>
      <c r="D739" s="10" t="n">
        <f aca="false">INT((MONTH(B739)-1)/3)+1</f>
        <v>1</v>
      </c>
      <c r="E739" s="10" t="n">
        <f aca="false">MONTH(B739)</f>
        <v>1</v>
      </c>
      <c r="F739" s="10" t="str">
        <f aca="false">CHOOSE(MOD(A739-1,5)+1,"Центр","Юг","Север","Запад","Восток")</f>
        <v>Север</v>
      </c>
      <c r="G739" s="10" t="str">
        <f aca="false">"Округ_"&amp;(MOD(A739-1,5)+1)&amp;"_"&amp;(MOD(INT((A739-1)/5),5)+1)</f>
        <v>Округ_3_3</v>
      </c>
      <c r="H739" s="10" t="str">
        <f aca="false">"Город_"&amp;(MOD(A739-1,5)+1)&amp;"_"&amp;(MOD(INT((A739-1)/5),5)+1)&amp;"_"&amp;(MOD(INT((A739-1)/25),10)+1)</f>
        <v>Город_3_3_10</v>
      </c>
      <c r="I739" s="10" t="str">
        <f aca="false">CHOOSE(MOD(A739-1,4)+1,"Электроника","Одежда","Продукты","Мебель")</f>
        <v>Одежда</v>
      </c>
      <c r="J739" s="10" t="str">
        <f aca="false">CHOOSE(MOD(INT((A739-1)/4),4)+1,CHOOSE(MOD(A739-1,4)+1,"Смартфоны","Ноутбуки","Аксессуары","Аудио"),CHOOSE(MOD(A739-1,4)+1,"Верхняя одежда","Спортивная","Повседневная","Обувь"),CHOOSE(MOD(A739-1,4)+1,"Молочные","Мясные","Бакалея","Напитки"),CHOOSE(MOD(A739-1,4)+1,"Мягкая мебель","Корпусная","Офисная","Кухонная"))</f>
        <v>Ноутбуки</v>
      </c>
      <c r="K739" s="12" t="n">
        <f aca="false">1000+MOD(A739*317+A739*A739*7,49001)</f>
        <v>29372</v>
      </c>
      <c r="L739" s="12" t="n">
        <f aca="false">1+MOD(A739*131,100)</f>
        <v>79</v>
      </c>
      <c r="M739" s="12" t="n">
        <f aca="false">INT(K739*(0.6+MOD(A739*43,21)/100))</f>
        <v>18504</v>
      </c>
      <c r="N739" s="12" t="n">
        <f aca="false">K739-M739</f>
        <v>10868</v>
      </c>
    </row>
    <row r="740" customFormat="false" ht="12.8" hidden="false" customHeight="false" outlineLevel="0" collapsed="false">
      <c r="A740" s="10" t="n">
        <f aca="false">A739+1</f>
        <v>739</v>
      </c>
      <c r="B740" s="11" t="n">
        <f aca="false">B739+1</f>
        <v>45665</v>
      </c>
      <c r="C740" s="10" t="n">
        <f aca="false">YEAR(B740)</f>
        <v>2025</v>
      </c>
      <c r="D740" s="10" t="n">
        <f aca="false">INT((MONTH(B740)-1)/3)+1</f>
        <v>1</v>
      </c>
      <c r="E740" s="10" t="n">
        <f aca="false">MONTH(B740)</f>
        <v>1</v>
      </c>
      <c r="F740" s="10" t="str">
        <f aca="false">CHOOSE(MOD(A740-1,5)+1,"Центр","Юг","Север","Запад","Восток")</f>
        <v>Запад</v>
      </c>
      <c r="G740" s="10" t="str">
        <f aca="false">"Округ_"&amp;(MOD(A740-1,5)+1)&amp;"_"&amp;(MOD(INT((A740-1)/5),5)+1)</f>
        <v>Округ_4_3</v>
      </c>
      <c r="H740" s="10" t="str">
        <f aca="false">"Город_"&amp;(MOD(A740-1,5)+1)&amp;"_"&amp;(MOD(INT((A740-1)/5),5)+1)&amp;"_"&amp;(MOD(INT((A740-1)/25),10)+1)</f>
        <v>Город_4_3_10</v>
      </c>
      <c r="I740" s="10" t="str">
        <f aca="false">CHOOSE(MOD(A740-1,4)+1,"Электроника","Одежда","Продукты","Мебель")</f>
        <v>Продукты</v>
      </c>
      <c r="J740" s="10" t="str">
        <f aca="false">CHOOSE(MOD(INT((A740-1)/4),4)+1,CHOOSE(MOD(A740-1,4)+1,"Смартфоны","Ноутбуки","Аксессуары","Аудио"),CHOOSE(MOD(A740-1,4)+1,"Верхняя одежда","Спортивная","Повседневная","Обувь"),CHOOSE(MOD(A740-1,4)+1,"Молочные","Мясные","Бакалея","Напитки"),CHOOSE(MOD(A740-1,4)+1,"Мягкая мебель","Корпусная","Офисная","Кухонная"))</f>
        <v>Аксессуары</v>
      </c>
      <c r="K740" s="12" t="n">
        <f aca="false">1000+MOD(A740*317+A740*A740*7,49001)</f>
        <v>40028</v>
      </c>
      <c r="L740" s="12" t="n">
        <f aca="false">1+MOD(A740*131,100)</f>
        <v>10</v>
      </c>
      <c r="M740" s="12" t="n">
        <f aca="false">INT(K740*(0.6+MOD(A740*43,21)/100))</f>
        <v>25617</v>
      </c>
      <c r="N740" s="12" t="n">
        <f aca="false">K740-M740</f>
        <v>14411</v>
      </c>
    </row>
    <row r="741" customFormat="false" ht="12.8" hidden="false" customHeight="false" outlineLevel="0" collapsed="false">
      <c r="A741" s="10" t="n">
        <f aca="false">A740+1</f>
        <v>740</v>
      </c>
      <c r="B741" s="11" t="n">
        <f aca="false">B740+1</f>
        <v>45666</v>
      </c>
      <c r="C741" s="10" t="n">
        <f aca="false">YEAR(B741)</f>
        <v>2025</v>
      </c>
      <c r="D741" s="10" t="n">
        <f aca="false">INT((MONTH(B741)-1)/3)+1</f>
        <v>1</v>
      </c>
      <c r="E741" s="10" t="n">
        <f aca="false">MONTH(B741)</f>
        <v>1</v>
      </c>
      <c r="F741" s="10" t="str">
        <f aca="false">CHOOSE(MOD(A741-1,5)+1,"Центр","Юг","Север","Запад","Восток")</f>
        <v>Восток</v>
      </c>
      <c r="G741" s="10" t="str">
        <f aca="false">"Округ_"&amp;(MOD(A741-1,5)+1)&amp;"_"&amp;(MOD(INT((A741-1)/5),5)+1)</f>
        <v>Округ_5_3</v>
      </c>
      <c r="H741" s="10" t="str">
        <f aca="false">"Город_"&amp;(MOD(A741-1,5)+1)&amp;"_"&amp;(MOD(INT((A741-1)/5),5)+1)&amp;"_"&amp;(MOD(INT((A741-1)/25),10)+1)</f>
        <v>Город_5_3_10</v>
      </c>
      <c r="I741" s="10" t="str">
        <f aca="false">CHOOSE(MOD(A741-1,4)+1,"Электроника","Одежда","Продукты","Мебель")</f>
        <v>Мебель</v>
      </c>
      <c r="J741" s="10" t="str">
        <f aca="false">CHOOSE(MOD(INT((A741-1)/4),4)+1,CHOOSE(MOD(A741-1,4)+1,"Смартфоны","Ноутбуки","Аксессуары","Аудио"),CHOOSE(MOD(A741-1,4)+1,"Верхняя одежда","Спортивная","Повседневная","Обувь"),CHOOSE(MOD(A741-1,4)+1,"Молочные","Мясные","Бакалея","Напитки"),CHOOSE(MOD(A741-1,4)+1,"Мягкая мебель","Корпусная","Офисная","Кухонная"))</f>
        <v>Аудио</v>
      </c>
      <c r="K741" s="12" t="n">
        <f aca="false">1000+MOD(A741*317+A741*A741*7,49001)</f>
        <v>1697</v>
      </c>
      <c r="L741" s="12" t="n">
        <f aca="false">1+MOD(A741*131,100)</f>
        <v>41</v>
      </c>
      <c r="M741" s="12" t="n">
        <f aca="false">INT(K741*(0.6+MOD(A741*43,21)/100))</f>
        <v>1103</v>
      </c>
      <c r="N741" s="12" t="n">
        <f aca="false">K741-M741</f>
        <v>594</v>
      </c>
    </row>
    <row r="742" customFormat="false" ht="12.8" hidden="false" customHeight="false" outlineLevel="0" collapsed="false">
      <c r="A742" s="10" t="n">
        <f aca="false">A741+1</f>
        <v>741</v>
      </c>
      <c r="B742" s="11" t="n">
        <f aca="false">B741+1</f>
        <v>45667</v>
      </c>
      <c r="C742" s="10" t="n">
        <f aca="false">YEAR(B742)</f>
        <v>2025</v>
      </c>
      <c r="D742" s="10" t="n">
        <f aca="false">INT((MONTH(B742)-1)/3)+1</f>
        <v>1</v>
      </c>
      <c r="E742" s="10" t="n">
        <f aca="false">MONTH(B742)</f>
        <v>1</v>
      </c>
      <c r="F742" s="10" t="str">
        <f aca="false">CHOOSE(MOD(A742-1,5)+1,"Центр","Юг","Север","Запад","Восток")</f>
        <v>Центр</v>
      </c>
      <c r="G742" s="10" t="str">
        <f aca="false">"Округ_"&amp;(MOD(A742-1,5)+1)&amp;"_"&amp;(MOD(INT((A742-1)/5),5)+1)</f>
        <v>Округ_1_4</v>
      </c>
      <c r="H742" s="10" t="str">
        <f aca="false">"Город_"&amp;(MOD(A742-1,5)+1)&amp;"_"&amp;(MOD(INT((A742-1)/5),5)+1)&amp;"_"&amp;(MOD(INT((A742-1)/25),10)+1)</f>
        <v>Город_1_4_10</v>
      </c>
      <c r="I742" s="10" t="str">
        <f aca="false">CHOOSE(MOD(A742-1,4)+1,"Электроника","Одежда","Продукты","Мебель")</f>
        <v>Электроника</v>
      </c>
      <c r="J742" s="10" t="str">
        <f aca="false">CHOOSE(MOD(INT((A742-1)/4),4)+1,CHOOSE(MOD(A742-1,4)+1,"Смартфоны","Ноутбуки","Аксессуары","Аудио"),CHOOSE(MOD(A742-1,4)+1,"Верхняя одежда","Спортивная","Повседневная","Обувь"),CHOOSE(MOD(A742-1,4)+1,"Молочные","Мясные","Бакалея","Напитки"),CHOOSE(MOD(A742-1,4)+1,"Мягкая мебель","Корпусная","Офисная","Кухонная"))</f>
        <v>Верхняя одежда</v>
      </c>
      <c r="K742" s="12" t="n">
        <f aca="false">1000+MOD(A742*317+A742*A742*7,49001)</f>
        <v>12381</v>
      </c>
      <c r="L742" s="12" t="n">
        <f aca="false">1+MOD(A742*131,100)</f>
        <v>72</v>
      </c>
      <c r="M742" s="12" t="n">
        <f aca="false">INT(K742*(0.6+MOD(A742*43,21)/100))</f>
        <v>8171</v>
      </c>
      <c r="N742" s="12" t="n">
        <f aca="false">K742-M742</f>
        <v>4210</v>
      </c>
    </row>
    <row r="743" customFormat="false" ht="12.8" hidden="false" customHeight="false" outlineLevel="0" collapsed="false">
      <c r="A743" s="10" t="n">
        <f aca="false">A742+1</f>
        <v>742</v>
      </c>
      <c r="B743" s="11" t="n">
        <f aca="false">B742+1</f>
        <v>45668</v>
      </c>
      <c r="C743" s="10" t="n">
        <f aca="false">YEAR(B743)</f>
        <v>2025</v>
      </c>
      <c r="D743" s="10" t="n">
        <f aca="false">INT((MONTH(B743)-1)/3)+1</f>
        <v>1</v>
      </c>
      <c r="E743" s="10" t="n">
        <f aca="false">MONTH(B743)</f>
        <v>1</v>
      </c>
      <c r="F743" s="10" t="str">
        <f aca="false">CHOOSE(MOD(A743-1,5)+1,"Центр","Юг","Север","Запад","Восток")</f>
        <v>Юг</v>
      </c>
      <c r="G743" s="10" t="str">
        <f aca="false">"Округ_"&amp;(MOD(A743-1,5)+1)&amp;"_"&amp;(MOD(INT((A743-1)/5),5)+1)</f>
        <v>Округ_2_4</v>
      </c>
      <c r="H743" s="10" t="str">
        <f aca="false">"Город_"&amp;(MOD(A743-1,5)+1)&amp;"_"&amp;(MOD(INT((A743-1)/5),5)+1)&amp;"_"&amp;(MOD(INT((A743-1)/25),10)+1)</f>
        <v>Город_2_4_10</v>
      </c>
      <c r="I743" s="10" t="str">
        <f aca="false">CHOOSE(MOD(A743-1,4)+1,"Электроника","Одежда","Продукты","Мебель")</f>
        <v>Одежда</v>
      </c>
      <c r="J743" s="10" t="str">
        <f aca="false">CHOOSE(MOD(INT((A743-1)/4),4)+1,CHOOSE(MOD(A743-1,4)+1,"Смартфоны","Ноутбуки","Аксессуары","Аудио"),CHOOSE(MOD(A743-1,4)+1,"Верхняя одежда","Спортивная","Повседневная","Обувь"),CHOOSE(MOD(A743-1,4)+1,"Молочные","Мясные","Бакалея","Напитки"),CHOOSE(MOD(A743-1,4)+1,"Мягкая мебель","Корпусная","Офисная","Кухонная"))</f>
        <v>Спортивная</v>
      </c>
      <c r="K743" s="12" t="n">
        <f aca="false">1000+MOD(A743*317+A743*A743*7,49001)</f>
        <v>23079</v>
      </c>
      <c r="L743" s="12" t="n">
        <f aca="false">1+MOD(A743*131,100)</f>
        <v>3</v>
      </c>
      <c r="M743" s="12" t="n">
        <f aca="false">INT(K743*(0.6+MOD(A743*43,21)/100))</f>
        <v>15462</v>
      </c>
      <c r="N743" s="12" t="n">
        <f aca="false">K743-M743</f>
        <v>7617</v>
      </c>
    </row>
    <row r="744" customFormat="false" ht="12.8" hidden="false" customHeight="false" outlineLevel="0" collapsed="false">
      <c r="A744" s="10" t="n">
        <f aca="false">A743+1</f>
        <v>743</v>
      </c>
      <c r="B744" s="11" t="n">
        <f aca="false">B743+1</f>
        <v>45669</v>
      </c>
      <c r="C744" s="10" t="n">
        <f aca="false">YEAR(B744)</f>
        <v>2025</v>
      </c>
      <c r="D744" s="10" t="n">
        <f aca="false">INT((MONTH(B744)-1)/3)+1</f>
        <v>1</v>
      </c>
      <c r="E744" s="10" t="n">
        <f aca="false">MONTH(B744)</f>
        <v>1</v>
      </c>
      <c r="F744" s="10" t="str">
        <f aca="false">CHOOSE(MOD(A744-1,5)+1,"Центр","Юг","Север","Запад","Восток")</f>
        <v>Север</v>
      </c>
      <c r="G744" s="10" t="str">
        <f aca="false">"Округ_"&amp;(MOD(A744-1,5)+1)&amp;"_"&amp;(MOD(INT((A744-1)/5),5)+1)</f>
        <v>Округ_3_4</v>
      </c>
      <c r="H744" s="10" t="str">
        <f aca="false">"Город_"&amp;(MOD(A744-1,5)+1)&amp;"_"&amp;(MOD(INT((A744-1)/5),5)+1)&amp;"_"&amp;(MOD(INT((A744-1)/25),10)+1)</f>
        <v>Город_3_4_10</v>
      </c>
      <c r="I744" s="10" t="str">
        <f aca="false">CHOOSE(MOD(A744-1,4)+1,"Электроника","Одежда","Продукты","Мебель")</f>
        <v>Продукты</v>
      </c>
      <c r="J744" s="10" t="str">
        <f aca="false">CHOOSE(MOD(INT((A744-1)/4),4)+1,CHOOSE(MOD(A744-1,4)+1,"Смартфоны","Ноутбуки","Аксессуары","Аудио"),CHOOSE(MOD(A744-1,4)+1,"Верхняя одежда","Спортивная","Повседневная","Обувь"),CHOOSE(MOD(A744-1,4)+1,"Молочные","Мясные","Бакалея","Напитки"),CHOOSE(MOD(A744-1,4)+1,"Мягкая мебель","Корпусная","Офисная","Кухонная"))</f>
        <v>Повседневная</v>
      </c>
      <c r="K744" s="12" t="n">
        <f aca="false">1000+MOD(A744*317+A744*A744*7,49001)</f>
        <v>33791</v>
      </c>
      <c r="L744" s="12" t="n">
        <f aca="false">1+MOD(A744*131,100)</f>
        <v>34</v>
      </c>
      <c r="M744" s="12" t="n">
        <f aca="false">INT(K744*(0.6+MOD(A744*43,21)/100))</f>
        <v>22977</v>
      </c>
      <c r="N744" s="12" t="n">
        <f aca="false">K744-M744</f>
        <v>10814</v>
      </c>
    </row>
    <row r="745" customFormat="false" ht="12.8" hidden="false" customHeight="false" outlineLevel="0" collapsed="false">
      <c r="A745" s="10" t="n">
        <f aca="false">A744+1</f>
        <v>744</v>
      </c>
      <c r="B745" s="11" t="n">
        <f aca="false">B744+1</f>
        <v>45670</v>
      </c>
      <c r="C745" s="10" t="n">
        <f aca="false">YEAR(B745)</f>
        <v>2025</v>
      </c>
      <c r="D745" s="10" t="n">
        <f aca="false">INT((MONTH(B745)-1)/3)+1</f>
        <v>1</v>
      </c>
      <c r="E745" s="10" t="n">
        <f aca="false">MONTH(B745)</f>
        <v>1</v>
      </c>
      <c r="F745" s="10" t="str">
        <f aca="false">CHOOSE(MOD(A745-1,5)+1,"Центр","Юг","Север","Запад","Восток")</f>
        <v>Запад</v>
      </c>
      <c r="G745" s="10" t="str">
        <f aca="false">"Округ_"&amp;(MOD(A745-1,5)+1)&amp;"_"&amp;(MOD(INT((A745-1)/5),5)+1)</f>
        <v>Округ_4_4</v>
      </c>
      <c r="H745" s="10" t="str">
        <f aca="false">"Город_"&amp;(MOD(A745-1,5)+1)&amp;"_"&amp;(MOD(INT((A745-1)/5),5)+1)&amp;"_"&amp;(MOD(INT((A745-1)/25),10)+1)</f>
        <v>Город_4_4_10</v>
      </c>
      <c r="I745" s="10" t="str">
        <f aca="false">CHOOSE(MOD(A745-1,4)+1,"Электроника","Одежда","Продукты","Мебель")</f>
        <v>Мебель</v>
      </c>
      <c r="J745" s="10" t="str">
        <f aca="false">CHOOSE(MOD(INT((A745-1)/4),4)+1,CHOOSE(MOD(A745-1,4)+1,"Смартфоны","Ноутбуки","Аксессуары","Аудио"),CHOOSE(MOD(A745-1,4)+1,"Верхняя одежда","Спортивная","Повседневная","Обувь"),CHOOSE(MOD(A745-1,4)+1,"Молочные","Мясные","Бакалея","Напитки"),CHOOSE(MOD(A745-1,4)+1,"Мягкая мебель","Корпусная","Офисная","Кухонная"))</f>
        <v>Обувь</v>
      </c>
      <c r="K745" s="12" t="n">
        <f aca="false">1000+MOD(A745*317+A745*A745*7,49001)</f>
        <v>44517</v>
      </c>
      <c r="L745" s="12" t="n">
        <f aca="false">1+MOD(A745*131,100)</f>
        <v>65</v>
      </c>
      <c r="M745" s="12" t="n">
        <f aca="false">INT(K745*(0.6+MOD(A745*43,21)/100))</f>
        <v>30716</v>
      </c>
      <c r="N745" s="12" t="n">
        <f aca="false">K745-M745</f>
        <v>13801</v>
      </c>
    </row>
    <row r="746" customFormat="false" ht="12.8" hidden="false" customHeight="false" outlineLevel="0" collapsed="false">
      <c r="A746" s="10" t="n">
        <f aca="false">A745+1</f>
        <v>745</v>
      </c>
      <c r="B746" s="11" t="n">
        <f aca="false">B745+1</f>
        <v>45671</v>
      </c>
      <c r="C746" s="10" t="n">
        <f aca="false">YEAR(B746)</f>
        <v>2025</v>
      </c>
      <c r="D746" s="10" t="n">
        <f aca="false">INT((MONTH(B746)-1)/3)+1</f>
        <v>1</v>
      </c>
      <c r="E746" s="10" t="n">
        <f aca="false">MONTH(B746)</f>
        <v>1</v>
      </c>
      <c r="F746" s="10" t="str">
        <f aca="false">CHOOSE(MOD(A746-1,5)+1,"Центр","Юг","Север","Запад","Восток")</f>
        <v>Восток</v>
      </c>
      <c r="G746" s="10" t="str">
        <f aca="false">"Округ_"&amp;(MOD(A746-1,5)+1)&amp;"_"&amp;(MOD(INT((A746-1)/5),5)+1)</f>
        <v>Округ_5_4</v>
      </c>
      <c r="H746" s="10" t="str">
        <f aca="false">"Город_"&amp;(MOD(A746-1,5)+1)&amp;"_"&amp;(MOD(INT((A746-1)/5),5)+1)&amp;"_"&amp;(MOD(INT((A746-1)/25),10)+1)</f>
        <v>Город_5_4_10</v>
      </c>
      <c r="I746" s="10" t="str">
        <f aca="false">CHOOSE(MOD(A746-1,4)+1,"Электроника","Одежда","Продукты","Мебель")</f>
        <v>Электроника</v>
      </c>
      <c r="J746" s="10" t="str">
        <f aca="false">CHOOSE(MOD(INT((A746-1)/4),4)+1,CHOOSE(MOD(A746-1,4)+1,"Смартфоны","Ноутбуки","Аксессуары","Аудио"),CHOOSE(MOD(A746-1,4)+1,"Верхняя одежда","Спортивная","Повседневная","Обувь"),CHOOSE(MOD(A746-1,4)+1,"Молочные","Мясные","Бакалея","Напитки"),CHOOSE(MOD(A746-1,4)+1,"Мягкая мебель","Корпусная","Офисная","Кухонная"))</f>
        <v>Молочные</v>
      </c>
      <c r="K746" s="12" t="n">
        <f aca="false">1000+MOD(A746*317+A746*A746*7,49001)</f>
        <v>6256</v>
      </c>
      <c r="L746" s="12" t="n">
        <f aca="false">1+MOD(A746*131,100)</f>
        <v>96</v>
      </c>
      <c r="M746" s="12" t="n">
        <f aca="false">INT(K746*(0.6+MOD(A746*43,21)/100))</f>
        <v>4379</v>
      </c>
      <c r="N746" s="12" t="n">
        <f aca="false">K746-M746</f>
        <v>1877</v>
      </c>
    </row>
    <row r="747" customFormat="false" ht="12.8" hidden="false" customHeight="false" outlineLevel="0" collapsed="false">
      <c r="A747" s="10" t="n">
        <f aca="false">A746+1</f>
        <v>746</v>
      </c>
      <c r="B747" s="11" t="n">
        <f aca="false">B746+1</f>
        <v>45672</v>
      </c>
      <c r="C747" s="10" t="n">
        <f aca="false">YEAR(B747)</f>
        <v>2025</v>
      </c>
      <c r="D747" s="10" t="n">
        <f aca="false">INT((MONTH(B747)-1)/3)+1</f>
        <v>1</v>
      </c>
      <c r="E747" s="10" t="n">
        <f aca="false">MONTH(B747)</f>
        <v>1</v>
      </c>
      <c r="F747" s="10" t="str">
        <f aca="false">CHOOSE(MOD(A747-1,5)+1,"Центр","Юг","Север","Запад","Восток")</f>
        <v>Центр</v>
      </c>
      <c r="G747" s="10" t="str">
        <f aca="false">"Округ_"&amp;(MOD(A747-1,5)+1)&amp;"_"&amp;(MOD(INT((A747-1)/5),5)+1)</f>
        <v>Округ_1_5</v>
      </c>
      <c r="H747" s="10" t="str">
        <f aca="false">"Город_"&amp;(MOD(A747-1,5)+1)&amp;"_"&amp;(MOD(INT((A747-1)/5),5)+1)&amp;"_"&amp;(MOD(INT((A747-1)/25),10)+1)</f>
        <v>Город_1_5_10</v>
      </c>
      <c r="I747" s="10" t="str">
        <f aca="false">CHOOSE(MOD(A747-1,4)+1,"Электроника","Одежда","Продукты","Мебель")</f>
        <v>Одежда</v>
      </c>
      <c r="J747" s="10" t="str">
        <f aca="false">CHOOSE(MOD(INT((A747-1)/4),4)+1,CHOOSE(MOD(A747-1,4)+1,"Смартфоны","Ноутбуки","Аксессуары","Аудио"),CHOOSE(MOD(A747-1,4)+1,"Верхняя одежда","Спортивная","Повседневная","Обувь"),CHOOSE(MOD(A747-1,4)+1,"Молочные","Мясные","Бакалея","Напитки"),CHOOSE(MOD(A747-1,4)+1,"Мягкая мебель","Корпусная","Офисная","Кухонная"))</f>
        <v>Мясные</v>
      </c>
      <c r="K747" s="12" t="n">
        <f aca="false">1000+MOD(A747*317+A747*A747*7,49001)</f>
        <v>17010</v>
      </c>
      <c r="L747" s="12" t="n">
        <f aca="false">1+MOD(A747*131,100)</f>
        <v>27</v>
      </c>
      <c r="M747" s="12" t="n">
        <f aca="false">INT(K747*(0.6+MOD(A747*43,21)/100))</f>
        <v>12077</v>
      </c>
      <c r="N747" s="12" t="n">
        <f aca="false">K747-M747</f>
        <v>4933</v>
      </c>
    </row>
    <row r="748" customFormat="false" ht="12.8" hidden="false" customHeight="false" outlineLevel="0" collapsed="false">
      <c r="A748" s="10" t="n">
        <f aca="false">A747+1</f>
        <v>747</v>
      </c>
      <c r="B748" s="11" t="n">
        <f aca="false">B747+1</f>
        <v>45673</v>
      </c>
      <c r="C748" s="10" t="n">
        <f aca="false">YEAR(B748)</f>
        <v>2025</v>
      </c>
      <c r="D748" s="10" t="n">
        <f aca="false">INT((MONTH(B748)-1)/3)+1</f>
        <v>1</v>
      </c>
      <c r="E748" s="10" t="n">
        <f aca="false">MONTH(B748)</f>
        <v>1</v>
      </c>
      <c r="F748" s="10" t="str">
        <f aca="false">CHOOSE(MOD(A748-1,5)+1,"Центр","Юг","Север","Запад","Восток")</f>
        <v>Юг</v>
      </c>
      <c r="G748" s="10" t="str">
        <f aca="false">"Округ_"&amp;(MOD(A748-1,5)+1)&amp;"_"&amp;(MOD(INT((A748-1)/5),5)+1)</f>
        <v>Округ_2_5</v>
      </c>
      <c r="H748" s="10" t="str">
        <f aca="false">"Город_"&amp;(MOD(A748-1,5)+1)&amp;"_"&amp;(MOD(INT((A748-1)/5),5)+1)&amp;"_"&amp;(MOD(INT((A748-1)/25),10)+1)</f>
        <v>Город_2_5_10</v>
      </c>
      <c r="I748" s="10" t="str">
        <f aca="false">CHOOSE(MOD(A748-1,4)+1,"Электроника","Одежда","Продукты","Мебель")</f>
        <v>Продукты</v>
      </c>
      <c r="J748" s="10" t="str">
        <f aca="false">CHOOSE(MOD(INT((A748-1)/4),4)+1,CHOOSE(MOD(A748-1,4)+1,"Смартфоны","Ноутбуки","Аксессуары","Аудио"),CHOOSE(MOD(A748-1,4)+1,"Верхняя одежда","Спортивная","Повседневная","Обувь"),CHOOSE(MOD(A748-1,4)+1,"Молочные","Мясные","Бакалея","Напитки"),CHOOSE(MOD(A748-1,4)+1,"Мягкая мебель","Корпусная","Офисная","Кухонная"))</f>
        <v>Бакалея</v>
      </c>
      <c r="K748" s="12" t="n">
        <f aca="false">1000+MOD(A748*317+A748*A748*7,49001)</f>
        <v>27778</v>
      </c>
      <c r="L748" s="12" t="n">
        <f aca="false">1+MOD(A748*131,100)</f>
        <v>58</v>
      </c>
      <c r="M748" s="12" t="n">
        <f aca="false">INT(K748*(0.6+MOD(A748*43,21)/100))</f>
        <v>20000</v>
      </c>
      <c r="N748" s="12" t="n">
        <f aca="false">K748-M748</f>
        <v>7778</v>
      </c>
    </row>
    <row r="749" customFormat="false" ht="12.8" hidden="false" customHeight="false" outlineLevel="0" collapsed="false">
      <c r="A749" s="10" t="n">
        <f aca="false">A748+1</f>
        <v>748</v>
      </c>
      <c r="B749" s="11" t="n">
        <f aca="false">B748+1</f>
        <v>45674</v>
      </c>
      <c r="C749" s="10" t="n">
        <f aca="false">YEAR(B749)</f>
        <v>2025</v>
      </c>
      <c r="D749" s="10" t="n">
        <f aca="false">INT((MONTH(B749)-1)/3)+1</f>
        <v>1</v>
      </c>
      <c r="E749" s="10" t="n">
        <f aca="false">MONTH(B749)</f>
        <v>1</v>
      </c>
      <c r="F749" s="10" t="str">
        <f aca="false">CHOOSE(MOD(A749-1,5)+1,"Центр","Юг","Север","Запад","Восток")</f>
        <v>Север</v>
      </c>
      <c r="G749" s="10" t="str">
        <f aca="false">"Округ_"&amp;(MOD(A749-1,5)+1)&amp;"_"&amp;(MOD(INT((A749-1)/5),5)+1)</f>
        <v>Округ_3_5</v>
      </c>
      <c r="H749" s="10" t="str">
        <f aca="false">"Город_"&amp;(MOD(A749-1,5)+1)&amp;"_"&amp;(MOD(INT((A749-1)/5),5)+1)&amp;"_"&amp;(MOD(INT((A749-1)/25),10)+1)</f>
        <v>Город_3_5_10</v>
      </c>
      <c r="I749" s="10" t="str">
        <f aca="false">CHOOSE(MOD(A749-1,4)+1,"Электроника","Одежда","Продукты","Мебель")</f>
        <v>Мебель</v>
      </c>
      <c r="J749" s="10" t="str">
        <f aca="false">CHOOSE(MOD(INT((A749-1)/4),4)+1,CHOOSE(MOD(A749-1,4)+1,"Смартфоны","Ноутбуки","Аксессуары","Аудио"),CHOOSE(MOD(A749-1,4)+1,"Верхняя одежда","Спортивная","Повседневная","Обувь"),CHOOSE(MOD(A749-1,4)+1,"Молочные","Мясные","Бакалея","Напитки"),CHOOSE(MOD(A749-1,4)+1,"Мягкая мебель","Корпусная","Офисная","Кухонная"))</f>
        <v>Напитки</v>
      </c>
      <c r="K749" s="12" t="n">
        <f aca="false">1000+MOD(A749*317+A749*A749*7,49001)</f>
        <v>38560</v>
      </c>
      <c r="L749" s="12" t="n">
        <f aca="false">1+MOD(A749*131,100)</f>
        <v>89</v>
      </c>
      <c r="M749" s="12" t="n">
        <f aca="false">INT(K749*(0.6+MOD(A749*43,21)/100))</f>
        <v>28148</v>
      </c>
      <c r="N749" s="12" t="n">
        <f aca="false">K749-M749</f>
        <v>10412</v>
      </c>
    </row>
    <row r="750" customFormat="false" ht="12.8" hidden="false" customHeight="false" outlineLevel="0" collapsed="false">
      <c r="A750" s="10" t="n">
        <f aca="false">A749+1</f>
        <v>749</v>
      </c>
      <c r="B750" s="11" t="n">
        <f aca="false">B749+1</f>
        <v>45675</v>
      </c>
      <c r="C750" s="10" t="n">
        <f aca="false">YEAR(B750)</f>
        <v>2025</v>
      </c>
      <c r="D750" s="10" t="n">
        <f aca="false">INT((MONTH(B750)-1)/3)+1</f>
        <v>1</v>
      </c>
      <c r="E750" s="10" t="n">
        <f aca="false">MONTH(B750)</f>
        <v>1</v>
      </c>
      <c r="F750" s="10" t="str">
        <f aca="false">CHOOSE(MOD(A750-1,5)+1,"Центр","Юг","Север","Запад","Восток")</f>
        <v>Запад</v>
      </c>
      <c r="G750" s="10" t="str">
        <f aca="false">"Округ_"&amp;(MOD(A750-1,5)+1)&amp;"_"&amp;(MOD(INT((A750-1)/5),5)+1)</f>
        <v>Округ_4_5</v>
      </c>
      <c r="H750" s="10" t="str">
        <f aca="false">"Город_"&amp;(MOD(A750-1,5)+1)&amp;"_"&amp;(MOD(INT((A750-1)/5),5)+1)&amp;"_"&amp;(MOD(INT((A750-1)/25),10)+1)</f>
        <v>Город_4_5_10</v>
      </c>
      <c r="I750" s="10" t="str">
        <f aca="false">CHOOSE(MOD(A750-1,4)+1,"Электроника","Одежда","Продукты","Мебель")</f>
        <v>Электроника</v>
      </c>
      <c r="J750" s="10" t="str">
        <f aca="false">CHOOSE(MOD(INT((A750-1)/4),4)+1,CHOOSE(MOD(A750-1,4)+1,"Смартфоны","Ноутбуки","Аксессуары","Аудио"),CHOOSE(MOD(A750-1,4)+1,"Верхняя одежда","Спортивная","Повседневная","Обувь"),CHOOSE(MOD(A750-1,4)+1,"Молочные","Мясные","Бакалея","Напитки"),CHOOSE(MOD(A750-1,4)+1,"Мягкая мебель","Корпусная","Офисная","Кухонная"))</f>
        <v>Мягкая мебель</v>
      </c>
      <c r="K750" s="12" t="n">
        <f aca="false">1000+MOD(A750*317+A750*A750*7,49001)</f>
        <v>49356</v>
      </c>
      <c r="L750" s="12" t="n">
        <f aca="false">1+MOD(A750*131,100)</f>
        <v>20</v>
      </c>
      <c r="M750" s="12" t="n">
        <f aca="false">INT(K750*(0.6+MOD(A750*43,21)/100))</f>
        <v>36523</v>
      </c>
      <c r="N750" s="12" t="n">
        <f aca="false">K750-M750</f>
        <v>12833</v>
      </c>
    </row>
    <row r="751" customFormat="false" ht="12.8" hidden="false" customHeight="false" outlineLevel="0" collapsed="false">
      <c r="A751" s="10" t="n">
        <f aca="false">A750+1</f>
        <v>750</v>
      </c>
      <c r="B751" s="11" t="n">
        <f aca="false">B750+1</f>
        <v>45676</v>
      </c>
      <c r="C751" s="10" t="n">
        <f aca="false">YEAR(B751)</f>
        <v>2025</v>
      </c>
      <c r="D751" s="10" t="n">
        <f aca="false">INT((MONTH(B751)-1)/3)+1</f>
        <v>1</v>
      </c>
      <c r="E751" s="10" t="n">
        <f aca="false">MONTH(B751)</f>
        <v>1</v>
      </c>
      <c r="F751" s="10" t="str">
        <f aca="false">CHOOSE(MOD(A751-1,5)+1,"Центр","Юг","Север","Запад","Восток")</f>
        <v>Восток</v>
      </c>
      <c r="G751" s="10" t="str">
        <f aca="false">"Округ_"&amp;(MOD(A751-1,5)+1)&amp;"_"&amp;(MOD(INT((A751-1)/5),5)+1)</f>
        <v>Округ_5_5</v>
      </c>
      <c r="H751" s="10" t="str">
        <f aca="false">"Город_"&amp;(MOD(A751-1,5)+1)&amp;"_"&amp;(MOD(INT((A751-1)/5),5)+1)&amp;"_"&amp;(MOD(INT((A751-1)/25),10)+1)</f>
        <v>Город_5_5_10</v>
      </c>
      <c r="I751" s="10" t="str">
        <f aca="false">CHOOSE(MOD(A751-1,4)+1,"Электроника","Одежда","Продукты","Мебель")</f>
        <v>Одежда</v>
      </c>
      <c r="J751" s="10" t="str">
        <f aca="false">CHOOSE(MOD(INT((A751-1)/4),4)+1,CHOOSE(MOD(A751-1,4)+1,"Смартфоны","Ноутбуки","Аксессуары","Аудио"),CHOOSE(MOD(A751-1,4)+1,"Верхняя одежда","Спортивная","Повседневная","Обувь"),CHOOSE(MOD(A751-1,4)+1,"Молочные","Мясные","Бакалея","Напитки"),CHOOSE(MOD(A751-1,4)+1,"Мягкая мебель","Корпусная","Офисная","Кухонная"))</f>
        <v>Корпусная</v>
      </c>
      <c r="K751" s="12" t="n">
        <f aca="false">1000+MOD(A751*317+A751*A751*7,49001)</f>
        <v>11165</v>
      </c>
      <c r="L751" s="12" t="n">
        <f aca="false">1+MOD(A751*131,100)</f>
        <v>51</v>
      </c>
      <c r="M751" s="12" t="n">
        <f aca="false">INT(K751*(0.6+MOD(A751*43,21)/100))</f>
        <v>8373</v>
      </c>
      <c r="N751" s="12" t="n">
        <f aca="false">K751-M751</f>
        <v>2792</v>
      </c>
    </row>
    <row r="752" customFormat="false" ht="12.8" hidden="false" customHeight="false" outlineLevel="0" collapsed="false">
      <c r="A752" s="10" t="n">
        <f aca="false">A751+1</f>
        <v>751</v>
      </c>
      <c r="B752" s="11" t="n">
        <f aca="false">B751+1</f>
        <v>45677</v>
      </c>
      <c r="C752" s="10" t="n">
        <f aca="false">YEAR(B752)</f>
        <v>2025</v>
      </c>
      <c r="D752" s="10" t="n">
        <f aca="false">INT((MONTH(B752)-1)/3)+1</f>
        <v>1</v>
      </c>
      <c r="E752" s="10" t="n">
        <f aca="false">MONTH(B752)</f>
        <v>1</v>
      </c>
      <c r="F752" s="10" t="str">
        <f aca="false">CHOOSE(MOD(A752-1,5)+1,"Центр","Юг","Север","Запад","Восток")</f>
        <v>Центр</v>
      </c>
      <c r="G752" s="10" t="str">
        <f aca="false">"Округ_"&amp;(MOD(A752-1,5)+1)&amp;"_"&amp;(MOD(INT((A752-1)/5),5)+1)</f>
        <v>Округ_1_1</v>
      </c>
      <c r="H752" s="10" t="str">
        <f aca="false">"Город_"&amp;(MOD(A752-1,5)+1)&amp;"_"&amp;(MOD(INT((A752-1)/5),5)+1)&amp;"_"&amp;(MOD(INT((A752-1)/25),10)+1)</f>
        <v>Город_1_1_1</v>
      </c>
      <c r="I752" s="10" t="str">
        <f aca="false">CHOOSE(MOD(A752-1,4)+1,"Электроника","Одежда","Продукты","Мебель")</f>
        <v>Продукты</v>
      </c>
      <c r="J752" s="10" t="str">
        <f aca="false">CHOOSE(MOD(INT((A752-1)/4),4)+1,CHOOSE(MOD(A752-1,4)+1,"Смартфоны","Ноутбуки","Аксессуары","Аудио"),CHOOSE(MOD(A752-1,4)+1,"Верхняя одежда","Спортивная","Повседневная","Обувь"),CHOOSE(MOD(A752-1,4)+1,"Молочные","Мясные","Бакалея","Напитки"),CHOOSE(MOD(A752-1,4)+1,"Мягкая мебель","Корпусная","Офисная","Кухонная"))</f>
        <v>Офисная</v>
      </c>
      <c r="K752" s="12" t="n">
        <f aca="false">1000+MOD(A752*317+A752*A752*7,49001)</f>
        <v>21989</v>
      </c>
      <c r="L752" s="12" t="n">
        <f aca="false">1+MOD(A752*131,100)</f>
        <v>82</v>
      </c>
      <c r="M752" s="12" t="n">
        <f aca="false">INT(K752*(0.6+MOD(A752*43,21)/100))</f>
        <v>16711</v>
      </c>
      <c r="N752" s="12" t="n">
        <f aca="false">K752-M752</f>
        <v>5278</v>
      </c>
    </row>
    <row r="753" customFormat="false" ht="12.8" hidden="false" customHeight="false" outlineLevel="0" collapsed="false">
      <c r="A753" s="10" t="n">
        <f aca="false">A752+1</f>
        <v>752</v>
      </c>
      <c r="B753" s="11" t="n">
        <f aca="false">B752+1</f>
        <v>45678</v>
      </c>
      <c r="C753" s="10" t="n">
        <f aca="false">YEAR(B753)</f>
        <v>2025</v>
      </c>
      <c r="D753" s="10" t="n">
        <f aca="false">INT((MONTH(B753)-1)/3)+1</f>
        <v>1</v>
      </c>
      <c r="E753" s="10" t="n">
        <f aca="false">MONTH(B753)</f>
        <v>1</v>
      </c>
      <c r="F753" s="10" t="str">
        <f aca="false">CHOOSE(MOD(A753-1,5)+1,"Центр","Юг","Север","Запад","Восток")</f>
        <v>Юг</v>
      </c>
      <c r="G753" s="10" t="str">
        <f aca="false">"Округ_"&amp;(MOD(A753-1,5)+1)&amp;"_"&amp;(MOD(INT((A753-1)/5),5)+1)</f>
        <v>Округ_2_1</v>
      </c>
      <c r="H753" s="10" t="str">
        <f aca="false">"Город_"&amp;(MOD(A753-1,5)+1)&amp;"_"&amp;(MOD(INT((A753-1)/5),5)+1)&amp;"_"&amp;(MOD(INT((A753-1)/25),10)+1)</f>
        <v>Город_2_1_1</v>
      </c>
      <c r="I753" s="10" t="str">
        <f aca="false">CHOOSE(MOD(A753-1,4)+1,"Электроника","Одежда","Продукты","Мебель")</f>
        <v>Мебель</v>
      </c>
      <c r="J753" s="10" t="str">
        <f aca="false">CHOOSE(MOD(INT((A753-1)/4),4)+1,CHOOSE(MOD(A753-1,4)+1,"Смартфоны","Ноутбуки","Аксессуары","Аудио"),CHOOSE(MOD(A753-1,4)+1,"Верхняя одежда","Спортивная","Повседневная","Обувь"),CHOOSE(MOD(A753-1,4)+1,"Молочные","Мясные","Бакалея","Напитки"),CHOOSE(MOD(A753-1,4)+1,"Мягкая мебель","Корпусная","Офисная","Кухонная"))</f>
        <v>Кухонная</v>
      </c>
      <c r="K753" s="12" t="n">
        <f aca="false">1000+MOD(A753*317+A753*A753*7,49001)</f>
        <v>32827</v>
      </c>
      <c r="L753" s="12" t="n">
        <f aca="false">1+MOD(A753*131,100)</f>
        <v>13</v>
      </c>
      <c r="M753" s="12" t="n">
        <f aca="false">INT(K753*(0.6+MOD(A753*43,21)/100))</f>
        <v>25276</v>
      </c>
      <c r="N753" s="12" t="n">
        <f aca="false">K753-M753</f>
        <v>7551</v>
      </c>
    </row>
    <row r="754" customFormat="false" ht="12.8" hidden="false" customHeight="false" outlineLevel="0" collapsed="false">
      <c r="A754" s="10" t="n">
        <f aca="false">A753+1</f>
        <v>753</v>
      </c>
      <c r="B754" s="11" t="n">
        <f aca="false">B753+1</f>
        <v>45679</v>
      </c>
      <c r="C754" s="10" t="n">
        <f aca="false">YEAR(B754)</f>
        <v>2025</v>
      </c>
      <c r="D754" s="10" t="n">
        <f aca="false">INT((MONTH(B754)-1)/3)+1</f>
        <v>1</v>
      </c>
      <c r="E754" s="10" t="n">
        <f aca="false">MONTH(B754)</f>
        <v>1</v>
      </c>
      <c r="F754" s="10" t="str">
        <f aca="false">CHOOSE(MOD(A754-1,5)+1,"Центр","Юг","Север","Запад","Восток")</f>
        <v>Север</v>
      </c>
      <c r="G754" s="10" t="str">
        <f aca="false">"Округ_"&amp;(MOD(A754-1,5)+1)&amp;"_"&amp;(MOD(INT((A754-1)/5),5)+1)</f>
        <v>Округ_3_1</v>
      </c>
      <c r="H754" s="10" t="str">
        <f aca="false">"Город_"&amp;(MOD(A754-1,5)+1)&amp;"_"&amp;(MOD(INT((A754-1)/5),5)+1)&amp;"_"&amp;(MOD(INT((A754-1)/25),10)+1)</f>
        <v>Город_3_1_1</v>
      </c>
      <c r="I754" s="10" t="str">
        <f aca="false">CHOOSE(MOD(A754-1,4)+1,"Электроника","Одежда","Продукты","Мебель")</f>
        <v>Электроника</v>
      </c>
      <c r="J754" s="10" t="str">
        <f aca="false">CHOOSE(MOD(INT((A754-1)/4),4)+1,CHOOSE(MOD(A754-1,4)+1,"Смартфоны","Ноутбуки","Аксессуары","Аудио"),CHOOSE(MOD(A754-1,4)+1,"Верхняя одежда","Спортивная","Повседневная","Обувь"),CHOOSE(MOD(A754-1,4)+1,"Молочные","Мясные","Бакалея","Напитки"),CHOOSE(MOD(A754-1,4)+1,"Мягкая мебель","Корпусная","Офисная","Кухонная"))</f>
        <v>Смартфоны</v>
      </c>
      <c r="K754" s="12" t="n">
        <f aca="false">1000+MOD(A754*317+A754*A754*7,49001)</f>
        <v>43679</v>
      </c>
      <c r="L754" s="12" t="n">
        <f aca="false">1+MOD(A754*131,100)</f>
        <v>44</v>
      </c>
      <c r="M754" s="12" t="n">
        <f aca="false">INT(K754*(0.6+MOD(A754*43,21)/100))</f>
        <v>34069</v>
      </c>
      <c r="N754" s="12" t="n">
        <f aca="false">K754-M754</f>
        <v>9610</v>
      </c>
    </row>
    <row r="755" customFormat="false" ht="12.8" hidden="false" customHeight="false" outlineLevel="0" collapsed="false">
      <c r="A755" s="10" t="n">
        <f aca="false">A754+1</f>
        <v>754</v>
      </c>
      <c r="B755" s="11" t="n">
        <f aca="false">B754+1</f>
        <v>45680</v>
      </c>
      <c r="C755" s="10" t="n">
        <f aca="false">YEAR(B755)</f>
        <v>2025</v>
      </c>
      <c r="D755" s="10" t="n">
        <f aca="false">INT((MONTH(B755)-1)/3)+1</f>
        <v>1</v>
      </c>
      <c r="E755" s="10" t="n">
        <f aca="false">MONTH(B755)</f>
        <v>1</v>
      </c>
      <c r="F755" s="10" t="str">
        <f aca="false">CHOOSE(MOD(A755-1,5)+1,"Центр","Юг","Север","Запад","Восток")</f>
        <v>Запад</v>
      </c>
      <c r="G755" s="10" t="str">
        <f aca="false">"Округ_"&amp;(MOD(A755-1,5)+1)&amp;"_"&amp;(MOD(INT((A755-1)/5),5)+1)</f>
        <v>Округ_4_1</v>
      </c>
      <c r="H755" s="10" t="str">
        <f aca="false">"Город_"&amp;(MOD(A755-1,5)+1)&amp;"_"&amp;(MOD(INT((A755-1)/5),5)+1)&amp;"_"&amp;(MOD(INT((A755-1)/25),10)+1)</f>
        <v>Город_4_1_1</v>
      </c>
      <c r="I755" s="10" t="str">
        <f aca="false">CHOOSE(MOD(A755-1,4)+1,"Электроника","Одежда","Продукты","Мебель")</f>
        <v>Одежда</v>
      </c>
      <c r="J755" s="10" t="str">
        <f aca="false">CHOOSE(MOD(INT((A755-1)/4),4)+1,CHOOSE(MOD(A755-1,4)+1,"Смартфоны","Ноутбуки","Аксессуары","Аудио"),CHOOSE(MOD(A755-1,4)+1,"Верхняя одежда","Спортивная","Повседневная","Обувь"),CHOOSE(MOD(A755-1,4)+1,"Молочные","Мясные","Бакалея","Напитки"),CHOOSE(MOD(A755-1,4)+1,"Мягкая мебель","Корпусная","Офисная","Кухонная"))</f>
        <v>Ноутбуки</v>
      </c>
      <c r="K755" s="12" t="n">
        <f aca="false">1000+MOD(A755*317+A755*A755*7,49001)</f>
        <v>5544</v>
      </c>
      <c r="L755" s="12" t="n">
        <f aca="false">1+MOD(A755*131,100)</f>
        <v>75</v>
      </c>
      <c r="M755" s="12" t="n">
        <f aca="false">INT(K755*(0.6+MOD(A755*43,21)/100))</f>
        <v>4379</v>
      </c>
      <c r="N755" s="12" t="n">
        <f aca="false">K755-M755</f>
        <v>1165</v>
      </c>
    </row>
    <row r="756" customFormat="false" ht="12.8" hidden="false" customHeight="false" outlineLevel="0" collapsed="false">
      <c r="A756" s="10" t="n">
        <f aca="false">A755+1</f>
        <v>755</v>
      </c>
      <c r="B756" s="11" t="n">
        <f aca="false">B755+1</f>
        <v>45681</v>
      </c>
      <c r="C756" s="10" t="n">
        <f aca="false">YEAR(B756)</f>
        <v>2025</v>
      </c>
      <c r="D756" s="10" t="n">
        <f aca="false">INT((MONTH(B756)-1)/3)+1</f>
        <v>1</v>
      </c>
      <c r="E756" s="10" t="n">
        <f aca="false">MONTH(B756)</f>
        <v>1</v>
      </c>
      <c r="F756" s="10" t="str">
        <f aca="false">CHOOSE(MOD(A756-1,5)+1,"Центр","Юг","Север","Запад","Восток")</f>
        <v>Восток</v>
      </c>
      <c r="G756" s="10" t="str">
        <f aca="false">"Округ_"&amp;(MOD(A756-1,5)+1)&amp;"_"&amp;(MOD(INT((A756-1)/5),5)+1)</f>
        <v>Округ_5_1</v>
      </c>
      <c r="H756" s="10" t="str">
        <f aca="false">"Город_"&amp;(MOD(A756-1,5)+1)&amp;"_"&amp;(MOD(INT((A756-1)/5),5)+1)&amp;"_"&amp;(MOD(INT((A756-1)/25),10)+1)</f>
        <v>Город_5_1_1</v>
      </c>
      <c r="I756" s="10" t="str">
        <f aca="false">CHOOSE(MOD(A756-1,4)+1,"Электроника","Одежда","Продукты","Мебель")</f>
        <v>Продукты</v>
      </c>
      <c r="J756" s="10" t="str">
        <f aca="false">CHOOSE(MOD(INT((A756-1)/4),4)+1,CHOOSE(MOD(A756-1,4)+1,"Смартфоны","Ноутбуки","Аксессуары","Аудио"),CHOOSE(MOD(A756-1,4)+1,"Верхняя одежда","Спортивная","Повседневная","Обувь"),CHOOSE(MOD(A756-1,4)+1,"Молочные","Мясные","Бакалея","Напитки"),CHOOSE(MOD(A756-1,4)+1,"Мягкая мебель","Корпусная","Офисная","Кухонная"))</f>
        <v>Аксессуары</v>
      </c>
      <c r="K756" s="12" t="n">
        <f aca="false">1000+MOD(A756*317+A756*A756*7,49001)</f>
        <v>16424</v>
      </c>
      <c r="L756" s="12" t="n">
        <f aca="false">1+MOD(A756*131,100)</f>
        <v>6</v>
      </c>
      <c r="M756" s="12" t="n">
        <f aca="false">INT(K756*(0.6+MOD(A756*43,21)/100))</f>
        <v>13139</v>
      </c>
      <c r="N756" s="12" t="n">
        <f aca="false">K756-M756</f>
        <v>3285</v>
      </c>
    </row>
    <row r="757" customFormat="false" ht="12.8" hidden="false" customHeight="false" outlineLevel="0" collapsed="false">
      <c r="A757" s="10" t="n">
        <f aca="false">A756+1</f>
        <v>756</v>
      </c>
      <c r="B757" s="11" t="n">
        <f aca="false">B756+1</f>
        <v>45682</v>
      </c>
      <c r="C757" s="10" t="n">
        <f aca="false">YEAR(B757)</f>
        <v>2025</v>
      </c>
      <c r="D757" s="10" t="n">
        <f aca="false">INT((MONTH(B757)-1)/3)+1</f>
        <v>1</v>
      </c>
      <c r="E757" s="10" t="n">
        <f aca="false">MONTH(B757)</f>
        <v>1</v>
      </c>
      <c r="F757" s="10" t="str">
        <f aca="false">CHOOSE(MOD(A757-1,5)+1,"Центр","Юг","Север","Запад","Восток")</f>
        <v>Центр</v>
      </c>
      <c r="G757" s="10" t="str">
        <f aca="false">"Округ_"&amp;(MOD(A757-1,5)+1)&amp;"_"&amp;(MOD(INT((A757-1)/5),5)+1)</f>
        <v>Округ_1_2</v>
      </c>
      <c r="H757" s="10" t="str">
        <f aca="false">"Город_"&amp;(MOD(A757-1,5)+1)&amp;"_"&amp;(MOD(INT((A757-1)/5),5)+1)&amp;"_"&amp;(MOD(INT((A757-1)/25),10)+1)</f>
        <v>Город_1_2_1</v>
      </c>
      <c r="I757" s="10" t="str">
        <f aca="false">CHOOSE(MOD(A757-1,4)+1,"Электроника","Одежда","Продукты","Мебель")</f>
        <v>Мебель</v>
      </c>
      <c r="J757" s="10" t="str">
        <f aca="false">CHOOSE(MOD(INT((A757-1)/4),4)+1,CHOOSE(MOD(A757-1,4)+1,"Смартфоны","Ноутбуки","Аксессуары","Аудио"),CHOOSE(MOD(A757-1,4)+1,"Верхняя одежда","Спортивная","Повседневная","Обувь"),CHOOSE(MOD(A757-1,4)+1,"Молочные","Мясные","Бакалея","Напитки"),CHOOSE(MOD(A757-1,4)+1,"Мягкая мебель","Корпусная","Офисная","Кухонная"))</f>
        <v>Аудио</v>
      </c>
      <c r="K757" s="12" t="n">
        <f aca="false">1000+MOD(A757*317+A757*A757*7,49001)</f>
        <v>27318</v>
      </c>
      <c r="L757" s="12" t="n">
        <f aca="false">1+MOD(A757*131,100)</f>
        <v>37</v>
      </c>
      <c r="M757" s="12" t="n">
        <f aca="false">INT(K757*(0.6+MOD(A757*43,21)/100))</f>
        <v>16390</v>
      </c>
      <c r="N757" s="12" t="n">
        <f aca="false">K757-M757</f>
        <v>10928</v>
      </c>
    </row>
    <row r="758" customFormat="false" ht="12.8" hidden="false" customHeight="false" outlineLevel="0" collapsed="false">
      <c r="A758" s="10" t="n">
        <f aca="false">A757+1</f>
        <v>757</v>
      </c>
      <c r="B758" s="11" t="n">
        <f aca="false">B757+1</f>
        <v>45683</v>
      </c>
      <c r="C758" s="10" t="n">
        <f aca="false">YEAR(B758)</f>
        <v>2025</v>
      </c>
      <c r="D758" s="10" t="n">
        <f aca="false">INT((MONTH(B758)-1)/3)+1</f>
        <v>1</v>
      </c>
      <c r="E758" s="10" t="n">
        <f aca="false">MONTH(B758)</f>
        <v>1</v>
      </c>
      <c r="F758" s="10" t="str">
        <f aca="false">CHOOSE(MOD(A758-1,5)+1,"Центр","Юг","Север","Запад","Восток")</f>
        <v>Юг</v>
      </c>
      <c r="G758" s="10" t="str">
        <f aca="false">"Округ_"&amp;(MOD(A758-1,5)+1)&amp;"_"&amp;(MOD(INT((A758-1)/5),5)+1)</f>
        <v>Округ_2_2</v>
      </c>
      <c r="H758" s="10" t="str">
        <f aca="false">"Город_"&amp;(MOD(A758-1,5)+1)&amp;"_"&amp;(MOD(INT((A758-1)/5),5)+1)&amp;"_"&amp;(MOD(INT((A758-1)/25),10)+1)</f>
        <v>Город_2_2_1</v>
      </c>
      <c r="I758" s="10" t="str">
        <f aca="false">CHOOSE(MOD(A758-1,4)+1,"Электроника","Одежда","Продукты","Мебель")</f>
        <v>Электроника</v>
      </c>
      <c r="J758" s="10" t="str">
        <f aca="false">CHOOSE(MOD(INT((A758-1)/4),4)+1,CHOOSE(MOD(A758-1,4)+1,"Смартфоны","Ноутбуки","Аксессуары","Аудио"),CHOOSE(MOD(A758-1,4)+1,"Верхняя одежда","Спортивная","Повседневная","Обувь"),CHOOSE(MOD(A758-1,4)+1,"Молочные","Мясные","Бакалея","Напитки"),CHOOSE(MOD(A758-1,4)+1,"Мягкая мебель","Корпусная","Офисная","Кухонная"))</f>
        <v>Верхняя одежда</v>
      </c>
      <c r="K758" s="12" t="n">
        <f aca="false">1000+MOD(A758*317+A758*A758*7,49001)</f>
        <v>38226</v>
      </c>
      <c r="L758" s="12" t="n">
        <f aca="false">1+MOD(A758*131,100)</f>
        <v>68</v>
      </c>
      <c r="M758" s="12" t="n">
        <f aca="false">INT(K758*(0.6+MOD(A758*43,21)/100))</f>
        <v>23317</v>
      </c>
      <c r="N758" s="12" t="n">
        <f aca="false">K758-M758</f>
        <v>14909</v>
      </c>
    </row>
    <row r="759" customFormat="false" ht="12.8" hidden="false" customHeight="false" outlineLevel="0" collapsed="false">
      <c r="A759" s="10" t="n">
        <f aca="false">A758+1</f>
        <v>758</v>
      </c>
      <c r="B759" s="11" t="n">
        <f aca="false">B758+1</f>
        <v>45684</v>
      </c>
      <c r="C759" s="10" t="n">
        <f aca="false">YEAR(B759)</f>
        <v>2025</v>
      </c>
      <c r="D759" s="10" t="n">
        <f aca="false">INT((MONTH(B759)-1)/3)+1</f>
        <v>1</v>
      </c>
      <c r="E759" s="10" t="n">
        <f aca="false">MONTH(B759)</f>
        <v>1</v>
      </c>
      <c r="F759" s="10" t="str">
        <f aca="false">CHOOSE(MOD(A759-1,5)+1,"Центр","Юг","Север","Запад","Восток")</f>
        <v>Север</v>
      </c>
      <c r="G759" s="10" t="str">
        <f aca="false">"Округ_"&amp;(MOD(A759-1,5)+1)&amp;"_"&amp;(MOD(INT((A759-1)/5),5)+1)</f>
        <v>Округ_3_2</v>
      </c>
      <c r="H759" s="10" t="str">
        <f aca="false">"Город_"&amp;(MOD(A759-1,5)+1)&amp;"_"&amp;(MOD(INT((A759-1)/5),5)+1)&amp;"_"&amp;(MOD(INT((A759-1)/25),10)+1)</f>
        <v>Город_3_2_1</v>
      </c>
      <c r="I759" s="10" t="str">
        <f aca="false">CHOOSE(MOD(A759-1,4)+1,"Электроника","Одежда","Продукты","Мебель")</f>
        <v>Одежда</v>
      </c>
      <c r="J759" s="10" t="str">
        <f aca="false">CHOOSE(MOD(INT((A759-1)/4),4)+1,CHOOSE(MOD(A759-1,4)+1,"Смартфоны","Ноутбуки","Аксессуары","Аудио"),CHOOSE(MOD(A759-1,4)+1,"Верхняя одежда","Спортивная","Повседневная","Обувь"),CHOOSE(MOD(A759-1,4)+1,"Молочные","Мясные","Бакалея","Напитки"),CHOOSE(MOD(A759-1,4)+1,"Мягкая мебель","Корпусная","Офисная","Кухонная"))</f>
        <v>Спортивная</v>
      </c>
      <c r="K759" s="12" t="n">
        <f aca="false">1000+MOD(A759*317+A759*A759*7,49001)</f>
        <v>49148</v>
      </c>
      <c r="L759" s="12" t="n">
        <f aca="false">1+MOD(A759*131,100)</f>
        <v>99</v>
      </c>
      <c r="M759" s="12" t="n">
        <f aca="false">INT(K759*(0.6+MOD(A759*43,21)/100))</f>
        <v>30471</v>
      </c>
      <c r="N759" s="12" t="n">
        <f aca="false">K759-M759</f>
        <v>18677</v>
      </c>
    </row>
    <row r="760" customFormat="false" ht="12.8" hidden="false" customHeight="false" outlineLevel="0" collapsed="false">
      <c r="A760" s="10" t="n">
        <f aca="false">A759+1</f>
        <v>759</v>
      </c>
      <c r="B760" s="11" t="n">
        <f aca="false">B759+1</f>
        <v>45685</v>
      </c>
      <c r="C760" s="10" t="n">
        <f aca="false">YEAR(B760)</f>
        <v>2025</v>
      </c>
      <c r="D760" s="10" t="n">
        <f aca="false">INT((MONTH(B760)-1)/3)+1</f>
        <v>1</v>
      </c>
      <c r="E760" s="10" t="n">
        <f aca="false">MONTH(B760)</f>
        <v>1</v>
      </c>
      <c r="F760" s="10" t="str">
        <f aca="false">CHOOSE(MOD(A760-1,5)+1,"Центр","Юг","Север","Запад","Восток")</f>
        <v>Запад</v>
      </c>
      <c r="G760" s="10" t="str">
        <f aca="false">"Округ_"&amp;(MOD(A760-1,5)+1)&amp;"_"&amp;(MOD(INT((A760-1)/5),5)+1)</f>
        <v>Округ_4_2</v>
      </c>
      <c r="H760" s="10" t="str">
        <f aca="false">"Город_"&amp;(MOD(A760-1,5)+1)&amp;"_"&amp;(MOD(INT((A760-1)/5),5)+1)&amp;"_"&amp;(MOD(INT((A760-1)/25),10)+1)</f>
        <v>Город_4_2_1</v>
      </c>
      <c r="I760" s="10" t="str">
        <f aca="false">CHOOSE(MOD(A760-1,4)+1,"Электроника","Одежда","Продукты","Мебель")</f>
        <v>Продукты</v>
      </c>
      <c r="J760" s="10" t="str">
        <f aca="false">CHOOSE(MOD(INT((A760-1)/4),4)+1,CHOOSE(MOD(A760-1,4)+1,"Смартфоны","Ноутбуки","Аксессуары","Аудио"),CHOOSE(MOD(A760-1,4)+1,"Верхняя одежда","Спортивная","Повседневная","Обувь"),CHOOSE(MOD(A760-1,4)+1,"Молочные","Мясные","Бакалея","Напитки"),CHOOSE(MOD(A760-1,4)+1,"Мягкая мебель","Корпусная","Офисная","Кухонная"))</f>
        <v>Повседневная</v>
      </c>
      <c r="K760" s="12" t="n">
        <f aca="false">1000+MOD(A760*317+A760*A760*7,49001)</f>
        <v>11083</v>
      </c>
      <c r="L760" s="12" t="n">
        <f aca="false">1+MOD(A760*131,100)</f>
        <v>30</v>
      </c>
      <c r="M760" s="12" t="n">
        <f aca="false">INT(K760*(0.6+MOD(A760*43,21)/100))</f>
        <v>6982</v>
      </c>
      <c r="N760" s="12" t="n">
        <f aca="false">K760-M760</f>
        <v>4101</v>
      </c>
    </row>
    <row r="761" customFormat="false" ht="12.8" hidden="false" customHeight="false" outlineLevel="0" collapsed="false">
      <c r="A761" s="10" t="n">
        <f aca="false">A760+1</f>
        <v>760</v>
      </c>
      <c r="B761" s="11" t="n">
        <f aca="false">B760+1</f>
        <v>45686</v>
      </c>
      <c r="C761" s="10" t="n">
        <f aca="false">YEAR(B761)</f>
        <v>2025</v>
      </c>
      <c r="D761" s="10" t="n">
        <f aca="false">INT((MONTH(B761)-1)/3)+1</f>
        <v>1</v>
      </c>
      <c r="E761" s="10" t="n">
        <f aca="false">MONTH(B761)</f>
        <v>1</v>
      </c>
      <c r="F761" s="10" t="str">
        <f aca="false">CHOOSE(MOD(A761-1,5)+1,"Центр","Юг","Север","Запад","Восток")</f>
        <v>Восток</v>
      </c>
      <c r="G761" s="10" t="str">
        <f aca="false">"Округ_"&amp;(MOD(A761-1,5)+1)&amp;"_"&amp;(MOD(INT((A761-1)/5),5)+1)</f>
        <v>Округ_5_2</v>
      </c>
      <c r="H761" s="10" t="str">
        <f aca="false">"Город_"&amp;(MOD(A761-1,5)+1)&amp;"_"&amp;(MOD(INT((A761-1)/5),5)+1)&amp;"_"&amp;(MOD(INT((A761-1)/25),10)+1)</f>
        <v>Город_5_2_1</v>
      </c>
      <c r="I761" s="10" t="str">
        <f aca="false">CHOOSE(MOD(A761-1,4)+1,"Электроника","Одежда","Продукты","Мебель")</f>
        <v>Мебель</v>
      </c>
      <c r="J761" s="10" t="str">
        <f aca="false">CHOOSE(MOD(INT((A761-1)/4),4)+1,CHOOSE(MOD(A761-1,4)+1,"Смартфоны","Ноутбуки","Аксессуары","Аудио"),CHOOSE(MOD(A761-1,4)+1,"Верхняя одежда","Спортивная","Повседневная","Обувь"),CHOOSE(MOD(A761-1,4)+1,"Молочные","Мясные","Бакалея","Напитки"),CHOOSE(MOD(A761-1,4)+1,"Мягкая мебель","Корпусная","Офисная","Кухонная"))</f>
        <v>Обувь</v>
      </c>
      <c r="K761" s="12" t="n">
        <f aca="false">1000+MOD(A761*317+A761*A761*7,49001)</f>
        <v>22033</v>
      </c>
      <c r="L761" s="12" t="n">
        <f aca="false">1+MOD(A761*131,100)</f>
        <v>61</v>
      </c>
      <c r="M761" s="12" t="n">
        <f aca="false">INT(K761*(0.6+MOD(A761*43,21)/100))</f>
        <v>14101</v>
      </c>
      <c r="N761" s="12" t="n">
        <f aca="false">K761-M761</f>
        <v>7932</v>
      </c>
    </row>
    <row r="762" customFormat="false" ht="12.8" hidden="false" customHeight="false" outlineLevel="0" collapsed="false">
      <c r="A762" s="10" t="n">
        <f aca="false">A761+1</f>
        <v>761</v>
      </c>
      <c r="B762" s="11" t="n">
        <f aca="false">B761+1</f>
        <v>45687</v>
      </c>
      <c r="C762" s="10" t="n">
        <f aca="false">YEAR(B762)</f>
        <v>2025</v>
      </c>
      <c r="D762" s="10" t="n">
        <f aca="false">INT((MONTH(B762)-1)/3)+1</f>
        <v>1</v>
      </c>
      <c r="E762" s="10" t="n">
        <f aca="false">MONTH(B762)</f>
        <v>1</v>
      </c>
      <c r="F762" s="10" t="str">
        <f aca="false">CHOOSE(MOD(A762-1,5)+1,"Центр","Юг","Север","Запад","Восток")</f>
        <v>Центр</v>
      </c>
      <c r="G762" s="10" t="str">
        <f aca="false">"Округ_"&amp;(MOD(A762-1,5)+1)&amp;"_"&amp;(MOD(INT((A762-1)/5),5)+1)</f>
        <v>Округ_1_3</v>
      </c>
      <c r="H762" s="10" t="str">
        <f aca="false">"Город_"&amp;(MOD(A762-1,5)+1)&amp;"_"&amp;(MOD(INT((A762-1)/5),5)+1)&amp;"_"&amp;(MOD(INT((A762-1)/25),10)+1)</f>
        <v>Город_1_3_1</v>
      </c>
      <c r="I762" s="10" t="str">
        <f aca="false">CHOOSE(MOD(A762-1,4)+1,"Электроника","Одежда","Продукты","Мебель")</f>
        <v>Электроника</v>
      </c>
      <c r="J762" s="10" t="str">
        <f aca="false">CHOOSE(MOD(INT((A762-1)/4),4)+1,CHOOSE(MOD(A762-1,4)+1,"Смартфоны","Ноутбуки","Аксессуары","Аудио"),CHOOSE(MOD(A762-1,4)+1,"Верхняя одежда","Спортивная","Повседневная","Обувь"),CHOOSE(MOD(A762-1,4)+1,"Молочные","Мясные","Бакалея","Напитки"),CHOOSE(MOD(A762-1,4)+1,"Мягкая мебель","Корпусная","Офисная","Кухонная"))</f>
        <v>Молочные</v>
      </c>
      <c r="K762" s="12" t="n">
        <f aca="false">1000+MOD(A762*317+A762*A762*7,49001)</f>
        <v>32997</v>
      </c>
      <c r="L762" s="12" t="n">
        <f aca="false">1+MOD(A762*131,100)</f>
        <v>92</v>
      </c>
      <c r="M762" s="12" t="n">
        <f aca="false">INT(K762*(0.6+MOD(A762*43,21)/100))</f>
        <v>21448</v>
      </c>
      <c r="N762" s="12" t="n">
        <f aca="false">K762-M762</f>
        <v>11549</v>
      </c>
    </row>
    <row r="763" customFormat="false" ht="12.8" hidden="false" customHeight="false" outlineLevel="0" collapsed="false">
      <c r="A763" s="10" t="n">
        <f aca="false">A762+1</f>
        <v>762</v>
      </c>
      <c r="B763" s="11" t="n">
        <f aca="false">B762+1</f>
        <v>45688</v>
      </c>
      <c r="C763" s="10" t="n">
        <f aca="false">YEAR(B763)</f>
        <v>2025</v>
      </c>
      <c r="D763" s="10" t="n">
        <f aca="false">INT((MONTH(B763)-1)/3)+1</f>
        <v>1</v>
      </c>
      <c r="E763" s="10" t="n">
        <f aca="false">MONTH(B763)</f>
        <v>1</v>
      </c>
      <c r="F763" s="10" t="str">
        <f aca="false">CHOOSE(MOD(A763-1,5)+1,"Центр","Юг","Север","Запад","Восток")</f>
        <v>Юг</v>
      </c>
      <c r="G763" s="10" t="str">
        <f aca="false">"Округ_"&amp;(MOD(A763-1,5)+1)&amp;"_"&amp;(MOD(INT((A763-1)/5),5)+1)</f>
        <v>Округ_2_3</v>
      </c>
      <c r="H763" s="10" t="str">
        <f aca="false">"Город_"&amp;(MOD(A763-1,5)+1)&amp;"_"&amp;(MOD(INT((A763-1)/5),5)+1)&amp;"_"&amp;(MOD(INT((A763-1)/25),10)+1)</f>
        <v>Город_2_3_1</v>
      </c>
      <c r="I763" s="10" t="str">
        <f aca="false">CHOOSE(MOD(A763-1,4)+1,"Электроника","Одежда","Продукты","Мебель")</f>
        <v>Одежда</v>
      </c>
      <c r="J763" s="10" t="str">
        <f aca="false">CHOOSE(MOD(INT((A763-1)/4),4)+1,CHOOSE(MOD(A763-1,4)+1,"Смартфоны","Ноутбуки","Аксессуары","Аудио"),CHOOSE(MOD(A763-1,4)+1,"Верхняя одежда","Спортивная","Повседневная","Обувь"),CHOOSE(MOD(A763-1,4)+1,"Молочные","Мясные","Бакалея","Напитки"),CHOOSE(MOD(A763-1,4)+1,"Мягкая мебель","Корпусная","Офисная","Кухонная"))</f>
        <v>Мясные</v>
      </c>
      <c r="K763" s="12" t="n">
        <f aca="false">1000+MOD(A763*317+A763*A763*7,49001)</f>
        <v>43975</v>
      </c>
      <c r="L763" s="12" t="n">
        <f aca="false">1+MOD(A763*131,100)</f>
        <v>23</v>
      </c>
      <c r="M763" s="12" t="n">
        <f aca="false">INT(K763*(0.6+MOD(A763*43,21)/100))</f>
        <v>29023</v>
      </c>
      <c r="N763" s="12" t="n">
        <f aca="false">K763-M763</f>
        <v>14952</v>
      </c>
    </row>
    <row r="764" customFormat="false" ht="12.8" hidden="false" customHeight="false" outlineLevel="0" collapsed="false">
      <c r="A764" s="10" t="n">
        <f aca="false">A763+1</f>
        <v>763</v>
      </c>
      <c r="B764" s="11" t="n">
        <f aca="false">B763+1</f>
        <v>45689</v>
      </c>
      <c r="C764" s="10" t="n">
        <f aca="false">YEAR(B764)</f>
        <v>2025</v>
      </c>
      <c r="D764" s="10" t="n">
        <f aca="false">INT((MONTH(B764)-1)/3)+1</f>
        <v>1</v>
      </c>
      <c r="E764" s="10" t="n">
        <f aca="false">MONTH(B764)</f>
        <v>2</v>
      </c>
      <c r="F764" s="10" t="str">
        <f aca="false">CHOOSE(MOD(A764-1,5)+1,"Центр","Юг","Север","Запад","Восток")</f>
        <v>Север</v>
      </c>
      <c r="G764" s="10" t="str">
        <f aca="false">"Округ_"&amp;(MOD(A764-1,5)+1)&amp;"_"&amp;(MOD(INT((A764-1)/5),5)+1)</f>
        <v>Округ_3_3</v>
      </c>
      <c r="H764" s="10" t="str">
        <f aca="false">"Город_"&amp;(MOD(A764-1,5)+1)&amp;"_"&amp;(MOD(INT((A764-1)/5),5)+1)&amp;"_"&amp;(MOD(INT((A764-1)/25),10)+1)</f>
        <v>Город_3_3_1</v>
      </c>
      <c r="I764" s="10" t="str">
        <f aca="false">CHOOSE(MOD(A764-1,4)+1,"Электроника","Одежда","Продукты","Мебель")</f>
        <v>Продукты</v>
      </c>
      <c r="J764" s="10" t="str">
        <f aca="false">CHOOSE(MOD(INT((A764-1)/4),4)+1,CHOOSE(MOD(A764-1,4)+1,"Смартфоны","Ноутбуки","Аксессуары","Аудио"),CHOOSE(MOD(A764-1,4)+1,"Верхняя одежда","Спортивная","Повседневная","Обувь"),CHOOSE(MOD(A764-1,4)+1,"Молочные","Мясные","Бакалея","Напитки"),CHOOSE(MOD(A764-1,4)+1,"Мягкая мебель","Корпусная","Офисная","Кухонная"))</f>
        <v>Бакалея</v>
      </c>
      <c r="K764" s="12" t="n">
        <f aca="false">1000+MOD(A764*317+A764*A764*7,49001)</f>
        <v>5966</v>
      </c>
      <c r="L764" s="12" t="n">
        <f aca="false">1+MOD(A764*131,100)</f>
        <v>54</v>
      </c>
      <c r="M764" s="12" t="n">
        <f aca="false">INT(K764*(0.6+MOD(A764*43,21)/100))</f>
        <v>3997</v>
      </c>
      <c r="N764" s="12" t="n">
        <f aca="false">K764-M764</f>
        <v>1969</v>
      </c>
    </row>
    <row r="765" customFormat="false" ht="12.8" hidden="false" customHeight="false" outlineLevel="0" collapsed="false">
      <c r="A765" s="10" t="n">
        <f aca="false">A764+1</f>
        <v>764</v>
      </c>
      <c r="B765" s="11" t="n">
        <f aca="false">B764+1</f>
        <v>45690</v>
      </c>
      <c r="C765" s="10" t="n">
        <f aca="false">YEAR(B765)</f>
        <v>2025</v>
      </c>
      <c r="D765" s="10" t="n">
        <f aca="false">INT((MONTH(B765)-1)/3)+1</f>
        <v>1</v>
      </c>
      <c r="E765" s="10" t="n">
        <f aca="false">MONTH(B765)</f>
        <v>2</v>
      </c>
      <c r="F765" s="10" t="str">
        <f aca="false">CHOOSE(MOD(A765-1,5)+1,"Центр","Юг","Север","Запад","Восток")</f>
        <v>Запад</v>
      </c>
      <c r="G765" s="10" t="str">
        <f aca="false">"Округ_"&amp;(MOD(A765-1,5)+1)&amp;"_"&amp;(MOD(INT((A765-1)/5),5)+1)</f>
        <v>Округ_4_3</v>
      </c>
      <c r="H765" s="10" t="str">
        <f aca="false">"Город_"&amp;(MOD(A765-1,5)+1)&amp;"_"&amp;(MOD(INT((A765-1)/5),5)+1)&amp;"_"&amp;(MOD(INT((A765-1)/25),10)+1)</f>
        <v>Город_4_3_1</v>
      </c>
      <c r="I765" s="10" t="str">
        <f aca="false">CHOOSE(MOD(A765-1,4)+1,"Электроника","Одежда","Продукты","Мебель")</f>
        <v>Мебель</v>
      </c>
      <c r="J765" s="10" t="str">
        <f aca="false">CHOOSE(MOD(INT((A765-1)/4),4)+1,CHOOSE(MOD(A765-1,4)+1,"Смартфоны","Ноутбуки","Аксессуары","Аудио"),CHOOSE(MOD(A765-1,4)+1,"Верхняя одежда","Спортивная","Повседневная","Обувь"),CHOOSE(MOD(A765-1,4)+1,"Молочные","Мясные","Бакалея","Напитки"),CHOOSE(MOD(A765-1,4)+1,"Мягкая мебель","Корпусная","Офисная","Кухонная"))</f>
        <v>Напитки</v>
      </c>
      <c r="K765" s="12" t="n">
        <f aca="false">1000+MOD(A765*317+A765*A765*7,49001)</f>
        <v>16972</v>
      </c>
      <c r="L765" s="12" t="n">
        <f aca="false">1+MOD(A765*131,100)</f>
        <v>85</v>
      </c>
      <c r="M765" s="12" t="n">
        <f aca="false">INT(K765*(0.6+MOD(A765*43,21)/100))</f>
        <v>11540</v>
      </c>
      <c r="N765" s="12" t="n">
        <f aca="false">K765-M765</f>
        <v>5432</v>
      </c>
    </row>
    <row r="766" customFormat="false" ht="12.8" hidden="false" customHeight="false" outlineLevel="0" collapsed="false">
      <c r="A766" s="10" t="n">
        <f aca="false">A765+1</f>
        <v>765</v>
      </c>
      <c r="B766" s="11" t="n">
        <f aca="false">B765+1</f>
        <v>45691</v>
      </c>
      <c r="C766" s="10" t="n">
        <f aca="false">YEAR(B766)</f>
        <v>2025</v>
      </c>
      <c r="D766" s="10" t="n">
        <f aca="false">INT((MONTH(B766)-1)/3)+1</f>
        <v>1</v>
      </c>
      <c r="E766" s="10" t="n">
        <f aca="false">MONTH(B766)</f>
        <v>2</v>
      </c>
      <c r="F766" s="10" t="str">
        <f aca="false">CHOOSE(MOD(A766-1,5)+1,"Центр","Юг","Север","Запад","Восток")</f>
        <v>Восток</v>
      </c>
      <c r="G766" s="10" t="str">
        <f aca="false">"Округ_"&amp;(MOD(A766-1,5)+1)&amp;"_"&amp;(MOD(INT((A766-1)/5),5)+1)</f>
        <v>Округ_5_3</v>
      </c>
      <c r="H766" s="10" t="str">
        <f aca="false">"Город_"&amp;(MOD(A766-1,5)+1)&amp;"_"&amp;(MOD(INT((A766-1)/5),5)+1)&amp;"_"&amp;(MOD(INT((A766-1)/25),10)+1)</f>
        <v>Город_5_3_1</v>
      </c>
      <c r="I766" s="10" t="str">
        <f aca="false">CHOOSE(MOD(A766-1,4)+1,"Электроника","Одежда","Продукты","Мебель")</f>
        <v>Электроника</v>
      </c>
      <c r="J766" s="10" t="str">
        <f aca="false">CHOOSE(MOD(INT((A766-1)/4),4)+1,CHOOSE(MOD(A766-1,4)+1,"Смартфоны","Ноутбуки","Аксессуары","Аудио"),CHOOSE(MOD(A766-1,4)+1,"Верхняя одежда","Спортивная","Повседневная","Обувь"),CHOOSE(MOD(A766-1,4)+1,"Молочные","Мясные","Бакалея","Напитки"),CHOOSE(MOD(A766-1,4)+1,"Мягкая мебель","Корпусная","Офисная","Кухонная"))</f>
        <v>Мягкая мебель</v>
      </c>
      <c r="K766" s="12" t="n">
        <f aca="false">1000+MOD(A766*317+A766*A766*7,49001)</f>
        <v>27992</v>
      </c>
      <c r="L766" s="12" t="n">
        <f aca="false">1+MOD(A766*131,100)</f>
        <v>16</v>
      </c>
      <c r="M766" s="12" t="n">
        <f aca="false">INT(K766*(0.6+MOD(A766*43,21)/100))</f>
        <v>19314</v>
      </c>
      <c r="N766" s="12" t="n">
        <f aca="false">K766-M766</f>
        <v>8678</v>
      </c>
    </row>
    <row r="767" customFormat="false" ht="12.8" hidden="false" customHeight="false" outlineLevel="0" collapsed="false">
      <c r="A767" s="10" t="n">
        <f aca="false">A766+1</f>
        <v>766</v>
      </c>
      <c r="B767" s="11" t="n">
        <f aca="false">B766+1</f>
        <v>45692</v>
      </c>
      <c r="C767" s="10" t="n">
        <f aca="false">YEAR(B767)</f>
        <v>2025</v>
      </c>
      <c r="D767" s="10" t="n">
        <f aca="false">INT((MONTH(B767)-1)/3)+1</f>
        <v>1</v>
      </c>
      <c r="E767" s="10" t="n">
        <f aca="false">MONTH(B767)</f>
        <v>2</v>
      </c>
      <c r="F767" s="10" t="str">
        <f aca="false">CHOOSE(MOD(A767-1,5)+1,"Центр","Юг","Север","Запад","Восток")</f>
        <v>Центр</v>
      </c>
      <c r="G767" s="10" t="str">
        <f aca="false">"Округ_"&amp;(MOD(A767-1,5)+1)&amp;"_"&amp;(MOD(INT((A767-1)/5),5)+1)</f>
        <v>Округ_1_4</v>
      </c>
      <c r="H767" s="10" t="str">
        <f aca="false">"Город_"&amp;(MOD(A767-1,5)+1)&amp;"_"&amp;(MOD(INT((A767-1)/5),5)+1)&amp;"_"&amp;(MOD(INT((A767-1)/25),10)+1)</f>
        <v>Город_1_4_1</v>
      </c>
      <c r="I767" s="10" t="str">
        <f aca="false">CHOOSE(MOD(A767-1,4)+1,"Электроника","Одежда","Продукты","Мебель")</f>
        <v>Одежда</v>
      </c>
      <c r="J767" s="10" t="str">
        <f aca="false">CHOOSE(MOD(INT((A767-1)/4),4)+1,CHOOSE(MOD(A767-1,4)+1,"Смартфоны","Ноутбуки","Аксессуары","Аудио"),CHOOSE(MOD(A767-1,4)+1,"Верхняя одежда","Спортивная","Повседневная","Обувь"),CHOOSE(MOD(A767-1,4)+1,"Молочные","Мясные","Бакалея","Напитки"),CHOOSE(MOD(A767-1,4)+1,"Мягкая мебель","Корпусная","Офисная","Кухонная"))</f>
        <v>Корпусная</v>
      </c>
      <c r="K767" s="12" t="n">
        <f aca="false">1000+MOD(A767*317+A767*A767*7,49001)</f>
        <v>39026</v>
      </c>
      <c r="L767" s="12" t="n">
        <f aca="false">1+MOD(A767*131,100)</f>
        <v>47</v>
      </c>
      <c r="M767" s="12" t="n">
        <f aca="false">INT(K767*(0.6+MOD(A767*43,21)/100))</f>
        <v>27318</v>
      </c>
      <c r="N767" s="12" t="n">
        <f aca="false">K767-M767</f>
        <v>11708</v>
      </c>
    </row>
    <row r="768" customFormat="false" ht="12.8" hidden="false" customHeight="false" outlineLevel="0" collapsed="false">
      <c r="A768" s="10" t="n">
        <f aca="false">A767+1</f>
        <v>767</v>
      </c>
      <c r="B768" s="11" t="n">
        <f aca="false">B767+1</f>
        <v>45693</v>
      </c>
      <c r="C768" s="10" t="n">
        <f aca="false">YEAR(B768)</f>
        <v>2025</v>
      </c>
      <c r="D768" s="10" t="n">
        <f aca="false">INT((MONTH(B768)-1)/3)+1</f>
        <v>1</v>
      </c>
      <c r="E768" s="10" t="n">
        <f aca="false">MONTH(B768)</f>
        <v>2</v>
      </c>
      <c r="F768" s="10" t="str">
        <f aca="false">CHOOSE(MOD(A768-1,5)+1,"Центр","Юг","Север","Запад","Восток")</f>
        <v>Юг</v>
      </c>
      <c r="G768" s="10" t="str">
        <f aca="false">"Округ_"&amp;(MOD(A768-1,5)+1)&amp;"_"&amp;(MOD(INT((A768-1)/5),5)+1)</f>
        <v>Округ_2_4</v>
      </c>
      <c r="H768" s="10" t="str">
        <f aca="false">"Город_"&amp;(MOD(A768-1,5)+1)&amp;"_"&amp;(MOD(INT((A768-1)/5),5)+1)&amp;"_"&amp;(MOD(INT((A768-1)/25),10)+1)</f>
        <v>Город_2_4_1</v>
      </c>
      <c r="I768" s="10" t="str">
        <f aca="false">CHOOSE(MOD(A768-1,4)+1,"Электроника","Одежда","Продукты","Мебель")</f>
        <v>Продукты</v>
      </c>
      <c r="J768" s="10" t="str">
        <f aca="false">CHOOSE(MOD(INT((A768-1)/4),4)+1,CHOOSE(MOD(A768-1,4)+1,"Смартфоны","Ноутбуки","Аксессуары","Аудио"),CHOOSE(MOD(A768-1,4)+1,"Верхняя одежда","Спортивная","Повседневная","Обувь"),CHOOSE(MOD(A768-1,4)+1,"Молочные","Мясные","Бакалея","Напитки"),CHOOSE(MOD(A768-1,4)+1,"Мягкая мебель","Корпусная","Офисная","Кухонная"))</f>
        <v>Офисная</v>
      </c>
      <c r="K768" s="12" t="n">
        <f aca="false">1000+MOD(A768*317+A768*A768*7,49001)</f>
        <v>1073</v>
      </c>
      <c r="L768" s="12" t="n">
        <f aca="false">1+MOD(A768*131,100)</f>
        <v>78</v>
      </c>
      <c r="M768" s="12" t="n">
        <f aca="false">INT(K768*(0.6+MOD(A768*43,21)/100))</f>
        <v>761</v>
      </c>
      <c r="N768" s="12" t="n">
        <f aca="false">K768-M768</f>
        <v>312</v>
      </c>
    </row>
    <row r="769" customFormat="false" ht="12.8" hidden="false" customHeight="false" outlineLevel="0" collapsed="false">
      <c r="A769" s="10" t="n">
        <f aca="false">A768+1</f>
        <v>768</v>
      </c>
      <c r="B769" s="11" t="n">
        <f aca="false">B768+1</f>
        <v>45694</v>
      </c>
      <c r="C769" s="10" t="n">
        <f aca="false">YEAR(B769)</f>
        <v>2025</v>
      </c>
      <c r="D769" s="10" t="n">
        <f aca="false">INT((MONTH(B769)-1)/3)+1</f>
        <v>1</v>
      </c>
      <c r="E769" s="10" t="n">
        <f aca="false">MONTH(B769)</f>
        <v>2</v>
      </c>
      <c r="F769" s="10" t="str">
        <f aca="false">CHOOSE(MOD(A769-1,5)+1,"Центр","Юг","Север","Запад","Восток")</f>
        <v>Север</v>
      </c>
      <c r="G769" s="10" t="str">
        <f aca="false">"Округ_"&amp;(MOD(A769-1,5)+1)&amp;"_"&amp;(MOD(INT((A769-1)/5),5)+1)</f>
        <v>Округ_3_4</v>
      </c>
      <c r="H769" s="10" t="str">
        <f aca="false">"Город_"&amp;(MOD(A769-1,5)+1)&amp;"_"&amp;(MOD(INT((A769-1)/5),5)+1)&amp;"_"&amp;(MOD(INT((A769-1)/25),10)+1)</f>
        <v>Город_3_4_1</v>
      </c>
      <c r="I769" s="10" t="str">
        <f aca="false">CHOOSE(MOD(A769-1,4)+1,"Электроника","Одежда","Продукты","Мебель")</f>
        <v>Мебель</v>
      </c>
      <c r="J769" s="10" t="str">
        <f aca="false">CHOOSE(MOD(INT((A769-1)/4),4)+1,CHOOSE(MOD(A769-1,4)+1,"Смартфоны","Ноутбуки","Аксессуары","Аудио"),CHOOSE(MOD(A769-1,4)+1,"Верхняя одежда","Спортивная","Повседневная","Обувь"),CHOOSE(MOD(A769-1,4)+1,"Молочные","Мясные","Бакалея","Напитки"),CHOOSE(MOD(A769-1,4)+1,"Мягкая мебель","Корпусная","Офисная","Кухонная"))</f>
        <v>Кухонная</v>
      </c>
      <c r="K769" s="12" t="n">
        <f aca="false">1000+MOD(A769*317+A769*A769*7,49001)</f>
        <v>12135</v>
      </c>
      <c r="L769" s="12" t="n">
        <f aca="false">1+MOD(A769*131,100)</f>
        <v>9</v>
      </c>
      <c r="M769" s="12" t="n">
        <f aca="false">INT(K769*(0.6+MOD(A769*43,21)/100))</f>
        <v>8737</v>
      </c>
      <c r="N769" s="12" t="n">
        <f aca="false">K769-M769</f>
        <v>3398</v>
      </c>
    </row>
    <row r="770" customFormat="false" ht="12.8" hidden="false" customHeight="false" outlineLevel="0" collapsed="false">
      <c r="A770" s="10" t="n">
        <f aca="false">A769+1</f>
        <v>769</v>
      </c>
      <c r="B770" s="11" t="n">
        <f aca="false">B769+1</f>
        <v>45695</v>
      </c>
      <c r="C770" s="10" t="n">
        <f aca="false">YEAR(B770)</f>
        <v>2025</v>
      </c>
      <c r="D770" s="10" t="n">
        <f aca="false">INT((MONTH(B770)-1)/3)+1</f>
        <v>1</v>
      </c>
      <c r="E770" s="10" t="n">
        <f aca="false">MONTH(B770)</f>
        <v>2</v>
      </c>
      <c r="F770" s="10" t="str">
        <f aca="false">CHOOSE(MOD(A770-1,5)+1,"Центр","Юг","Север","Запад","Восток")</f>
        <v>Запад</v>
      </c>
      <c r="G770" s="10" t="str">
        <f aca="false">"Округ_"&amp;(MOD(A770-1,5)+1)&amp;"_"&amp;(MOD(INT((A770-1)/5),5)+1)</f>
        <v>Округ_4_4</v>
      </c>
      <c r="H770" s="10" t="str">
        <f aca="false">"Город_"&amp;(MOD(A770-1,5)+1)&amp;"_"&amp;(MOD(INT((A770-1)/5),5)+1)&amp;"_"&amp;(MOD(INT((A770-1)/25),10)+1)</f>
        <v>Город_4_4_1</v>
      </c>
      <c r="I770" s="10" t="str">
        <f aca="false">CHOOSE(MOD(A770-1,4)+1,"Электроника","Одежда","Продукты","Мебель")</f>
        <v>Электроника</v>
      </c>
      <c r="J770" s="10" t="str">
        <f aca="false">CHOOSE(MOD(INT((A770-1)/4),4)+1,CHOOSE(MOD(A770-1,4)+1,"Смартфоны","Ноутбуки","Аксессуары","Аудио"),CHOOSE(MOD(A770-1,4)+1,"Верхняя одежда","Спортивная","Повседневная","Обувь"),CHOOSE(MOD(A770-1,4)+1,"Молочные","Мясные","Бакалея","Напитки"),CHOOSE(MOD(A770-1,4)+1,"Мягкая мебель","Корпусная","Офисная","Кухонная"))</f>
        <v>Смартфоны</v>
      </c>
      <c r="K770" s="12" t="n">
        <f aca="false">1000+MOD(A770*317+A770*A770*7,49001)</f>
        <v>23211</v>
      </c>
      <c r="L770" s="12" t="n">
        <f aca="false">1+MOD(A770*131,100)</f>
        <v>40</v>
      </c>
      <c r="M770" s="12" t="n">
        <f aca="false">INT(K770*(0.6+MOD(A770*43,21)/100))</f>
        <v>16944</v>
      </c>
      <c r="N770" s="12" t="n">
        <f aca="false">K770-M770</f>
        <v>6267</v>
      </c>
    </row>
    <row r="771" customFormat="false" ht="12.8" hidden="false" customHeight="false" outlineLevel="0" collapsed="false">
      <c r="A771" s="10" t="n">
        <f aca="false">A770+1</f>
        <v>770</v>
      </c>
      <c r="B771" s="11" t="n">
        <f aca="false">B770+1</f>
        <v>45696</v>
      </c>
      <c r="C771" s="10" t="n">
        <f aca="false">YEAR(B771)</f>
        <v>2025</v>
      </c>
      <c r="D771" s="10" t="n">
        <f aca="false">INT((MONTH(B771)-1)/3)+1</f>
        <v>1</v>
      </c>
      <c r="E771" s="10" t="n">
        <f aca="false">MONTH(B771)</f>
        <v>2</v>
      </c>
      <c r="F771" s="10" t="str">
        <f aca="false">CHOOSE(MOD(A771-1,5)+1,"Центр","Юг","Север","Запад","Восток")</f>
        <v>Восток</v>
      </c>
      <c r="G771" s="10" t="str">
        <f aca="false">"Округ_"&amp;(MOD(A771-1,5)+1)&amp;"_"&amp;(MOD(INT((A771-1)/5),5)+1)</f>
        <v>Округ_5_4</v>
      </c>
      <c r="H771" s="10" t="str">
        <f aca="false">"Город_"&amp;(MOD(A771-1,5)+1)&amp;"_"&amp;(MOD(INT((A771-1)/5),5)+1)&amp;"_"&amp;(MOD(INT((A771-1)/25),10)+1)</f>
        <v>Город_5_4_1</v>
      </c>
      <c r="I771" s="10" t="str">
        <f aca="false">CHOOSE(MOD(A771-1,4)+1,"Электроника","Одежда","Продукты","Мебель")</f>
        <v>Одежда</v>
      </c>
      <c r="J771" s="10" t="str">
        <f aca="false">CHOOSE(MOD(INT((A771-1)/4),4)+1,CHOOSE(MOD(A771-1,4)+1,"Смартфоны","Ноутбуки","Аксессуары","Аудио"),CHOOSE(MOD(A771-1,4)+1,"Верхняя одежда","Спортивная","Повседневная","Обувь"),CHOOSE(MOD(A771-1,4)+1,"Молочные","Мясные","Бакалея","Напитки"),CHOOSE(MOD(A771-1,4)+1,"Мягкая мебель","Корпусная","Офисная","Кухонная"))</f>
        <v>Ноутбуки</v>
      </c>
      <c r="K771" s="12" t="n">
        <f aca="false">1000+MOD(A771*317+A771*A771*7,49001)</f>
        <v>34301</v>
      </c>
      <c r="L771" s="12" t="n">
        <f aca="false">1+MOD(A771*131,100)</f>
        <v>71</v>
      </c>
      <c r="M771" s="12" t="n">
        <f aca="false">INT(K771*(0.6+MOD(A771*43,21)/100))</f>
        <v>25382</v>
      </c>
      <c r="N771" s="12" t="n">
        <f aca="false">K771-M771</f>
        <v>8919</v>
      </c>
    </row>
    <row r="772" customFormat="false" ht="12.8" hidden="false" customHeight="false" outlineLevel="0" collapsed="false">
      <c r="A772" s="10" t="n">
        <f aca="false">A771+1</f>
        <v>771</v>
      </c>
      <c r="B772" s="11" t="n">
        <f aca="false">B771+1</f>
        <v>45697</v>
      </c>
      <c r="C772" s="10" t="n">
        <f aca="false">YEAR(B772)</f>
        <v>2025</v>
      </c>
      <c r="D772" s="10" t="n">
        <f aca="false">INT((MONTH(B772)-1)/3)+1</f>
        <v>1</v>
      </c>
      <c r="E772" s="10" t="n">
        <f aca="false">MONTH(B772)</f>
        <v>2</v>
      </c>
      <c r="F772" s="10" t="str">
        <f aca="false">CHOOSE(MOD(A772-1,5)+1,"Центр","Юг","Север","Запад","Восток")</f>
        <v>Центр</v>
      </c>
      <c r="G772" s="10" t="str">
        <f aca="false">"Округ_"&amp;(MOD(A772-1,5)+1)&amp;"_"&amp;(MOD(INT((A772-1)/5),5)+1)</f>
        <v>Округ_1_5</v>
      </c>
      <c r="H772" s="10" t="str">
        <f aca="false">"Город_"&amp;(MOD(A772-1,5)+1)&amp;"_"&amp;(MOD(INT((A772-1)/5),5)+1)&amp;"_"&amp;(MOD(INT((A772-1)/25),10)+1)</f>
        <v>Город_1_5_1</v>
      </c>
      <c r="I772" s="10" t="str">
        <f aca="false">CHOOSE(MOD(A772-1,4)+1,"Электроника","Одежда","Продукты","Мебель")</f>
        <v>Продукты</v>
      </c>
      <c r="J772" s="10" t="str">
        <f aca="false">CHOOSE(MOD(INT((A772-1)/4),4)+1,CHOOSE(MOD(A772-1,4)+1,"Смартфоны","Ноутбуки","Аксессуары","Аудио"),CHOOSE(MOD(A772-1,4)+1,"Верхняя одежда","Спортивная","Повседневная","Обувь"),CHOOSE(MOD(A772-1,4)+1,"Молочные","Мясные","Бакалея","Напитки"),CHOOSE(MOD(A772-1,4)+1,"Мягкая мебель","Корпусная","Офисная","Кухонная"))</f>
        <v>Аксессуары</v>
      </c>
      <c r="K772" s="12" t="n">
        <f aca="false">1000+MOD(A772*317+A772*A772*7,49001)</f>
        <v>45405</v>
      </c>
      <c r="L772" s="12" t="n">
        <f aca="false">1+MOD(A772*131,100)</f>
        <v>2</v>
      </c>
      <c r="M772" s="12" t="n">
        <f aca="false">INT(K772*(0.6+MOD(A772*43,21)/100))</f>
        <v>34053</v>
      </c>
      <c r="N772" s="12" t="n">
        <f aca="false">K772-M772</f>
        <v>11352</v>
      </c>
    </row>
    <row r="773" customFormat="false" ht="12.8" hidden="false" customHeight="false" outlineLevel="0" collapsed="false">
      <c r="A773" s="10" t="n">
        <f aca="false">A772+1</f>
        <v>772</v>
      </c>
      <c r="B773" s="11" t="n">
        <f aca="false">B772+1</f>
        <v>45698</v>
      </c>
      <c r="C773" s="10" t="n">
        <f aca="false">YEAR(B773)</f>
        <v>2025</v>
      </c>
      <c r="D773" s="10" t="n">
        <f aca="false">INT((MONTH(B773)-1)/3)+1</f>
        <v>1</v>
      </c>
      <c r="E773" s="10" t="n">
        <f aca="false">MONTH(B773)</f>
        <v>2</v>
      </c>
      <c r="F773" s="10" t="str">
        <f aca="false">CHOOSE(MOD(A773-1,5)+1,"Центр","Юг","Север","Запад","Восток")</f>
        <v>Юг</v>
      </c>
      <c r="G773" s="10" t="str">
        <f aca="false">"Округ_"&amp;(MOD(A773-1,5)+1)&amp;"_"&amp;(MOD(INT((A773-1)/5),5)+1)</f>
        <v>Округ_2_5</v>
      </c>
      <c r="H773" s="10" t="str">
        <f aca="false">"Город_"&amp;(MOD(A773-1,5)+1)&amp;"_"&amp;(MOD(INT((A773-1)/5),5)+1)&amp;"_"&amp;(MOD(INT((A773-1)/25),10)+1)</f>
        <v>Город_2_5_1</v>
      </c>
      <c r="I773" s="10" t="str">
        <f aca="false">CHOOSE(MOD(A773-1,4)+1,"Электроника","Одежда","Продукты","Мебель")</f>
        <v>Мебель</v>
      </c>
      <c r="J773" s="10" t="str">
        <f aca="false">CHOOSE(MOD(INT((A773-1)/4),4)+1,CHOOSE(MOD(A773-1,4)+1,"Смартфоны","Ноутбуки","Аксессуары","Аудио"),CHOOSE(MOD(A773-1,4)+1,"Верхняя одежда","Спортивная","Повседневная","Обувь"),CHOOSE(MOD(A773-1,4)+1,"Молочные","Мясные","Бакалея","Напитки"),CHOOSE(MOD(A773-1,4)+1,"Мягкая мебель","Корпусная","Офисная","Кухонная"))</f>
        <v>Аудио</v>
      </c>
      <c r="K773" s="12" t="n">
        <f aca="false">1000+MOD(A773*317+A773*A773*7,49001)</f>
        <v>7522</v>
      </c>
      <c r="L773" s="12" t="n">
        <f aca="false">1+MOD(A773*131,100)</f>
        <v>33</v>
      </c>
      <c r="M773" s="12" t="n">
        <f aca="false">INT(K773*(0.6+MOD(A773*43,21)/100))</f>
        <v>5716</v>
      </c>
      <c r="N773" s="12" t="n">
        <f aca="false">K773-M773</f>
        <v>1806</v>
      </c>
    </row>
    <row r="774" customFormat="false" ht="12.8" hidden="false" customHeight="false" outlineLevel="0" collapsed="false">
      <c r="A774" s="10" t="n">
        <f aca="false">A773+1</f>
        <v>773</v>
      </c>
      <c r="B774" s="11" t="n">
        <f aca="false">B773+1</f>
        <v>45699</v>
      </c>
      <c r="C774" s="10" t="n">
        <f aca="false">YEAR(B774)</f>
        <v>2025</v>
      </c>
      <c r="D774" s="10" t="n">
        <f aca="false">INT((MONTH(B774)-1)/3)+1</f>
        <v>1</v>
      </c>
      <c r="E774" s="10" t="n">
        <f aca="false">MONTH(B774)</f>
        <v>2</v>
      </c>
      <c r="F774" s="10" t="str">
        <f aca="false">CHOOSE(MOD(A774-1,5)+1,"Центр","Юг","Север","Запад","Восток")</f>
        <v>Север</v>
      </c>
      <c r="G774" s="10" t="str">
        <f aca="false">"Округ_"&amp;(MOD(A774-1,5)+1)&amp;"_"&amp;(MOD(INT((A774-1)/5),5)+1)</f>
        <v>Округ_3_5</v>
      </c>
      <c r="H774" s="10" t="str">
        <f aca="false">"Город_"&amp;(MOD(A774-1,5)+1)&amp;"_"&amp;(MOD(INT((A774-1)/5),5)+1)&amp;"_"&amp;(MOD(INT((A774-1)/25),10)+1)</f>
        <v>Город_3_5_1</v>
      </c>
      <c r="I774" s="10" t="str">
        <f aca="false">CHOOSE(MOD(A774-1,4)+1,"Электроника","Одежда","Продукты","Мебель")</f>
        <v>Электроника</v>
      </c>
      <c r="J774" s="10" t="str">
        <f aca="false">CHOOSE(MOD(INT((A774-1)/4),4)+1,CHOOSE(MOD(A774-1,4)+1,"Смартфоны","Ноутбуки","Аксессуары","Аудио"),CHOOSE(MOD(A774-1,4)+1,"Верхняя одежда","Спортивная","Повседневная","Обувь"),CHOOSE(MOD(A774-1,4)+1,"Молочные","Мясные","Бакалея","Напитки"),CHOOSE(MOD(A774-1,4)+1,"Мягкая мебель","Корпусная","Офисная","Кухонная"))</f>
        <v>Верхняя одежда</v>
      </c>
      <c r="K774" s="12" t="n">
        <f aca="false">1000+MOD(A774*317+A774*A774*7,49001)</f>
        <v>18654</v>
      </c>
      <c r="L774" s="12" t="n">
        <f aca="false">1+MOD(A774*131,100)</f>
        <v>64</v>
      </c>
      <c r="M774" s="12" t="n">
        <f aca="false">INT(K774*(0.6+MOD(A774*43,21)/100))</f>
        <v>14363</v>
      </c>
      <c r="N774" s="12" t="n">
        <f aca="false">K774-M774</f>
        <v>4291</v>
      </c>
    </row>
    <row r="775" customFormat="false" ht="12.8" hidden="false" customHeight="false" outlineLevel="0" collapsed="false">
      <c r="A775" s="10" t="n">
        <f aca="false">A774+1</f>
        <v>774</v>
      </c>
      <c r="B775" s="11" t="n">
        <f aca="false">B774+1</f>
        <v>45700</v>
      </c>
      <c r="C775" s="10" t="n">
        <f aca="false">YEAR(B775)</f>
        <v>2025</v>
      </c>
      <c r="D775" s="10" t="n">
        <f aca="false">INT((MONTH(B775)-1)/3)+1</f>
        <v>1</v>
      </c>
      <c r="E775" s="10" t="n">
        <f aca="false">MONTH(B775)</f>
        <v>2</v>
      </c>
      <c r="F775" s="10" t="str">
        <f aca="false">CHOOSE(MOD(A775-1,5)+1,"Центр","Юг","Север","Запад","Восток")</f>
        <v>Запад</v>
      </c>
      <c r="G775" s="10" t="str">
        <f aca="false">"Округ_"&amp;(MOD(A775-1,5)+1)&amp;"_"&amp;(MOD(INT((A775-1)/5),5)+1)</f>
        <v>Округ_4_5</v>
      </c>
      <c r="H775" s="10" t="str">
        <f aca="false">"Город_"&amp;(MOD(A775-1,5)+1)&amp;"_"&amp;(MOD(INT((A775-1)/5),5)+1)&amp;"_"&amp;(MOD(INT((A775-1)/25),10)+1)</f>
        <v>Город_4_5_1</v>
      </c>
      <c r="I775" s="10" t="str">
        <f aca="false">CHOOSE(MOD(A775-1,4)+1,"Электроника","Одежда","Продукты","Мебель")</f>
        <v>Одежда</v>
      </c>
      <c r="J775" s="10" t="str">
        <f aca="false">CHOOSE(MOD(INT((A775-1)/4),4)+1,CHOOSE(MOD(A775-1,4)+1,"Смартфоны","Ноутбуки","Аксессуары","Аудио"),CHOOSE(MOD(A775-1,4)+1,"Верхняя одежда","Спортивная","Повседневная","Обувь"),CHOOSE(MOD(A775-1,4)+1,"Молочные","Мясные","Бакалея","Напитки"),CHOOSE(MOD(A775-1,4)+1,"Мягкая мебель","Корпусная","Офисная","Кухонная"))</f>
        <v>Спортивная</v>
      </c>
      <c r="K775" s="12" t="n">
        <f aca="false">1000+MOD(A775*317+A775*A775*7,49001)</f>
        <v>29800</v>
      </c>
      <c r="L775" s="12" t="n">
        <f aca="false">1+MOD(A775*131,100)</f>
        <v>95</v>
      </c>
      <c r="M775" s="12" t="n">
        <f aca="false">INT(K775*(0.6+MOD(A775*43,21)/100))</f>
        <v>23244</v>
      </c>
      <c r="N775" s="12" t="n">
        <f aca="false">K775-M775</f>
        <v>6556</v>
      </c>
    </row>
    <row r="776" customFormat="false" ht="12.8" hidden="false" customHeight="false" outlineLevel="0" collapsed="false">
      <c r="A776" s="10" t="n">
        <f aca="false">A775+1</f>
        <v>775</v>
      </c>
      <c r="B776" s="11" t="n">
        <f aca="false">B775+1</f>
        <v>45701</v>
      </c>
      <c r="C776" s="10" t="n">
        <f aca="false">YEAR(B776)</f>
        <v>2025</v>
      </c>
      <c r="D776" s="10" t="n">
        <f aca="false">INT((MONTH(B776)-1)/3)+1</f>
        <v>1</v>
      </c>
      <c r="E776" s="10" t="n">
        <f aca="false">MONTH(B776)</f>
        <v>2</v>
      </c>
      <c r="F776" s="10" t="str">
        <f aca="false">CHOOSE(MOD(A776-1,5)+1,"Центр","Юг","Север","Запад","Восток")</f>
        <v>Восток</v>
      </c>
      <c r="G776" s="10" t="str">
        <f aca="false">"Округ_"&amp;(MOD(A776-1,5)+1)&amp;"_"&amp;(MOD(INT((A776-1)/5),5)+1)</f>
        <v>Округ_5_5</v>
      </c>
      <c r="H776" s="10" t="str">
        <f aca="false">"Город_"&amp;(MOD(A776-1,5)+1)&amp;"_"&amp;(MOD(INT((A776-1)/5),5)+1)&amp;"_"&amp;(MOD(INT((A776-1)/25),10)+1)</f>
        <v>Город_5_5_1</v>
      </c>
      <c r="I776" s="10" t="str">
        <f aca="false">CHOOSE(MOD(A776-1,4)+1,"Электроника","Одежда","Продукты","Мебель")</f>
        <v>Продукты</v>
      </c>
      <c r="J776" s="10" t="str">
        <f aca="false">CHOOSE(MOD(INT((A776-1)/4),4)+1,CHOOSE(MOD(A776-1,4)+1,"Смартфоны","Ноутбуки","Аксессуары","Аудио"),CHOOSE(MOD(A776-1,4)+1,"Верхняя одежда","Спортивная","Повседневная","Обувь"),CHOOSE(MOD(A776-1,4)+1,"Молочные","Мясные","Бакалея","Напитки"),CHOOSE(MOD(A776-1,4)+1,"Мягкая мебель","Корпусная","Офисная","Кухонная"))</f>
        <v>Повседневная</v>
      </c>
      <c r="K776" s="12" t="n">
        <f aca="false">1000+MOD(A776*317+A776*A776*7,49001)</f>
        <v>40960</v>
      </c>
      <c r="L776" s="12" t="n">
        <f aca="false">1+MOD(A776*131,100)</f>
        <v>26</v>
      </c>
      <c r="M776" s="12" t="n">
        <f aca="false">INT(K776*(0.6+MOD(A776*43,21)/100))</f>
        <v>32358</v>
      </c>
      <c r="N776" s="12" t="n">
        <f aca="false">K776-M776</f>
        <v>8602</v>
      </c>
    </row>
    <row r="777" customFormat="false" ht="12.8" hidden="false" customHeight="false" outlineLevel="0" collapsed="false">
      <c r="A777" s="10" t="n">
        <f aca="false">A776+1</f>
        <v>776</v>
      </c>
      <c r="B777" s="11" t="n">
        <f aca="false">B776+1</f>
        <v>45702</v>
      </c>
      <c r="C777" s="10" t="n">
        <f aca="false">YEAR(B777)</f>
        <v>2025</v>
      </c>
      <c r="D777" s="10" t="n">
        <f aca="false">INT((MONTH(B777)-1)/3)+1</f>
        <v>1</v>
      </c>
      <c r="E777" s="10" t="n">
        <f aca="false">MONTH(B777)</f>
        <v>2</v>
      </c>
      <c r="F777" s="10" t="str">
        <f aca="false">CHOOSE(MOD(A777-1,5)+1,"Центр","Юг","Север","Запад","Восток")</f>
        <v>Центр</v>
      </c>
      <c r="G777" s="10" t="str">
        <f aca="false">"Округ_"&amp;(MOD(A777-1,5)+1)&amp;"_"&amp;(MOD(INT((A777-1)/5),5)+1)</f>
        <v>Округ_1_1</v>
      </c>
      <c r="H777" s="10" t="str">
        <f aca="false">"Город_"&amp;(MOD(A777-1,5)+1)&amp;"_"&amp;(MOD(INT((A777-1)/5),5)+1)&amp;"_"&amp;(MOD(INT((A777-1)/25),10)+1)</f>
        <v>Город_1_1_2</v>
      </c>
      <c r="I777" s="10" t="str">
        <f aca="false">CHOOSE(MOD(A777-1,4)+1,"Электроника","Одежда","Продукты","Мебель")</f>
        <v>Мебель</v>
      </c>
      <c r="J777" s="10" t="str">
        <f aca="false">CHOOSE(MOD(INT((A777-1)/4),4)+1,CHOOSE(MOD(A777-1,4)+1,"Смартфоны","Ноутбуки","Аксессуары","Аудио"),CHOOSE(MOD(A777-1,4)+1,"Верхняя одежда","Спортивная","Повседневная","Обувь"),CHOOSE(MOD(A777-1,4)+1,"Молочные","Мясные","Бакалея","Напитки"),CHOOSE(MOD(A777-1,4)+1,"Мягкая мебель","Корпусная","Офисная","Кухонная"))</f>
        <v>Обувь</v>
      </c>
      <c r="K777" s="12" t="n">
        <f aca="false">1000+MOD(A777*317+A777*A777*7,49001)</f>
        <v>3133</v>
      </c>
      <c r="L777" s="12" t="n">
        <f aca="false">1+MOD(A777*131,100)</f>
        <v>57</v>
      </c>
      <c r="M777" s="12" t="n">
        <f aca="false">INT(K777*(0.6+MOD(A777*43,21)/100))</f>
        <v>2506</v>
      </c>
      <c r="N777" s="12" t="n">
        <f aca="false">K777-M777</f>
        <v>627</v>
      </c>
    </row>
    <row r="778" customFormat="false" ht="12.8" hidden="false" customHeight="false" outlineLevel="0" collapsed="false">
      <c r="A778" s="10" t="n">
        <f aca="false">A777+1</f>
        <v>777</v>
      </c>
      <c r="B778" s="11" t="n">
        <f aca="false">B777+1</f>
        <v>45703</v>
      </c>
      <c r="C778" s="10" t="n">
        <f aca="false">YEAR(B778)</f>
        <v>2025</v>
      </c>
      <c r="D778" s="10" t="n">
        <f aca="false">INT((MONTH(B778)-1)/3)+1</f>
        <v>1</v>
      </c>
      <c r="E778" s="10" t="n">
        <f aca="false">MONTH(B778)</f>
        <v>2</v>
      </c>
      <c r="F778" s="10" t="str">
        <f aca="false">CHOOSE(MOD(A778-1,5)+1,"Центр","Юг","Север","Запад","Восток")</f>
        <v>Юг</v>
      </c>
      <c r="G778" s="10" t="str">
        <f aca="false">"Округ_"&amp;(MOD(A778-1,5)+1)&amp;"_"&amp;(MOD(INT((A778-1)/5),5)+1)</f>
        <v>Округ_2_1</v>
      </c>
      <c r="H778" s="10" t="str">
        <f aca="false">"Город_"&amp;(MOD(A778-1,5)+1)&amp;"_"&amp;(MOD(INT((A778-1)/5),5)+1)&amp;"_"&amp;(MOD(INT((A778-1)/25),10)+1)</f>
        <v>Город_2_1_2</v>
      </c>
      <c r="I778" s="10" t="str">
        <f aca="false">CHOOSE(MOD(A778-1,4)+1,"Электроника","Одежда","Продукты","Мебель")</f>
        <v>Электроника</v>
      </c>
      <c r="J778" s="10" t="str">
        <f aca="false">CHOOSE(MOD(INT((A778-1)/4),4)+1,CHOOSE(MOD(A778-1,4)+1,"Смартфоны","Ноутбуки","Аксессуары","Аудио"),CHOOSE(MOD(A778-1,4)+1,"Верхняя одежда","Спортивная","Повседневная","Обувь"),CHOOSE(MOD(A778-1,4)+1,"Молочные","Мясные","Бакалея","Напитки"),CHOOSE(MOD(A778-1,4)+1,"Мягкая мебель","Корпусная","Офисная","Кухонная"))</f>
        <v>Молочные</v>
      </c>
      <c r="K778" s="12" t="n">
        <f aca="false">1000+MOD(A778*317+A778*A778*7,49001)</f>
        <v>14321</v>
      </c>
      <c r="L778" s="12" t="n">
        <f aca="false">1+MOD(A778*131,100)</f>
        <v>88</v>
      </c>
      <c r="M778" s="12" t="n">
        <f aca="false">INT(K778*(0.6+MOD(A778*43,21)/100))</f>
        <v>8592</v>
      </c>
      <c r="N778" s="12" t="n">
        <f aca="false">K778-M778</f>
        <v>5729</v>
      </c>
    </row>
    <row r="779" customFormat="false" ht="12.8" hidden="false" customHeight="false" outlineLevel="0" collapsed="false">
      <c r="A779" s="10" t="n">
        <f aca="false">A778+1</f>
        <v>778</v>
      </c>
      <c r="B779" s="11" t="n">
        <f aca="false">B778+1</f>
        <v>45704</v>
      </c>
      <c r="C779" s="10" t="n">
        <f aca="false">YEAR(B779)</f>
        <v>2025</v>
      </c>
      <c r="D779" s="10" t="n">
        <f aca="false">INT((MONTH(B779)-1)/3)+1</f>
        <v>1</v>
      </c>
      <c r="E779" s="10" t="n">
        <f aca="false">MONTH(B779)</f>
        <v>2</v>
      </c>
      <c r="F779" s="10" t="str">
        <f aca="false">CHOOSE(MOD(A779-1,5)+1,"Центр","Юг","Север","Запад","Восток")</f>
        <v>Север</v>
      </c>
      <c r="G779" s="10" t="str">
        <f aca="false">"Округ_"&amp;(MOD(A779-1,5)+1)&amp;"_"&amp;(MOD(INT((A779-1)/5),5)+1)</f>
        <v>Округ_3_1</v>
      </c>
      <c r="H779" s="10" t="str">
        <f aca="false">"Город_"&amp;(MOD(A779-1,5)+1)&amp;"_"&amp;(MOD(INT((A779-1)/5),5)+1)&amp;"_"&amp;(MOD(INT((A779-1)/25),10)+1)</f>
        <v>Город_3_1_2</v>
      </c>
      <c r="I779" s="10" t="str">
        <f aca="false">CHOOSE(MOD(A779-1,4)+1,"Электроника","Одежда","Продукты","Мебель")</f>
        <v>Одежда</v>
      </c>
      <c r="J779" s="10" t="str">
        <f aca="false">CHOOSE(MOD(INT((A779-1)/4),4)+1,CHOOSE(MOD(A779-1,4)+1,"Смартфоны","Ноутбуки","Аксессуары","Аудио"),CHOOSE(MOD(A779-1,4)+1,"Верхняя одежда","Спортивная","Повседневная","Обувь"),CHOOSE(MOD(A779-1,4)+1,"Молочные","Мясные","Бакалея","Напитки"),CHOOSE(MOD(A779-1,4)+1,"Мягкая мебель","Корпусная","Офисная","Кухонная"))</f>
        <v>Мясные</v>
      </c>
      <c r="K779" s="12" t="n">
        <f aca="false">1000+MOD(A779*317+A779*A779*7,49001)</f>
        <v>25523</v>
      </c>
      <c r="L779" s="12" t="n">
        <f aca="false">1+MOD(A779*131,100)</f>
        <v>19</v>
      </c>
      <c r="M779" s="12" t="n">
        <f aca="false">INT(K779*(0.6+MOD(A779*43,21)/100))</f>
        <v>15569</v>
      </c>
      <c r="N779" s="12" t="n">
        <f aca="false">K779-M779</f>
        <v>9954</v>
      </c>
    </row>
    <row r="780" customFormat="false" ht="12.8" hidden="false" customHeight="false" outlineLevel="0" collapsed="false">
      <c r="A780" s="10" t="n">
        <f aca="false">A779+1</f>
        <v>779</v>
      </c>
      <c r="B780" s="11" t="n">
        <f aca="false">B779+1</f>
        <v>45705</v>
      </c>
      <c r="C780" s="10" t="n">
        <f aca="false">YEAR(B780)</f>
        <v>2025</v>
      </c>
      <c r="D780" s="10" t="n">
        <f aca="false">INT((MONTH(B780)-1)/3)+1</f>
        <v>1</v>
      </c>
      <c r="E780" s="10" t="n">
        <f aca="false">MONTH(B780)</f>
        <v>2</v>
      </c>
      <c r="F780" s="10" t="str">
        <f aca="false">CHOOSE(MOD(A780-1,5)+1,"Центр","Юг","Север","Запад","Восток")</f>
        <v>Запад</v>
      </c>
      <c r="G780" s="10" t="str">
        <f aca="false">"Округ_"&amp;(MOD(A780-1,5)+1)&amp;"_"&amp;(MOD(INT((A780-1)/5),5)+1)</f>
        <v>Округ_4_1</v>
      </c>
      <c r="H780" s="10" t="str">
        <f aca="false">"Город_"&amp;(MOD(A780-1,5)+1)&amp;"_"&amp;(MOD(INT((A780-1)/5),5)+1)&amp;"_"&amp;(MOD(INT((A780-1)/25),10)+1)</f>
        <v>Город_4_1_2</v>
      </c>
      <c r="I780" s="10" t="str">
        <f aca="false">CHOOSE(MOD(A780-1,4)+1,"Электроника","Одежда","Продукты","Мебель")</f>
        <v>Продукты</v>
      </c>
      <c r="J780" s="10" t="str">
        <f aca="false">CHOOSE(MOD(INT((A780-1)/4),4)+1,CHOOSE(MOD(A780-1,4)+1,"Смартфоны","Ноутбуки","Аксессуары","Аудио"),CHOOSE(MOD(A780-1,4)+1,"Верхняя одежда","Спортивная","Повседневная","Обувь"),CHOOSE(MOD(A780-1,4)+1,"Молочные","Мясные","Бакалея","Напитки"),CHOOSE(MOD(A780-1,4)+1,"Мягкая мебель","Корпусная","Офисная","Кухонная"))</f>
        <v>Бакалея</v>
      </c>
      <c r="K780" s="12" t="n">
        <f aca="false">1000+MOD(A780*317+A780*A780*7,49001)</f>
        <v>36739</v>
      </c>
      <c r="L780" s="12" t="n">
        <f aca="false">1+MOD(A780*131,100)</f>
        <v>50</v>
      </c>
      <c r="M780" s="12" t="n">
        <f aca="false">INT(K780*(0.6+MOD(A780*43,21)/100))</f>
        <v>22778</v>
      </c>
      <c r="N780" s="12" t="n">
        <f aca="false">K780-M780</f>
        <v>13961</v>
      </c>
    </row>
    <row r="781" customFormat="false" ht="12.8" hidden="false" customHeight="false" outlineLevel="0" collapsed="false">
      <c r="A781" s="10" t="n">
        <f aca="false">A780+1</f>
        <v>780</v>
      </c>
      <c r="B781" s="11" t="n">
        <f aca="false">B780+1</f>
        <v>45706</v>
      </c>
      <c r="C781" s="10" t="n">
        <f aca="false">YEAR(B781)</f>
        <v>2025</v>
      </c>
      <c r="D781" s="10" t="n">
        <f aca="false">INT((MONTH(B781)-1)/3)+1</f>
        <v>1</v>
      </c>
      <c r="E781" s="10" t="n">
        <f aca="false">MONTH(B781)</f>
        <v>2</v>
      </c>
      <c r="F781" s="10" t="str">
        <f aca="false">CHOOSE(MOD(A781-1,5)+1,"Центр","Юг","Север","Запад","Восток")</f>
        <v>Восток</v>
      </c>
      <c r="G781" s="10" t="str">
        <f aca="false">"Округ_"&amp;(MOD(A781-1,5)+1)&amp;"_"&amp;(MOD(INT((A781-1)/5),5)+1)</f>
        <v>Округ_5_1</v>
      </c>
      <c r="H781" s="10" t="str">
        <f aca="false">"Город_"&amp;(MOD(A781-1,5)+1)&amp;"_"&amp;(MOD(INT((A781-1)/5),5)+1)&amp;"_"&amp;(MOD(INT((A781-1)/25),10)+1)</f>
        <v>Город_5_1_2</v>
      </c>
      <c r="I781" s="10" t="str">
        <f aca="false">CHOOSE(MOD(A781-1,4)+1,"Электроника","Одежда","Продукты","Мебель")</f>
        <v>Мебель</v>
      </c>
      <c r="J781" s="10" t="str">
        <f aca="false">CHOOSE(MOD(INT((A781-1)/4),4)+1,CHOOSE(MOD(A781-1,4)+1,"Смартфоны","Ноутбуки","Аксессуары","Аудио"),CHOOSE(MOD(A781-1,4)+1,"Верхняя одежда","Спортивная","Повседневная","Обувь"),CHOOSE(MOD(A781-1,4)+1,"Молочные","Мясные","Бакалея","Напитки"),CHOOSE(MOD(A781-1,4)+1,"Мягкая мебель","Корпусная","Офисная","Кухонная"))</f>
        <v>Напитки</v>
      </c>
      <c r="K781" s="12" t="n">
        <f aca="false">1000+MOD(A781*317+A781*A781*7,49001)</f>
        <v>47969</v>
      </c>
      <c r="L781" s="12" t="n">
        <f aca="false">1+MOD(A781*131,100)</f>
        <v>81</v>
      </c>
      <c r="M781" s="12" t="n">
        <f aca="false">INT(K781*(0.6+MOD(A781*43,21)/100))</f>
        <v>30220</v>
      </c>
      <c r="N781" s="12" t="n">
        <f aca="false">K781-M781</f>
        <v>17749</v>
      </c>
    </row>
    <row r="782" customFormat="false" ht="12.8" hidden="false" customHeight="false" outlineLevel="0" collapsed="false">
      <c r="A782" s="10" t="n">
        <f aca="false">A781+1</f>
        <v>781</v>
      </c>
      <c r="B782" s="11" t="n">
        <f aca="false">B781+1</f>
        <v>45707</v>
      </c>
      <c r="C782" s="10" t="n">
        <f aca="false">YEAR(B782)</f>
        <v>2025</v>
      </c>
      <c r="D782" s="10" t="n">
        <f aca="false">INT((MONTH(B782)-1)/3)+1</f>
        <v>1</v>
      </c>
      <c r="E782" s="10" t="n">
        <f aca="false">MONTH(B782)</f>
        <v>2</v>
      </c>
      <c r="F782" s="10" t="str">
        <f aca="false">CHOOSE(MOD(A782-1,5)+1,"Центр","Юг","Север","Запад","Восток")</f>
        <v>Центр</v>
      </c>
      <c r="G782" s="10" t="str">
        <f aca="false">"Округ_"&amp;(MOD(A782-1,5)+1)&amp;"_"&amp;(MOD(INT((A782-1)/5),5)+1)</f>
        <v>Округ_1_2</v>
      </c>
      <c r="H782" s="10" t="str">
        <f aca="false">"Город_"&amp;(MOD(A782-1,5)+1)&amp;"_"&amp;(MOD(INT((A782-1)/5),5)+1)&amp;"_"&amp;(MOD(INT((A782-1)/25),10)+1)</f>
        <v>Город_1_2_2</v>
      </c>
      <c r="I782" s="10" t="str">
        <f aca="false">CHOOSE(MOD(A782-1,4)+1,"Электроника","Одежда","Продукты","Мебель")</f>
        <v>Электроника</v>
      </c>
      <c r="J782" s="10" t="str">
        <f aca="false">CHOOSE(MOD(INT((A782-1)/4),4)+1,CHOOSE(MOD(A782-1,4)+1,"Смартфоны","Ноутбуки","Аксессуары","Аудио"),CHOOSE(MOD(A782-1,4)+1,"Верхняя одежда","Спортивная","Повседневная","Обувь"),CHOOSE(MOD(A782-1,4)+1,"Молочные","Мясные","Бакалея","Напитки"),CHOOSE(MOD(A782-1,4)+1,"Мягкая мебель","Корпусная","Офисная","Кухонная"))</f>
        <v>Мягкая мебель</v>
      </c>
      <c r="K782" s="12" t="n">
        <f aca="false">1000+MOD(A782*317+A782*A782*7,49001)</f>
        <v>10212</v>
      </c>
      <c r="L782" s="12" t="n">
        <f aca="false">1+MOD(A782*131,100)</f>
        <v>12</v>
      </c>
      <c r="M782" s="12" t="n">
        <f aca="false">INT(K782*(0.6+MOD(A782*43,21)/100))</f>
        <v>6535</v>
      </c>
      <c r="N782" s="12" t="n">
        <f aca="false">K782-M782</f>
        <v>3677</v>
      </c>
    </row>
    <row r="783" customFormat="false" ht="12.8" hidden="false" customHeight="false" outlineLevel="0" collapsed="false">
      <c r="A783" s="10" t="n">
        <f aca="false">A782+1</f>
        <v>782</v>
      </c>
      <c r="B783" s="11" t="n">
        <f aca="false">B782+1</f>
        <v>45708</v>
      </c>
      <c r="C783" s="10" t="n">
        <f aca="false">YEAR(B783)</f>
        <v>2025</v>
      </c>
      <c r="D783" s="10" t="n">
        <f aca="false">INT((MONTH(B783)-1)/3)+1</f>
        <v>1</v>
      </c>
      <c r="E783" s="10" t="n">
        <f aca="false">MONTH(B783)</f>
        <v>2</v>
      </c>
      <c r="F783" s="10" t="str">
        <f aca="false">CHOOSE(MOD(A783-1,5)+1,"Центр","Юг","Север","Запад","Восток")</f>
        <v>Юг</v>
      </c>
      <c r="G783" s="10" t="str">
        <f aca="false">"Округ_"&amp;(MOD(A783-1,5)+1)&amp;"_"&amp;(MOD(INT((A783-1)/5),5)+1)</f>
        <v>Округ_2_2</v>
      </c>
      <c r="H783" s="10" t="str">
        <f aca="false">"Город_"&amp;(MOD(A783-1,5)+1)&amp;"_"&amp;(MOD(INT((A783-1)/5),5)+1)&amp;"_"&amp;(MOD(INT((A783-1)/25),10)+1)</f>
        <v>Город_2_2_2</v>
      </c>
      <c r="I783" s="10" t="str">
        <f aca="false">CHOOSE(MOD(A783-1,4)+1,"Электроника","Одежда","Продукты","Мебель")</f>
        <v>Одежда</v>
      </c>
      <c r="J783" s="10" t="str">
        <f aca="false">CHOOSE(MOD(INT((A783-1)/4),4)+1,CHOOSE(MOD(A783-1,4)+1,"Смартфоны","Ноутбуки","Аксессуары","Аудио"),CHOOSE(MOD(A783-1,4)+1,"Верхняя одежда","Спортивная","Повседневная","Обувь"),CHOOSE(MOD(A783-1,4)+1,"Молочные","Мясные","Бакалея","Напитки"),CHOOSE(MOD(A783-1,4)+1,"Мягкая мебель","Корпусная","Офисная","Кухонная"))</f>
        <v>Корпусная</v>
      </c>
      <c r="K783" s="12" t="n">
        <f aca="false">1000+MOD(A783*317+A783*A783*7,49001)</f>
        <v>21470</v>
      </c>
      <c r="L783" s="12" t="n">
        <f aca="false">1+MOD(A783*131,100)</f>
        <v>43</v>
      </c>
      <c r="M783" s="12" t="n">
        <f aca="false">INT(K783*(0.6+MOD(A783*43,21)/100))</f>
        <v>13955</v>
      </c>
      <c r="N783" s="12" t="n">
        <f aca="false">K783-M783</f>
        <v>7515</v>
      </c>
    </row>
    <row r="784" customFormat="false" ht="12.8" hidden="false" customHeight="false" outlineLevel="0" collapsed="false">
      <c r="A784" s="10" t="n">
        <f aca="false">A783+1</f>
        <v>783</v>
      </c>
      <c r="B784" s="11" t="n">
        <f aca="false">B783+1</f>
        <v>45709</v>
      </c>
      <c r="C784" s="10" t="n">
        <f aca="false">YEAR(B784)</f>
        <v>2025</v>
      </c>
      <c r="D784" s="10" t="n">
        <f aca="false">INT((MONTH(B784)-1)/3)+1</f>
        <v>1</v>
      </c>
      <c r="E784" s="10" t="n">
        <f aca="false">MONTH(B784)</f>
        <v>2</v>
      </c>
      <c r="F784" s="10" t="str">
        <f aca="false">CHOOSE(MOD(A784-1,5)+1,"Центр","Юг","Север","Запад","Восток")</f>
        <v>Север</v>
      </c>
      <c r="G784" s="10" t="str">
        <f aca="false">"Округ_"&amp;(MOD(A784-1,5)+1)&amp;"_"&amp;(MOD(INT((A784-1)/5),5)+1)</f>
        <v>Округ_3_2</v>
      </c>
      <c r="H784" s="10" t="str">
        <f aca="false">"Город_"&amp;(MOD(A784-1,5)+1)&amp;"_"&amp;(MOD(INT((A784-1)/5),5)+1)&amp;"_"&amp;(MOD(INT((A784-1)/25),10)+1)</f>
        <v>Город_3_2_2</v>
      </c>
      <c r="I784" s="10" t="str">
        <f aca="false">CHOOSE(MOD(A784-1,4)+1,"Электроника","Одежда","Продукты","Мебель")</f>
        <v>Продукты</v>
      </c>
      <c r="J784" s="10" t="str">
        <f aca="false">CHOOSE(MOD(INT((A784-1)/4),4)+1,CHOOSE(MOD(A784-1,4)+1,"Смартфоны","Ноутбуки","Аксессуары","Аудио"),CHOOSE(MOD(A784-1,4)+1,"Верхняя одежда","Спортивная","Повседневная","Обувь"),CHOOSE(MOD(A784-1,4)+1,"Молочные","Мясные","Бакалея","Напитки"),CHOOSE(MOD(A784-1,4)+1,"Мягкая мебель","Корпусная","Офисная","Кухонная"))</f>
        <v>Офисная</v>
      </c>
      <c r="K784" s="12" t="n">
        <f aca="false">1000+MOD(A784*317+A784*A784*7,49001)</f>
        <v>32742</v>
      </c>
      <c r="L784" s="12" t="n">
        <f aca="false">1+MOD(A784*131,100)</f>
        <v>74</v>
      </c>
      <c r="M784" s="12" t="n">
        <f aca="false">INT(K784*(0.6+MOD(A784*43,21)/100))</f>
        <v>21609</v>
      </c>
      <c r="N784" s="12" t="n">
        <f aca="false">K784-M784</f>
        <v>11133</v>
      </c>
    </row>
    <row r="785" customFormat="false" ht="12.8" hidden="false" customHeight="false" outlineLevel="0" collapsed="false">
      <c r="A785" s="10" t="n">
        <f aca="false">A784+1</f>
        <v>784</v>
      </c>
      <c r="B785" s="11" t="n">
        <f aca="false">B784+1</f>
        <v>45710</v>
      </c>
      <c r="C785" s="10" t="n">
        <f aca="false">YEAR(B785)</f>
        <v>2025</v>
      </c>
      <c r="D785" s="10" t="n">
        <f aca="false">INT((MONTH(B785)-1)/3)+1</f>
        <v>1</v>
      </c>
      <c r="E785" s="10" t="n">
        <f aca="false">MONTH(B785)</f>
        <v>2</v>
      </c>
      <c r="F785" s="10" t="str">
        <f aca="false">CHOOSE(MOD(A785-1,5)+1,"Центр","Юг","Север","Запад","Восток")</f>
        <v>Запад</v>
      </c>
      <c r="G785" s="10" t="str">
        <f aca="false">"Округ_"&amp;(MOD(A785-1,5)+1)&amp;"_"&amp;(MOD(INT((A785-1)/5),5)+1)</f>
        <v>Округ_4_2</v>
      </c>
      <c r="H785" s="10" t="str">
        <f aca="false">"Город_"&amp;(MOD(A785-1,5)+1)&amp;"_"&amp;(MOD(INT((A785-1)/5),5)+1)&amp;"_"&amp;(MOD(INT((A785-1)/25),10)+1)</f>
        <v>Город_4_2_2</v>
      </c>
      <c r="I785" s="10" t="str">
        <f aca="false">CHOOSE(MOD(A785-1,4)+1,"Электроника","Одежда","Продукты","Мебель")</f>
        <v>Мебель</v>
      </c>
      <c r="J785" s="10" t="str">
        <f aca="false">CHOOSE(MOD(INT((A785-1)/4),4)+1,CHOOSE(MOD(A785-1,4)+1,"Смартфоны","Ноутбуки","Аксессуары","Аудио"),CHOOSE(MOD(A785-1,4)+1,"Верхняя одежда","Спортивная","Повседневная","Обувь"),CHOOSE(MOD(A785-1,4)+1,"Молочные","Мясные","Бакалея","Напитки"),CHOOSE(MOD(A785-1,4)+1,"Мягкая мебель","Корпусная","Офисная","Кухонная"))</f>
        <v>Кухонная</v>
      </c>
      <c r="K785" s="12" t="n">
        <f aca="false">1000+MOD(A785*317+A785*A785*7,49001)</f>
        <v>44028</v>
      </c>
      <c r="L785" s="12" t="n">
        <f aca="false">1+MOD(A785*131,100)</f>
        <v>5</v>
      </c>
      <c r="M785" s="12" t="n">
        <f aca="false">INT(K785*(0.6+MOD(A785*43,21)/100))</f>
        <v>29498</v>
      </c>
      <c r="N785" s="12" t="n">
        <f aca="false">K785-M785</f>
        <v>14530</v>
      </c>
    </row>
    <row r="786" customFormat="false" ht="12.8" hidden="false" customHeight="false" outlineLevel="0" collapsed="false">
      <c r="A786" s="10" t="n">
        <f aca="false">A785+1</f>
        <v>785</v>
      </c>
      <c r="B786" s="11" t="n">
        <f aca="false">B785+1</f>
        <v>45711</v>
      </c>
      <c r="C786" s="10" t="n">
        <f aca="false">YEAR(B786)</f>
        <v>2025</v>
      </c>
      <c r="D786" s="10" t="n">
        <f aca="false">INT((MONTH(B786)-1)/3)+1</f>
        <v>1</v>
      </c>
      <c r="E786" s="10" t="n">
        <f aca="false">MONTH(B786)</f>
        <v>2</v>
      </c>
      <c r="F786" s="10" t="str">
        <f aca="false">CHOOSE(MOD(A786-1,5)+1,"Центр","Юг","Север","Запад","Восток")</f>
        <v>Восток</v>
      </c>
      <c r="G786" s="10" t="str">
        <f aca="false">"Округ_"&amp;(MOD(A786-1,5)+1)&amp;"_"&amp;(MOD(INT((A786-1)/5),5)+1)</f>
        <v>Округ_5_2</v>
      </c>
      <c r="H786" s="10" t="str">
        <f aca="false">"Город_"&amp;(MOD(A786-1,5)+1)&amp;"_"&amp;(MOD(INT((A786-1)/5),5)+1)&amp;"_"&amp;(MOD(INT((A786-1)/25),10)+1)</f>
        <v>Город_5_2_2</v>
      </c>
      <c r="I786" s="10" t="str">
        <f aca="false">CHOOSE(MOD(A786-1,4)+1,"Электроника","Одежда","Продукты","Мебель")</f>
        <v>Электроника</v>
      </c>
      <c r="J786" s="10" t="str">
        <f aca="false">CHOOSE(MOD(INT((A786-1)/4),4)+1,CHOOSE(MOD(A786-1,4)+1,"Смартфоны","Ноутбуки","Аксессуары","Аудио"),CHOOSE(MOD(A786-1,4)+1,"Верхняя одежда","Спортивная","Повседневная","Обувь"),CHOOSE(MOD(A786-1,4)+1,"Молочные","Мясные","Бакалея","Напитки"),CHOOSE(MOD(A786-1,4)+1,"Мягкая мебель","Корпусная","Офисная","Кухонная"))</f>
        <v>Смартфоны</v>
      </c>
      <c r="K786" s="12" t="n">
        <f aca="false">1000+MOD(A786*317+A786*A786*7,49001)</f>
        <v>6327</v>
      </c>
      <c r="L786" s="12" t="n">
        <f aca="false">1+MOD(A786*131,100)</f>
        <v>36</v>
      </c>
      <c r="M786" s="12" t="n">
        <f aca="false">INT(K786*(0.6+MOD(A786*43,21)/100))</f>
        <v>4302</v>
      </c>
      <c r="N786" s="12" t="n">
        <f aca="false">K786-M786</f>
        <v>2025</v>
      </c>
    </row>
    <row r="787" customFormat="false" ht="12.8" hidden="false" customHeight="false" outlineLevel="0" collapsed="false">
      <c r="A787" s="10" t="n">
        <f aca="false">A786+1</f>
        <v>786</v>
      </c>
      <c r="B787" s="11" t="n">
        <f aca="false">B786+1</f>
        <v>45712</v>
      </c>
      <c r="C787" s="10" t="n">
        <f aca="false">YEAR(B787)</f>
        <v>2025</v>
      </c>
      <c r="D787" s="10" t="n">
        <f aca="false">INT((MONTH(B787)-1)/3)+1</f>
        <v>1</v>
      </c>
      <c r="E787" s="10" t="n">
        <f aca="false">MONTH(B787)</f>
        <v>2</v>
      </c>
      <c r="F787" s="10" t="str">
        <f aca="false">CHOOSE(MOD(A787-1,5)+1,"Центр","Юг","Север","Запад","Восток")</f>
        <v>Центр</v>
      </c>
      <c r="G787" s="10" t="str">
        <f aca="false">"Округ_"&amp;(MOD(A787-1,5)+1)&amp;"_"&amp;(MOD(INT((A787-1)/5),5)+1)</f>
        <v>Округ_1_3</v>
      </c>
      <c r="H787" s="10" t="str">
        <f aca="false">"Город_"&amp;(MOD(A787-1,5)+1)&amp;"_"&amp;(MOD(INT((A787-1)/5),5)+1)&amp;"_"&amp;(MOD(INT((A787-1)/25),10)+1)</f>
        <v>Город_1_3_2</v>
      </c>
      <c r="I787" s="10" t="str">
        <f aca="false">CHOOSE(MOD(A787-1,4)+1,"Электроника","Одежда","Продукты","Мебель")</f>
        <v>Одежда</v>
      </c>
      <c r="J787" s="10" t="str">
        <f aca="false">CHOOSE(MOD(INT((A787-1)/4),4)+1,CHOOSE(MOD(A787-1,4)+1,"Смартфоны","Ноутбуки","Аксессуары","Аудио"),CHOOSE(MOD(A787-1,4)+1,"Верхняя одежда","Спортивная","Повседневная","Обувь"),CHOOSE(MOD(A787-1,4)+1,"Молочные","Мясные","Бакалея","Напитки"),CHOOSE(MOD(A787-1,4)+1,"Мягкая мебель","Корпусная","Офисная","Кухонная"))</f>
        <v>Ноутбуки</v>
      </c>
      <c r="K787" s="12" t="n">
        <f aca="false">1000+MOD(A787*317+A787*A787*7,49001)</f>
        <v>17641</v>
      </c>
      <c r="L787" s="12" t="n">
        <f aca="false">1+MOD(A787*131,100)</f>
        <v>67</v>
      </c>
      <c r="M787" s="12" t="n">
        <f aca="false">INT(K787*(0.6+MOD(A787*43,21)/100))</f>
        <v>12172</v>
      </c>
      <c r="N787" s="12" t="n">
        <f aca="false">K787-M787</f>
        <v>5469</v>
      </c>
    </row>
    <row r="788" customFormat="false" ht="12.8" hidden="false" customHeight="false" outlineLevel="0" collapsed="false">
      <c r="A788" s="10" t="n">
        <f aca="false">A787+1</f>
        <v>787</v>
      </c>
      <c r="B788" s="11" t="n">
        <f aca="false">B787+1</f>
        <v>45713</v>
      </c>
      <c r="C788" s="10" t="n">
        <f aca="false">YEAR(B788)</f>
        <v>2025</v>
      </c>
      <c r="D788" s="10" t="n">
        <f aca="false">INT((MONTH(B788)-1)/3)+1</f>
        <v>1</v>
      </c>
      <c r="E788" s="10" t="n">
        <f aca="false">MONTH(B788)</f>
        <v>2</v>
      </c>
      <c r="F788" s="10" t="str">
        <f aca="false">CHOOSE(MOD(A788-1,5)+1,"Центр","Юг","Север","Запад","Восток")</f>
        <v>Юг</v>
      </c>
      <c r="G788" s="10" t="str">
        <f aca="false">"Округ_"&amp;(MOD(A788-1,5)+1)&amp;"_"&amp;(MOD(INT((A788-1)/5),5)+1)</f>
        <v>Округ_2_3</v>
      </c>
      <c r="H788" s="10" t="str">
        <f aca="false">"Город_"&amp;(MOD(A788-1,5)+1)&amp;"_"&amp;(MOD(INT((A788-1)/5),5)+1)&amp;"_"&amp;(MOD(INT((A788-1)/25),10)+1)</f>
        <v>Город_2_3_2</v>
      </c>
      <c r="I788" s="10" t="str">
        <f aca="false">CHOOSE(MOD(A788-1,4)+1,"Электроника","Одежда","Продукты","Мебель")</f>
        <v>Продукты</v>
      </c>
      <c r="J788" s="10" t="str">
        <f aca="false">CHOOSE(MOD(INT((A788-1)/4),4)+1,CHOOSE(MOD(A788-1,4)+1,"Смартфоны","Ноутбуки","Аксессуары","Аудио"),CHOOSE(MOD(A788-1,4)+1,"Верхняя одежда","Спортивная","Повседневная","Обувь"),CHOOSE(MOD(A788-1,4)+1,"Молочные","Мясные","Бакалея","Напитки"),CHOOSE(MOD(A788-1,4)+1,"Мягкая мебель","Корпусная","Офисная","Кухонная"))</f>
        <v>Аксессуары</v>
      </c>
      <c r="K788" s="12" t="n">
        <f aca="false">1000+MOD(A788*317+A788*A788*7,49001)</f>
        <v>28969</v>
      </c>
      <c r="L788" s="12" t="n">
        <f aca="false">1+MOD(A788*131,100)</f>
        <v>98</v>
      </c>
      <c r="M788" s="12" t="n">
        <f aca="false">INT(K788*(0.6+MOD(A788*43,21)/100))</f>
        <v>20278</v>
      </c>
      <c r="N788" s="12" t="n">
        <f aca="false">K788-M788</f>
        <v>8691</v>
      </c>
    </row>
    <row r="789" customFormat="false" ht="12.8" hidden="false" customHeight="false" outlineLevel="0" collapsed="false">
      <c r="A789" s="10" t="n">
        <f aca="false">A788+1</f>
        <v>788</v>
      </c>
      <c r="B789" s="11" t="n">
        <f aca="false">B788+1</f>
        <v>45714</v>
      </c>
      <c r="C789" s="10" t="n">
        <f aca="false">YEAR(B789)</f>
        <v>2025</v>
      </c>
      <c r="D789" s="10" t="n">
        <f aca="false">INT((MONTH(B789)-1)/3)+1</f>
        <v>1</v>
      </c>
      <c r="E789" s="10" t="n">
        <f aca="false">MONTH(B789)</f>
        <v>2</v>
      </c>
      <c r="F789" s="10" t="str">
        <f aca="false">CHOOSE(MOD(A789-1,5)+1,"Центр","Юг","Север","Запад","Восток")</f>
        <v>Север</v>
      </c>
      <c r="G789" s="10" t="str">
        <f aca="false">"Округ_"&amp;(MOD(A789-1,5)+1)&amp;"_"&amp;(MOD(INT((A789-1)/5),5)+1)</f>
        <v>Округ_3_3</v>
      </c>
      <c r="H789" s="10" t="str">
        <f aca="false">"Город_"&amp;(MOD(A789-1,5)+1)&amp;"_"&amp;(MOD(INT((A789-1)/5),5)+1)&amp;"_"&amp;(MOD(INT((A789-1)/25),10)+1)</f>
        <v>Город_3_3_2</v>
      </c>
      <c r="I789" s="10" t="str">
        <f aca="false">CHOOSE(MOD(A789-1,4)+1,"Электроника","Одежда","Продукты","Мебель")</f>
        <v>Мебель</v>
      </c>
      <c r="J789" s="10" t="str">
        <f aca="false">CHOOSE(MOD(INT((A789-1)/4),4)+1,CHOOSE(MOD(A789-1,4)+1,"Смартфоны","Ноутбуки","Аксессуары","Аудио"),CHOOSE(MOD(A789-1,4)+1,"Верхняя одежда","Спортивная","Повседневная","Обувь"),CHOOSE(MOD(A789-1,4)+1,"Молочные","Мясные","Бакалея","Напитки"),CHOOSE(MOD(A789-1,4)+1,"Мягкая мебель","Корпусная","Офисная","Кухонная"))</f>
        <v>Аудио</v>
      </c>
      <c r="K789" s="12" t="n">
        <f aca="false">1000+MOD(A789*317+A789*A789*7,49001)</f>
        <v>40311</v>
      </c>
      <c r="L789" s="12" t="n">
        <f aca="false">1+MOD(A789*131,100)</f>
        <v>29</v>
      </c>
      <c r="M789" s="12" t="n">
        <f aca="false">INT(K789*(0.6+MOD(A789*43,21)/100))</f>
        <v>28620</v>
      </c>
      <c r="N789" s="12" t="n">
        <f aca="false">K789-M789</f>
        <v>11691</v>
      </c>
    </row>
    <row r="790" customFormat="false" ht="12.8" hidden="false" customHeight="false" outlineLevel="0" collapsed="false">
      <c r="A790" s="10" t="n">
        <f aca="false">A789+1</f>
        <v>789</v>
      </c>
      <c r="B790" s="11" t="n">
        <f aca="false">B789+1</f>
        <v>45715</v>
      </c>
      <c r="C790" s="10" t="n">
        <f aca="false">YEAR(B790)</f>
        <v>2025</v>
      </c>
      <c r="D790" s="10" t="n">
        <f aca="false">INT((MONTH(B790)-1)/3)+1</f>
        <v>1</v>
      </c>
      <c r="E790" s="10" t="n">
        <f aca="false">MONTH(B790)</f>
        <v>2</v>
      </c>
      <c r="F790" s="10" t="str">
        <f aca="false">CHOOSE(MOD(A790-1,5)+1,"Центр","Юг","Север","Запад","Восток")</f>
        <v>Запад</v>
      </c>
      <c r="G790" s="10" t="str">
        <f aca="false">"Округ_"&amp;(MOD(A790-1,5)+1)&amp;"_"&amp;(MOD(INT((A790-1)/5),5)+1)</f>
        <v>Округ_4_3</v>
      </c>
      <c r="H790" s="10" t="str">
        <f aca="false">"Город_"&amp;(MOD(A790-1,5)+1)&amp;"_"&amp;(MOD(INT((A790-1)/5),5)+1)&amp;"_"&amp;(MOD(INT((A790-1)/25),10)+1)</f>
        <v>Город_4_3_2</v>
      </c>
      <c r="I790" s="10" t="str">
        <f aca="false">CHOOSE(MOD(A790-1,4)+1,"Электроника","Одежда","Продукты","Мебель")</f>
        <v>Электроника</v>
      </c>
      <c r="J790" s="10" t="str">
        <f aca="false">CHOOSE(MOD(INT((A790-1)/4),4)+1,CHOOSE(MOD(A790-1,4)+1,"Смартфоны","Ноутбуки","Аксессуары","Аудио"),CHOOSE(MOD(A790-1,4)+1,"Верхняя одежда","Спортивная","Повседневная","Обувь"),CHOOSE(MOD(A790-1,4)+1,"Молочные","Мясные","Бакалея","Напитки"),CHOOSE(MOD(A790-1,4)+1,"Мягкая мебель","Корпусная","Офисная","Кухонная"))</f>
        <v>Верхняя одежда</v>
      </c>
      <c r="K790" s="12" t="n">
        <f aca="false">1000+MOD(A790*317+A790*A790*7,49001)</f>
        <v>2666</v>
      </c>
      <c r="L790" s="12" t="n">
        <f aca="false">1+MOD(A790*131,100)</f>
        <v>60</v>
      </c>
      <c r="M790" s="12" t="n">
        <f aca="false">INT(K790*(0.6+MOD(A790*43,21)/100))</f>
        <v>1919</v>
      </c>
      <c r="N790" s="12" t="n">
        <f aca="false">K790-M790</f>
        <v>747</v>
      </c>
    </row>
    <row r="791" customFormat="false" ht="12.8" hidden="false" customHeight="false" outlineLevel="0" collapsed="false">
      <c r="A791" s="10" t="n">
        <f aca="false">A790+1</f>
        <v>790</v>
      </c>
      <c r="B791" s="11" t="n">
        <f aca="false">B790+1</f>
        <v>45716</v>
      </c>
      <c r="C791" s="10" t="n">
        <f aca="false">YEAR(B791)</f>
        <v>2025</v>
      </c>
      <c r="D791" s="10" t="n">
        <f aca="false">INT((MONTH(B791)-1)/3)+1</f>
        <v>1</v>
      </c>
      <c r="E791" s="10" t="n">
        <f aca="false">MONTH(B791)</f>
        <v>2</v>
      </c>
      <c r="F791" s="10" t="str">
        <f aca="false">CHOOSE(MOD(A791-1,5)+1,"Центр","Юг","Север","Запад","Восток")</f>
        <v>Восток</v>
      </c>
      <c r="G791" s="10" t="str">
        <f aca="false">"Округ_"&amp;(MOD(A791-1,5)+1)&amp;"_"&amp;(MOD(INT((A791-1)/5),5)+1)</f>
        <v>Округ_5_3</v>
      </c>
      <c r="H791" s="10" t="str">
        <f aca="false">"Город_"&amp;(MOD(A791-1,5)+1)&amp;"_"&amp;(MOD(INT((A791-1)/5),5)+1)&amp;"_"&amp;(MOD(INT((A791-1)/25),10)+1)</f>
        <v>Город_5_3_2</v>
      </c>
      <c r="I791" s="10" t="str">
        <f aca="false">CHOOSE(MOD(A791-1,4)+1,"Электроника","Одежда","Продукты","Мебель")</f>
        <v>Одежда</v>
      </c>
      <c r="J791" s="10" t="str">
        <f aca="false">CHOOSE(MOD(INT((A791-1)/4),4)+1,CHOOSE(MOD(A791-1,4)+1,"Смартфоны","Ноутбуки","Аксессуары","Аудио"),CHOOSE(MOD(A791-1,4)+1,"Верхняя одежда","Спортивная","Повседневная","Обувь"),CHOOSE(MOD(A791-1,4)+1,"Молочные","Мясные","Бакалея","Напитки"),CHOOSE(MOD(A791-1,4)+1,"Мягкая мебель","Корпусная","Офисная","Кухонная"))</f>
        <v>Спортивная</v>
      </c>
      <c r="K791" s="12" t="n">
        <f aca="false">1000+MOD(A791*317+A791*A791*7,49001)</f>
        <v>14036</v>
      </c>
      <c r="L791" s="12" t="n">
        <f aca="false">1+MOD(A791*131,100)</f>
        <v>91</v>
      </c>
      <c r="M791" s="12" t="n">
        <f aca="false">INT(K791*(0.6+MOD(A791*43,21)/100))</f>
        <v>10246</v>
      </c>
      <c r="N791" s="12" t="n">
        <f aca="false">K791-M791</f>
        <v>3790</v>
      </c>
    </row>
    <row r="792" customFormat="false" ht="12.8" hidden="false" customHeight="false" outlineLevel="0" collapsed="false">
      <c r="A792" s="10" t="n">
        <f aca="false">A791+1</f>
        <v>791</v>
      </c>
      <c r="B792" s="11" t="n">
        <f aca="false">B791+1</f>
        <v>45717</v>
      </c>
      <c r="C792" s="10" t="n">
        <f aca="false">YEAR(B792)</f>
        <v>2025</v>
      </c>
      <c r="D792" s="10" t="n">
        <f aca="false">INT((MONTH(B792)-1)/3)+1</f>
        <v>1</v>
      </c>
      <c r="E792" s="10" t="n">
        <f aca="false">MONTH(B792)</f>
        <v>3</v>
      </c>
      <c r="F792" s="10" t="str">
        <f aca="false">CHOOSE(MOD(A792-1,5)+1,"Центр","Юг","Север","Запад","Восток")</f>
        <v>Центр</v>
      </c>
      <c r="G792" s="10" t="str">
        <f aca="false">"Округ_"&amp;(MOD(A792-1,5)+1)&amp;"_"&amp;(MOD(INT((A792-1)/5),5)+1)</f>
        <v>Округ_1_4</v>
      </c>
      <c r="H792" s="10" t="str">
        <f aca="false">"Город_"&amp;(MOD(A792-1,5)+1)&amp;"_"&amp;(MOD(INT((A792-1)/5),5)+1)&amp;"_"&amp;(MOD(INT((A792-1)/25),10)+1)</f>
        <v>Город_1_4_2</v>
      </c>
      <c r="I792" s="10" t="str">
        <f aca="false">CHOOSE(MOD(A792-1,4)+1,"Электроника","Одежда","Продукты","Мебель")</f>
        <v>Продукты</v>
      </c>
      <c r="J792" s="10" t="str">
        <f aca="false">CHOOSE(MOD(INT((A792-1)/4),4)+1,CHOOSE(MOD(A792-1,4)+1,"Смартфоны","Ноутбуки","Аксессуары","Аудио"),CHOOSE(MOD(A792-1,4)+1,"Верхняя одежда","Спортивная","Повседневная","Обувь"),CHOOSE(MOD(A792-1,4)+1,"Молочные","Мясные","Бакалея","Напитки"),CHOOSE(MOD(A792-1,4)+1,"Мягкая мебель","Корпусная","Офисная","Кухонная"))</f>
        <v>Повседневная</v>
      </c>
      <c r="K792" s="12" t="n">
        <f aca="false">1000+MOD(A792*317+A792*A792*7,49001)</f>
        <v>25420</v>
      </c>
      <c r="L792" s="12" t="n">
        <f aca="false">1+MOD(A792*131,100)</f>
        <v>22</v>
      </c>
      <c r="M792" s="12" t="n">
        <f aca="false">INT(K792*(0.6+MOD(A792*43,21)/100))</f>
        <v>18810</v>
      </c>
      <c r="N792" s="12" t="n">
        <f aca="false">K792-M792</f>
        <v>6610</v>
      </c>
    </row>
    <row r="793" customFormat="false" ht="12.8" hidden="false" customHeight="false" outlineLevel="0" collapsed="false">
      <c r="A793" s="10" t="n">
        <f aca="false">A792+1</f>
        <v>792</v>
      </c>
      <c r="B793" s="11" t="n">
        <f aca="false">B792+1</f>
        <v>45718</v>
      </c>
      <c r="C793" s="10" t="n">
        <f aca="false">YEAR(B793)</f>
        <v>2025</v>
      </c>
      <c r="D793" s="10" t="n">
        <f aca="false">INT((MONTH(B793)-1)/3)+1</f>
        <v>1</v>
      </c>
      <c r="E793" s="10" t="n">
        <f aca="false">MONTH(B793)</f>
        <v>3</v>
      </c>
      <c r="F793" s="10" t="str">
        <f aca="false">CHOOSE(MOD(A793-1,5)+1,"Центр","Юг","Север","Запад","Восток")</f>
        <v>Юг</v>
      </c>
      <c r="G793" s="10" t="str">
        <f aca="false">"Округ_"&amp;(MOD(A793-1,5)+1)&amp;"_"&amp;(MOD(INT((A793-1)/5),5)+1)</f>
        <v>Округ_2_4</v>
      </c>
      <c r="H793" s="10" t="str">
        <f aca="false">"Город_"&amp;(MOD(A793-1,5)+1)&amp;"_"&amp;(MOD(INT((A793-1)/5),5)+1)&amp;"_"&amp;(MOD(INT((A793-1)/25),10)+1)</f>
        <v>Город_2_4_2</v>
      </c>
      <c r="I793" s="10" t="str">
        <f aca="false">CHOOSE(MOD(A793-1,4)+1,"Электроника","Одежда","Продукты","Мебель")</f>
        <v>Мебель</v>
      </c>
      <c r="J793" s="10" t="str">
        <f aca="false">CHOOSE(MOD(INT((A793-1)/4),4)+1,CHOOSE(MOD(A793-1,4)+1,"Смартфоны","Ноутбуки","Аксессуары","Аудио"),CHOOSE(MOD(A793-1,4)+1,"Верхняя одежда","Спортивная","Повседневная","Обувь"),CHOOSE(MOD(A793-1,4)+1,"Молочные","Мясные","Бакалея","Напитки"),CHOOSE(MOD(A793-1,4)+1,"Мягкая мебель","Корпусная","Офисная","Кухонная"))</f>
        <v>Обувь</v>
      </c>
      <c r="K793" s="12" t="n">
        <f aca="false">1000+MOD(A793*317+A793*A793*7,49001)</f>
        <v>36818</v>
      </c>
      <c r="L793" s="12" t="n">
        <f aca="false">1+MOD(A793*131,100)</f>
        <v>53</v>
      </c>
      <c r="M793" s="12" t="n">
        <f aca="false">INT(K793*(0.6+MOD(A793*43,21)/100))</f>
        <v>27613</v>
      </c>
      <c r="N793" s="12" t="n">
        <f aca="false">K793-M793</f>
        <v>9205</v>
      </c>
    </row>
    <row r="794" customFormat="false" ht="12.8" hidden="false" customHeight="false" outlineLevel="0" collapsed="false">
      <c r="A794" s="10" t="n">
        <f aca="false">A793+1</f>
        <v>793</v>
      </c>
      <c r="B794" s="11" t="n">
        <f aca="false">B793+1</f>
        <v>45719</v>
      </c>
      <c r="C794" s="10" t="n">
        <f aca="false">YEAR(B794)</f>
        <v>2025</v>
      </c>
      <c r="D794" s="10" t="n">
        <f aca="false">INT((MONTH(B794)-1)/3)+1</f>
        <v>1</v>
      </c>
      <c r="E794" s="10" t="n">
        <f aca="false">MONTH(B794)</f>
        <v>3</v>
      </c>
      <c r="F794" s="10" t="str">
        <f aca="false">CHOOSE(MOD(A794-1,5)+1,"Центр","Юг","Север","Запад","Восток")</f>
        <v>Север</v>
      </c>
      <c r="G794" s="10" t="str">
        <f aca="false">"Округ_"&amp;(MOD(A794-1,5)+1)&amp;"_"&amp;(MOD(INT((A794-1)/5),5)+1)</f>
        <v>Округ_3_4</v>
      </c>
      <c r="H794" s="10" t="str">
        <f aca="false">"Город_"&amp;(MOD(A794-1,5)+1)&amp;"_"&amp;(MOD(INT((A794-1)/5),5)+1)&amp;"_"&amp;(MOD(INT((A794-1)/25),10)+1)</f>
        <v>Город_3_4_2</v>
      </c>
      <c r="I794" s="10" t="str">
        <f aca="false">CHOOSE(MOD(A794-1,4)+1,"Электроника","Одежда","Продукты","Мебель")</f>
        <v>Электроника</v>
      </c>
      <c r="J794" s="10" t="str">
        <f aca="false">CHOOSE(MOD(INT((A794-1)/4),4)+1,CHOOSE(MOD(A794-1,4)+1,"Смартфоны","Ноутбуки","Аксессуары","Аудио"),CHOOSE(MOD(A794-1,4)+1,"Верхняя одежда","Спортивная","Повседневная","Обувь"),CHOOSE(MOD(A794-1,4)+1,"Молочные","Мясные","Бакалея","Напитки"),CHOOSE(MOD(A794-1,4)+1,"Мягкая мебель","Корпусная","Офисная","Кухонная"))</f>
        <v>Молочные</v>
      </c>
      <c r="K794" s="12" t="n">
        <f aca="false">1000+MOD(A794*317+A794*A794*7,49001)</f>
        <v>48230</v>
      </c>
      <c r="L794" s="12" t="n">
        <f aca="false">1+MOD(A794*131,100)</f>
        <v>84</v>
      </c>
      <c r="M794" s="12" t="n">
        <f aca="false">INT(K794*(0.6+MOD(A794*43,21)/100))</f>
        <v>36654</v>
      </c>
      <c r="N794" s="12" t="n">
        <f aca="false">K794-M794</f>
        <v>11576</v>
      </c>
    </row>
    <row r="795" customFormat="false" ht="12.8" hidden="false" customHeight="false" outlineLevel="0" collapsed="false">
      <c r="A795" s="10" t="n">
        <f aca="false">A794+1</f>
        <v>794</v>
      </c>
      <c r="B795" s="11" t="n">
        <f aca="false">B794+1</f>
        <v>45720</v>
      </c>
      <c r="C795" s="10" t="n">
        <f aca="false">YEAR(B795)</f>
        <v>2025</v>
      </c>
      <c r="D795" s="10" t="n">
        <f aca="false">INT((MONTH(B795)-1)/3)+1</f>
        <v>1</v>
      </c>
      <c r="E795" s="10" t="n">
        <f aca="false">MONTH(B795)</f>
        <v>3</v>
      </c>
      <c r="F795" s="10" t="str">
        <f aca="false">CHOOSE(MOD(A795-1,5)+1,"Центр","Юг","Север","Запад","Восток")</f>
        <v>Запад</v>
      </c>
      <c r="G795" s="10" t="str">
        <f aca="false">"Округ_"&amp;(MOD(A795-1,5)+1)&amp;"_"&amp;(MOD(INT((A795-1)/5),5)+1)</f>
        <v>Округ_4_4</v>
      </c>
      <c r="H795" s="10" t="str">
        <f aca="false">"Город_"&amp;(MOD(A795-1,5)+1)&amp;"_"&amp;(MOD(INT((A795-1)/5),5)+1)&amp;"_"&amp;(MOD(INT((A795-1)/25),10)+1)</f>
        <v>Город_4_4_2</v>
      </c>
      <c r="I795" s="10" t="str">
        <f aca="false">CHOOSE(MOD(A795-1,4)+1,"Электроника","Одежда","Продукты","Мебель")</f>
        <v>Одежда</v>
      </c>
      <c r="J795" s="10" t="str">
        <f aca="false">CHOOSE(MOD(INT((A795-1)/4),4)+1,CHOOSE(MOD(A795-1,4)+1,"Смартфоны","Ноутбуки","Аксессуары","Аудио"),CHOOSE(MOD(A795-1,4)+1,"Верхняя одежда","Спортивная","Повседневная","Обувь"),CHOOSE(MOD(A795-1,4)+1,"Молочные","Мясные","Бакалея","Напитки"),CHOOSE(MOD(A795-1,4)+1,"Мягкая мебель","Корпусная","Офисная","Кухонная"))</f>
        <v>Мясные</v>
      </c>
      <c r="K795" s="12" t="n">
        <f aca="false">1000+MOD(A795*317+A795*A795*7,49001)</f>
        <v>10655</v>
      </c>
      <c r="L795" s="12" t="n">
        <f aca="false">1+MOD(A795*131,100)</f>
        <v>15</v>
      </c>
      <c r="M795" s="12" t="n">
        <f aca="false">INT(K795*(0.6+MOD(A795*43,21)/100))</f>
        <v>8204</v>
      </c>
      <c r="N795" s="12" t="n">
        <f aca="false">K795-M795</f>
        <v>2451</v>
      </c>
    </row>
    <row r="796" customFormat="false" ht="12.8" hidden="false" customHeight="false" outlineLevel="0" collapsed="false">
      <c r="A796" s="10" t="n">
        <f aca="false">A795+1</f>
        <v>795</v>
      </c>
      <c r="B796" s="11" t="n">
        <f aca="false">B795+1</f>
        <v>45721</v>
      </c>
      <c r="C796" s="10" t="n">
        <f aca="false">YEAR(B796)</f>
        <v>2025</v>
      </c>
      <c r="D796" s="10" t="n">
        <f aca="false">INT((MONTH(B796)-1)/3)+1</f>
        <v>1</v>
      </c>
      <c r="E796" s="10" t="n">
        <f aca="false">MONTH(B796)</f>
        <v>3</v>
      </c>
      <c r="F796" s="10" t="str">
        <f aca="false">CHOOSE(MOD(A796-1,5)+1,"Центр","Юг","Север","Запад","Восток")</f>
        <v>Восток</v>
      </c>
      <c r="G796" s="10" t="str">
        <f aca="false">"Округ_"&amp;(MOD(A796-1,5)+1)&amp;"_"&amp;(MOD(INT((A796-1)/5),5)+1)</f>
        <v>Округ_5_4</v>
      </c>
      <c r="H796" s="10" t="str">
        <f aca="false">"Город_"&amp;(MOD(A796-1,5)+1)&amp;"_"&amp;(MOD(INT((A796-1)/5),5)+1)&amp;"_"&amp;(MOD(INT((A796-1)/25),10)+1)</f>
        <v>Город_5_4_2</v>
      </c>
      <c r="I796" s="10" t="str">
        <f aca="false">CHOOSE(MOD(A796-1,4)+1,"Электроника","Одежда","Продукты","Мебель")</f>
        <v>Продукты</v>
      </c>
      <c r="J796" s="10" t="str">
        <f aca="false">CHOOSE(MOD(INT((A796-1)/4),4)+1,CHOOSE(MOD(A796-1,4)+1,"Смартфоны","Ноутбуки","Аксессуары","Аудио"),CHOOSE(MOD(A796-1,4)+1,"Верхняя одежда","Спортивная","Повседневная","Обувь"),CHOOSE(MOD(A796-1,4)+1,"Молочные","Мясные","Бакалея","Напитки"),CHOOSE(MOD(A796-1,4)+1,"Мягкая мебель","Корпусная","Офисная","Кухонная"))</f>
        <v>Бакалея</v>
      </c>
      <c r="K796" s="12" t="n">
        <f aca="false">1000+MOD(A796*317+A796*A796*7,49001)</f>
        <v>22095</v>
      </c>
      <c r="L796" s="12" t="n">
        <f aca="false">1+MOD(A796*131,100)</f>
        <v>46</v>
      </c>
      <c r="M796" s="12" t="n">
        <f aca="false">INT(K796*(0.6+MOD(A796*43,21)/100))</f>
        <v>17234</v>
      </c>
      <c r="N796" s="12" t="n">
        <f aca="false">K796-M796</f>
        <v>4861</v>
      </c>
    </row>
    <row r="797" customFormat="false" ht="12.8" hidden="false" customHeight="false" outlineLevel="0" collapsed="false">
      <c r="A797" s="10" t="n">
        <f aca="false">A796+1</f>
        <v>796</v>
      </c>
      <c r="B797" s="11" t="n">
        <f aca="false">B796+1</f>
        <v>45722</v>
      </c>
      <c r="C797" s="10" t="n">
        <f aca="false">YEAR(B797)</f>
        <v>2025</v>
      </c>
      <c r="D797" s="10" t="n">
        <f aca="false">INT((MONTH(B797)-1)/3)+1</f>
        <v>1</v>
      </c>
      <c r="E797" s="10" t="n">
        <f aca="false">MONTH(B797)</f>
        <v>3</v>
      </c>
      <c r="F797" s="10" t="str">
        <f aca="false">CHOOSE(MOD(A797-1,5)+1,"Центр","Юг","Север","Запад","Восток")</f>
        <v>Центр</v>
      </c>
      <c r="G797" s="10" t="str">
        <f aca="false">"Округ_"&amp;(MOD(A797-1,5)+1)&amp;"_"&amp;(MOD(INT((A797-1)/5),5)+1)</f>
        <v>Округ_1_5</v>
      </c>
      <c r="H797" s="10" t="str">
        <f aca="false">"Город_"&amp;(MOD(A797-1,5)+1)&amp;"_"&amp;(MOD(INT((A797-1)/5),5)+1)&amp;"_"&amp;(MOD(INT((A797-1)/25),10)+1)</f>
        <v>Город_1_5_2</v>
      </c>
      <c r="I797" s="10" t="str">
        <f aca="false">CHOOSE(MOD(A797-1,4)+1,"Электроника","Одежда","Продукты","Мебель")</f>
        <v>Мебель</v>
      </c>
      <c r="J797" s="10" t="str">
        <f aca="false">CHOOSE(MOD(INT((A797-1)/4),4)+1,CHOOSE(MOD(A797-1,4)+1,"Смартфоны","Ноутбуки","Аксессуары","Аудио"),CHOOSE(MOD(A797-1,4)+1,"Верхняя одежда","Спортивная","Повседневная","Обувь"),CHOOSE(MOD(A797-1,4)+1,"Молочные","Мясные","Бакалея","Напитки"),CHOOSE(MOD(A797-1,4)+1,"Мягкая мебель","Корпусная","Офисная","Кухонная"))</f>
        <v>Напитки</v>
      </c>
      <c r="K797" s="12" t="n">
        <f aca="false">1000+MOD(A797*317+A797*A797*7,49001)</f>
        <v>33549</v>
      </c>
      <c r="L797" s="12" t="n">
        <f aca="false">1+MOD(A797*131,100)</f>
        <v>77</v>
      </c>
      <c r="M797" s="12" t="n">
        <f aca="false">INT(K797*(0.6+MOD(A797*43,21)/100))</f>
        <v>26503</v>
      </c>
      <c r="N797" s="12" t="n">
        <f aca="false">K797-M797</f>
        <v>7046</v>
      </c>
    </row>
    <row r="798" customFormat="false" ht="12.8" hidden="false" customHeight="false" outlineLevel="0" collapsed="false">
      <c r="A798" s="10" t="n">
        <f aca="false">A797+1</f>
        <v>797</v>
      </c>
      <c r="B798" s="11" t="n">
        <f aca="false">B797+1</f>
        <v>45723</v>
      </c>
      <c r="C798" s="10" t="n">
        <f aca="false">YEAR(B798)</f>
        <v>2025</v>
      </c>
      <c r="D798" s="10" t="n">
        <f aca="false">INT((MONTH(B798)-1)/3)+1</f>
        <v>1</v>
      </c>
      <c r="E798" s="10" t="n">
        <f aca="false">MONTH(B798)</f>
        <v>3</v>
      </c>
      <c r="F798" s="10" t="str">
        <f aca="false">CHOOSE(MOD(A798-1,5)+1,"Центр","Юг","Север","Запад","Восток")</f>
        <v>Юг</v>
      </c>
      <c r="G798" s="10" t="str">
        <f aca="false">"Округ_"&amp;(MOD(A798-1,5)+1)&amp;"_"&amp;(MOD(INT((A798-1)/5),5)+1)</f>
        <v>Округ_2_5</v>
      </c>
      <c r="H798" s="10" t="str">
        <f aca="false">"Город_"&amp;(MOD(A798-1,5)+1)&amp;"_"&amp;(MOD(INT((A798-1)/5),5)+1)&amp;"_"&amp;(MOD(INT((A798-1)/25),10)+1)</f>
        <v>Город_2_5_2</v>
      </c>
      <c r="I798" s="10" t="str">
        <f aca="false">CHOOSE(MOD(A798-1,4)+1,"Электроника","Одежда","Продукты","Мебель")</f>
        <v>Электроника</v>
      </c>
      <c r="J798" s="10" t="str">
        <f aca="false">CHOOSE(MOD(INT((A798-1)/4),4)+1,CHOOSE(MOD(A798-1,4)+1,"Смартфоны","Ноутбуки","Аксессуары","Аудио"),CHOOSE(MOD(A798-1,4)+1,"Верхняя одежда","Спортивная","Повседневная","Обувь"),CHOOSE(MOD(A798-1,4)+1,"Молочные","Мясные","Бакалея","Напитки"),CHOOSE(MOD(A798-1,4)+1,"Мягкая мебель","Корпусная","Офисная","Кухонная"))</f>
        <v>Мягкая мебель</v>
      </c>
      <c r="K798" s="12" t="n">
        <f aca="false">1000+MOD(A798*317+A798*A798*7,49001)</f>
        <v>45017</v>
      </c>
      <c r="L798" s="12" t="n">
        <f aca="false">1+MOD(A798*131,100)</f>
        <v>8</v>
      </c>
      <c r="M798" s="12" t="n">
        <f aca="false">INT(K798*(0.6+MOD(A798*43,21)/100))</f>
        <v>36013</v>
      </c>
      <c r="N798" s="12" t="n">
        <f aca="false">K798-M798</f>
        <v>9004</v>
      </c>
    </row>
    <row r="799" customFormat="false" ht="12.8" hidden="false" customHeight="false" outlineLevel="0" collapsed="false">
      <c r="A799" s="10" t="n">
        <f aca="false">A798+1</f>
        <v>798</v>
      </c>
      <c r="B799" s="11" t="n">
        <f aca="false">B798+1</f>
        <v>45724</v>
      </c>
      <c r="C799" s="10" t="n">
        <f aca="false">YEAR(B799)</f>
        <v>2025</v>
      </c>
      <c r="D799" s="10" t="n">
        <f aca="false">INT((MONTH(B799)-1)/3)+1</f>
        <v>1</v>
      </c>
      <c r="E799" s="10" t="n">
        <f aca="false">MONTH(B799)</f>
        <v>3</v>
      </c>
      <c r="F799" s="10" t="str">
        <f aca="false">CHOOSE(MOD(A799-1,5)+1,"Центр","Юг","Север","Запад","Восток")</f>
        <v>Север</v>
      </c>
      <c r="G799" s="10" t="str">
        <f aca="false">"Округ_"&amp;(MOD(A799-1,5)+1)&amp;"_"&amp;(MOD(INT((A799-1)/5),5)+1)</f>
        <v>Округ_3_5</v>
      </c>
      <c r="H799" s="10" t="str">
        <f aca="false">"Город_"&amp;(MOD(A799-1,5)+1)&amp;"_"&amp;(MOD(INT((A799-1)/5),5)+1)&amp;"_"&amp;(MOD(INT((A799-1)/25),10)+1)</f>
        <v>Город_3_5_2</v>
      </c>
      <c r="I799" s="10" t="str">
        <f aca="false">CHOOSE(MOD(A799-1,4)+1,"Электроника","Одежда","Продукты","Мебель")</f>
        <v>Одежда</v>
      </c>
      <c r="J799" s="10" t="str">
        <f aca="false">CHOOSE(MOD(INT((A799-1)/4),4)+1,CHOOSE(MOD(A799-1,4)+1,"Смартфоны","Ноутбуки","Аксессуары","Аудио"),CHOOSE(MOD(A799-1,4)+1,"Верхняя одежда","Спортивная","Повседневная","Обувь"),CHOOSE(MOD(A799-1,4)+1,"Молочные","Мясные","Бакалея","Напитки"),CHOOSE(MOD(A799-1,4)+1,"Мягкая мебель","Корпусная","Офисная","Кухонная"))</f>
        <v>Корпусная</v>
      </c>
      <c r="K799" s="12" t="n">
        <f aca="false">1000+MOD(A799*317+A799*A799*7,49001)</f>
        <v>7498</v>
      </c>
      <c r="L799" s="12" t="n">
        <f aca="false">1+MOD(A799*131,100)</f>
        <v>39</v>
      </c>
      <c r="M799" s="12" t="n">
        <f aca="false">INT(K799*(0.6+MOD(A799*43,21)/100))</f>
        <v>4498</v>
      </c>
      <c r="N799" s="12" t="n">
        <f aca="false">K799-M799</f>
        <v>3000</v>
      </c>
    </row>
    <row r="800" customFormat="false" ht="12.8" hidden="false" customHeight="false" outlineLevel="0" collapsed="false">
      <c r="A800" s="10" t="n">
        <f aca="false">A799+1</f>
        <v>799</v>
      </c>
      <c r="B800" s="11" t="n">
        <f aca="false">B799+1</f>
        <v>45725</v>
      </c>
      <c r="C800" s="10" t="n">
        <f aca="false">YEAR(B800)</f>
        <v>2025</v>
      </c>
      <c r="D800" s="10" t="n">
        <f aca="false">INT((MONTH(B800)-1)/3)+1</f>
        <v>1</v>
      </c>
      <c r="E800" s="10" t="n">
        <f aca="false">MONTH(B800)</f>
        <v>3</v>
      </c>
      <c r="F800" s="10" t="str">
        <f aca="false">CHOOSE(MOD(A800-1,5)+1,"Центр","Юг","Север","Запад","Восток")</f>
        <v>Запад</v>
      </c>
      <c r="G800" s="10" t="str">
        <f aca="false">"Округ_"&amp;(MOD(A800-1,5)+1)&amp;"_"&amp;(MOD(INT((A800-1)/5),5)+1)</f>
        <v>Округ_4_5</v>
      </c>
      <c r="H800" s="10" t="str">
        <f aca="false">"Город_"&amp;(MOD(A800-1,5)+1)&amp;"_"&amp;(MOD(INT((A800-1)/5),5)+1)&amp;"_"&amp;(MOD(INT((A800-1)/25),10)+1)</f>
        <v>Город_4_5_2</v>
      </c>
      <c r="I800" s="10" t="str">
        <f aca="false">CHOOSE(MOD(A800-1,4)+1,"Электроника","Одежда","Продукты","Мебель")</f>
        <v>Продукты</v>
      </c>
      <c r="J800" s="10" t="str">
        <f aca="false">CHOOSE(MOD(INT((A800-1)/4),4)+1,CHOOSE(MOD(A800-1,4)+1,"Смартфоны","Ноутбуки","Аксессуары","Аудио"),CHOOSE(MOD(A800-1,4)+1,"Верхняя одежда","Спортивная","Повседневная","Обувь"),CHOOSE(MOD(A800-1,4)+1,"Молочные","Мясные","Бакалея","Напитки"),CHOOSE(MOD(A800-1,4)+1,"Мягкая мебель","Корпусная","Офисная","Кухонная"))</f>
        <v>Офисная</v>
      </c>
      <c r="K800" s="12" t="n">
        <f aca="false">1000+MOD(A800*317+A800*A800*7,49001)</f>
        <v>18994</v>
      </c>
      <c r="L800" s="12" t="n">
        <f aca="false">1+MOD(A800*131,100)</f>
        <v>70</v>
      </c>
      <c r="M800" s="12" t="n">
        <f aca="false">INT(K800*(0.6+MOD(A800*43,21)/100))</f>
        <v>11586</v>
      </c>
      <c r="N800" s="12" t="n">
        <f aca="false">K800-M800</f>
        <v>7408</v>
      </c>
    </row>
    <row r="801" customFormat="false" ht="12.8" hidden="false" customHeight="false" outlineLevel="0" collapsed="false">
      <c r="A801" s="10" t="n">
        <f aca="false">A800+1</f>
        <v>800</v>
      </c>
      <c r="B801" s="11" t="n">
        <f aca="false">B800+1</f>
        <v>45726</v>
      </c>
      <c r="C801" s="10" t="n">
        <f aca="false">YEAR(B801)</f>
        <v>2025</v>
      </c>
      <c r="D801" s="10" t="n">
        <f aca="false">INT((MONTH(B801)-1)/3)+1</f>
        <v>1</v>
      </c>
      <c r="E801" s="10" t="n">
        <f aca="false">MONTH(B801)</f>
        <v>3</v>
      </c>
      <c r="F801" s="10" t="str">
        <f aca="false">CHOOSE(MOD(A801-1,5)+1,"Центр","Юг","Север","Запад","Восток")</f>
        <v>Восток</v>
      </c>
      <c r="G801" s="10" t="str">
        <f aca="false">"Округ_"&amp;(MOD(A801-1,5)+1)&amp;"_"&amp;(MOD(INT((A801-1)/5),5)+1)</f>
        <v>Округ_5_5</v>
      </c>
      <c r="H801" s="10" t="str">
        <f aca="false">"Город_"&amp;(MOD(A801-1,5)+1)&amp;"_"&amp;(MOD(INT((A801-1)/5),5)+1)&amp;"_"&amp;(MOD(INT((A801-1)/25),10)+1)</f>
        <v>Город_5_5_2</v>
      </c>
      <c r="I801" s="10" t="str">
        <f aca="false">CHOOSE(MOD(A801-1,4)+1,"Электроника","Одежда","Продукты","Мебель")</f>
        <v>Мебель</v>
      </c>
      <c r="J801" s="10" t="str">
        <f aca="false">CHOOSE(MOD(INT((A801-1)/4),4)+1,CHOOSE(MOD(A801-1,4)+1,"Смартфоны","Ноутбуки","Аксессуары","Аудио"),CHOOSE(MOD(A801-1,4)+1,"Верхняя одежда","Спортивная","Повседневная","Обувь"),CHOOSE(MOD(A801-1,4)+1,"Молочные","Мясные","Бакалея","Напитки"),CHOOSE(MOD(A801-1,4)+1,"Мягкая мебель","Корпусная","Офисная","Кухонная"))</f>
        <v>Кухонная</v>
      </c>
      <c r="K801" s="12" t="n">
        <f aca="false">1000+MOD(A801*317+A801*A801*7,49001)</f>
        <v>30504</v>
      </c>
      <c r="L801" s="12" t="n">
        <f aca="false">1+MOD(A801*131,100)</f>
        <v>1</v>
      </c>
      <c r="M801" s="12" t="n">
        <f aca="false">INT(K801*(0.6+MOD(A801*43,21)/100))</f>
        <v>18912</v>
      </c>
      <c r="N801" s="12" t="n">
        <f aca="false">K801-M801</f>
        <v>11592</v>
      </c>
    </row>
    <row r="802" customFormat="false" ht="12.8" hidden="false" customHeight="false" outlineLevel="0" collapsed="false">
      <c r="A802" s="10" t="n">
        <f aca="false">A801+1</f>
        <v>801</v>
      </c>
      <c r="B802" s="11" t="n">
        <f aca="false">B801+1</f>
        <v>45727</v>
      </c>
      <c r="C802" s="10" t="n">
        <f aca="false">YEAR(B802)</f>
        <v>2025</v>
      </c>
      <c r="D802" s="10" t="n">
        <f aca="false">INT((MONTH(B802)-1)/3)+1</f>
        <v>1</v>
      </c>
      <c r="E802" s="10" t="n">
        <f aca="false">MONTH(B802)</f>
        <v>3</v>
      </c>
      <c r="F802" s="10" t="str">
        <f aca="false">CHOOSE(MOD(A802-1,5)+1,"Центр","Юг","Север","Запад","Восток")</f>
        <v>Центр</v>
      </c>
      <c r="G802" s="10" t="str">
        <f aca="false">"Округ_"&amp;(MOD(A802-1,5)+1)&amp;"_"&amp;(MOD(INT((A802-1)/5),5)+1)</f>
        <v>Округ_1_1</v>
      </c>
      <c r="H802" s="10" t="str">
        <f aca="false">"Город_"&amp;(MOD(A802-1,5)+1)&amp;"_"&amp;(MOD(INT((A802-1)/5),5)+1)&amp;"_"&amp;(MOD(INT((A802-1)/25),10)+1)</f>
        <v>Город_1_1_3</v>
      </c>
      <c r="I802" s="10" t="str">
        <f aca="false">CHOOSE(MOD(A802-1,4)+1,"Электроника","Одежда","Продукты","Мебель")</f>
        <v>Электроника</v>
      </c>
      <c r="J802" s="10" t="str">
        <f aca="false">CHOOSE(MOD(INT((A802-1)/4),4)+1,CHOOSE(MOD(A802-1,4)+1,"Смартфоны","Ноутбуки","Аксессуары","Аудио"),CHOOSE(MOD(A802-1,4)+1,"Верхняя одежда","Спортивная","Повседневная","Обувь"),CHOOSE(MOD(A802-1,4)+1,"Молочные","Мясные","Бакалея","Напитки"),CHOOSE(MOD(A802-1,4)+1,"Мягкая мебель","Корпусная","Офисная","Кухонная"))</f>
        <v>Смартфоны</v>
      </c>
      <c r="K802" s="12" t="n">
        <f aca="false">1000+MOD(A802*317+A802*A802*7,49001)</f>
        <v>42028</v>
      </c>
      <c r="L802" s="12" t="n">
        <f aca="false">1+MOD(A802*131,100)</f>
        <v>32</v>
      </c>
      <c r="M802" s="12" t="n">
        <f aca="false">INT(K802*(0.6+MOD(A802*43,21)/100))</f>
        <v>26477</v>
      </c>
      <c r="N802" s="12" t="n">
        <f aca="false">K802-M802</f>
        <v>15551</v>
      </c>
    </row>
    <row r="803" customFormat="false" ht="12.8" hidden="false" customHeight="false" outlineLevel="0" collapsed="false">
      <c r="A803" s="10" t="n">
        <f aca="false">A802+1</f>
        <v>802</v>
      </c>
      <c r="B803" s="11" t="n">
        <f aca="false">B802+1</f>
        <v>45728</v>
      </c>
      <c r="C803" s="10" t="n">
        <f aca="false">YEAR(B803)</f>
        <v>2025</v>
      </c>
      <c r="D803" s="10" t="n">
        <f aca="false">INT((MONTH(B803)-1)/3)+1</f>
        <v>1</v>
      </c>
      <c r="E803" s="10" t="n">
        <f aca="false">MONTH(B803)</f>
        <v>3</v>
      </c>
      <c r="F803" s="10" t="str">
        <f aca="false">CHOOSE(MOD(A803-1,5)+1,"Центр","Юг","Север","Запад","Восток")</f>
        <v>Юг</v>
      </c>
      <c r="G803" s="10" t="str">
        <f aca="false">"Округ_"&amp;(MOD(A803-1,5)+1)&amp;"_"&amp;(MOD(INT((A803-1)/5),5)+1)</f>
        <v>Округ_2_1</v>
      </c>
      <c r="H803" s="10" t="str">
        <f aca="false">"Город_"&amp;(MOD(A803-1,5)+1)&amp;"_"&amp;(MOD(INT((A803-1)/5),5)+1)&amp;"_"&amp;(MOD(INT((A803-1)/25),10)+1)</f>
        <v>Город_2_1_3</v>
      </c>
      <c r="I803" s="10" t="str">
        <f aca="false">CHOOSE(MOD(A803-1,4)+1,"Электроника","Одежда","Продукты","Мебель")</f>
        <v>Одежда</v>
      </c>
      <c r="J803" s="10" t="str">
        <f aca="false">CHOOSE(MOD(INT((A803-1)/4),4)+1,CHOOSE(MOD(A803-1,4)+1,"Смартфоны","Ноутбуки","Аксессуары","Аудио"),CHOOSE(MOD(A803-1,4)+1,"Верхняя одежда","Спортивная","Повседневная","Обувь"),CHOOSE(MOD(A803-1,4)+1,"Молочные","Мясные","Бакалея","Напитки"),CHOOSE(MOD(A803-1,4)+1,"Мягкая мебель","Корпусная","Офисная","Кухонная"))</f>
        <v>Ноутбуки</v>
      </c>
      <c r="K803" s="12" t="n">
        <f aca="false">1000+MOD(A803*317+A803*A803*7,49001)</f>
        <v>4565</v>
      </c>
      <c r="L803" s="12" t="n">
        <f aca="false">1+MOD(A803*131,100)</f>
        <v>63</v>
      </c>
      <c r="M803" s="12" t="n">
        <f aca="false">INT(K803*(0.6+MOD(A803*43,21)/100))</f>
        <v>2921</v>
      </c>
      <c r="N803" s="12" t="n">
        <f aca="false">K803-M803</f>
        <v>1644</v>
      </c>
    </row>
    <row r="804" customFormat="false" ht="12.8" hidden="false" customHeight="false" outlineLevel="0" collapsed="false">
      <c r="A804" s="10" t="n">
        <f aca="false">A803+1</f>
        <v>803</v>
      </c>
      <c r="B804" s="11" t="n">
        <f aca="false">B803+1</f>
        <v>45729</v>
      </c>
      <c r="C804" s="10" t="n">
        <f aca="false">YEAR(B804)</f>
        <v>2025</v>
      </c>
      <c r="D804" s="10" t="n">
        <f aca="false">INT((MONTH(B804)-1)/3)+1</f>
        <v>1</v>
      </c>
      <c r="E804" s="10" t="n">
        <f aca="false">MONTH(B804)</f>
        <v>3</v>
      </c>
      <c r="F804" s="10" t="str">
        <f aca="false">CHOOSE(MOD(A804-1,5)+1,"Центр","Юг","Север","Запад","Восток")</f>
        <v>Север</v>
      </c>
      <c r="G804" s="10" t="str">
        <f aca="false">"Округ_"&amp;(MOD(A804-1,5)+1)&amp;"_"&amp;(MOD(INT((A804-1)/5),5)+1)</f>
        <v>Округ_3_1</v>
      </c>
      <c r="H804" s="10" t="str">
        <f aca="false">"Город_"&amp;(MOD(A804-1,5)+1)&amp;"_"&amp;(MOD(INT((A804-1)/5),5)+1)&amp;"_"&amp;(MOD(INT((A804-1)/25),10)+1)</f>
        <v>Город_3_1_3</v>
      </c>
      <c r="I804" s="10" t="str">
        <f aca="false">CHOOSE(MOD(A804-1,4)+1,"Электроника","Одежда","Продукты","Мебель")</f>
        <v>Продукты</v>
      </c>
      <c r="J804" s="10" t="str">
        <f aca="false">CHOOSE(MOD(INT((A804-1)/4),4)+1,CHOOSE(MOD(A804-1,4)+1,"Смартфоны","Ноутбуки","Аксессуары","Аудио"),CHOOSE(MOD(A804-1,4)+1,"Верхняя одежда","Спортивная","Повседневная","Обувь"),CHOOSE(MOD(A804-1,4)+1,"Молочные","Мясные","Бакалея","Напитки"),CHOOSE(MOD(A804-1,4)+1,"Мягкая мебель","Корпусная","Офисная","Кухонная"))</f>
        <v>Аксессуары</v>
      </c>
      <c r="K804" s="12" t="n">
        <f aca="false">1000+MOD(A804*317+A804*A804*7,49001)</f>
        <v>16117</v>
      </c>
      <c r="L804" s="12" t="n">
        <f aca="false">1+MOD(A804*131,100)</f>
        <v>94</v>
      </c>
      <c r="M804" s="12" t="n">
        <f aca="false">INT(K804*(0.6+MOD(A804*43,21)/100))</f>
        <v>10476</v>
      </c>
      <c r="N804" s="12" t="n">
        <f aca="false">K804-M804</f>
        <v>5641</v>
      </c>
    </row>
    <row r="805" customFormat="false" ht="12.8" hidden="false" customHeight="false" outlineLevel="0" collapsed="false">
      <c r="A805" s="10" t="n">
        <f aca="false">A804+1</f>
        <v>804</v>
      </c>
      <c r="B805" s="11" t="n">
        <f aca="false">B804+1</f>
        <v>45730</v>
      </c>
      <c r="C805" s="10" t="n">
        <f aca="false">YEAR(B805)</f>
        <v>2025</v>
      </c>
      <c r="D805" s="10" t="n">
        <f aca="false">INT((MONTH(B805)-1)/3)+1</f>
        <v>1</v>
      </c>
      <c r="E805" s="10" t="n">
        <f aca="false">MONTH(B805)</f>
        <v>3</v>
      </c>
      <c r="F805" s="10" t="str">
        <f aca="false">CHOOSE(MOD(A805-1,5)+1,"Центр","Юг","Север","Запад","Восток")</f>
        <v>Запад</v>
      </c>
      <c r="G805" s="10" t="str">
        <f aca="false">"Округ_"&amp;(MOD(A805-1,5)+1)&amp;"_"&amp;(MOD(INT((A805-1)/5),5)+1)</f>
        <v>Округ_4_1</v>
      </c>
      <c r="H805" s="10" t="str">
        <f aca="false">"Город_"&amp;(MOD(A805-1,5)+1)&amp;"_"&amp;(MOD(INT((A805-1)/5),5)+1)&amp;"_"&amp;(MOD(INT((A805-1)/25),10)+1)</f>
        <v>Город_4_1_3</v>
      </c>
      <c r="I805" s="10" t="str">
        <f aca="false">CHOOSE(MOD(A805-1,4)+1,"Электроника","Одежда","Продукты","Мебель")</f>
        <v>Мебель</v>
      </c>
      <c r="J805" s="10" t="str">
        <f aca="false">CHOOSE(MOD(INT((A805-1)/4),4)+1,CHOOSE(MOD(A805-1,4)+1,"Смартфоны","Ноутбуки","Аксессуары","Аудио"),CHOOSE(MOD(A805-1,4)+1,"Верхняя одежда","Спортивная","Повседневная","Обувь"),CHOOSE(MOD(A805-1,4)+1,"Молочные","Мясные","Бакалея","Напитки"),CHOOSE(MOD(A805-1,4)+1,"Мягкая мебель","Корпусная","Офисная","Кухонная"))</f>
        <v>Аудио</v>
      </c>
      <c r="K805" s="12" t="n">
        <f aca="false">1000+MOD(A805*317+A805*A805*7,49001)</f>
        <v>27683</v>
      </c>
      <c r="L805" s="12" t="n">
        <f aca="false">1+MOD(A805*131,100)</f>
        <v>25</v>
      </c>
      <c r="M805" s="12" t="n">
        <f aca="false">INT(K805*(0.6+MOD(A805*43,21)/100))</f>
        <v>18270</v>
      </c>
      <c r="N805" s="12" t="n">
        <f aca="false">K805-M805</f>
        <v>9413</v>
      </c>
    </row>
    <row r="806" customFormat="false" ht="12.8" hidden="false" customHeight="false" outlineLevel="0" collapsed="false">
      <c r="A806" s="10" t="n">
        <f aca="false">A805+1</f>
        <v>805</v>
      </c>
      <c r="B806" s="11" t="n">
        <f aca="false">B805+1</f>
        <v>45731</v>
      </c>
      <c r="C806" s="10" t="n">
        <f aca="false">YEAR(B806)</f>
        <v>2025</v>
      </c>
      <c r="D806" s="10" t="n">
        <f aca="false">INT((MONTH(B806)-1)/3)+1</f>
        <v>1</v>
      </c>
      <c r="E806" s="10" t="n">
        <f aca="false">MONTH(B806)</f>
        <v>3</v>
      </c>
      <c r="F806" s="10" t="str">
        <f aca="false">CHOOSE(MOD(A806-1,5)+1,"Центр","Юг","Север","Запад","Восток")</f>
        <v>Восток</v>
      </c>
      <c r="G806" s="10" t="str">
        <f aca="false">"Округ_"&amp;(MOD(A806-1,5)+1)&amp;"_"&amp;(MOD(INT((A806-1)/5),5)+1)</f>
        <v>Округ_5_1</v>
      </c>
      <c r="H806" s="10" t="str">
        <f aca="false">"Город_"&amp;(MOD(A806-1,5)+1)&amp;"_"&amp;(MOD(INT((A806-1)/5),5)+1)&amp;"_"&amp;(MOD(INT((A806-1)/25),10)+1)</f>
        <v>Город_5_1_3</v>
      </c>
      <c r="I806" s="10" t="str">
        <f aca="false">CHOOSE(MOD(A806-1,4)+1,"Электроника","Одежда","Продукты","Мебель")</f>
        <v>Электроника</v>
      </c>
      <c r="J806" s="10" t="str">
        <f aca="false">CHOOSE(MOD(INT((A806-1)/4),4)+1,CHOOSE(MOD(A806-1,4)+1,"Смартфоны","Ноутбуки","Аксессуары","Аудио"),CHOOSE(MOD(A806-1,4)+1,"Верхняя одежда","Спортивная","Повседневная","Обувь"),CHOOSE(MOD(A806-1,4)+1,"Молочные","Мясные","Бакалея","Напитки"),CHOOSE(MOD(A806-1,4)+1,"Мягкая мебель","Корпусная","Офисная","Кухонная"))</f>
        <v>Верхняя одежда</v>
      </c>
      <c r="K806" s="12" t="n">
        <f aca="false">1000+MOD(A806*317+A806*A806*7,49001)</f>
        <v>39263</v>
      </c>
      <c r="L806" s="12" t="n">
        <f aca="false">1+MOD(A806*131,100)</f>
        <v>56</v>
      </c>
      <c r="M806" s="12" t="n">
        <f aca="false">INT(K806*(0.6+MOD(A806*43,21)/100))</f>
        <v>26306</v>
      </c>
      <c r="N806" s="12" t="n">
        <f aca="false">K806-M806</f>
        <v>12957</v>
      </c>
    </row>
    <row r="807" customFormat="false" ht="12.8" hidden="false" customHeight="false" outlineLevel="0" collapsed="false">
      <c r="A807" s="10" t="n">
        <f aca="false">A806+1</f>
        <v>806</v>
      </c>
      <c r="B807" s="11" t="n">
        <f aca="false">B806+1</f>
        <v>45732</v>
      </c>
      <c r="C807" s="10" t="n">
        <f aca="false">YEAR(B807)</f>
        <v>2025</v>
      </c>
      <c r="D807" s="10" t="n">
        <f aca="false">INT((MONTH(B807)-1)/3)+1</f>
        <v>1</v>
      </c>
      <c r="E807" s="10" t="n">
        <f aca="false">MONTH(B807)</f>
        <v>3</v>
      </c>
      <c r="F807" s="10" t="str">
        <f aca="false">CHOOSE(MOD(A807-1,5)+1,"Центр","Юг","Север","Запад","Восток")</f>
        <v>Центр</v>
      </c>
      <c r="G807" s="10" t="str">
        <f aca="false">"Округ_"&amp;(MOD(A807-1,5)+1)&amp;"_"&amp;(MOD(INT((A807-1)/5),5)+1)</f>
        <v>Округ_1_2</v>
      </c>
      <c r="H807" s="10" t="str">
        <f aca="false">"Город_"&amp;(MOD(A807-1,5)+1)&amp;"_"&amp;(MOD(INT((A807-1)/5),5)+1)&amp;"_"&amp;(MOD(INT((A807-1)/25),10)+1)</f>
        <v>Город_1_2_3</v>
      </c>
      <c r="I807" s="10" t="str">
        <f aca="false">CHOOSE(MOD(A807-1,4)+1,"Электроника","Одежда","Продукты","Мебель")</f>
        <v>Одежда</v>
      </c>
      <c r="J807" s="10" t="str">
        <f aca="false">CHOOSE(MOD(INT((A807-1)/4),4)+1,CHOOSE(MOD(A807-1,4)+1,"Смартфоны","Ноутбуки","Аксессуары","Аудио"),CHOOSE(MOD(A807-1,4)+1,"Верхняя одежда","Спортивная","Повседневная","Обувь"),CHOOSE(MOD(A807-1,4)+1,"Молочные","Мясные","Бакалея","Напитки"),CHOOSE(MOD(A807-1,4)+1,"Мягкая мебель","Корпусная","Офисная","Кухонная"))</f>
        <v>Спортивная</v>
      </c>
      <c r="K807" s="12" t="n">
        <f aca="false">1000+MOD(A807*317+A807*A807*7,49001)</f>
        <v>1856</v>
      </c>
      <c r="L807" s="12" t="n">
        <f aca="false">1+MOD(A807*131,100)</f>
        <v>87</v>
      </c>
      <c r="M807" s="12" t="n">
        <f aca="false">INT(K807*(0.6+MOD(A807*43,21)/100))</f>
        <v>1262</v>
      </c>
      <c r="N807" s="12" t="n">
        <f aca="false">K807-M807</f>
        <v>594</v>
      </c>
    </row>
    <row r="808" customFormat="false" ht="12.8" hidden="false" customHeight="false" outlineLevel="0" collapsed="false">
      <c r="A808" s="10" t="n">
        <f aca="false">A807+1</f>
        <v>807</v>
      </c>
      <c r="B808" s="11" t="n">
        <f aca="false">B807+1</f>
        <v>45733</v>
      </c>
      <c r="C808" s="10" t="n">
        <f aca="false">YEAR(B808)</f>
        <v>2025</v>
      </c>
      <c r="D808" s="10" t="n">
        <f aca="false">INT((MONTH(B808)-1)/3)+1</f>
        <v>1</v>
      </c>
      <c r="E808" s="10" t="n">
        <f aca="false">MONTH(B808)</f>
        <v>3</v>
      </c>
      <c r="F808" s="10" t="str">
        <f aca="false">CHOOSE(MOD(A808-1,5)+1,"Центр","Юг","Север","Запад","Восток")</f>
        <v>Юг</v>
      </c>
      <c r="G808" s="10" t="str">
        <f aca="false">"Округ_"&amp;(MOD(A808-1,5)+1)&amp;"_"&amp;(MOD(INT((A808-1)/5),5)+1)</f>
        <v>Округ_2_2</v>
      </c>
      <c r="H808" s="10" t="str">
        <f aca="false">"Город_"&amp;(MOD(A808-1,5)+1)&amp;"_"&amp;(MOD(INT((A808-1)/5),5)+1)&amp;"_"&amp;(MOD(INT((A808-1)/25),10)+1)</f>
        <v>Город_2_2_3</v>
      </c>
      <c r="I808" s="10" t="str">
        <f aca="false">CHOOSE(MOD(A808-1,4)+1,"Электроника","Одежда","Продукты","Мебель")</f>
        <v>Продукты</v>
      </c>
      <c r="J808" s="10" t="str">
        <f aca="false">CHOOSE(MOD(INT((A808-1)/4),4)+1,CHOOSE(MOD(A808-1,4)+1,"Смартфоны","Ноутбуки","Аксессуары","Аудио"),CHOOSE(MOD(A808-1,4)+1,"Верхняя одежда","Спортивная","Повседневная","Обувь"),CHOOSE(MOD(A808-1,4)+1,"Молочные","Мясные","Бакалея","Напитки"),CHOOSE(MOD(A808-1,4)+1,"Мягкая мебель","Корпусная","Офисная","Кухонная"))</f>
        <v>Повседневная</v>
      </c>
      <c r="K808" s="12" t="n">
        <f aca="false">1000+MOD(A808*317+A808*A808*7,49001)</f>
        <v>13464</v>
      </c>
      <c r="L808" s="12" t="n">
        <f aca="false">1+MOD(A808*131,100)</f>
        <v>18</v>
      </c>
      <c r="M808" s="12" t="n">
        <f aca="false">INT(K808*(0.6+MOD(A808*43,21)/100))</f>
        <v>9290</v>
      </c>
      <c r="N808" s="12" t="n">
        <f aca="false">K808-M808</f>
        <v>4174</v>
      </c>
    </row>
    <row r="809" customFormat="false" ht="12.8" hidden="false" customHeight="false" outlineLevel="0" collapsed="false">
      <c r="A809" s="10" t="n">
        <f aca="false">A808+1</f>
        <v>808</v>
      </c>
      <c r="B809" s="11" t="n">
        <f aca="false">B808+1</f>
        <v>45734</v>
      </c>
      <c r="C809" s="10" t="n">
        <f aca="false">YEAR(B809)</f>
        <v>2025</v>
      </c>
      <c r="D809" s="10" t="n">
        <f aca="false">INT((MONTH(B809)-1)/3)+1</f>
        <v>1</v>
      </c>
      <c r="E809" s="10" t="n">
        <f aca="false">MONTH(B809)</f>
        <v>3</v>
      </c>
      <c r="F809" s="10" t="str">
        <f aca="false">CHOOSE(MOD(A809-1,5)+1,"Центр","Юг","Север","Запад","Восток")</f>
        <v>Север</v>
      </c>
      <c r="G809" s="10" t="str">
        <f aca="false">"Округ_"&amp;(MOD(A809-1,5)+1)&amp;"_"&amp;(MOD(INT((A809-1)/5),5)+1)</f>
        <v>Округ_3_2</v>
      </c>
      <c r="H809" s="10" t="str">
        <f aca="false">"Город_"&amp;(MOD(A809-1,5)+1)&amp;"_"&amp;(MOD(INT((A809-1)/5),5)+1)&amp;"_"&amp;(MOD(INT((A809-1)/25),10)+1)</f>
        <v>Город_3_2_3</v>
      </c>
      <c r="I809" s="10" t="str">
        <f aca="false">CHOOSE(MOD(A809-1,4)+1,"Электроника","Одежда","Продукты","Мебель")</f>
        <v>Мебель</v>
      </c>
      <c r="J809" s="10" t="str">
        <f aca="false">CHOOSE(MOD(INT((A809-1)/4),4)+1,CHOOSE(MOD(A809-1,4)+1,"Смартфоны","Ноутбуки","Аксессуары","Аудио"),CHOOSE(MOD(A809-1,4)+1,"Верхняя одежда","Спортивная","Повседневная","Обувь"),CHOOSE(MOD(A809-1,4)+1,"Молочные","Мясные","Бакалея","Напитки"),CHOOSE(MOD(A809-1,4)+1,"Мягкая мебель","Корпусная","Офисная","Кухонная"))</f>
        <v>Обувь</v>
      </c>
      <c r="K809" s="12" t="n">
        <f aca="false">1000+MOD(A809*317+A809*A809*7,49001)</f>
        <v>25086</v>
      </c>
      <c r="L809" s="12" t="n">
        <f aca="false">1+MOD(A809*131,100)</f>
        <v>49</v>
      </c>
      <c r="M809" s="12" t="n">
        <f aca="false">INT(K809*(0.6+MOD(A809*43,21)/100))</f>
        <v>17560</v>
      </c>
      <c r="N809" s="12" t="n">
        <f aca="false">K809-M809</f>
        <v>7526</v>
      </c>
    </row>
    <row r="810" customFormat="false" ht="12.8" hidden="false" customHeight="false" outlineLevel="0" collapsed="false">
      <c r="A810" s="10" t="n">
        <f aca="false">A809+1</f>
        <v>809</v>
      </c>
      <c r="B810" s="11" t="n">
        <f aca="false">B809+1</f>
        <v>45735</v>
      </c>
      <c r="C810" s="10" t="n">
        <f aca="false">YEAR(B810)</f>
        <v>2025</v>
      </c>
      <c r="D810" s="10" t="n">
        <f aca="false">INT((MONTH(B810)-1)/3)+1</f>
        <v>1</v>
      </c>
      <c r="E810" s="10" t="n">
        <f aca="false">MONTH(B810)</f>
        <v>3</v>
      </c>
      <c r="F810" s="10" t="str">
        <f aca="false">CHOOSE(MOD(A810-1,5)+1,"Центр","Юг","Север","Запад","Восток")</f>
        <v>Запад</v>
      </c>
      <c r="G810" s="10" t="str">
        <f aca="false">"Округ_"&amp;(MOD(A810-1,5)+1)&amp;"_"&amp;(MOD(INT((A810-1)/5),5)+1)</f>
        <v>Округ_4_2</v>
      </c>
      <c r="H810" s="10" t="str">
        <f aca="false">"Город_"&amp;(MOD(A810-1,5)+1)&amp;"_"&amp;(MOD(INT((A810-1)/5),5)+1)&amp;"_"&amp;(MOD(INT((A810-1)/25),10)+1)</f>
        <v>Город_4_2_3</v>
      </c>
      <c r="I810" s="10" t="str">
        <f aca="false">CHOOSE(MOD(A810-1,4)+1,"Электроника","Одежда","Продукты","Мебель")</f>
        <v>Электроника</v>
      </c>
      <c r="J810" s="10" t="str">
        <f aca="false">CHOOSE(MOD(INT((A810-1)/4),4)+1,CHOOSE(MOD(A810-1,4)+1,"Смартфоны","Ноутбуки","Аксессуары","Аудио"),CHOOSE(MOD(A810-1,4)+1,"Верхняя одежда","Спортивная","Повседневная","Обувь"),CHOOSE(MOD(A810-1,4)+1,"Молочные","Мясные","Бакалея","Напитки"),CHOOSE(MOD(A810-1,4)+1,"Мягкая мебель","Корпусная","Офисная","Кухонная"))</f>
        <v>Молочные</v>
      </c>
      <c r="K810" s="12" t="n">
        <f aca="false">1000+MOD(A810*317+A810*A810*7,49001)</f>
        <v>36722</v>
      </c>
      <c r="L810" s="12" t="n">
        <f aca="false">1+MOD(A810*131,100)</f>
        <v>80</v>
      </c>
      <c r="M810" s="12" t="n">
        <f aca="false">INT(K810*(0.6+MOD(A810*43,21)/100))</f>
        <v>26072</v>
      </c>
      <c r="N810" s="12" t="n">
        <f aca="false">K810-M810</f>
        <v>10650</v>
      </c>
    </row>
    <row r="811" customFormat="false" ht="12.8" hidden="false" customHeight="false" outlineLevel="0" collapsed="false">
      <c r="A811" s="10" t="n">
        <f aca="false">A810+1</f>
        <v>810</v>
      </c>
      <c r="B811" s="11" t="n">
        <f aca="false">B810+1</f>
        <v>45736</v>
      </c>
      <c r="C811" s="10" t="n">
        <f aca="false">YEAR(B811)</f>
        <v>2025</v>
      </c>
      <c r="D811" s="10" t="n">
        <f aca="false">INT((MONTH(B811)-1)/3)+1</f>
        <v>1</v>
      </c>
      <c r="E811" s="10" t="n">
        <f aca="false">MONTH(B811)</f>
        <v>3</v>
      </c>
      <c r="F811" s="10" t="str">
        <f aca="false">CHOOSE(MOD(A811-1,5)+1,"Центр","Юг","Север","Запад","Восток")</f>
        <v>Восток</v>
      </c>
      <c r="G811" s="10" t="str">
        <f aca="false">"Округ_"&amp;(MOD(A811-1,5)+1)&amp;"_"&amp;(MOD(INT((A811-1)/5),5)+1)</f>
        <v>Округ_5_2</v>
      </c>
      <c r="H811" s="10" t="str">
        <f aca="false">"Город_"&amp;(MOD(A811-1,5)+1)&amp;"_"&amp;(MOD(INT((A811-1)/5),5)+1)&amp;"_"&amp;(MOD(INT((A811-1)/25),10)+1)</f>
        <v>Город_5_2_3</v>
      </c>
      <c r="I811" s="10" t="str">
        <f aca="false">CHOOSE(MOD(A811-1,4)+1,"Электроника","Одежда","Продукты","Мебель")</f>
        <v>Одежда</v>
      </c>
      <c r="J811" s="10" t="str">
        <f aca="false">CHOOSE(MOD(INT((A811-1)/4),4)+1,CHOOSE(MOD(A811-1,4)+1,"Смартфоны","Ноутбуки","Аксессуары","Аудио"),CHOOSE(MOD(A811-1,4)+1,"Верхняя одежда","Спортивная","Повседневная","Обувь"),CHOOSE(MOD(A811-1,4)+1,"Молочные","Мясные","Бакалея","Напитки"),CHOOSE(MOD(A811-1,4)+1,"Мягкая мебель","Корпусная","Офисная","Кухонная"))</f>
        <v>Мясные</v>
      </c>
      <c r="K811" s="12" t="n">
        <f aca="false">1000+MOD(A811*317+A811*A811*7,49001)</f>
        <v>48372</v>
      </c>
      <c r="L811" s="12" t="n">
        <f aca="false">1+MOD(A811*131,100)</f>
        <v>11</v>
      </c>
      <c r="M811" s="12" t="n">
        <f aca="false">INT(K811*(0.6+MOD(A811*43,21)/100))</f>
        <v>34827</v>
      </c>
      <c r="N811" s="12" t="n">
        <f aca="false">K811-M811</f>
        <v>13545</v>
      </c>
    </row>
    <row r="812" customFormat="false" ht="12.8" hidden="false" customHeight="false" outlineLevel="0" collapsed="false">
      <c r="A812" s="10" t="n">
        <f aca="false">A811+1</f>
        <v>811</v>
      </c>
      <c r="B812" s="11" t="n">
        <f aca="false">B811+1</f>
        <v>45737</v>
      </c>
      <c r="C812" s="10" t="n">
        <f aca="false">YEAR(B812)</f>
        <v>2025</v>
      </c>
      <c r="D812" s="10" t="n">
        <f aca="false">INT((MONTH(B812)-1)/3)+1</f>
        <v>1</v>
      </c>
      <c r="E812" s="10" t="n">
        <f aca="false">MONTH(B812)</f>
        <v>3</v>
      </c>
      <c r="F812" s="10" t="str">
        <f aca="false">CHOOSE(MOD(A812-1,5)+1,"Центр","Юг","Север","Запад","Восток")</f>
        <v>Центр</v>
      </c>
      <c r="G812" s="10" t="str">
        <f aca="false">"Округ_"&amp;(MOD(A812-1,5)+1)&amp;"_"&amp;(MOD(INT((A812-1)/5),5)+1)</f>
        <v>Округ_1_3</v>
      </c>
      <c r="H812" s="10" t="str">
        <f aca="false">"Город_"&amp;(MOD(A812-1,5)+1)&amp;"_"&amp;(MOD(INT((A812-1)/5),5)+1)&amp;"_"&amp;(MOD(INT((A812-1)/25),10)+1)</f>
        <v>Город_1_3_3</v>
      </c>
      <c r="I812" s="10" t="str">
        <f aca="false">CHOOSE(MOD(A812-1,4)+1,"Электроника","Одежда","Продукты","Мебель")</f>
        <v>Продукты</v>
      </c>
      <c r="J812" s="10" t="str">
        <f aca="false">CHOOSE(MOD(INT((A812-1)/4),4)+1,CHOOSE(MOD(A812-1,4)+1,"Смартфоны","Ноутбуки","Аксессуары","Аудио"),CHOOSE(MOD(A812-1,4)+1,"Верхняя одежда","Спортивная","Повседневная","Обувь"),CHOOSE(MOD(A812-1,4)+1,"Молочные","Мясные","Бакалея","Напитки"),CHOOSE(MOD(A812-1,4)+1,"Мягкая мебель","Корпусная","Офисная","Кухонная"))</f>
        <v>Бакалея</v>
      </c>
      <c r="K812" s="12" t="n">
        <f aca="false">1000+MOD(A812*317+A812*A812*7,49001)</f>
        <v>11035</v>
      </c>
      <c r="L812" s="12" t="n">
        <f aca="false">1+MOD(A812*131,100)</f>
        <v>42</v>
      </c>
      <c r="M812" s="12" t="n">
        <f aca="false">INT(K812*(0.6+MOD(A812*43,21)/100))</f>
        <v>8055</v>
      </c>
      <c r="N812" s="12" t="n">
        <f aca="false">K812-M812</f>
        <v>2980</v>
      </c>
    </row>
    <row r="813" customFormat="false" ht="12.8" hidden="false" customHeight="false" outlineLevel="0" collapsed="false">
      <c r="A813" s="10" t="n">
        <f aca="false">A812+1</f>
        <v>812</v>
      </c>
      <c r="B813" s="11" t="n">
        <f aca="false">B812+1</f>
        <v>45738</v>
      </c>
      <c r="C813" s="10" t="n">
        <f aca="false">YEAR(B813)</f>
        <v>2025</v>
      </c>
      <c r="D813" s="10" t="n">
        <f aca="false">INT((MONTH(B813)-1)/3)+1</f>
        <v>1</v>
      </c>
      <c r="E813" s="10" t="n">
        <f aca="false">MONTH(B813)</f>
        <v>3</v>
      </c>
      <c r="F813" s="10" t="str">
        <f aca="false">CHOOSE(MOD(A813-1,5)+1,"Центр","Юг","Север","Запад","Восток")</f>
        <v>Юг</v>
      </c>
      <c r="G813" s="10" t="str">
        <f aca="false">"Округ_"&amp;(MOD(A813-1,5)+1)&amp;"_"&amp;(MOD(INT((A813-1)/5),5)+1)</f>
        <v>Округ_2_3</v>
      </c>
      <c r="H813" s="10" t="str">
        <f aca="false">"Город_"&amp;(MOD(A813-1,5)+1)&amp;"_"&amp;(MOD(INT((A813-1)/5),5)+1)&amp;"_"&amp;(MOD(INT((A813-1)/25),10)+1)</f>
        <v>Город_2_3_3</v>
      </c>
      <c r="I813" s="10" t="str">
        <f aca="false">CHOOSE(MOD(A813-1,4)+1,"Электроника","Одежда","Продукты","Мебель")</f>
        <v>Мебель</v>
      </c>
      <c r="J813" s="10" t="str">
        <f aca="false">CHOOSE(MOD(INT((A813-1)/4),4)+1,CHOOSE(MOD(A813-1,4)+1,"Смартфоны","Ноутбуки","Аксессуары","Аудио"),CHOOSE(MOD(A813-1,4)+1,"Верхняя одежда","Спортивная","Повседневная","Обувь"),CHOOSE(MOD(A813-1,4)+1,"Молочные","Мясные","Бакалея","Напитки"),CHOOSE(MOD(A813-1,4)+1,"Мягкая мебель","Корпусная","Офисная","Кухонная"))</f>
        <v>Напитки</v>
      </c>
      <c r="K813" s="12" t="n">
        <f aca="false">1000+MOD(A813*317+A813*A813*7,49001)</f>
        <v>22713</v>
      </c>
      <c r="L813" s="12" t="n">
        <f aca="false">1+MOD(A813*131,100)</f>
        <v>73</v>
      </c>
      <c r="M813" s="12" t="n">
        <f aca="false">INT(K813*(0.6+MOD(A813*43,21)/100))</f>
        <v>16807</v>
      </c>
      <c r="N813" s="12" t="n">
        <f aca="false">K813-M813</f>
        <v>5906</v>
      </c>
    </row>
    <row r="814" customFormat="false" ht="12.8" hidden="false" customHeight="false" outlineLevel="0" collapsed="false">
      <c r="A814" s="10" t="n">
        <f aca="false">A813+1</f>
        <v>813</v>
      </c>
      <c r="B814" s="11" t="n">
        <f aca="false">B813+1</f>
        <v>45739</v>
      </c>
      <c r="C814" s="10" t="n">
        <f aca="false">YEAR(B814)</f>
        <v>2025</v>
      </c>
      <c r="D814" s="10" t="n">
        <f aca="false">INT((MONTH(B814)-1)/3)+1</f>
        <v>1</v>
      </c>
      <c r="E814" s="10" t="n">
        <f aca="false">MONTH(B814)</f>
        <v>3</v>
      </c>
      <c r="F814" s="10" t="str">
        <f aca="false">CHOOSE(MOD(A814-1,5)+1,"Центр","Юг","Север","Запад","Восток")</f>
        <v>Север</v>
      </c>
      <c r="G814" s="10" t="str">
        <f aca="false">"Округ_"&amp;(MOD(A814-1,5)+1)&amp;"_"&amp;(MOD(INT((A814-1)/5),5)+1)</f>
        <v>Округ_3_3</v>
      </c>
      <c r="H814" s="10" t="str">
        <f aca="false">"Город_"&amp;(MOD(A814-1,5)+1)&amp;"_"&amp;(MOD(INT((A814-1)/5),5)+1)&amp;"_"&amp;(MOD(INT((A814-1)/25),10)+1)</f>
        <v>Город_3_3_3</v>
      </c>
      <c r="I814" s="10" t="str">
        <f aca="false">CHOOSE(MOD(A814-1,4)+1,"Электроника","Одежда","Продукты","Мебель")</f>
        <v>Электроника</v>
      </c>
      <c r="J814" s="10" t="str">
        <f aca="false">CHOOSE(MOD(INT((A814-1)/4),4)+1,CHOOSE(MOD(A814-1,4)+1,"Смартфоны","Ноутбуки","Аксессуары","Аудио"),CHOOSE(MOD(A814-1,4)+1,"Верхняя одежда","Спортивная","Повседневная","Обувь"),CHOOSE(MOD(A814-1,4)+1,"Молочные","Мясные","Бакалея","Напитки"),CHOOSE(MOD(A814-1,4)+1,"Мягкая мебель","Корпусная","Офисная","Кухонная"))</f>
        <v>Мягкая мебель</v>
      </c>
      <c r="K814" s="12" t="n">
        <f aca="false">1000+MOD(A814*317+A814*A814*7,49001)</f>
        <v>34405</v>
      </c>
      <c r="L814" s="12" t="n">
        <f aca="false">1+MOD(A814*131,100)</f>
        <v>4</v>
      </c>
      <c r="M814" s="12" t="n">
        <f aca="false">INT(K814*(0.6+MOD(A814*43,21)/100))</f>
        <v>25803</v>
      </c>
      <c r="N814" s="12" t="n">
        <f aca="false">K814-M814</f>
        <v>8602</v>
      </c>
    </row>
    <row r="815" customFormat="false" ht="12.8" hidden="false" customHeight="false" outlineLevel="0" collapsed="false">
      <c r="A815" s="10" t="n">
        <f aca="false">A814+1</f>
        <v>814</v>
      </c>
      <c r="B815" s="11" t="n">
        <f aca="false">B814+1</f>
        <v>45740</v>
      </c>
      <c r="C815" s="10" t="n">
        <f aca="false">YEAR(B815)</f>
        <v>2025</v>
      </c>
      <c r="D815" s="10" t="n">
        <f aca="false">INT((MONTH(B815)-1)/3)+1</f>
        <v>1</v>
      </c>
      <c r="E815" s="10" t="n">
        <f aca="false">MONTH(B815)</f>
        <v>3</v>
      </c>
      <c r="F815" s="10" t="str">
        <f aca="false">CHOOSE(MOD(A815-1,5)+1,"Центр","Юг","Север","Запад","Восток")</f>
        <v>Запад</v>
      </c>
      <c r="G815" s="10" t="str">
        <f aca="false">"Округ_"&amp;(MOD(A815-1,5)+1)&amp;"_"&amp;(MOD(INT((A815-1)/5),5)+1)</f>
        <v>Округ_4_3</v>
      </c>
      <c r="H815" s="10" t="str">
        <f aca="false">"Город_"&amp;(MOD(A815-1,5)+1)&amp;"_"&amp;(MOD(INT((A815-1)/5),5)+1)&amp;"_"&amp;(MOD(INT((A815-1)/25),10)+1)</f>
        <v>Город_4_3_3</v>
      </c>
      <c r="I815" s="10" t="str">
        <f aca="false">CHOOSE(MOD(A815-1,4)+1,"Электроника","Одежда","Продукты","Мебель")</f>
        <v>Одежда</v>
      </c>
      <c r="J815" s="10" t="str">
        <f aca="false">CHOOSE(MOD(INT((A815-1)/4),4)+1,CHOOSE(MOD(A815-1,4)+1,"Смартфоны","Ноутбуки","Аксессуары","Аудио"),CHOOSE(MOD(A815-1,4)+1,"Верхняя одежда","Спортивная","Повседневная","Обувь"),CHOOSE(MOD(A815-1,4)+1,"Молочные","Мясные","Бакалея","Напитки"),CHOOSE(MOD(A815-1,4)+1,"Мягкая мебель","Корпусная","Офисная","Кухонная"))</f>
        <v>Корпусная</v>
      </c>
      <c r="K815" s="12" t="n">
        <f aca="false">1000+MOD(A815*317+A815*A815*7,49001)</f>
        <v>46111</v>
      </c>
      <c r="L815" s="12" t="n">
        <f aca="false">1+MOD(A815*131,100)</f>
        <v>35</v>
      </c>
      <c r="M815" s="12" t="n">
        <f aca="false">INT(K815*(0.6+MOD(A815*43,21)/100))</f>
        <v>35044</v>
      </c>
      <c r="N815" s="12" t="n">
        <f aca="false">K815-M815</f>
        <v>11067</v>
      </c>
    </row>
    <row r="816" customFormat="false" ht="12.8" hidden="false" customHeight="false" outlineLevel="0" collapsed="false">
      <c r="A816" s="10" t="n">
        <f aca="false">A815+1</f>
        <v>815</v>
      </c>
      <c r="B816" s="11" t="n">
        <f aca="false">B815+1</f>
        <v>45741</v>
      </c>
      <c r="C816" s="10" t="n">
        <f aca="false">YEAR(B816)</f>
        <v>2025</v>
      </c>
      <c r="D816" s="10" t="n">
        <f aca="false">INT((MONTH(B816)-1)/3)+1</f>
        <v>1</v>
      </c>
      <c r="E816" s="10" t="n">
        <f aca="false">MONTH(B816)</f>
        <v>3</v>
      </c>
      <c r="F816" s="10" t="str">
        <f aca="false">CHOOSE(MOD(A816-1,5)+1,"Центр","Юг","Север","Запад","Восток")</f>
        <v>Восток</v>
      </c>
      <c r="G816" s="10" t="str">
        <f aca="false">"Округ_"&amp;(MOD(A816-1,5)+1)&amp;"_"&amp;(MOD(INT((A816-1)/5),5)+1)</f>
        <v>Округ_5_3</v>
      </c>
      <c r="H816" s="10" t="str">
        <f aca="false">"Город_"&amp;(MOD(A816-1,5)+1)&amp;"_"&amp;(MOD(INT((A816-1)/5),5)+1)&amp;"_"&amp;(MOD(INT((A816-1)/25),10)+1)</f>
        <v>Город_5_3_3</v>
      </c>
      <c r="I816" s="10" t="str">
        <f aca="false">CHOOSE(MOD(A816-1,4)+1,"Электроника","Одежда","Продукты","Мебель")</f>
        <v>Продукты</v>
      </c>
      <c r="J816" s="10" t="str">
        <f aca="false">CHOOSE(MOD(INT((A816-1)/4),4)+1,CHOOSE(MOD(A816-1,4)+1,"Смартфоны","Ноутбуки","Аксессуары","Аудио"),CHOOSE(MOD(A816-1,4)+1,"Верхняя одежда","Спортивная","Повседневная","Обувь"),CHOOSE(MOD(A816-1,4)+1,"Молочные","Мясные","Бакалея","Напитки"),CHOOSE(MOD(A816-1,4)+1,"Мягкая мебель","Корпусная","Офисная","Кухонная"))</f>
        <v>Офисная</v>
      </c>
      <c r="K816" s="12" t="n">
        <f aca="false">1000+MOD(A816*317+A816*A816*7,49001)</f>
        <v>8830</v>
      </c>
      <c r="L816" s="12" t="n">
        <f aca="false">1+MOD(A816*131,100)</f>
        <v>66</v>
      </c>
      <c r="M816" s="12" t="n">
        <f aca="false">INT(K816*(0.6+MOD(A816*43,21)/100))</f>
        <v>6799</v>
      </c>
      <c r="N816" s="12" t="n">
        <f aca="false">K816-M816</f>
        <v>2031</v>
      </c>
    </row>
    <row r="817" customFormat="false" ht="12.8" hidden="false" customHeight="false" outlineLevel="0" collapsed="false">
      <c r="A817" s="10" t="n">
        <f aca="false">A816+1</f>
        <v>816</v>
      </c>
      <c r="B817" s="11" t="n">
        <f aca="false">B816+1</f>
        <v>45742</v>
      </c>
      <c r="C817" s="10" t="n">
        <f aca="false">YEAR(B817)</f>
        <v>2025</v>
      </c>
      <c r="D817" s="10" t="n">
        <f aca="false">INT((MONTH(B817)-1)/3)+1</f>
        <v>1</v>
      </c>
      <c r="E817" s="10" t="n">
        <f aca="false">MONTH(B817)</f>
        <v>3</v>
      </c>
      <c r="F817" s="10" t="str">
        <f aca="false">CHOOSE(MOD(A817-1,5)+1,"Центр","Юг","Север","Запад","Восток")</f>
        <v>Центр</v>
      </c>
      <c r="G817" s="10" t="str">
        <f aca="false">"Округ_"&amp;(MOD(A817-1,5)+1)&amp;"_"&amp;(MOD(INT((A817-1)/5),5)+1)</f>
        <v>Округ_1_4</v>
      </c>
      <c r="H817" s="10" t="str">
        <f aca="false">"Город_"&amp;(MOD(A817-1,5)+1)&amp;"_"&amp;(MOD(INT((A817-1)/5),5)+1)&amp;"_"&amp;(MOD(INT((A817-1)/25),10)+1)</f>
        <v>Город_1_4_3</v>
      </c>
      <c r="I817" s="10" t="str">
        <f aca="false">CHOOSE(MOD(A817-1,4)+1,"Электроника","Одежда","Продукты","Мебель")</f>
        <v>Мебель</v>
      </c>
      <c r="J817" s="10" t="str">
        <f aca="false">CHOOSE(MOD(INT((A817-1)/4),4)+1,CHOOSE(MOD(A817-1,4)+1,"Смартфоны","Ноутбуки","Аксессуары","Аудио"),CHOOSE(MOD(A817-1,4)+1,"Верхняя одежда","Спортивная","Повседневная","Обувь"),CHOOSE(MOD(A817-1,4)+1,"Молочные","Мясные","Бакалея","Напитки"),CHOOSE(MOD(A817-1,4)+1,"Мягкая мебель","Корпусная","Офисная","Кухонная"))</f>
        <v>Кухонная</v>
      </c>
      <c r="K817" s="12" t="n">
        <f aca="false">1000+MOD(A817*317+A817*A817*7,49001)</f>
        <v>20564</v>
      </c>
      <c r="L817" s="12" t="n">
        <f aca="false">1+MOD(A817*131,100)</f>
        <v>97</v>
      </c>
      <c r="M817" s="12" t="n">
        <f aca="false">INT(K817*(0.6+MOD(A817*43,21)/100))</f>
        <v>16039</v>
      </c>
      <c r="N817" s="12" t="n">
        <f aca="false">K817-M817</f>
        <v>4525</v>
      </c>
    </row>
    <row r="818" customFormat="false" ht="12.8" hidden="false" customHeight="false" outlineLevel="0" collapsed="false">
      <c r="A818" s="10" t="n">
        <f aca="false">A817+1</f>
        <v>817</v>
      </c>
      <c r="B818" s="11" t="n">
        <f aca="false">B817+1</f>
        <v>45743</v>
      </c>
      <c r="C818" s="10" t="n">
        <f aca="false">YEAR(B818)</f>
        <v>2025</v>
      </c>
      <c r="D818" s="10" t="n">
        <f aca="false">INT((MONTH(B818)-1)/3)+1</f>
        <v>1</v>
      </c>
      <c r="E818" s="10" t="n">
        <f aca="false">MONTH(B818)</f>
        <v>3</v>
      </c>
      <c r="F818" s="10" t="str">
        <f aca="false">CHOOSE(MOD(A818-1,5)+1,"Центр","Юг","Север","Запад","Восток")</f>
        <v>Юг</v>
      </c>
      <c r="G818" s="10" t="str">
        <f aca="false">"Округ_"&amp;(MOD(A818-1,5)+1)&amp;"_"&amp;(MOD(INT((A818-1)/5),5)+1)</f>
        <v>Округ_2_4</v>
      </c>
      <c r="H818" s="10" t="str">
        <f aca="false">"Город_"&amp;(MOD(A818-1,5)+1)&amp;"_"&amp;(MOD(INT((A818-1)/5),5)+1)&amp;"_"&amp;(MOD(INT((A818-1)/25),10)+1)</f>
        <v>Город_2_4_3</v>
      </c>
      <c r="I818" s="10" t="str">
        <f aca="false">CHOOSE(MOD(A818-1,4)+1,"Электроника","Одежда","Продукты","Мебель")</f>
        <v>Электроника</v>
      </c>
      <c r="J818" s="10" t="str">
        <f aca="false">CHOOSE(MOD(INT((A818-1)/4),4)+1,CHOOSE(MOD(A818-1,4)+1,"Смартфоны","Ноутбуки","Аксессуары","Аудио"),CHOOSE(MOD(A818-1,4)+1,"Верхняя одежда","Спортивная","Повседневная","Обувь"),CHOOSE(MOD(A818-1,4)+1,"Молочные","Мясные","Бакалея","Напитки"),CHOOSE(MOD(A818-1,4)+1,"Мягкая мебель","Корпусная","Офисная","Кухонная"))</f>
        <v>Смартфоны</v>
      </c>
      <c r="K818" s="12" t="n">
        <f aca="false">1000+MOD(A818*317+A818*A818*7,49001)</f>
        <v>32312</v>
      </c>
      <c r="L818" s="12" t="n">
        <f aca="false">1+MOD(A818*131,100)</f>
        <v>28</v>
      </c>
      <c r="M818" s="12" t="n">
        <f aca="false">INT(K818*(0.6+MOD(A818*43,21)/100))</f>
        <v>25526</v>
      </c>
      <c r="N818" s="12" t="n">
        <f aca="false">K818-M818</f>
        <v>6786</v>
      </c>
    </row>
    <row r="819" customFormat="false" ht="12.8" hidden="false" customHeight="false" outlineLevel="0" collapsed="false">
      <c r="A819" s="10" t="n">
        <f aca="false">A818+1</f>
        <v>818</v>
      </c>
      <c r="B819" s="11" t="n">
        <f aca="false">B818+1</f>
        <v>45744</v>
      </c>
      <c r="C819" s="10" t="n">
        <f aca="false">YEAR(B819)</f>
        <v>2025</v>
      </c>
      <c r="D819" s="10" t="n">
        <f aca="false">INT((MONTH(B819)-1)/3)+1</f>
        <v>1</v>
      </c>
      <c r="E819" s="10" t="n">
        <f aca="false">MONTH(B819)</f>
        <v>3</v>
      </c>
      <c r="F819" s="10" t="str">
        <f aca="false">CHOOSE(MOD(A819-1,5)+1,"Центр","Юг","Север","Запад","Восток")</f>
        <v>Север</v>
      </c>
      <c r="G819" s="10" t="str">
        <f aca="false">"Округ_"&amp;(MOD(A819-1,5)+1)&amp;"_"&amp;(MOD(INT((A819-1)/5),5)+1)</f>
        <v>Округ_3_4</v>
      </c>
      <c r="H819" s="10" t="str">
        <f aca="false">"Город_"&amp;(MOD(A819-1,5)+1)&amp;"_"&amp;(MOD(INT((A819-1)/5),5)+1)&amp;"_"&amp;(MOD(INT((A819-1)/25),10)+1)</f>
        <v>Город_3_4_3</v>
      </c>
      <c r="I819" s="10" t="str">
        <f aca="false">CHOOSE(MOD(A819-1,4)+1,"Электроника","Одежда","Продукты","Мебель")</f>
        <v>Одежда</v>
      </c>
      <c r="J819" s="10" t="str">
        <f aca="false">CHOOSE(MOD(INT((A819-1)/4),4)+1,CHOOSE(MOD(A819-1,4)+1,"Смартфоны","Ноутбуки","Аксессуары","Аудио"),CHOOSE(MOD(A819-1,4)+1,"Верхняя одежда","Спортивная","Повседневная","Обувь"),CHOOSE(MOD(A819-1,4)+1,"Молочные","Мясные","Бакалея","Напитки"),CHOOSE(MOD(A819-1,4)+1,"Мягкая мебель","Корпусная","Офисная","Кухонная"))</f>
        <v>Ноутбуки</v>
      </c>
      <c r="K819" s="12" t="n">
        <f aca="false">1000+MOD(A819*317+A819*A819*7,49001)</f>
        <v>44074</v>
      </c>
      <c r="L819" s="12" t="n">
        <f aca="false">1+MOD(A819*131,100)</f>
        <v>59</v>
      </c>
      <c r="M819" s="12" t="n">
        <f aca="false">INT(K819*(0.6+MOD(A819*43,21)/100))</f>
        <v>35259</v>
      </c>
      <c r="N819" s="12" t="n">
        <f aca="false">K819-M819</f>
        <v>8815</v>
      </c>
    </row>
    <row r="820" customFormat="false" ht="12.8" hidden="false" customHeight="false" outlineLevel="0" collapsed="false">
      <c r="A820" s="10" t="n">
        <f aca="false">A819+1</f>
        <v>819</v>
      </c>
      <c r="B820" s="11" t="n">
        <f aca="false">B819+1</f>
        <v>45745</v>
      </c>
      <c r="C820" s="10" t="n">
        <f aca="false">YEAR(B820)</f>
        <v>2025</v>
      </c>
      <c r="D820" s="10" t="n">
        <f aca="false">INT((MONTH(B820)-1)/3)+1</f>
        <v>1</v>
      </c>
      <c r="E820" s="10" t="n">
        <f aca="false">MONTH(B820)</f>
        <v>3</v>
      </c>
      <c r="F820" s="10" t="str">
        <f aca="false">CHOOSE(MOD(A820-1,5)+1,"Центр","Юг","Север","Запад","Восток")</f>
        <v>Запад</v>
      </c>
      <c r="G820" s="10" t="str">
        <f aca="false">"Округ_"&amp;(MOD(A820-1,5)+1)&amp;"_"&amp;(MOD(INT((A820-1)/5),5)+1)</f>
        <v>Округ_4_4</v>
      </c>
      <c r="H820" s="10" t="str">
        <f aca="false">"Город_"&amp;(MOD(A820-1,5)+1)&amp;"_"&amp;(MOD(INT((A820-1)/5),5)+1)&amp;"_"&amp;(MOD(INT((A820-1)/25),10)+1)</f>
        <v>Город_4_4_3</v>
      </c>
      <c r="I820" s="10" t="str">
        <f aca="false">CHOOSE(MOD(A820-1,4)+1,"Электроника","Одежда","Продукты","Мебель")</f>
        <v>Продукты</v>
      </c>
      <c r="J820" s="10" t="str">
        <f aca="false">CHOOSE(MOD(INT((A820-1)/4),4)+1,CHOOSE(MOD(A820-1,4)+1,"Смартфоны","Ноутбуки","Аксессуары","Аудио"),CHOOSE(MOD(A820-1,4)+1,"Верхняя одежда","Спортивная","Повседневная","Обувь"),CHOOSE(MOD(A820-1,4)+1,"Молочные","Мясные","Бакалея","Напитки"),CHOOSE(MOD(A820-1,4)+1,"Мягкая мебель","Корпусная","Офисная","Кухонная"))</f>
        <v>Аксессуары</v>
      </c>
      <c r="K820" s="12" t="n">
        <f aca="false">1000+MOD(A820*317+A820*A820*7,49001)</f>
        <v>6849</v>
      </c>
      <c r="L820" s="12" t="n">
        <f aca="false">1+MOD(A820*131,100)</f>
        <v>90</v>
      </c>
      <c r="M820" s="12" t="n">
        <f aca="false">INT(K820*(0.6+MOD(A820*43,21)/100))</f>
        <v>4109</v>
      </c>
      <c r="N820" s="12" t="n">
        <f aca="false">K820-M820</f>
        <v>2740</v>
      </c>
    </row>
    <row r="821" customFormat="false" ht="12.8" hidden="false" customHeight="false" outlineLevel="0" collapsed="false">
      <c r="A821" s="10" t="n">
        <f aca="false">A820+1</f>
        <v>820</v>
      </c>
      <c r="B821" s="11" t="n">
        <f aca="false">B820+1</f>
        <v>45746</v>
      </c>
      <c r="C821" s="10" t="n">
        <f aca="false">YEAR(B821)</f>
        <v>2025</v>
      </c>
      <c r="D821" s="10" t="n">
        <f aca="false">INT((MONTH(B821)-1)/3)+1</f>
        <v>1</v>
      </c>
      <c r="E821" s="10" t="n">
        <f aca="false">MONTH(B821)</f>
        <v>3</v>
      </c>
      <c r="F821" s="10" t="str">
        <f aca="false">CHOOSE(MOD(A821-1,5)+1,"Центр","Юг","Север","Запад","Восток")</f>
        <v>Восток</v>
      </c>
      <c r="G821" s="10" t="str">
        <f aca="false">"Округ_"&amp;(MOD(A821-1,5)+1)&amp;"_"&amp;(MOD(INT((A821-1)/5),5)+1)</f>
        <v>Округ_5_4</v>
      </c>
      <c r="H821" s="10" t="str">
        <f aca="false">"Город_"&amp;(MOD(A821-1,5)+1)&amp;"_"&amp;(MOD(INT((A821-1)/5),5)+1)&amp;"_"&amp;(MOD(INT((A821-1)/25),10)+1)</f>
        <v>Город_5_4_3</v>
      </c>
      <c r="I821" s="10" t="str">
        <f aca="false">CHOOSE(MOD(A821-1,4)+1,"Электроника","Одежда","Продукты","Мебель")</f>
        <v>Мебель</v>
      </c>
      <c r="J821" s="10" t="str">
        <f aca="false">CHOOSE(MOD(INT((A821-1)/4),4)+1,CHOOSE(MOD(A821-1,4)+1,"Смартфоны","Ноутбуки","Аксессуары","Аудио"),CHOOSE(MOD(A821-1,4)+1,"Верхняя одежда","Спортивная","Повседневная","Обувь"),CHOOSE(MOD(A821-1,4)+1,"Молочные","Мясные","Бакалея","Напитки"),CHOOSE(MOD(A821-1,4)+1,"Мягкая мебель","Корпусная","Офисная","Кухонная"))</f>
        <v>Аудио</v>
      </c>
      <c r="K821" s="12" t="n">
        <f aca="false">1000+MOD(A821*317+A821*A821*7,49001)</f>
        <v>18639</v>
      </c>
      <c r="L821" s="12" t="n">
        <f aca="false">1+MOD(A821*131,100)</f>
        <v>21</v>
      </c>
      <c r="M821" s="12" t="n">
        <f aca="false">INT(K821*(0.6+MOD(A821*43,21)/100))</f>
        <v>11369</v>
      </c>
      <c r="N821" s="12" t="n">
        <f aca="false">K821-M821</f>
        <v>7270</v>
      </c>
    </row>
    <row r="822" customFormat="false" ht="12.8" hidden="false" customHeight="false" outlineLevel="0" collapsed="false">
      <c r="A822" s="10" t="n">
        <f aca="false">A821+1</f>
        <v>821</v>
      </c>
      <c r="B822" s="11" t="n">
        <f aca="false">B821+1</f>
        <v>45747</v>
      </c>
      <c r="C822" s="10" t="n">
        <f aca="false">YEAR(B822)</f>
        <v>2025</v>
      </c>
      <c r="D822" s="10" t="n">
        <f aca="false">INT((MONTH(B822)-1)/3)+1</f>
        <v>1</v>
      </c>
      <c r="E822" s="10" t="n">
        <f aca="false">MONTH(B822)</f>
        <v>3</v>
      </c>
      <c r="F822" s="10" t="str">
        <f aca="false">CHOOSE(MOD(A822-1,5)+1,"Центр","Юг","Север","Запад","Восток")</f>
        <v>Центр</v>
      </c>
      <c r="G822" s="10" t="str">
        <f aca="false">"Округ_"&amp;(MOD(A822-1,5)+1)&amp;"_"&amp;(MOD(INT((A822-1)/5),5)+1)</f>
        <v>Округ_1_5</v>
      </c>
      <c r="H822" s="10" t="str">
        <f aca="false">"Город_"&amp;(MOD(A822-1,5)+1)&amp;"_"&amp;(MOD(INT((A822-1)/5),5)+1)&amp;"_"&amp;(MOD(INT((A822-1)/25),10)+1)</f>
        <v>Город_1_5_3</v>
      </c>
      <c r="I822" s="10" t="str">
        <f aca="false">CHOOSE(MOD(A822-1,4)+1,"Электроника","Одежда","Продукты","Мебель")</f>
        <v>Электроника</v>
      </c>
      <c r="J822" s="10" t="str">
        <f aca="false">CHOOSE(MOD(INT((A822-1)/4),4)+1,CHOOSE(MOD(A822-1,4)+1,"Смартфоны","Ноутбуки","Аксессуары","Аудио"),CHOOSE(MOD(A822-1,4)+1,"Верхняя одежда","Спортивная","Повседневная","Обувь"),CHOOSE(MOD(A822-1,4)+1,"Молочные","Мясные","Бакалея","Напитки"),CHOOSE(MOD(A822-1,4)+1,"Мягкая мебель","Корпусная","Офисная","Кухонная"))</f>
        <v>Верхняя одежда</v>
      </c>
      <c r="K822" s="12" t="n">
        <f aca="false">1000+MOD(A822*317+A822*A822*7,49001)</f>
        <v>30443</v>
      </c>
      <c r="L822" s="12" t="n">
        <f aca="false">1+MOD(A822*131,100)</f>
        <v>52</v>
      </c>
      <c r="M822" s="12" t="n">
        <f aca="false">INT(K822*(0.6+MOD(A822*43,21)/100))</f>
        <v>18874</v>
      </c>
      <c r="N822" s="12" t="n">
        <f aca="false">K822-M822</f>
        <v>11569</v>
      </c>
    </row>
    <row r="823" customFormat="false" ht="12.8" hidden="false" customHeight="false" outlineLevel="0" collapsed="false">
      <c r="A823" s="10" t="n">
        <f aca="false">A822+1</f>
        <v>822</v>
      </c>
      <c r="B823" s="11" t="n">
        <f aca="false">B822+1</f>
        <v>45748</v>
      </c>
      <c r="C823" s="10" t="n">
        <f aca="false">YEAR(B823)</f>
        <v>2025</v>
      </c>
      <c r="D823" s="10" t="n">
        <f aca="false">INT((MONTH(B823)-1)/3)+1</f>
        <v>2</v>
      </c>
      <c r="E823" s="10" t="n">
        <f aca="false">MONTH(B823)</f>
        <v>4</v>
      </c>
      <c r="F823" s="10" t="str">
        <f aca="false">CHOOSE(MOD(A823-1,5)+1,"Центр","Юг","Север","Запад","Восток")</f>
        <v>Юг</v>
      </c>
      <c r="G823" s="10" t="str">
        <f aca="false">"Округ_"&amp;(MOD(A823-1,5)+1)&amp;"_"&amp;(MOD(INT((A823-1)/5),5)+1)</f>
        <v>Округ_2_5</v>
      </c>
      <c r="H823" s="10" t="str">
        <f aca="false">"Город_"&amp;(MOD(A823-1,5)+1)&amp;"_"&amp;(MOD(INT((A823-1)/5),5)+1)&amp;"_"&amp;(MOD(INT((A823-1)/25),10)+1)</f>
        <v>Город_2_5_3</v>
      </c>
      <c r="I823" s="10" t="str">
        <f aca="false">CHOOSE(MOD(A823-1,4)+1,"Электроника","Одежда","Продукты","Мебель")</f>
        <v>Одежда</v>
      </c>
      <c r="J823" s="10" t="str">
        <f aca="false">CHOOSE(MOD(INT((A823-1)/4),4)+1,CHOOSE(MOD(A823-1,4)+1,"Смартфоны","Ноутбуки","Аксессуары","Аудио"),CHOOSE(MOD(A823-1,4)+1,"Верхняя одежда","Спортивная","Повседневная","Обувь"),CHOOSE(MOD(A823-1,4)+1,"Молочные","Мясные","Бакалея","Напитки"),CHOOSE(MOD(A823-1,4)+1,"Мягкая мебель","Корпусная","Офисная","Кухонная"))</f>
        <v>Спортивная</v>
      </c>
      <c r="K823" s="12" t="n">
        <f aca="false">1000+MOD(A823*317+A823*A823*7,49001)</f>
        <v>42261</v>
      </c>
      <c r="L823" s="12" t="n">
        <f aca="false">1+MOD(A823*131,100)</f>
        <v>83</v>
      </c>
      <c r="M823" s="12" t="n">
        <f aca="false">INT(K823*(0.6+MOD(A823*43,21)/100))</f>
        <v>26624</v>
      </c>
      <c r="N823" s="12" t="n">
        <f aca="false">K823-M823</f>
        <v>15637</v>
      </c>
    </row>
    <row r="824" customFormat="false" ht="12.8" hidden="false" customHeight="false" outlineLevel="0" collapsed="false">
      <c r="A824" s="10" t="n">
        <f aca="false">A823+1</f>
        <v>823</v>
      </c>
      <c r="B824" s="11" t="n">
        <f aca="false">B823+1</f>
        <v>45749</v>
      </c>
      <c r="C824" s="10" t="n">
        <f aca="false">YEAR(B824)</f>
        <v>2025</v>
      </c>
      <c r="D824" s="10" t="n">
        <f aca="false">INT((MONTH(B824)-1)/3)+1</f>
        <v>2</v>
      </c>
      <c r="E824" s="10" t="n">
        <f aca="false">MONTH(B824)</f>
        <v>4</v>
      </c>
      <c r="F824" s="10" t="str">
        <f aca="false">CHOOSE(MOD(A824-1,5)+1,"Центр","Юг","Север","Запад","Восток")</f>
        <v>Север</v>
      </c>
      <c r="G824" s="10" t="str">
        <f aca="false">"Округ_"&amp;(MOD(A824-1,5)+1)&amp;"_"&amp;(MOD(INT((A824-1)/5),5)+1)</f>
        <v>Округ_3_5</v>
      </c>
      <c r="H824" s="10" t="str">
        <f aca="false">"Город_"&amp;(MOD(A824-1,5)+1)&amp;"_"&amp;(MOD(INT((A824-1)/5),5)+1)&amp;"_"&amp;(MOD(INT((A824-1)/25),10)+1)</f>
        <v>Город_3_5_3</v>
      </c>
      <c r="I824" s="10" t="str">
        <f aca="false">CHOOSE(MOD(A824-1,4)+1,"Электроника","Одежда","Продукты","Мебель")</f>
        <v>Продукты</v>
      </c>
      <c r="J824" s="10" t="str">
        <f aca="false">CHOOSE(MOD(INT((A824-1)/4),4)+1,CHOOSE(MOD(A824-1,4)+1,"Смартфоны","Ноутбуки","Аксессуары","Аудио"),CHOOSE(MOD(A824-1,4)+1,"Верхняя одежда","Спортивная","Повседневная","Обувь"),CHOOSE(MOD(A824-1,4)+1,"Молочные","Мясные","Бакалея","Напитки"),CHOOSE(MOD(A824-1,4)+1,"Мягкая мебель","Корпусная","Офисная","Кухонная"))</f>
        <v>Повседневная</v>
      </c>
      <c r="K824" s="12" t="n">
        <f aca="false">1000+MOD(A824*317+A824*A824*7,49001)</f>
        <v>5092</v>
      </c>
      <c r="L824" s="12" t="n">
        <f aca="false">1+MOD(A824*131,100)</f>
        <v>14</v>
      </c>
      <c r="M824" s="12" t="n">
        <f aca="false">INT(K824*(0.6+MOD(A824*43,21)/100))</f>
        <v>3258</v>
      </c>
      <c r="N824" s="12" t="n">
        <f aca="false">K824-M824</f>
        <v>1834</v>
      </c>
    </row>
    <row r="825" customFormat="false" ht="12.8" hidden="false" customHeight="false" outlineLevel="0" collapsed="false">
      <c r="A825" s="10" t="n">
        <f aca="false">A824+1</f>
        <v>824</v>
      </c>
      <c r="B825" s="11" t="n">
        <f aca="false">B824+1</f>
        <v>45750</v>
      </c>
      <c r="C825" s="10" t="n">
        <f aca="false">YEAR(B825)</f>
        <v>2025</v>
      </c>
      <c r="D825" s="10" t="n">
        <f aca="false">INT((MONTH(B825)-1)/3)+1</f>
        <v>2</v>
      </c>
      <c r="E825" s="10" t="n">
        <f aca="false">MONTH(B825)</f>
        <v>4</v>
      </c>
      <c r="F825" s="10" t="str">
        <f aca="false">CHOOSE(MOD(A825-1,5)+1,"Центр","Юг","Север","Запад","Восток")</f>
        <v>Запад</v>
      </c>
      <c r="G825" s="10" t="str">
        <f aca="false">"Округ_"&amp;(MOD(A825-1,5)+1)&amp;"_"&amp;(MOD(INT((A825-1)/5),5)+1)</f>
        <v>Округ_4_5</v>
      </c>
      <c r="H825" s="10" t="str">
        <f aca="false">"Город_"&amp;(MOD(A825-1,5)+1)&amp;"_"&amp;(MOD(INT((A825-1)/5),5)+1)&amp;"_"&amp;(MOD(INT((A825-1)/25),10)+1)</f>
        <v>Город_4_5_3</v>
      </c>
      <c r="I825" s="10" t="str">
        <f aca="false">CHOOSE(MOD(A825-1,4)+1,"Электроника","Одежда","Продукты","Мебель")</f>
        <v>Мебель</v>
      </c>
      <c r="J825" s="10" t="str">
        <f aca="false">CHOOSE(MOD(INT((A825-1)/4),4)+1,CHOOSE(MOD(A825-1,4)+1,"Смартфоны","Ноутбуки","Аксессуары","Аудио"),CHOOSE(MOD(A825-1,4)+1,"Верхняя одежда","Спортивная","Повседневная","Обувь"),CHOOSE(MOD(A825-1,4)+1,"Молочные","Мясные","Бакалея","Напитки"),CHOOSE(MOD(A825-1,4)+1,"Мягкая мебель","Корпусная","Офисная","Кухонная"))</f>
        <v>Обувь</v>
      </c>
      <c r="K825" s="12" t="n">
        <f aca="false">1000+MOD(A825*317+A825*A825*7,49001)</f>
        <v>16938</v>
      </c>
      <c r="L825" s="12" t="n">
        <f aca="false">1+MOD(A825*131,100)</f>
        <v>45</v>
      </c>
      <c r="M825" s="12" t="n">
        <f aca="false">INT(K825*(0.6+MOD(A825*43,21)/100))</f>
        <v>11009</v>
      </c>
      <c r="N825" s="12" t="n">
        <f aca="false">K825-M825</f>
        <v>5929</v>
      </c>
    </row>
    <row r="826" customFormat="false" ht="12.8" hidden="false" customHeight="false" outlineLevel="0" collapsed="false">
      <c r="A826" s="10" t="n">
        <f aca="false">A825+1</f>
        <v>825</v>
      </c>
      <c r="B826" s="11" t="n">
        <f aca="false">B825+1</f>
        <v>45751</v>
      </c>
      <c r="C826" s="10" t="n">
        <f aca="false">YEAR(B826)</f>
        <v>2025</v>
      </c>
      <c r="D826" s="10" t="n">
        <f aca="false">INT((MONTH(B826)-1)/3)+1</f>
        <v>2</v>
      </c>
      <c r="E826" s="10" t="n">
        <f aca="false">MONTH(B826)</f>
        <v>4</v>
      </c>
      <c r="F826" s="10" t="str">
        <f aca="false">CHOOSE(MOD(A826-1,5)+1,"Центр","Юг","Север","Запад","Восток")</f>
        <v>Восток</v>
      </c>
      <c r="G826" s="10" t="str">
        <f aca="false">"Округ_"&amp;(MOD(A826-1,5)+1)&amp;"_"&amp;(MOD(INT((A826-1)/5),5)+1)</f>
        <v>Округ_5_5</v>
      </c>
      <c r="H826" s="10" t="str">
        <f aca="false">"Город_"&amp;(MOD(A826-1,5)+1)&amp;"_"&amp;(MOD(INT((A826-1)/5),5)+1)&amp;"_"&amp;(MOD(INT((A826-1)/25),10)+1)</f>
        <v>Город_5_5_3</v>
      </c>
      <c r="I826" s="10" t="str">
        <f aca="false">CHOOSE(MOD(A826-1,4)+1,"Электроника","Одежда","Продукты","Мебель")</f>
        <v>Электроника</v>
      </c>
      <c r="J826" s="10" t="str">
        <f aca="false">CHOOSE(MOD(INT((A826-1)/4),4)+1,CHOOSE(MOD(A826-1,4)+1,"Смартфоны","Ноутбуки","Аксессуары","Аудио"),CHOOSE(MOD(A826-1,4)+1,"Верхняя одежда","Спортивная","Повседневная","Обувь"),CHOOSE(MOD(A826-1,4)+1,"Молочные","Мясные","Бакалея","Напитки"),CHOOSE(MOD(A826-1,4)+1,"Мягкая мебель","Корпусная","Офисная","Кухонная"))</f>
        <v>Молочные</v>
      </c>
      <c r="K826" s="12" t="n">
        <f aca="false">1000+MOD(A826*317+A826*A826*7,49001)</f>
        <v>28798</v>
      </c>
      <c r="L826" s="12" t="n">
        <f aca="false">1+MOD(A826*131,100)</f>
        <v>76</v>
      </c>
      <c r="M826" s="12" t="n">
        <f aca="false">INT(K826*(0.6+MOD(A826*43,21)/100))</f>
        <v>19006</v>
      </c>
      <c r="N826" s="12" t="n">
        <f aca="false">K826-M826</f>
        <v>9792</v>
      </c>
    </row>
    <row r="827" customFormat="false" ht="12.8" hidden="false" customHeight="false" outlineLevel="0" collapsed="false">
      <c r="A827" s="10" t="n">
        <f aca="false">A826+1</f>
        <v>826</v>
      </c>
      <c r="B827" s="11" t="n">
        <f aca="false">B826+1</f>
        <v>45752</v>
      </c>
      <c r="C827" s="10" t="n">
        <f aca="false">YEAR(B827)</f>
        <v>2025</v>
      </c>
      <c r="D827" s="10" t="n">
        <f aca="false">INT((MONTH(B827)-1)/3)+1</f>
        <v>2</v>
      </c>
      <c r="E827" s="10" t="n">
        <f aca="false">MONTH(B827)</f>
        <v>4</v>
      </c>
      <c r="F827" s="10" t="str">
        <f aca="false">CHOOSE(MOD(A827-1,5)+1,"Центр","Юг","Север","Запад","Восток")</f>
        <v>Центр</v>
      </c>
      <c r="G827" s="10" t="str">
        <f aca="false">"Округ_"&amp;(MOD(A827-1,5)+1)&amp;"_"&amp;(MOD(INT((A827-1)/5),5)+1)</f>
        <v>Округ_1_1</v>
      </c>
      <c r="H827" s="10" t="str">
        <f aca="false">"Город_"&amp;(MOD(A827-1,5)+1)&amp;"_"&amp;(MOD(INT((A827-1)/5),5)+1)&amp;"_"&amp;(MOD(INT((A827-1)/25),10)+1)</f>
        <v>Город_1_1_4</v>
      </c>
      <c r="I827" s="10" t="str">
        <f aca="false">CHOOSE(MOD(A827-1,4)+1,"Электроника","Одежда","Продукты","Мебель")</f>
        <v>Одежда</v>
      </c>
      <c r="J827" s="10" t="str">
        <f aca="false">CHOOSE(MOD(INT((A827-1)/4),4)+1,CHOOSE(MOD(A827-1,4)+1,"Смартфоны","Ноутбуки","Аксессуары","Аудио"),CHOOSE(MOD(A827-1,4)+1,"Верхняя одежда","Спортивная","Повседневная","Обувь"),CHOOSE(MOD(A827-1,4)+1,"Молочные","Мясные","Бакалея","Напитки"),CHOOSE(MOD(A827-1,4)+1,"Мягкая мебель","Корпусная","Офисная","Кухонная"))</f>
        <v>Мясные</v>
      </c>
      <c r="K827" s="12" t="n">
        <f aca="false">1000+MOD(A827*317+A827*A827*7,49001)</f>
        <v>40672</v>
      </c>
      <c r="L827" s="12" t="n">
        <f aca="false">1+MOD(A827*131,100)</f>
        <v>7</v>
      </c>
      <c r="M827" s="12" t="n">
        <f aca="false">INT(K827*(0.6+MOD(A827*43,21)/100))</f>
        <v>27250</v>
      </c>
      <c r="N827" s="12" t="n">
        <f aca="false">K827-M827</f>
        <v>13422</v>
      </c>
    </row>
    <row r="828" customFormat="false" ht="12.8" hidden="false" customHeight="false" outlineLevel="0" collapsed="false">
      <c r="A828" s="10" t="n">
        <f aca="false">A827+1</f>
        <v>827</v>
      </c>
      <c r="B828" s="11" t="n">
        <f aca="false">B827+1</f>
        <v>45753</v>
      </c>
      <c r="C828" s="10" t="n">
        <f aca="false">YEAR(B828)</f>
        <v>2025</v>
      </c>
      <c r="D828" s="10" t="n">
        <f aca="false">INT((MONTH(B828)-1)/3)+1</f>
        <v>2</v>
      </c>
      <c r="E828" s="10" t="n">
        <f aca="false">MONTH(B828)</f>
        <v>4</v>
      </c>
      <c r="F828" s="10" t="str">
        <f aca="false">CHOOSE(MOD(A828-1,5)+1,"Центр","Юг","Север","Запад","Восток")</f>
        <v>Юг</v>
      </c>
      <c r="G828" s="10" t="str">
        <f aca="false">"Округ_"&amp;(MOD(A828-1,5)+1)&amp;"_"&amp;(MOD(INT((A828-1)/5),5)+1)</f>
        <v>Округ_2_1</v>
      </c>
      <c r="H828" s="10" t="str">
        <f aca="false">"Город_"&amp;(MOD(A828-1,5)+1)&amp;"_"&amp;(MOD(INT((A828-1)/5),5)+1)&amp;"_"&amp;(MOD(INT((A828-1)/25),10)+1)</f>
        <v>Город_2_1_4</v>
      </c>
      <c r="I828" s="10" t="str">
        <f aca="false">CHOOSE(MOD(A828-1,4)+1,"Электроника","Одежда","Продукты","Мебель")</f>
        <v>Продукты</v>
      </c>
      <c r="J828" s="10" t="str">
        <f aca="false">CHOOSE(MOD(INT((A828-1)/4),4)+1,CHOOSE(MOD(A828-1,4)+1,"Смартфоны","Ноутбуки","Аксессуары","Аудио"),CHOOSE(MOD(A828-1,4)+1,"Верхняя одежда","Спортивная","Повседневная","Обувь"),CHOOSE(MOD(A828-1,4)+1,"Молочные","Мясные","Бакалея","Напитки"),CHOOSE(MOD(A828-1,4)+1,"Мягкая мебель","Корпусная","Офисная","Кухонная"))</f>
        <v>Бакалея</v>
      </c>
      <c r="K828" s="12" t="n">
        <f aca="false">1000+MOD(A828*317+A828*A828*7,49001)</f>
        <v>3559</v>
      </c>
      <c r="L828" s="12" t="n">
        <f aca="false">1+MOD(A828*131,100)</f>
        <v>38</v>
      </c>
      <c r="M828" s="12" t="n">
        <f aca="false">INT(K828*(0.6+MOD(A828*43,21)/100))</f>
        <v>2420</v>
      </c>
      <c r="N828" s="12" t="n">
        <f aca="false">K828-M828</f>
        <v>1139</v>
      </c>
    </row>
    <row r="829" customFormat="false" ht="12.8" hidden="false" customHeight="false" outlineLevel="0" collapsed="false">
      <c r="A829" s="10" t="n">
        <f aca="false">A828+1</f>
        <v>828</v>
      </c>
      <c r="B829" s="11" t="n">
        <f aca="false">B828+1</f>
        <v>45754</v>
      </c>
      <c r="C829" s="10" t="n">
        <f aca="false">YEAR(B829)</f>
        <v>2025</v>
      </c>
      <c r="D829" s="10" t="n">
        <f aca="false">INT((MONTH(B829)-1)/3)+1</f>
        <v>2</v>
      </c>
      <c r="E829" s="10" t="n">
        <f aca="false">MONTH(B829)</f>
        <v>4</v>
      </c>
      <c r="F829" s="10" t="str">
        <f aca="false">CHOOSE(MOD(A829-1,5)+1,"Центр","Юг","Север","Запад","Восток")</f>
        <v>Север</v>
      </c>
      <c r="G829" s="10" t="str">
        <f aca="false">"Округ_"&amp;(MOD(A829-1,5)+1)&amp;"_"&amp;(MOD(INT((A829-1)/5),5)+1)</f>
        <v>Округ_3_1</v>
      </c>
      <c r="H829" s="10" t="str">
        <f aca="false">"Город_"&amp;(MOD(A829-1,5)+1)&amp;"_"&amp;(MOD(INT((A829-1)/5),5)+1)&amp;"_"&amp;(MOD(INT((A829-1)/25),10)+1)</f>
        <v>Город_3_1_4</v>
      </c>
      <c r="I829" s="10" t="str">
        <f aca="false">CHOOSE(MOD(A829-1,4)+1,"Электроника","Одежда","Продукты","Мебель")</f>
        <v>Мебель</v>
      </c>
      <c r="J829" s="10" t="str">
        <f aca="false">CHOOSE(MOD(INT((A829-1)/4),4)+1,CHOOSE(MOD(A829-1,4)+1,"Смартфоны","Ноутбуки","Аксессуары","Аудио"),CHOOSE(MOD(A829-1,4)+1,"Верхняя одежда","Спортивная","Повседневная","Обувь"),CHOOSE(MOD(A829-1,4)+1,"Молочные","Мясные","Бакалея","Напитки"),CHOOSE(MOD(A829-1,4)+1,"Мягкая мебель","Корпусная","Офисная","Кухонная"))</f>
        <v>Напитки</v>
      </c>
      <c r="K829" s="12" t="n">
        <f aca="false">1000+MOD(A829*317+A829*A829*7,49001)</f>
        <v>15461</v>
      </c>
      <c r="L829" s="12" t="n">
        <f aca="false">1+MOD(A829*131,100)</f>
        <v>69</v>
      </c>
      <c r="M829" s="12" t="n">
        <f aca="false">INT(K829*(0.6+MOD(A829*43,21)/100))</f>
        <v>10668</v>
      </c>
      <c r="N829" s="12" t="n">
        <f aca="false">K829-M829</f>
        <v>4793</v>
      </c>
    </row>
    <row r="830" customFormat="false" ht="12.8" hidden="false" customHeight="false" outlineLevel="0" collapsed="false">
      <c r="A830" s="10" t="n">
        <f aca="false">A829+1</f>
        <v>829</v>
      </c>
      <c r="B830" s="11" t="n">
        <f aca="false">B829+1</f>
        <v>45755</v>
      </c>
      <c r="C830" s="10" t="n">
        <f aca="false">YEAR(B830)</f>
        <v>2025</v>
      </c>
      <c r="D830" s="10" t="n">
        <f aca="false">INT((MONTH(B830)-1)/3)+1</f>
        <v>2</v>
      </c>
      <c r="E830" s="10" t="n">
        <f aca="false">MONTH(B830)</f>
        <v>4</v>
      </c>
      <c r="F830" s="10" t="str">
        <f aca="false">CHOOSE(MOD(A830-1,5)+1,"Центр","Юг","Север","Запад","Восток")</f>
        <v>Запад</v>
      </c>
      <c r="G830" s="10" t="str">
        <f aca="false">"Округ_"&amp;(MOD(A830-1,5)+1)&amp;"_"&amp;(MOD(INT((A830-1)/5),5)+1)</f>
        <v>Округ_4_1</v>
      </c>
      <c r="H830" s="10" t="str">
        <f aca="false">"Город_"&amp;(MOD(A830-1,5)+1)&amp;"_"&amp;(MOD(INT((A830-1)/5),5)+1)&amp;"_"&amp;(MOD(INT((A830-1)/25),10)+1)</f>
        <v>Город_4_1_4</v>
      </c>
      <c r="I830" s="10" t="str">
        <f aca="false">CHOOSE(MOD(A830-1,4)+1,"Электроника","Одежда","Продукты","Мебель")</f>
        <v>Электроника</v>
      </c>
      <c r="J830" s="10" t="str">
        <f aca="false">CHOOSE(MOD(INT((A830-1)/4),4)+1,CHOOSE(MOD(A830-1,4)+1,"Смартфоны","Ноутбуки","Аксессуары","Аудио"),CHOOSE(MOD(A830-1,4)+1,"Верхняя одежда","Спортивная","Повседневная","Обувь"),CHOOSE(MOD(A830-1,4)+1,"Молочные","Мясные","Бакалея","Напитки"),CHOOSE(MOD(A830-1,4)+1,"Мягкая мебель","Корпусная","Офисная","Кухонная"))</f>
        <v>Мягкая мебель</v>
      </c>
      <c r="K830" s="12" t="n">
        <f aca="false">1000+MOD(A830*317+A830*A830*7,49001)</f>
        <v>27377</v>
      </c>
      <c r="L830" s="12" t="n">
        <f aca="false">1+MOD(A830*131,100)</f>
        <v>100</v>
      </c>
      <c r="M830" s="12" t="n">
        <f aca="false">INT(K830*(0.6+MOD(A830*43,21)/100))</f>
        <v>19163</v>
      </c>
      <c r="N830" s="12" t="n">
        <f aca="false">K830-M830</f>
        <v>8214</v>
      </c>
    </row>
    <row r="831" customFormat="false" ht="12.8" hidden="false" customHeight="false" outlineLevel="0" collapsed="false">
      <c r="A831" s="10" t="n">
        <f aca="false">A830+1</f>
        <v>830</v>
      </c>
      <c r="B831" s="11" t="n">
        <f aca="false">B830+1</f>
        <v>45756</v>
      </c>
      <c r="C831" s="10" t="n">
        <f aca="false">YEAR(B831)</f>
        <v>2025</v>
      </c>
      <c r="D831" s="10" t="n">
        <f aca="false">INT((MONTH(B831)-1)/3)+1</f>
        <v>2</v>
      </c>
      <c r="E831" s="10" t="n">
        <f aca="false">MONTH(B831)</f>
        <v>4</v>
      </c>
      <c r="F831" s="10" t="str">
        <f aca="false">CHOOSE(MOD(A831-1,5)+1,"Центр","Юг","Север","Запад","Восток")</f>
        <v>Восток</v>
      </c>
      <c r="G831" s="10" t="str">
        <f aca="false">"Округ_"&amp;(MOD(A831-1,5)+1)&amp;"_"&amp;(MOD(INT((A831-1)/5),5)+1)</f>
        <v>Округ_5_1</v>
      </c>
      <c r="H831" s="10" t="str">
        <f aca="false">"Город_"&amp;(MOD(A831-1,5)+1)&amp;"_"&amp;(MOD(INT((A831-1)/5),5)+1)&amp;"_"&amp;(MOD(INT((A831-1)/25),10)+1)</f>
        <v>Город_5_1_4</v>
      </c>
      <c r="I831" s="10" t="str">
        <f aca="false">CHOOSE(MOD(A831-1,4)+1,"Электроника","Одежда","Продукты","Мебель")</f>
        <v>Одежда</v>
      </c>
      <c r="J831" s="10" t="str">
        <f aca="false">CHOOSE(MOD(INT((A831-1)/4),4)+1,CHOOSE(MOD(A831-1,4)+1,"Смартфоны","Ноутбуки","Аксессуары","Аудио"),CHOOSE(MOD(A831-1,4)+1,"Верхняя одежда","Спортивная","Повседневная","Обувь"),CHOOSE(MOD(A831-1,4)+1,"Молочные","Мясные","Бакалея","Напитки"),CHOOSE(MOD(A831-1,4)+1,"Мягкая мебель","Корпусная","Офисная","Кухонная"))</f>
        <v>Корпусная</v>
      </c>
      <c r="K831" s="12" t="n">
        <f aca="false">1000+MOD(A831*317+A831*A831*7,49001)</f>
        <v>39307</v>
      </c>
      <c r="L831" s="12" t="n">
        <f aca="false">1+MOD(A831*131,100)</f>
        <v>31</v>
      </c>
      <c r="M831" s="12" t="n">
        <f aca="false">INT(K831*(0.6+MOD(A831*43,21)/100))</f>
        <v>27907</v>
      </c>
      <c r="N831" s="12" t="n">
        <f aca="false">K831-M831</f>
        <v>11400</v>
      </c>
    </row>
    <row r="832" customFormat="false" ht="12.8" hidden="false" customHeight="false" outlineLevel="0" collapsed="false">
      <c r="A832" s="10" t="n">
        <f aca="false">A831+1</f>
        <v>831</v>
      </c>
      <c r="B832" s="11" t="n">
        <f aca="false">B831+1</f>
        <v>45757</v>
      </c>
      <c r="C832" s="10" t="n">
        <f aca="false">YEAR(B832)</f>
        <v>2025</v>
      </c>
      <c r="D832" s="10" t="n">
        <f aca="false">INT((MONTH(B832)-1)/3)+1</f>
        <v>2</v>
      </c>
      <c r="E832" s="10" t="n">
        <f aca="false">MONTH(B832)</f>
        <v>4</v>
      </c>
      <c r="F832" s="10" t="str">
        <f aca="false">CHOOSE(MOD(A832-1,5)+1,"Центр","Юг","Север","Запад","Восток")</f>
        <v>Центр</v>
      </c>
      <c r="G832" s="10" t="str">
        <f aca="false">"Округ_"&amp;(MOD(A832-1,5)+1)&amp;"_"&amp;(MOD(INT((A832-1)/5),5)+1)</f>
        <v>Округ_1_2</v>
      </c>
      <c r="H832" s="10" t="str">
        <f aca="false">"Город_"&amp;(MOD(A832-1,5)+1)&amp;"_"&amp;(MOD(INT((A832-1)/5),5)+1)&amp;"_"&amp;(MOD(INT((A832-1)/25),10)+1)</f>
        <v>Город_1_2_4</v>
      </c>
      <c r="I832" s="10" t="str">
        <f aca="false">CHOOSE(MOD(A832-1,4)+1,"Электроника","Одежда","Продукты","Мебель")</f>
        <v>Продукты</v>
      </c>
      <c r="J832" s="10" t="str">
        <f aca="false">CHOOSE(MOD(INT((A832-1)/4),4)+1,CHOOSE(MOD(A832-1,4)+1,"Смартфоны","Ноутбуки","Аксессуары","Аудио"),CHOOSE(MOD(A832-1,4)+1,"Верхняя одежда","Спортивная","Повседневная","Обувь"),CHOOSE(MOD(A832-1,4)+1,"Молочные","Мясные","Бакалея","Напитки"),CHOOSE(MOD(A832-1,4)+1,"Мягкая мебель","Корпусная","Офисная","Кухонная"))</f>
        <v>Офисная</v>
      </c>
      <c r="K832" s="12" t="n">
        <f aca="false">1000+MOD(A832*317+A832*A832*7,49001)</f>
        <v>2250</v>
      </c>
      <c r="L832" s="12" t="n">
        <f aca="false">1+MOD(A832*131,100)</f>
        <v>62</v>
      </c>
      <c r="M832" s="12" t="n">
        <f aca="false">INT(K832*(0.6+MOD(A832*43,21)/100))</f>
        <v>1620</v>
      </c>
      <c r="N832" s="12" t="n">
        <f aca="false">K832-M832</f>
        <v>630</v>
      </c>
    </row>
    <row r="833" customFormat="false" ht="12.8" hidden="false" customHeight="false" outlineLevel="0" collapsed="false">
      <c r="A833" s="10" t="n">
        <f aca="false">A832+1</f>
        <v>832</v>
      </c>
      <c r="B833" s="11" t="n">
        <f aca="false">B832+1</f>
        <v>45758</v>
      </c>
      <c r="C833" s="10" t="n">
        <f aca="false">YEAR(B833)</f>
        <v>2025</v>
      </c>
      <c r="D833" s="10" t="n">
        <f aca="false">INT((MONTH(B833)-1)/3)+1</f>
        <v>2</v>
      </c>
      <c r="E833" s="10" t="n">
        <f aca="false">MONTH(B833)</f>
        <v>4</v>
      </c>
      <c r="F833" s="10" t="str">
        <f aca="false">CHOOSE(MOD(A833-1,5)+1,"Центр","Юг","Север","Запад","Восток")</f>
        <v>Юг</v>
      </c>
      <c r="G833" s="10" t="str">
        <f aca="false">"Округ_"&amp;(MOD(A833-1,5)+1)&amp;"_"&amp;(MOD(INT((A833-1)/5),5)+1)</f>
        <v>Округ_2_2</v>
      </c>
      <c r="H833" s="10" t="str">
        <f aca="false">"Город_"&amp;(MOD(A833-1,5)+1)&amp;"_"&amp;(MOD(INT((A833-1)/5),5)+1)&amp;"_"&amp;(MOD(INT((A833-1)/25),10)+1)</f>
        <v>Город_2_2_4</v>
      </c>
      <c r="I833" s="10" t="str">
        <f aca="false">CHOOSE(MOD(A833-1,4)+1,"Электроника","Одежда","Продукты","Мебель")</f>
        <v>Мебель</v>
      </c>
      <c r="J833" s="10" t="str">
        <f aca="false">CHOOSE(MOD(INT((A833-1)/4),4)+1,CHOOSE(MOD(A833-1,4)+1,"Смартфоны","Ноутбуки","Аксессуары","Аудио"),CHOOSE(MOD(A833-1,4)+1,"Верхняя одежда","Спортивная","Повседневная","Обувь"),CHOOSE(MOD(A833-1,4)+1,"Молочные","Мясные","Бакалея","Напитки"),CHOOSE(MOD(A833-1,4)+1,"Мягкая мебель","Корпусная","Офисная","Кухонная"))</f>
        <v>Кухонная</v>
      </c>
      <c r="K833" s="12" t="n">
        <f aca="false">1000+MOD(A833*317+A833*A833*7,49001)</f>
        <v>14208</v>
      </c>
      <c r="L833" s="12" t="n">
        <f aca="false">1+MOD(A833*131,100)</f>
        <v>93</v>
      </c>
      <c r="M833" s="12" t="n">
        <f aca="false">INT(K833*(0.6+MOD(A833*43,21)/100))</f>
        <v>10371</v>
      </c>
      <c r="N833" s="12" t="n">
        <f aca="false">K833-M833</f>
        <v>3837</v>
      </c>
    </row>
    <row r="834" customFormat="false" ht="12.8" hidden="false" customHeight="false" outlineLevel="0" collapsed="false">
      <c r="A834" s="10" t="n">
        <f aca="false">A833+1</f>
        <v>833</v>
      </c>
      <c r="B834" s="11" t="n">
        <f aca="false">B833+1</f>
        <v>45759</v>
      </c>
      <c r="C834" s="10" t="n">
        <f aca="false">YEAR(B834)</f>
        <v>2025</v>
      </c>
      <c r="D834" s="10" t="n">
        <f aca="false">INT((MONTH(B834)-1)/3)+1</f>
        <v>2</v>
      </c>
      <c r="E834" s="10" t="n">
        <f aca="false">MONTH(B834)</f>
        <v>4</v>
      </c>
      <c r="F834" s="10" t="str">
        <f aca="false">CHOOSE(MOD(A834-1,5)+1,"Центр","Юг","Север","Запад","Восток")</f>
        <v>Север</v>
      </c>
      <c r="G834" s="10" t="str">
        <f aca="false">"Округ_"&amp;(MOD(A834-1,5)+1)&amp;"_"&amp;(MOD(INT((A834-1)/5),5)+1)</f>
        <v>Округ_3_2</v>
      </c>
      <c r="H834" s="10" t="str">
        <f aca="false">"Город_"&amp;(MOD(A834-1,5)+1)&amp;"_"&amp;(MOD(INT((A834-1)/5),5)+1)&amp;"_"&amp;(MOD(INT((A834-1)/25),10)+1)</f>
        <v>Город_3_2_4</v>
      </c>
      <c r="I834" s="10" t="str">
        <f aca="false">CHOOSE(MOD(A834-1,4)+1,"Электроника","Одежда","Продукты","Мебель")</f>
        <v>Электроника</v>
      </c>
      <c r="J834" s="10" t="str">
        <f aca="false">CHOOSE(MOD(INT((A834-1)/4),4)+1,CHOOSE(MOD(A834-1,4)+1,"Смартфоны","Ноутбуки","Аксессуары","Аудио"),CHOOSE(MOD(A834-1,4)+1,"Верхняя одежда","Спортивная","Повседневная","Обувь"),CHOOSE(MOD(A834-1,4)+1,"Молочные","Мясные","Бакалея","Напитки"),CHOOSE(MOD(A834-1,4)+1,"Мягкая мебель","Корпусная","Офисная","Кухонная"))</f>
        <v>Смартфоны</v>
      </c>
      <c r="K834" s="12" t="n">
        <f aca="false">1000+MOD(A834*317+A834*A834*7,49001)</f>
        <v>26180</v>
      </c>
      <c r="L834" s="12" t="n">
        <f aca="false">1+MOD(A834*131,100)</f>
        <v>24</v>
      </c>
      <c r="M834" s="12" t="n">
        <f aca="false">INT(K834*(0.6+MOD(A834*43,21)/100))</f>
        <v>19373</v>
      </c>
      <c r="N834" s="12" t="n">
        <f aca="false">K834-M834</f>
        <v>6807</v>
      </c>
    </row>
    <row r="835" customFormat="false" ht="12.8" hidden="false" customHeight="false" outlineLevel="0" collapsed="false">
      <c r="A835" s="10" t="n">
        <f aca="false">A834+1</f>
        <v>834</v>
      </c>
      <c r="B835" s="11" t="n">
        <f aca="false">B834+1</f>
        <v>45760</v>
      </c>
      <c r="C835" s="10" t="n">
        <f aca="false">YEAR(B835)</f>
        <v>2025</v>
      </c>
      <c r="D835" s="10" t="n">
        <f aca="false">INT((MONTH(B835)-1)/3)+1</f>
        <v>2</v>
      </c>
      <c r="E835" s="10" t="n">
        <f aca="false">MONTH(B835)</f>
        <v>4</v>
      </c>
      <c r="F835" s="10" t="str">
        <f aca="false">CHOOSE(MOD(A835-1,5)+1,"Центр","Юг","Север","Запад","Восток")</f>
        <v>Запад</v>
      </c>
      <c r="G835" s="10" t="str">
        <f aca="false">"Округ_"&amp;(MOD(A835-1,5)+1)&amp;"_"&amp;(MOD(INT((A835-1)/5),5)+1)</f>
        <v>Округ_4_2</v>
      </c>
      <c r="H835" s="10" t="str">
        <f aca="false">"Город_"&amp;(MOD(A835-1,5)+1)&amp;"_"&amp;(MOD(INT((A835-1)/5),5)+1)&amp;"_"&amp;(MOD(INT((A835-1)/25),10)+1)</f>
        <v>Город_4_2_4</v>
      </c>
      <c r="I835" s="10" t="str">
        <f aca="false">CHOOSE(MOD(A835-1,4)+1,"Электроника","Одежда","Продукты","Мебель")</f>
        <v>Одежда</v>
      </c>
      <c r="J835" s="10" t="str">
        <f aca="false">CHOOSE(MOD(INT((A835-1)/4),4)+1,CHOOSE(MOD(A835-1,4)+1,"Смартфоны","Ноутбуки","Аксессуары","Аудио"),CHOOSE(MOD(A835-1,4)+1,"Верхняя одежда","Спортивная","Повседневная","Обувь"),CHOOSE(MOD(A835-1,4)+1,"Молочные","Мясные","Бакалея","Напитки"),CHOOSE(MOD(A835-1,4)+1,"Мягкая мебель","Корпусная","Офисная","Кухонная"))</f>
        <v>Ноутбуки</v>
      </c>
      <c r="K835" s="12" t="n">
        <f aca="false">1000+MOD(A835*317+A835*A835*7,49001)</f>
        <v>38166</v>
      </c>
      <c r="L835" s="12" t="n">
        <f aca="false">1+MOD(A835*131,100)</f>
        <v>55</v>
      </c>
      <c r="M835" s="12" t="n">
        <f aca="false">INT(K835*(0.6+MOD(A835*43,21)/100))</f>
        <v>28624</v>
      </c>
      <c r="N835" s="12" t="n">
        <f aca="false">K835-M835</f>
        <v>9542</v>
      </c>
    </row>
    <row r="836" customFormat="false" ht="12.8" hidden="false" customHeight="false" outlineLevel="0" collapsed="false">
      <c r="A836" s="10" t="n">
        <f aca="false">A835+1</f>
        <v>835</v>
      </c>
      <c r="B836" s="11" t="n">
        <f aca="false">B835+1</f>
        <v>45761</v>
      </c>
      <c r="C836" s="10" t="n">
        <f aca="false">YEAR(B836)</f>
        <v>2025</v>
      </c>
      <c r="D836" s="10" t="n">
        <f aca="false">INT((MONTH(B836)-1)/3)+1</f>
        <v>2</v>
      </c>
      <c r="E836" s="10" t="n">
        <f aca="false">MONTH(B836)</f>
        <v>4</v>
      </c>
      <c r="F836" s="10" t="str">
        <f aca="false">CHOOSE(MOD(A836-1,5)+1,"Центр","Юг","Север","Запад","Восток")</f>
        <v>Восток</v>
      </c>
      <c r="G836" s="10" t="str">
        <f aca="false">"Округ_"&amp;(MOD(A836-1,5)+1)&amp;"_"&amp;(MOD(INT((A836-1)/5),5)+1)</f>
        <v>Округ_5_2</v>
      </c>
      <c r="H836" s="10" t="str">
        <f aca="false">"Город_"&amp;(MOD(A836-1,5)+1)&amp;"_"&amp;(MOD(INT((A836-1)/5),5)+1)&amp;"_"&amp;(MOD(INT((A836-1)/25),10)+1)</f>
        <v>Город_5_2_4</v>
      </c>
      <c r="I836" s="10" t="str">
        <f aca="false">CHOOSE(MOD(A836-1,4)+1,"Электроника","Одежда","Продукты","Мебель")</f>
        <v>Продукты</v>
      </c>
      <c r="J836" s="10" t="str">
        <f aca="false">CHOOSE(MOD(INT((A836-1)/4),4)+1,CHOOSE(MOD(A836-1,4)+1,"Смартфоны","Ноутбуки","Аксессуары","Аудио"),CHOOSE(MOD(A836-1,4)+1,"Верхняя одежда","Спортивная","Повседневная","Обувь"),CHOOSE(MOD(A836-1,4)+1,"Молочные","Мясные","Бакалея","Напитки"),CHOOSE(MOD(A836-1,4)+1,"Мягкая мебель","Корпусная","Офисная","Кухонная"))</f>
        <v>Аксессуары</v>
      </c>
      <c r="K836" s="12" t="n">
        <f aca="false">1000+MOD(A836*317+A836*A836*7,49001)</f>
        <v>1165</v>
      </c>
      <c r="L836" s="12" t="n">
        <f aca="false">1+MOD(A836*131,100)</f>
        <v>86</v>
      </c>
      <c r="M836" s="12" t="n">
        <f aca="false">INT(K836*(0.6+MOD(A836*43,21)/100))</f>
        <v>885</v>
      </c>
      <c r="N836" s="12" t="n">
        <f aca="false">K836-M836</f>
        <v>280</v>
      </c>
    </row>
    <row r="837" customFormat="false" ht="12.8" hidden="false" customHeight="false" outlineLevel="0" collapsed="false">
      <c r="A837" s="10" t="n">
        <f aca="false">A836+1</f>
        <v>836</v>
      </c>
      <c r="B837" s="11" t="n">
        <f aca="false">B836+1</f>
        <v>45762</v>
      </c>
      <c r="C837" s="10" t="n">
        <f aca="false">YEAR(B837)</f>
        <v>2025</v>
      </c>
      <c r="D837" s="10" t="n">
        <f aca="false">INT((MONTH(B837)-1)/3)+1</f>
        <v>2</v>
      </c>
      <c r="E837" s="10" t="n">
        <f aca="false">MONTH(B837)</f>
        <v>4</v>
      </c>
      <c r="F837" s="10" t="str">
        <f aca="false">CHOOSE(MOD(A837-1,5)+1,"Центр","Юг","Север","Запад","Восток")</f>
        <v>Центр</v>
      </c>
      <c r="G837" s="10" t="str">
        <f aca="false">"Округ_"&amp;(MOD(A837-1,5)+1)&amp;"_"&amp;(MOD(INT((A837-1)/5),5)+1)</f>
        <v>Округ_1_3</v>
      </c>
      <c r="H837" s="10" t="str">
        <f aca="false">"Город_"&amp;(MOD(A837-1,5)+1)&amp;"_"&amp;(MOD(INT((A837-1)/5),5)+1)&amp;"_"&amp;(MOD(INT((A837-1)/25),10)+1)</f>
        <v>Город_1_3_4</v>
      </c>
      <c r="I837" s="10" t="str">
        <f aca="false">CHOOSE(MOD(A837-1,4)+1,"Электроника","Одежда","Продукты","Мебель")</f>
        <v>Мебель</v>
      </c>
      <c r="J837" s="10" t="str">
        <f aca="false">CHOOSE(MOD(INT((A837-1)/4),4)+1,CHOOSE(MOD(A837-1,4)+1,"Смартфоны","Ноутбуки","Аксессуары","Аудио"),CHOOSE(MOD(A837-1,4)+1,"Верхняя одежда","Спортивная","Повседневная","Обувь"),CHOOSE(MOD(A837-1,4)+1,"Молочные","Мясные","Бакалея","Напитки"),CHOOSE(MOD(A837-1,4)+1,"Мягкая мебель","Корпусная","Офисная","Кухонная"))</f>
        <v>Аудио</v>
      </c>
      <c r="K837" s="12" t="n">
        <f aca="false">1000+MOD(A837*317+A837*A837*7,49001)</f>
        <v>13179</v>
      </c>
      <c r="L837" s="12" t="n">
        <f aca="false">1+MOD(A837*131,100)</f>
        <v>17</v>
      </c>
      <c r="M837" s="12" t="n">
        <f aca="false">INT(K837*(0.6+MOD(A837*43,21)/100))</f>
        <v>10147</v>
      </c>
      <c r="N837" s="12" t="n">
        <f aca="false">K837-M837</f>
        <v>3032</v>
      </c>
    </row>
    <row r="838" customFormat="false" ht="12.8" hidden="false" customHeight="false" outlineLevel="0" collapsed="false">
      <c r="A838" s="10" t="n">
        <f aca="false">A837+1</f>
        <v>837</v>
      </c>
      <c r="B838" s="11" t="n">
        <f aca="false">B837+1</f>
        <v>45763</v>
      </c>
      <c r="C838" s="10" t="n">
        <f aca="false">YEAR(B838)</f>
        <v>2025</v>
      </c>
      <c r="D838" s="10" t="n">
        <f aca="false">INT((MONTH(B838)-1)/3)+1</f>
        <v>2</v>
      </c>
      <c r="E838" s="10" t="n">
        <f aca="false">MONTH(B838)</f>
        <v>4</v>
      </c>
      <c r="F838" s="10" t="str">
        <f aca="false">CHOOSE(MOD(A838-1,5)+1,"Центр","Юг","Север","Запад","Восток")</f>
        <v>Юг</v>
      </c>
      <c r="G838" s="10" t="str">
        <f aca="false">"Округ_"&amp;(MOD(A838-1,5)+1)&amp;"_"&amp;(MOD(INT((A838-1)/5),5)+1)</f>
        <v>Округ_2_3</v>
      </c>
      <c r="H838" s="10" t="str">
        <f aca="false">"Город_"&amp;(MOD(A838-1,5)+1)&amp;"_"&amp;(MOD(INT((A838-1)/5),5)+1)&amp;"_"&amp;(MOD(INT((A838-1)/25),10)+1)</f>
        <v>Город_2_3_4</v>
      </c>
      <c r="I838" s="10" t="str">
        <f aca="false">CHOOSE(MOD(A838-1,4)+1,"Электроника","Одежда","Продукты","Мебель")</f>
        <v>Электроника</v>
      </c>
      <c r="J838" s="10" t="str">
        <f aca="false">CHOOSE(MOD(INT((A838-1)/4),4)+1,CHOOSE(MOD(A838-1,4)+1,"Смартфоны","Ноутбуки","Аксессуары","Аудио"),CHOOSE(MOD(A838-1,4)+1,"Верхняя одежда","Спортивная","Повседневная","Обувь"),CHOOSE(MOD(A838-1,4)+1,"Молочные","Мясные","Бакалея","Напитки"),CHOOSE(MOD(A838-1,4)+1,"Мягкая мебель","Корпусная","Офисная","Кухонная"))</f>
        <v>Верхняя одежда</v>
      </c>
      <c r="K838" s="12" t="n">
        <f aca="false">1000+MOD(A838*317+A838*A838*7,49001)</f>
        <v>25207</v>
      </c>
      <c r="L838" s="12" t="n">
        <f aca="false">1+MOD(A838*131,100)</f>
        <v>48</v>
      </c>
      <c r="M838" s="12" t="n">
        <f aca="false">INT(K838*(0.6+MOD(A838*43,21)/100))</f>
        <v>19661</v>
      </c>
      <c r="N838" s="12" t="n">
        <f aca="false">K838-M838</f>
        <v>5546</v>
      </c>
    </row>
    <row r="839" customFormat="false" ht="12.8" hidden="false" customHeight="false" outlineLevel="0" collapsed="false">
      <c r="A839" s="10" t="n">
        <f aca="false">A838+1</f>
        <v>838</v>
      </c>
      <c r="B839" s="11" t="n">
        <f aca="false">B838+1</f>
        <v>45764</v>
      </c>
      <c r="C839" s="10" t="n">
        <f aca="false">YEAR(B839)</f>
        <v>2025</v>
      </c>
      <c r="D839" s="10" t="n">
        <f aca="false">INT((MONTH(B839)-1)/3)+1</f>
        <v>2</v>
      </c>
      <c r="E839" s="10" t="n">
        <f aca="false">MONTH(B839)</f>
        <v>4</v>
      </c>
      <c r="F839" s="10" t="str">
        <f aca="false">CHOOSE(MOD(A839-1,5)+1,"Центр","Юг","Север","Запад","Восток")</f>
        <v>Север</v>
      </c>
      <c r="G839" s="10" t="str">
        <f aca="false">"Округ_"&amp;(MOD(A839-1,5)+1)&amp;"_"&amp;(MOD(INT((A839-1)/5),5)+1)</f>
        <v>Округ_3_3</v>
      </c>
      <c r="H839" s="10" t="str">
        <f aca="false">"Город_"&amp;(MOD(A839-1,5)+1)&amp;"_"&amp;(MOD(INT((A839-1)/5),5)+1)&amp;"_"&amp;(MOD(INT((A839-1)/25),10)+1)</f>
        <v>Город_3_3_4</v>
      </c>
      <c r="I839" s="10" t="str">
        <f aca="false">CHOOSE(MOD(A839-1,4)+1,"Электроника","Одежда","Продукты","Мебель")</f>
        <v>Одежда</v>
      </c>
      <c r="J839" s="10" t="str">
        <f aca="false">CHOOSE(MOD(INT((A839-1)/4),4)+1,CHOOSE(MOD(A839-1,4)+1,"Смартфоны","Ноутбуки","Аксессуары","Аудио"),CHOOSE(MOD(A839-1,4)+1,"Верхняя одежда","Спортивная","Повседневная","Обувь"),CHOOSE(MOD(A839-1,4)+1,"Молочные","Мясные","Бакалея","Напитки"),CHOOSE(MOD(A839-1,4)+1,"Мягкая мебель","Корпусная","Офисная","Кухонная"))</f>
        <v>Спортивная</v>
      </c>
      <c r="K839" s="12" t="n">
        <f aca="false">1000+MOD(A839*317+A839*A839*7,49001)</f>
        <v>37249</v>
      </c>
      <c r="L839" s="12" t="n">
        <f aca="false">1+MOD(A839*131,100)</f>
        <v>79</v>
      </c>
      <c r="M839" s="12" t="n">
        <f aca="false">INT(K839*(0.6+MOD(A839*43,21)/100))</f>
        <v>29426</v>
      </c>
      <c r="N839" s="12" t="n">
        <f aca="false">K839-M839</f>
        <v>7823</v>
      </c>
    </row>
    <row r="840" customFormat="false" ht="12.8" hidden="false" customHeight="false" outlineLevel="0" collapsed="false">
      <c r="A840" s="10" t="n">
        <f aca="false">A839+1</f>
        <v>839</v>
      </c>
      <c r="B840" s="11" t="n">
        <f aca="false">B839+1</f>
        <v>45765</v>
      </c>
      <c r="C840" s="10" t="n">
        <f aca="false">YEAR(B840)</f>
        <v>2025</v>
      </c>
      <c r="D840" s="10" t="n">
        <f aca="false">INT((MONTH(B840)-1)/3)+1</f>
        <v>2</v>
      </c>
      <c r="E840" s="10" t="n">
        <f aca="false">MONTH(B840)</f>
        <v>4</v>
      </c>
      <c r="F840" s="10" t="str">
        <f aca="false">CHOOSE(MOD(A840-1,5)+1,"Центр","Юг","Север","Запад","Восток")</f>
        <v>Запад</v>
      </c>
      <c r="G840" s="10" t="str">
        <f aca="false">"Округ_"&amp;(MOD(A840-1,5)+1)&amp;"_"&amp;(MOD(INT((A840-1)/5),5)+1)</f>
        <v>Округ_4_3</v>
      </c>
      <c r="H840" s="10" t="str">
        <f aca="false">"Город_"&amp;(MOD(A840-1,5)+1)&amp;"_"&amp;(MOD(INT((A840-1)/5),5)+1)&amp;"_"&amp;(MOD(INT((A840-1)/25),10)+1)</f>
        <v>Город_4_3_4</v>
      </c>
      <c r="I840" s="10" t="str">
        <f aca="false">CHOOSE(MOD(A840-1,4)+1,"Электроника","Одежда","Продукты","Мебель")</f>
        <v>Продукты</v>
      </c>
      <c r="J840" s="10" t="str">
        <f aca="false">CHOOSE(MOD(INT((A840-1)/4),4)+1,CHOOSE(MOD(A840-1,4)+1,"Смартфоны","Ноутбуки","Аксессуары","Аудио"),CHOOSE(MOD(A840-1,4)+1,"Верхняя одежда","Спортивная","Повседневная","Обувь"),CHOOSE(MOD(A840-1,4)+1,"Молочные","Мясные","Бакалея","Напитки"),CHOOSE(MOD(A840-1,4)+1,"Мягкая мебель","Корпусная","Офисная","Кухонная"))</f>
        <v>Повседневная</v>
      </c>
      <c r="K840" s="12" t="n">
        <f aca="false">1000+MOD(A840*317+A840*A840*7,49001)</f>
        <v>49305</v>
      </c>
      <c r="L840" s="12" t="n">
        <f aca="false">1+MOD(A840*131,100)</f>
        <v>10</v>
      </c>
      <c r="M840" s="12" t="n">
        <f aca="false">INT(K840*(0.6+MOD(A840*43,21)/100))</f>
        <v>39444</v>
      </c>
      <c r="N840" s="12" t="n">
        <f aca="false">K840-M840</f>
        <v>9861</v>
      </c>
    </row>
    <row r="841" customFormat="false" ht="12.8" hidden="false" customHeight="false" outlineLevel="0" collapsed="false">
      <c r="A841" s="10" t="n">
        <f aca="false">A840+1</f>
        <v>840</v>
      </c>
      <c r="B841" s="11" t="n">
        <f aca="false">B840+1</f>
        <v>45766</v>
      </c>
      <c r="C841" s="10" t="n">
        <f aca="false">YEAR(B841)</f>
        <v>2025</v>
      </c>
      <c r="D841" s="10" t="n">
        <f aca="false">INT((MONTH(B841)-1)/3)+1</f>
        <v>2</v>
      </c>
      <c r="E841" s="10" t="n">
        <f aca="false">MONTH(B841)</f>
        <v>4</v>
      </c>
      <c r="F841" s="10" t="str">
        <f aca="false">CHOOSE(MOD(A841-1,5)+1,"Центр","Юг","Север","Запад","Восток")</f>
        <v>Восток</v>
      </c>
      <c r="G841" s="10" t="str">
        <f aca="false">"Округ_"&amp;(MOD(A841-1,5)+1)&amp;"_"&amp;(MOD(INT((A841-1)/5),5)+1)</f>
        <v>Округ_5_3</v>
      </c>
      <c r="H841" s="10" t="str">
        <f aca="false">"Город_"&amp;(MOD(A841-1,5)+1)&amp;"_"&amp;(MOD(INT((A841-1)/5),5)+1)&amp;"_"&amp;(MOD(INT((A841-1)/25),10)+1)</f>
        <v>Город_5_3_4</v>
      </c>
      <c r="I841" s="10" t="str">
        <f aca="false">CHOOSE(MOD(A841-1,4)+1,"Электроника","Одежда","Продукты","Мебель")</f>
        <v>Мебель</v>
      </c>
      <c r="J841" s="10" t="str">
        <f aca="false">CHOOSE(MOD(INT((A841-1)/4),4)+1,CHOOSE(MOD(A841-1,4)+1,"Смартфоны","Ноутбуки","Аксессуары","Аудио"),CHOOSE(MOD(A841-1,4)+1,"Верхняя одежда","Спортивная","Повседневная","Обувь"),CHOOSE(MOD(A841-1,4)+1,"Молочные","Мясные","Бакалея","Напитки"),CHOOSE(MOD(A841-1,4)+1,"Мягкая мебель","Корпусная","Офисная","Кухонная"))</f>
        <v>Обувь</v>
      </c>
      <c r="K841" s="12" t="n">
        <f aca="false">1000+MOD(A841*317+A841*A841*7,49001)</f>
        <v>12374</v>
      </c>
      <c r="L841" s="12" t="n">
        <f aca="false">1+MOD(A841*131,100)</f>
        <v>41</v>
      </c>
      <c r="M841" s="12" t="n">
        <f aca="false">INT(K841*(0.6+MOD(A841*43,21)/100))</f>
        <v>7424</v>
      </c>
      <c r="N841" s="12" t="n">
        <f aca="false">K841-M841</f>
        <v>4950</v>
      </c>
    </row>
    <row r="842" customFormat="false" ht="12.8" hidden="false" customHeight="false" outlineLevel="0" collapsed="false">
      <c r="A842" s="10" t="n">
        <f aca="false">A841+1</f>
        <v>841</v>
      </c>
      <c r="B842" s="11" t="n">
        <f aca="false">B841+1</f>
        <v>45767</v>
      </c>
      <c r="C842" s="10" t="n">
        <f aca="false">YEAR(B842)</f>
        <v>2025</v>
      </c>
      <c r="D842" s="10" t="n">
        <f aca="false">INT((MONTH(B842)-1)/3)+1</f>
        <v>2</v>
      </c>
      <c r="E842" s="10" t="n">
        <f aca="false">MONTH(B842)</f>
        <v>4</v>
      </c>
      <c r="F842" s="10" t="str">
        <f aca="false">CHOOSE(MOD(A842-1,5)+1,"Центр","Юг","Север","Запад","Восток")</f>
        <v>Центр</v>
      </c>
      <c r="G842" s="10" t="str">
        <f aca="false">"Округ_"&amp;(MOD(A842-1,5)+1)&amp;"_"&amp;(MOD(INT((A842-1)/5),5)+1)</f>
        <v>Округ_1_4</v>
      </c>
      <c r="H842" s="10" t="str">
        <f aca="false">"Город_"&amp;(MOD(A842-1,5)+1)&amp;"_"&amp;(MOD(INT((A842-1)/5),5)+1)&amp;"_"&amp;(MOD(INT((A842-1)/25),10)+1)</f>
        <v>Город_1_4_4</v>
      </c>
      <c r="I842" s="10" t="str">
        <f aca="false">CHOOSE(MOD(A842-1,4)+1,"Электроника","Одежда","Продукты","Мебель")</f>
        <v>Электроника</v>
      </c>
      <c r="J842" s="10" t="str">
        <f aca="false">CHOOSE(MOD(INT((A842-1)/4),4)+1,CHOOSE(MOD(A842-1,4)+1,"Смартфоны","Ноутбуки","Аксессуары","Аудио"),CHOOSE(MOD(A842-1,4)+1,"Верхняя одежда","Спортивная","Повседневная","Обувь"),CHOOSE(MOD(A842-1,4)+1,"Молочные","Мясные","Бакалея","Напитки"),CHOOSE(MOD(A842-1,4)+1,"Мягкая мебель","Корпусная","Офисная","Кухонная"))</f>
        <v>Молочные</v>
      </c>
      <c r="K842" s="12" t="n">
        <f aca="false">1000+MOD(A842*317+A842*A842*7,49001)</f>
        <v>24458</v>
      </c>
      <c r="L842" s="12" t="n">
        <f aca="false">1+MOD(A842*131,100)</f>
        <v>72</v>
      </c>
      <c r="M842" s="12" t="n">
        <f aca="false">INT(K842*(0.6+MOD(A842*43,21)/100))</f>
        <v>14919</v>
      </c>
      <c r="N842" s="12" t="n">
        <f aca="false">K842-M842</f>
        <v>9539</v>
      </c>
    </row>
    <row r="843" customFormat="false" ht="12.8" hidden="false" customHeight="false" outlineLevel="0" collapsed="false">
      <c r="A843" s="10" t="n">
        <f aca="false">A842+1</f>
        <v>842</v>
      </c>
      <c r="B843" s="11" t="n">
        <f aca="false">B842+1</f>
        <v>45768</v>
      </c>
      <c r="C843" s="10" t="n">
        <f aca="false">YEAR(B843)</f>
        <v>2025</v>
      </c>
      <c r="D843" s="10" t="n">
        <f aca="false">INT((MONTH(B843)-1)/3)+1</f>
        <v>2</v>
      </c>
      <c r="E843" s="10" t="n">
        <f aca="false">MONTH(B843)</f>
        <v>4</v>
      </c>
      <c r="F843" s="10" t="str">
        <f aca="false">CHOOSE(MOD(A843-1,5)+1,"Центр","Юг","Север","Запад","Восток")</f>
        <v>Юг</v>
      </c>
      <c r="G843" s="10" t="str">
        <f aca="false">"Округ_"&amp;(MOD(A843-1,5)+1)&amp;"_"&amp;(MOD(INT((A843-1)/5),5)+1)</f>
        <v>Округ_2_4</v>
      </c>
      <c r="H843" s="10" t="str">
        <f aca="false">"Город_"&amp;(MOD(A843-1,5)+1)&amp;"_"&amp;(MOD(INT((A843-1)/5),5)+1)&amp;"_"&amp;(MOD(INT((A843-1)/25),10)+1)</f>
        <v>Город_2_4_4</v>
      </c>
      <c r="I843" s="10" t="str">
        <f aca="false">CHOOSE(MOD(A843-1,4)+1,"Электроника","Одежда","Продукты","Мебель")</f>
        <v>Одежда</v>
      </c>
      <c r="J843" s="10" t="str">
        <f aca="false">CHOOSE(MOD(INT((A843-1)/4),4)+1,CHOOSE(MOD(A843-1,4)+1,"Смартфоны","Ноутбуки","Аксессуары","Аудио"),CHOOSE(MOD(A843-1,4)+1,"Верхняя одежда","Спортивная","Повседневная","Обувь"),CHOOSE(MOD(A843-1,4)+1,"Молочные","Мясные","Бакалея","Напитки"),CHOOSE(MOD(A843-1,4)+1,"Мягкая мебель","Корпусная","Офисная","Кухонная"))</f>
        <v>Мясные</v>
      </c>
      <c r="K843" s="12" t="n">
        <f aca="false">1000+MOD(A843*317+A843*A843*7,49001)</f>
        <v>36556</v>
      </c>
      <c r="L843" s="12" t="n">
        <f aca="false">1+MOD(A843*131,100)</f>
        <v>3</v>
      </c>
      <c r="M843" s="12" t="n">
        <f aca="false">INT(K843*(0.6+MOD(A843*43,21)/100))</f>
        <v>22664</v>
      </c>
      <c r="N843" s="12" t="n">
        <f aca="false">K843-M843</f>
        <v>13892</v>
      </c>
    </row>
    <row r="844" customFormat="false" ht="12.8" hidden="false" customHeight="false" outlineLevel="0" collapsed="false">
      <c r="A844" s="10" t="n">
        <f aca="false">A843+1</f>
        <v>843</v>
      </c>
      <c r="B844" s="11" t="n">
        <f aca="false">B843+1</f>
        <v>45769</v>
      </c>
      <c r="C844" s="10" t="n">
        <f aca="false">YEAR(B844)</f>
        <v>2025</v>
      </c>
      <c r="D844" s="10" t="n">
        <f aca="false">INT((MONTH(B844)-1)/3)+1</f>
        <v>2</v>
      </c>
      <c r="E844" s="10" t="n">
        <f aca="false">MONTH(B844)</f>
        <v>4</v>
      </c>
      <c r="F844" s="10" t="str">
        <f aca="false">CHOOSE(MOD(A844-1,5)+1,"Центр","Юг","Север","Запад","Восток")</f>
        <v>Север</v>
      </c>
      <c r="G844" s="10" t="str">
        <f aca="false">"Округ_"&amp;(MOD(A844-1,5)+1)&amp;"_"&amp;(MOD(INT((A844-1)/5),5)+1)</f>
        <v>Округ_3_4</v>
      </c>
      <c r="H844" s="10" t="str">
        <f aca="false">"Город_"&amp;(MOD(A844-1,5)+1)&amp;"_"&amp;(MOD(INT((A844-1)/5),5)+1)&amp;"_"&amp;(MOD(INT((A844-1)/25),10)+1)</f>
        <v>Город_3_4_4</v>
      </c>
      <c r="I844" s="10" t="str">
        <f aca="false">CHOOSE(MOD(A844-1,4)+1,"Электроника","Одежда","Продукты","Мебель")</f>
        <v>Продукты</v>
      </c>
      <c r="J844" s="10" t="str">
        <f aca="false">CHOOSE(MOD(INT((A844-1)/4),4)+1,CHOOSE(MOD(A844-1,4)+1,"Смартфоны","Ноутбуки","Аксессуары","Аудио"),CHOOSE(MOD(A844-1,4)+1,"Верхняя одежда","Спортивная","Повседневная","Обувь"),CHOOSE(MOD(A844-1,4)+1,"Молочные","Мясные","Бакалея","Напитки"),CHOOSE(MOD(A844-1,4)+1,"Мягкая мебель","Корпусная","Офисная","Кухонная"))</f>
        <v>Бакалея</v>
      </c>
      <c r="K844" s="12" t="n">
        <f aca="false">1000+MOD(A844*317+A844*A844*7,49001)</f>
        <v>48668</v>
      </c>
      <c r="L844" s="12" t="n">
        <f aca="false">1+MOD(A844*131,100)</f>
        <v>34</v>
      </c>
      <c r="M844" s="12" t="n">
        <f aca="false">INT(K844*(0.6+MOD(A844*43,21)/100))</f>
        <v>30660</v>
      </c>
      <c r="N844" s="12" t="n">
        <f aca="false">K844-M844</f>
        <v>18008</v>
      </c>
    </row>
    <row r="845" customFormat="false" ht="12.8" hidden="false" customHeight="false" outlineLevel="0" collapsed="false">
      <c r="A845" s="10" t="n">
        <f aca="false">A844+1</f>
        <v>844</v>
      </c>
      <c r="B845" s="11" t="n">
        <f aca="false">B844+1</f>
        <v>45770</v>
      </c>
      <c r="C845" s="10" t="n">
        <f aca="false">YEAR(B845)</f>
        <v>2025</v>
      </c>
      <c r="D845" s="10" t="n">
        <f aca="false">INT((MONTH(B845)-1)/3)+1</f>
        <v>2</v>
      </c>
      <c r="E845" s="10" t="n">
        <f aca="false">MONTH(B845)</f>
        <v>4</v>
      </c>
      <c r="F845" s="10" t="str">
        <f aca="false">CHOOSE(MOD(A845-1,5)+1,"Центр","Юг","Север","Запад","Восток")</f>
        <v>Запад</v>
      </c>
      <c r="G845" s="10" t="str">
        <f aca="false">"Округ_"&amp;(MOD(A845-1,5)+1)&amp;"_"&amp;(MOD(INT((A845-1)/5),5)+1)</f>
        <v>Округ_4_4</v>
      </c>
      <c r="H845" s="10" t="str">
        <f aca="false">"Город_"&amp;(MOD(A845-1,5)+1)&amp;"_"&amp;(MOD(INT((A845-1)/5),5)+1)&amp;"_"&amp;(MOD(INT((A845-1)/25),10)+1)</f>
        <v>Город_4_4_4</v>
      </c>
      <c r="I845" s="10" t="str">
        <f aca="false">CHOOSE(MOD(A845-1,4)+1,"Электроника","Одежда","Продукты","Мебель")</f>
        <v>Мебель</v>
      </c>
      <c r="J845" s="10" t="str">
        <f aca="false">CHOOSE(MOD(INT((A845-1)/4),4)+1,CHOOSE(MOD(A845-1,4)+1,"Смартфоны","Ноутбуки","Аксессуары","Аудио"),CHOOSE(MOD(A845-1,4)+1,"Верхняя одежда","Спортивная","Повседневная","Обувь"),CHOOSE(MOD(A845-1,4)+1,"Молочные","Мясные","Бакалея","Напитки"),CHOOSE(MOD(A845-1,4)+1,"Мягкая мебель","Корпусная","Офисная","Кухонная"))</f>
        <v>Напитки</v>
      </c>
      <c r="K845" s="12" t="n">
        <f aca="false">1000+MOD(A845*317+A845*A845*7,49001)</f>
        <v>11793</v>
      </c>
      <c r="L845" s="12" t="n">
        <f aca="false">1+MOD(A845*131,100)</f>
        <v>65</v>
      </c>
      <c r="M845" s="12" t="n">
        <f aca="false">INT(K845*(0.6+MOD(A845*43,21)/100))</f>
        <v>7547</v>
      </c>
      <c r="N845" s="12" t="n">
        <f aca="false">K845-M845</f>
        <v>4246</v>
      </c>
    </row>
    <row r="846" customFormat="false" ht="12.8" hidden="false" customHeight="false" outlineLevel="0" collapsed="false">
      <c r="A846" s="10" t="n">
        <f aca="false">A845+1</f>
        <v>845</v>
      </c>
      <c r="B846" s="11" t="n">
        <f aca="false">B845+1</f>
        <v>45771</v>
      </c>
      <c r="C846" s="10" t="n">
        <f aca="false">YEAR(B846)</f>
        <v>2025</v>
      </c>
      <c r="D846" s="10" t="n">
        <f aca="false">INT((MONTH(B846)-1)/3)+1</f>
        <v>2</v>
      </c>
      <c r="E846" s="10" t="n">
        <f aca="false">MONTH(B846)</f>
        <v>4</v>
      </c>
      <c r="F846" s="10" t="str">
        <f aca="false">CHOOSE(MOD(A846-1,5)+1,"Центр","Юг","Север","Запад","Восток")</f>
        <v>Восток</v>
      </c>
      <c r="G846" s="10" t="str">
        <f aca="false">"Округ_"&amp;(MOD(A846-1,5)+1)&amp;"_"&amp;(MOD(INT((A846-1)/5),5)+1)</f>
        <v>Округ_5_4</v>
      </c>
      <c r="H846" s="10" t="str">
        <f aca="false">"Город_"&amp;(MOD(A846-1,5)+1)&amp;"_"&amp;(MOD(INT((A846-1)/5),5)+1)&amp;"_"&amp;(MOD(INT((A846-1)/25),10)+1)</f>
        <v>Город_5_4_4</v>
      </c>
      <c r="I846" s="10" t="str">
        <f aca="false">CHOOSE(MOD(A846-1,4)+1,"Электроника","Одежда","Продукты","Мебель")</f>
        <v>Электроника</v>
      </c>
      <c r="J846" s="10" t="str">
        <f aca="false">CHOOSE(MOD(INT((A846-1)/4),4)+1,CHOOSE(MOD(A846-1,4)+1,"Смартфоны","Ноутбуки","Аксессуары","Аудио"),CHOOSE(MOD(A846-1,4)+1,"Верхняя одежда","Спортивная","Повседневная","Обувь"),CHOOSE(MOD(A846-1,4)+1,"Молочные","Мясные","Бакалея","Напитки"),CHOOSE(MOD(A846-1,4)+1,"Мягкая мебель","Корпусная","Офисная","Кухонная"))</f>
        <v>Мягкая мебель</v>
      </c>
      <c r="K846" s="12" t="n">
        <f aca="false">1000+MOD(A846*317+A846*A846*7,49001)</f>
        <v>23933</v>
      </c>
      <c r="L846" s="12" t="n">
        <f aca="false">1+MOD(A846*131,100)</f>
        <v>96</v>
      </c>
      <c r="M846" s="12" t="n">
        <f aca="false">INT(K846*(0.6+MOD(A846*43,21)/100))</f>
        <v>15556</v>
      </c>
      <c r="N846" s="12" t="n">
        <f aca="false">K846-M846</f>
        <v>8377</v>
      </c>
    </row>
    <row r="847" customFormat="false" ht="12.8" hidden="false" customHeight="false" outlineLevel="0" collapsed="false">
      <c r="A847" s="10" t="n">
        <f aca="false">A846+1</f>
        <v>846</v>
      </c>
      <c r="B847" s="11" t="n">
        <f aca="false">B846+1</f>
        <v>45772</v>
      </c>
      <c r="C847" s="10" t="n">
        <f aca="false">YEAR(B847)</f>
        <v>2025</v>
      </c>
      <c r="D847" s="10" t="n">
        <f aca="false">INT((MONTH(B847)-1)/3)+1</f>
        <v>2</v>
      </c>
      <c r="E847" s="10" t="n">
        <f aca="false">MONTH(B847)</f>
        <v>4</v>
      </c>
      <c r="F847" s="10" t="str">
        <f aca="false">CHOOSE(MOD(A847-1,5)+1,"Центр","Юг","Север","Запад","Восток")</f>
        <v>Центр</v>
      </c>
      <c r="G847" s="10" t="str">
        <f aca="false">"Округ_"&amp;(MOD(A847-1,5)+1)&amp;"_"&amp;(MOD(INT((A847-1)/5),5)+1)</f>
        <v>Округ_1_5</v>
      </c>
      <c r="H847" s="10" t="str">
        <f aca="false">"Город_"&amp;(MOD(A847-1,5)+1)&amp;"_"&amp;(MOD(INT((A847-1)/5),5)+1)&amp;"_"&amp;(MOD(INT((A847-1)/25),10)+1)</f>
        <v>Город_1_5_4</v>
      </c>
      <c r="I847" s="10" t="str">
        <f aca="false">CHOOSE(MOD(A847-1,4)+1,"Электроника","Одежда","Продукты","Мебель")</f>
        <v>Одежда</v>
      </c>
      <c r="J847" s="10" t="str">
        <f aca="false">CHOOSE(MOD(INT((A847-1)/4),4)+1,CHOOSE(MOD(A847-1,4)+1,"Смартфоны","Ноутбуки","Аксессуары","Аудио"),CHOOSE(MOD(A847-1,4)+1,"Верхняя одежда","Спортивная","Повседневная","Обувь"),CHOOSE(MOD(A847-1,4)+1,"Молочные","Мясные","Бакалея","Напитки"),CHOOSE(MOD(A847-1,4)+1,"Мягкая мебель","Корпусная","Офисная","Кухонная"))</f>
        <v>Корпусная</v>
      </c>
      <c r="K847" s="12" t="n">
        <f aca="false">1000+MOD(A847*317+A847*A847*7,49001)</f>
        <v>36087</v>
      </c>
      <c r="L847" s="12" t="n">
        <f aca="false">1+MOD(A847*131,100)</f>
        <v>27</v>
      </c>
      <c r="M847" s="12" t="n">
        <f aca="false">INT(K847*(0.6+MOD(A847*43,21)/100))</f>
        <v>23817</v>
      </c>
      <c r="N847" s="12" t="n">
        <f aca="false">K847-M847</f>
        <v>12270</v>
      </c>
    </row>
    <row r="848" customFormat="false" ht="12.8" hidden="false" customHeight="false" outlineLevel="0" collapsed="false">
      <c r="A848" s="10" t="n">
        <f aca="false">A847+1</f>
        <v>847</v>
      </c>
      <c r="B848" s="11" t="n">
        <f aca="false">B847+1</f>
        <v>45773</v>
      </c>
      <c r="C848" s="10" t="n">
        <f aca="false">YEAR(B848)</f>
        <v>2025</v>
      </c>
      <c r="D848" s="10" t="n">
        <f aca="false">INT((MONTH(B848)-1)/3)+1</f>
        <v>2</v>
      </c>
      <c r="E848" s="10" t="n">
        <f aca="false">MONTH(B848)</f>
        <v>4</v>
      </c>
      <c r="F848" s="10" t="str">
        <f aca="false">CHOOSE(MOD(A848-1,5)+1,"Центр","Юг","Север","Запад","Восток")</f>
        <v>Юг</v>
      </c>
      <c r="G848" s="10" t="str">
        <f aca="false">"Округ_"&amp;(MOD(A848-1,5)+1)&amp;"_"&amp;(MOD(INT((A848-1)/5),5)+1)</f>
        <v>Округ_2_5</v>
      </c>
      <c r="H848" s="10" t="str">
        <f aca="false">"Город_"&amp;(MOD(A848-1,5)+1)&amp;"_"&amp;(MOD(INT((A848-1)/5),5)+1)&amp;"_"&amp;(MOD(INT((A848-1)/25),10)+1)</f>
        <v>Город_2_5_4</v>
      </c>
      <c r="I848" s="10" t="str">
        <f aca="false">CHOOSE(MOD(A848-1,4)+1,"Электроника","Одежда","Продукты","Мебель")</f>
        <v>Продукты</v>
      </c>
      <c r="J848" s="10" t="str">
        <f aca="false">CHOOSE(MOD(INT((A848-1)/4),4)+1,CHOOSE(MOD(A848-1,4)+1,"Смартфоны","Ноутбуки","Аксессуары","Аудио"),CHOOSE(MOD(A848-1,4)+1,"Верхняя одежда","Спортивная","Повседневная","Обувь"),CHOOSE(MOD(A848-1,4)+1,"Молочные","Мясные","Бакалея","Напитки"),CHOOSE(MOD(A848-1,4)+1,"Мягкая мебель","Корпусная","Офисная","Кухонная"))</f>
        <v>Офисная</v>
      </c>
      <c r="K848" s="12" t="n">
        <f aca="false">1000+MOD(A848*317+A848*A848*7,49001)</f>
        <v>48255</v>
      </c>
      <c r="L848" s="12" t="n">
        <f aca="false">1+MOD(A848*131,100)</f>
        <v>58</v>
      </c>
      <c r="M848" s="12" t="n">
        <f aca="false">INT(K848*(0.6+MOD(A848*43,21)/100))</f>
        <v>32330</v>
      </c>
      <c r="N848" s="12" t="n">
        <f aca="false">K848-M848</f>
        <v>15925</v>
      </c>
    </row>
    <row r="849" customFormat="false" ht="12.8" hidden="false" customHeight="false" outlineLevel="0" collapsed="false">
      <c r="A849" s="10" t="n">
        <f aca="false">A848+1</f>
        <v>848</v>
      </c>
      <c r="B849" s="11" t="n">
        <f aca="false">B848+1</f>
        <v>45774</v>
      </c>
      <c r="C849" s="10" t="n">
        <f aca="false">YEAR(B849)</f>
        <v>2025</v>
      </c>
      <c r="D849" s="10" t="n">
        <f aca="false">INT((MONTH(B849)-1)/3)+1</f>
        <v>2</v>
      </c>
      <c r="E849" s="10" t="n">
        <f aca="false">MONTH(B849)</f>
        <v>4</v>
      </c>
      <c r="F849" s="10" t="str">
        <f aca="false">CHOOSE(MOD(A849-1,5)+1,"Центр","Юг","Север","Запад","Восток")</f>
        <v>Север</v>
      </c>
      <c r="G849" s="10" t="str">
        <f aca="false">"Округ_"&amp;(MOD(A849-1,5)+1)&amp;"_"&amp;(MOD(INT((A849-1)/5),5)+1)</f>
        <v>Округ_3_5</v>
      </c>
      <c r="H849" s="10" t="str">
        <f aca="false">"Город_"&amp;(MOD(A849-1,5)+1)&amp;"_"&amp;(MOD(INT((A849-1)/5),5)+1)&amp;"_"&amp;(MOD(INT((A849-1)/25),10)+1)</f>
        <v>Город_3_5_4</v>
      </c>
      <c r="I849" s="10" t="str">
        <f aca="false">CHOOSE(MOD(A849-1,4)+1,"Электроника","Одежда","Продукты","Мебель")</f>
        <v>Мебель</v>
      </c>
      <c r="J849" s="10" t="str">
        <f aca="false">CHOOSE(MOD(INT((A849-1)/4),4)+1,CHOOSE(MOD(A849-1,4)+1,"Смартфоны","Ноутбуки","Аксессуары","Аудио"),CHOOSE(MOD(A849-1,4)+1,"Верхняя одежда","Спортивная","Повседневная","Обувь"),CHOOSE(MOD(A849-1,4)+1,"Молочные","Мясные","Бакалея","Напитки"),CHOOSE(MOD(A849-1,4)+1,"Мягкая мебель","Корпусная","Офисная","Кухонная"))</f>
        <v>Кухонная</v>
      </c>
      <c r="K849" s="12" t="n">
        <f aca="false">1000+MOD(A849*317+A849*A849*7,49001)</f>
        <v>11436</v>
      </c>
      <c r="L849" s="12" t="n">
        <f aca="false">1+MOD(A849*131,100)</f>
        <v>89</v>
      </c>
      <c r="M849" s="12" t="n">
        <f aca="false">INT(K849*(0.6+MOD(A849*43,21)/100))</f>
        <v>7776</v>
      </c>
      <c r="N849" s="12" t="n">
        <f aca="false">K849-M849</f>
        <v>3660</v>
      </c>
    </row>
    <row r="850" customFormat="false" ht="12.8" hidden="false" customHeight="false" outlineLevel="0" collapsed="false">
      <c r="A850" s="10" t="n">
        <f aca="false">A849+1</f>
        <v>849</v>
      </c>
      <c r="B850" s="11" t="n">
        <f aca="false">B849+1</f>
        <v>45775</v>
      </c>
      <c r="C850" s="10" t="n">
        <f aca="false">YEAR(B850)</f>
        <v>2025</v>
      </c>
      <c r="D850" s="10" t="n">
        <f aca="false">INT((MONTH(B850)-1)/3)+1</f>
        <v>2</v>
      </c>
      <c r="E850" s="10" t="n">
        <f aca="false">MONTH(B850)</f>
        <v>4</v>
      </c>
      <c r="F850" s="10" t="str">
        <f aca="false">CHOOSE(MOD(A850-1,5)+1,"Центр","Юг","Север","Запад","Восток")</f>
        <v>Запад</v>
      </c>
      <c r="G850" s="10" t="str">
        <f aca="false">"Округ_"&amp;(MOD(A850-1,5)+1)&amp;"_"&amp;(MOD(INT((A850-1)/5),5)+1)</f>
        <v>Округ_4_5</v>
      </c>
      <c r="H850" s="10" t="str">
        <f aca="false">"Город_"&amp;(MOD(A850-1,5)+1)&amp;"_"&amp;(MOD(INT((A850-1)/5),5)+1)&amp;"_"&amp;(MOD(INT((A850-1)/25),10)+1)</f>
        <v>Город_4_5_4</v>
      </c>
      <c r="I850" s="10" t="str">
        <f aca="false">CHOOSE(MOD(A850-1,4)+1,"Электроника","Одежда","Продукты","Мебель")</f>
        <v>Электроника</v>
      </c>
      <c r="J850" s="10" t="str">
        <f aca="false">CHOOSE(MOD(INT((A850-1)/4),4)+1,CHOOSE(MOD(A850-1,4)+1,"Смартфоны","Ноутбуки","Аксессуары","Аудио"),CHOOSE(MOD(A850-1,4)+1,"Верхняя одежда","Спортивная","Повседневная","Обувь"),CHOOSE(MOD(A850-1,4)+1,"Молочные","Мясные","Бакалея","Напитки"),CHOOSE(MOD(A850-1,4)+1,"Мягкая мебель","Корпусная","Офисная","Кухонная"))</f>
        <v>Смартфоны</v>
      </c>
      <c r="K850" s="12" t="n">
        <f aca="false">1000+MOD(A850*317+A850*A850*7,49001)</f>
        <v>23632</v>
      </c>
      <c r="L850" s="12" t="n">
        <f aca="false">1+MOD(A850*131,100)</f>
        <v>20</v>
      </c>
      <c r="M850" s="12" t="n">
        <f aca="false">INT(K850*(0.6+MOD(A850*43,21)/100))</f>
        <v>16306</v>
      </c>
      <c r="N850" s="12" t="n">
        <f aca="false">K850-M850</f>
        <v>7326</v>
      </c>
    </row>
    <row r="851" customFormat="false" ht="12.8" hidden="false" customHeight="false" outlineLevel="0" collapsed="false">
      <c r="A851" s="10" t="n">
        <f aca="false">A850+1</f>
        <v>850</v>
      </c>
      <c r="B851" s="11" t="n">
        <f aca="false">B850+1</f>
        <v>45776</v>
      </c>
      <c r="C851" s="10" t="n">
        <f aca="false">YEAR(B851)</f>
        <v>2025</v>
      </c>
      <c r="D851" s="10" t="n">
        <f aca="false">INT((MONTH(B851)-1)/3)+1</f>
        <v>2</v>
      </c>
      <c r="E851" s="10" t="n">
        <f aca="false">MONTH(B851)</f>
        <v>4</v>
      </c>
      <c r="F851" s="10" t="str">
        <f aca="false">CHOOSE(MOD(A851-1,5)+1,"Центр","Юг","Север","Запад","Восток")</f>
        <v>Восток</v>
      </c>
      <c r="G851" s="10" t="str">
        <f aca="false">"Округ_"&amp;(MOD(A851-1,5)+1)&amp;"_"&amp;(MOD(INT((A851-1)/5),5)+1)</f>
        <v>Округ_5_5</v>
      </c>
      <c r="H851" s="10" t="str">
        <f aca="false">"Город_"&amp;(MOD(A851-1,5)+1)&amp;"_"&amp;(MOD(INT((A851-1)/5),5)+1)&amp;"_"&amp;(MOD(INT((A851-1)/25),10)+1)</f>
        <v>Город_5_5_4</v>
      </c>
      <c r="I851" s="10" t="str">
        <f aca="false">CHOOSE(MOD(A851-1,4)+1,"Электроника","Одежда","Продукты","Мебель")</f>
        <v>Одежда</v>
      </c>
      <c r="J851" s="10" t="str">
        <f aca="false">CHOOSE(MOD(INT((A851-1)/4),4)+1,CHOOSE(MOD(A851-1,4)+1,"Смартфоны","Ноутбуки","Аксессуары","Аудио"),CHOOSE(MOD(A851-1,4)+1,"Верхняя одежда","Спортивная","Повседневная","Обувь"),CHOOSE(MOD(A851-1,4)+1,"Молочные","Мясные","Бакалея","Напитки"),CHOOSE(MOD(A851-1,4)+1,"Мягкая мебель","Корпусная","Офисная","Кухонная"))</f>
        <v>Ноутбуки</v>
      </c>
      <c r="K851" s="12" t="n">
        <f aca="false">1000+MOD(A851*317+A851*A851*7,49001)</f>
        <v>35842</v>
      </c>
      <c r="L851" s="12" t="n">
        <f aca="false">1+MOD(A851*131,100)</f>
        <v>51</v>
      </c>
      <c r="M851" s="12" t="n">
        <f aca="false">INT(K851*(0.6+MOD(A851*43,21)/100))</f>
        <v>25089</v>
      </c>
      <c r="N851" s="12" t="n">
        <f aca="false">K851-M851</f>
        <v>10753</v>
      </c>
    </row>
    <row r="852" customFormat="false" ht="12.8" hidden="false" customHeight="false" outlineLevel="0" collapsed="false">
      <c r="A852" s="10" t="n">
        <f aca="false">A851+1</f>
        <v>851</v>
      </c>
      <c r="B852" s="11" t="n">
        <f aca="false">B851+1</f>
        <v>45777</v>
      </c>
      <c r="C852" s="10" t="n">
        <f aca="false">YEAR(B852)</f>
        <v>2025</v>
      </c>
      <c r="D852" s="10" t="n">
        <f aca="false">INT((MONTH(B852)-1)/3)+1</f>
        <v>2</v>
      </c>
      <c r="E852" s="10" t="n">
        <f aca="false">MONTH(B852)</f>
        <v>4</v>
      </c>
      <c r="F852" s="10" t="str">
        <f aca="false">CHOOSE(MOD(A852-1,5)+1,"Центр","Юг","Север","Запад","Восток")</f>
        <v>Центр</v>
      </c>
      <c r="G852" s="10" t="str">
        <f aca="false">"Округ_"&amp;(MOD(A852-1,5)+1)&amp;"_"&amp;(MOD(INT((A852-1)/5),5)+1)</f>
        <v>Округ_1_1</v>
      </c>
      <c r="H852" s="10" t="str">
        <f aca="false">"Город_"&amp;(MOD(A852-1,5)+1)&amp;"_"&amp;(MOD(INT((A852-1)/5),5)+1)&amp;"_"&amp;(MOD(INT((A852-1)/25),10)+1)</f>
        <v>Город_1_1_5</v>
      </c>
      <c r="I852" s="10" t="str">
        <f aca="false">CHOOSE(MOD(A852-1,4)+1,"Электроника","Одежда","Продукты","Мебель")</f>
        <v>Продукты</v>
      </c>
      <c r="J852" s="10" t="str">
        <f aca="false">CHOOSE(MOD(INT((A852-1)/4),4)+1,CHOOSE(MOD(A852-1,4)+1,"Смартфоны","Ноутбуки","Аксессуары","Аудио"),CHOOSE(MOD(A852-1,4)+1,"Верхняя одежда","Спортивная","Повседневная","Обувь"),CHOOSE(MOD(A852-1,4)+1,"Молочные","Мясные","Бакалея","Напитки"),CHOOSE(MOD(A852-1,4)+1,"Мягкая мебель","Корпусная","Офисная","Кухонная"))</f>
        <v>Аксессуары</v>
      </c>
      <c r="K852" s="12" t="n">
        <f aca="false">1000+MOD(A852*317+A852*A852*7,49001)</f>
        <v>48066</v>
      </c>
      <c r="L852" s="12" t="n">
        <f aca="false">1+MOD(A852*131,100)</f>
        <v>82</v>
      </c>
      <c r="M852" s="12" t="n">
        <f aca="false">INT(K852*(0.6+MOD(A852*43,21)/100))</f>
        <v>34126</v>
      </c>
      <c r="N852" s="12" t="n">
        <f aca="false">K852-M852</f>
        <v>13940</v>
      </c>
    </row>
    <row r="853" customFormat="false" ht="12.8" hidden="false" customHeight="false" outlineLevel="0" collapsed="false">
      <c r="A853" s="10" t="n">
        <f aca="false">A852+1</f>
        <v>852</v>
      </c>
      <c r="B853" s="11" t="n">
        <f aca="false">B852+1</f>
        <v>45778</v>
      </c>
      <c r="C853" s="10" t="n">
        <f aca="false">YEAR(B853)</f>
        <v>2025</v>
      </c>
      <c r="D853" s="10" t="n">
        <f aca="false">INT((MONTH(B853)-1)/3)+1</f>
        <v>2</v>
      </c>
      <c r="E853" s="10" t="n">
        <f aca="false">MONTH(B853)</f>
        <v>5</v>
      </c>
      <c r="F853" s="10" t="str">
        <f aca="false">CHOOSE(MOD(A853-1,5)+1,"Центр","Юг","Север","Запад","Восток")</f>
        <v>Юг</v>
      </c>
      <c r="G853" s="10" t="str">
        <f aca="false">"Округ_"&amp;(MOD(A853-1,5)+1)&amp;"_"&amp;(MOD(INT((A853-1)/5),5)+1)</f>
        <v>Округ_2_1</v>
      </c>
      <c r="H853" s="10" t="str">
        <f aca="false">"Город_"&amp;(MOD(A853-1,5)+1)&amp;"_"&amp;(MOD(INT((A853-1)/5),5)+1)&amp;"_"&amp;(MOD(INT((A853-1)/25),10)+1)</f>
        <v>Город_2_1_5</v>
      </c>
      <c r="I853" s="10" t="str">
        <f aca="false">CHOOSE(MOD(A853-1,4)+1,"Электроника","Одежда","Продукты","Мебель")</f>
        <v>Мебель</v>
      </c>
      <c r="J853" s="10" t="str">
        <f aca="false">CHOOSE(MOD(INT((A853-1)/4),4)+1,CHOOSE(MOD(A853-1,4)+1,"Смартфоны","Ноутбуки","Аксессуары","Аудио"),CHOOSE(MOD(A853-1,4)+1,"Верхняя одежда","Спортивная","Повседневная","Обувь"),CHOOSE(MOD(A853-1,4)+1,"Молочные","Мясные","Бакалея","Напитки"),CHOOSE(MOD(A853-1,4)+1,"Мягкая мебель","Корпусная","Офисная","Кухонная"))</f>
        <v>Аудио</v>
      </c>
      <c r="K853" s="12" t="n">
        <f aca="false">1000+MOD(A853*317+A853*A853*7,49001)</f>
        <v>11303</v>
      </c>
      <c r="L853" s="12" t="n">
        <f aca="false">1+MOD(A853*131,100)</f>
        <v>13</v>
      </c>
      <c r="M853" s="12" t="n">
        <f aca="false">INT(K853*(0.6+MOD(A853*43,21)/100))</f>
        <v>8138</v>
      </c>
      <c r="N853" s="12" t="n">
        <f aca="false">K853-M853</f>
        <v>3165</v>
      </c>
    </row>
    <row r="854" customFormat="false" ht="12.8" hidden="false" customHeight="false" outlineLevel="0" collapsed="false">
      <c r="A854" s="10" t="n">
        <f aca="false">A853+1</f>
        <v>853</v>
      </c>
      <c r="B854" s="11" t="n">
        <f aca="false">B853+1</f>
        <v>45779</v>
      </c>
      <c r="C854" s="10" t="n">
        <f aca="false">YEAR(B854)</f>
        <v>2025</v>
      </c>
      <c r="D854" s="10" t="n">
        <f aca="false">INT((MONTH(B854)-1)/3)+1</f>
        <v>2</v>
      </c>
      <c r="E854" s="10" t="n">
        <f aca="false">MONTH(B854)</f>
        <v>5</v>
      </c>
      <c r="F854" s="10" t="str">
        <f aca="false">CHOOSE(MOD(A854-1,5)+1,"Центр","Юг","Север","Запад","Восток")</f>
        <v>Север</v>
      </c>
      <c r="G854" s="10" t="str">
        <f aca="false">"Округ_"&amp;(MOD(A854-1,5)+1)&amp;"_"&amp;(MOD(INT((A854-1)/5),5)+1)</f>
        <v>Округ_3_1</v>
      </c>
      <c r="H854" s="10" t="str">
        <f aca="false">"Город_"&amp;(MOD(A854-1,5)+1)&amp;"_"&amp;(MOD(INT((A854-1)/5),5)+1)&amp;"_"&amp;(MOD(INT((A854-1)/25),10)+1)</f>
        <v>Город_3_1_5</v>
      </c>
      <c r="I854" s="10" t="str">
        <f aca="false">CHOOSE(MOD(A854-1,4)+1,"Электроника","Одежда","Продукты","Мебель")</f>
        <v>Электроника</v>
      </c>
      <c r="J854" s="10" t="str">
        <f aca="false">CHOOSE(MOD(INT((A854-1)/4),4)+1,CHOOSE(MOD(A854-1,4)+1,"Смартфоны","Ноутбуки","Аксессуары","Аудио"),CHOOSE(MOD(A854-1,4)+1,"Верхняя одежда","Спортивная","Повседневная","Обувь"),CHOOSE(MOD(A854-1,4)+1,"Молочные","Мясные","Бакалея","Напитки"),CHOOSE(MOD(A854-1,4)+1,"Мягкая мебель","Корпусная","Офисная","Кухонная"))</f>
        <v>Верхняя одежда</v>
      </c>
      <c r="K854" s="12" t="n">
        <f aca="false">1000+MOD(A854*317+A854*A854*7,49001)</f>
        <v>23555</v>
      </c>
      <c r="L854" s="12" t="n">
        <f aca="false">1+MOD(A854*131,100)</f>
        <v>44</v>
      </c>
      <c r="M854" s="12" t="n">
        <f aca="false">INT(K854*(0.6+MOD(A854*43,21)/100))</f>
        <v>17195</v>
      </c>
      <c r="N854" s="12" t="n">
        <f aca="false">K854-M854</f>
        <v>6360</v>
      </c>
    </row>
    <row r="855" customFormat="false" ht="12.8" hidden="false" customHeight="false" outlineLevel="0" collapsed="false">
      <c r="A855" s="10" t="n">
        <f aca="false">A854+1</f>
        <v>854</v>
      </c>
      <c r="B855" s="11" t="n">
        <f aca="false">B854+1</f>
        <v>45780</v>
      </c>
      <c r="C855" s="10" t="n">
        <f aca="false">YEAR(B855)</f>
        <v>2025</v>
      </c>
      <c r="D855" s="10" t="n">
        <f aca="false">INT((MONTH(B855)-1)/3)+1</f>
        <v>2</v>
      </c>
      <c r="E855" s="10" t="n">
        <f aca="false">MONTH(B855)</f>
        <v>5</v>
      </c>
      <c r="F855" s="10" t="str">
        <f aca="false">CHOOSE(MOD(A855-1,5)+1,"Центр","Юг","Север","Запад","Восток")</f>
        <v>Запад</v>
      </c>
      <c r="G855" s="10" t="str">
        <f aca="false">"Округ_"&amp;(MOD(A855-1,5)+1)&amp;"_"&amp;(MOD(INT((A855-1)/5),5)+1)</f>
        <v>Округ_4_1</v>
      </c>
      <c r="H855" s="10" t="str">
        <f aca="false">"Город_"&amp;(MOD(A855-1,5)+1)&amp;"_"&amp;(MOD(INT((A855-1)/5),5)+1)&amp;"_"&amp;(MOD(INT((A855-1)/25),10)+1)</f>
        <v>Город_4_1_5</v>
      </c>
      <c r="I855" s="10" t="str">
        <f aca="false">CHOOSE(MOD(A855-1,4)+1,"Электроника","Одежда","Продукты","Мебель")</f>
        <v>Одежда</v>
      </c>
      <c r="J855" s="10" t="str">
        <f aca="false">CHOOSE(MOD(INT((A855-1)/4),4)+1,CHOOSE(MOD(A855-1,4)+1,"Смартфоны","Ноутбуки","Аксессуары","Аудио"),CHOOSE(MOD(A855-1,4)+1,"Верхняя одежда","Спортивная","Повседневная","Обувь"),CHOOSE(MOD(A855-1,4)+1,"Молочные","Мясные","Бакалея","Напитки"),CHOOSE(MOD(A855-1,4)+1,"Мягкая мебель","Корпусная","Офисная","Кухонная"))</f>
        <v>Спортивная</v>
      </c>
      <c r="K855" s="12" t="n">
        <f aca="false">1000+MOD(A855*317+A855*A855*7,49001)</f>
        <v>35821</v>
      </c>
      <c r="L855" s="12" t="n">
        <f aca="false">1+MOD(A855*131,100)</f>
        <v>75</v>
      </c>
      <c r="M855" s="12" t="n">
        <f aca="false">INT(K855*(0.6+MOD(A855*43,21)/100))</f>
        <v>26507</v>
      </c>
      <c r="N855" s="12" t="n">
        <f aca="false">K855-M855</f>
        <v>9314</v>
      </c>
    </row>
    <row r="856" customFormat="false" ht="12.8" hidden="false" customHeight="false" outlineLevel="0" collapsed="false">
      <c r="A856" s="10" t="n">
        <f aca="false">A855+1</f>
        <v>855</v>
      </c>
      <c r="B856" s="11" t="n">
        <f aca="false">B855+1</f>
        <v>45781</v>
      </c>
      <c r="C856" s="10" t="n">
        <f aca="false">YEAR(B856)</f>
        <v>2025</v>
      </c>
      <c r="D856" s="10" t="n">
        <f aca="false">INT((MONTH(B856)-1)/3)+1</f>
        <v>2</v>
      </c>
      <c r="E856" s="10" t="n">
        <f aca="false">MONTH(B856)</f>
        <v>5</v>
      </c>
      <c r="F856" s="10" t="str">
        <f aca="false">CHOOSE(MOD(A856-1,5)+1,"Центр","Юг","Север","Запад","Восток")</f>
        <v>Восток</v>
      </c>
      <c r="G856" s="10" t="str">
        <f aca="false">"Округ_"&amp;(MOD(A856-1,5)+1)&amp;"_"&amp;(MOD(INT((A856-1)/5),5)+1)</f>
        <v>Округ_5_1</v>
      </c>
      <c r="H856" s="10" t="str">
        <f aca="false">"Город_"&amp;(MOD(A856-1,5)+1)&amp;"_"&amp;(MOD(INT((A856-1)/5),5)+1)&amp;"_"&amp;(MOD(INT((A856-1)/25),10)+1)</f>
        <v>Город_5_1_5</v>
      </c>
      <c r="I856" s="10" t="str">
        <f aca="false">CHOOSE(MOD(A856-1,4)+1,"Электроника","Одежда","Продукты","Мебель")</f>
        <v>Продукты</v>
      </c>
      <c r="J856" s="10" t="str">
        <f aca="false">CHOOSE(MOD(INT((A856-1)/4),4)+1,CHOOSE(MOD(A856-1,4)+1,"Смартфоны","Ноутбуки","Аксессуары","Аудио"),CHOOSE(MOD(A856-1,4)+1,"Верхняя одежда","Спортивная","Повседневная","Обувь"),CHOOSE(MOD(A856-1,4)+1,"Молочные","Мясные","Бакалея","Напитки"),CHOOSE(MOD(A856-1,4)+1,"Мягкая мебель","Корпусная","Офисная","Кухонная"))</f>
        <v>Повседневная</v>
      </c>
      <c r="K856" s="12" t="n">
        <f aca="false">1000+MOD(A856*317+A856*A856*7,49001)</f>
        <v>48101</v>
      </c>
      <c r="L856" s="12" t="n">
        <f aca="false">1+MOD(A856*131,100)</f>
        <v>6</v>
      </c>
      <c r="M856" s="12" t="n">
        <f aca="false">INT(K856*(0.6+MOD(A856*43,21)/100))</f>
        <v>36075</v>
      </c>
      <c r="N856" s="12" t="n">
        <f aca="false">K856-M856</f>
        <v>12026</v>
      </c>
    </row>
    <row r="857" customFormat="false" ht="12.8" hidden="false" customHeight="false" outlineLevel="0" collapsed="false">
      <c r="A857" s="10" t="n">
        <f aca="false">A856+1</f>
        <v>856</v>
      </c>
      <c r="B857" s="11" t="n">
        <f aca="false">B856+1</f>
        <v>45782</v>
      </c>
      <c r="C857" s="10" t="n">
        <f aca="false">YEAR(B857)</f>
        <v>2025</v>
      </c>
      <c r="D857" s="10" t="n">
        <f aca="false">INT((MONTH(B857)-1)/3)+1</f>
        <v>2</v>
      </c>
      <c r="E857" s="10" t="n">
        <f aca="false">MONTH(B857)</f>
        <v>5</v>
      </c>
      <c r="F857" s="10" t="str">
        <f aca="false">CHOOSE(MOD(A857-1,5)+1,"Центр","Юг","Север","Запад","Восток")</f>
        <v>Центр</v>
      </c>
      <c r="G857" s="10" t="str">
        <f aca="false">"Округ_"&amp;(MOD(A857-1,5)+1)&amp;"_"&amp;(MOD(INT((A857-1)/5),5)+1)</f>
        <v>Округ_1_2</v>
      </c>
      <c r="H857" s="10" t="str">
        <f aca="false">"Город_"&amp;(MOD(A857-1,5)+1)&amp;"_"&amp;(MOD(INT((A857-1)/5),5)+1)&amp;"_"&amp;(MOD(INT((A857-1)/25),10)+1)</f>
        <v>Город_1_2_5</v>
      </c>
      <c r="I857" s="10" t="str">
        <f aca="false">CHOOSE(MOD(A857-1,4)+1,"Электроника","Одежда","Продукты","Мебель")</f>
        <v>Мебель</v>
      </c>
      <c r="J857" s="10" t="str">
        <f aca="false">CHOOSE(MOD(INT((A857-1)/4),4)+1,CHOOSE(MOD(A857-1,4)+1,"Смартфоны","Ноутбуки","Аксессуары","Аудио"),CHOOSE(MOD(A857-1,4)+1,"Верхняя одежда","Спортивная","Повседневная","Обувь"),CHOOSE(MOD(A857-1,4)+1,"Молочные","Мясные","Бакалея","Напитки"),CHOOSE(MOD(A857-1,4)+1,"Мягкая мебель","Корпусная","Офисная","Кухонная"))</f>
        <v>Обувь</v>
      </c>
      <c r="K857" s="12" t="n">
        <f aca="false">1000+MOD(A857*317+A857*A857*7,49001)</f>
        <v>11394</v>
      </c>
      <c r="L857" s="12" t="n">
        <f aca="false">1+MOD(A857*131,100)</f>
        <v>37</v>
      </c>
      <c r="M857" s="12" t="n">
        <f aca="false">INT(K857*(0.6+MOD(A857*43,21)/100))</f>
        <v>8659</v>
      </c>
      <c r="N857" s="12" t="n">
        <f aca="false">K857-M857</f>
        <v>2735</v>
      </c>
    </row>
    <row r="858" customFormat="false" ht="12.8" hidden="false" customHeight="false" outlineLevel="0" collapsed="false">
      <c r="A858" s="10" t="n">
        <f aca="false">A857+1</f>
        <v>857</v>
      </c>
      <c r="B858" s="11" t="n">
        <f aca="false">B857+1</f>
        <v>45783</v>
      </c>
      <c r="C858" s="10" t="n">
        <f aca="false">YEAR(B858)</f>
        <v>2025</v>
      </c>
      <c r="D858" s="10" t="n">
        <f aca="false">INT((MONTH(B858)-1)/3)+1</f>
        <v>2</v>
      </c>
      <c r="E858" s="10" t="n">
        <f aca="false">MONTH(B858)</f>
        <v>5</v>
      </c>
      <c r="F858" s="10" t="str">
        <f aca="false">CHOOSE(MOD(A858-1,5)+1,"Центр","Юг","Север","Запад","Восток")</f>
        <v>Юг</v>
      </c>
      <c r="G858" s="10" t="str">
        <f aca="false">"Округ_"&amp;(MOD(A858-1,5)+1)&amp;"_"&amp;(MOD(INT((A858-1)/5),5)+1)</f>
        <v>Округ_2_2</v>
      </c>
      <c r="H858" s="10" t="str">
        <f aca="false">"Город_"&amp;(MOD(A858-1,5)+1)&amp;"_"&amp;(MOD(INT((A858-1)/5),5)+1)&amp;"_"&amp;(MOD(INT((A858-1)/25),10)+1)</f>
        <v>Город_2_2_5</v>
      </c>
      <c r="I858" s="10" t="str">
        <f aca="false">CHOOSE(MOD(A858-1,4)+1,"Электроника","Одежда","Продукты","Мебель")</f>
        <v>Электроника</v>
      </c>
      <c r="J858" s="10" t="str">
        <f aca="false">CHOOSE(MOD(INT((A858-1)/4),4)+1,CHOOSE(MOD(A858-1,4)+1,"Смартфоны","Ноутбуки","Аксессуары","Аудио"),CHOOSE(MOD(A858-1,4)+1,"Верхняя одежда","Спортивная","Повседневная","Обувь"),CHOOSE(MOD(A858-1,4)+1,"Молочные","Мясные","Бакалея","Напитки"),CHOOSE(MOD(A858-1,4)+1,"Мягкая мебель","Корпусная","Офисная","Кухонная"))</f>
        <v>Молочные</v>
      </c>
      <c r="K858" s="12" t="n">
        <f aca="false">1000+MOD(A858*317+A858*A858*7,49001)</f>
        <v>23702</v>
      </c>
      <c r="L858" s="12" t="n">
        <f aca="false">1+MOD(A858*131,100)</f>
        <v>68</v>
      </c>
      <c r="M858" s="12" t="n">
        <f aca="false">INT(K858*(0.6+MOD(A858*43,21)/100))</f>
        <v>18250</v>
      </c>
      <c r="N858" s="12" t="n">
        <f aca="false">K858-M858</f>
        <v>5452</v>
      </c>
    </row>
    <row r="859" customFormat="false" ht="12.8" hidden="false" customHeight="false" outlineLevel="0" collapsed="false">
      <c r="A859" s="10" t="n">
        <f aca="false">A858+1</f>
        <v>858</v>
      </c>
      <c r="B859" s="11" t="n">
        <f aca="false">B858+1</f>
        <v>45784</v>
      </c>
      <c r="C859" s="10" t="n">
        <f aca="false">YEAR(B859)</f>
        <v>2025</v>
      </c>
      <c r="D859" s="10" t="n">
        <f aca="false">INT((MONTH(B859)-1)/3)+1</f>
        <v>2</v>
      </c>
      <c r="E859" s="10" t="n">
        <f aca="false">MONTH(B859)</f>
        <v>5</v>
      </c>
      <c r="F859" s="10" t="str">
        <f aca="false">CHOOSE(MOD(A859-1,5)+1,"Центр","Юг","Север","Запад","Восток")</f>
        <v>Север</v>
      </c>
      <c r="G859" s="10" t="str">
        <f aca="false">"Округ_"&amp;(MOD(A859-1,5)+1)&amp;"_"&amp;(MOD(INT((A859-1)/5),5)+1)</f>
        <v>Округ_3_2</v>
      </c>
      <c r="H859" s="10" t="str">
        <f aca="false">"Город_"&amp;(MOD(A859-1,5)+1)&amp;"_"&amp;(MOD(INT((A859-1)/5),5)+1)&amp;"_"&amp;(MOD(INT((A859-1)/25),10)+1)</f>
        <v>Город_3_2_5</v>
      </c>
      <c r="I859" s="10" t="str">
        <f aca="false">CHOOSE(MOD(A859-1,4)+1,"Электроника","Одежда","Продукты","Мебель")</f>
        <v>Одежда</v>
      </c>
      <c r="J859" s="10" t="str">
        <f aca="false">CHOOSE(MOD(INT((A859-1)/4),4)+1,CHOOSE(MOD(A859-1,4)+1,"Смартфоны","Ноутбуки","Аксессуары","Аудио"),CHOOSE(MOD(A859-1,4)+1,"Верхняя одежда","Спортивная","Повседневная","Обувь"),CHOOSE(MOD(A859-1,4)+1,"Молочные","Мясные","Бакалея","Напитки"),CHOOSE(MOD(A859-1,4)+1,"Мягкая мебель","Корпусная","Офисная","Кухонная"))</f>
        <v>Мясные</v>
      </c>
      <c r="K859" s="12" t="n">
        <f aca="false">1000+MOD(A859*317+A859*A859*7,49001)</f>
        <v>36024</v>
      </c>
      <c r="L859" s="12" t="n">
        <f aca="false">1+MOD(A859*131,100)</f>
        <v>99</v>
      </c>
      <c r="M859" s="12" t="n">
        <f aca="false">INT(K859*(0.6+MOD(A859*43,21)/100))</f>
        <v>28098</v>
      </c>
      <c r="N859" s="12" t="n">
        <f aca="false">K859-M859</f>
        <v>7926</v>
      </c>
    </row>
    <row r="860" customFormat="false" ht="12.8" hidden="false" customHeight="false" outlineLevel="0" collapsed="false">
      <c r="A860" s="10" t="n">
        <f aca="false">A859+1</f>
        <v>859</v>
      </c>
      <c r="B860" s="11" t="n">
        <f aca="false">B859+1</f>
        <v>45785</v>
      </c>
      <c r="C860" s="10" t="n">
        <f aca="false">YEAR(B860)</f>
        <v>2025</v>
      </c>
      <c r="D860" s="10" t="n">
        <f aca="false">INT((MONTH(B860)-1)/3)+1</f>
        <v>2</v>
      </c>
      <c r="E860" s="10" t="n">
        <f aca="false">MONTH(B860)</f>
        <v>5</v>
      </c>
      <c r="F860" s="10" t="str">
        <f aca="false">CHOOSE(MOD(A860-1,5)+1,"Центр","Юг","Север","Запад","Восток")</f>
        <v>Запад</v>
      </c>
      <c r="G860" s="10" t="str">
        <f aca="false">"Округ_"&amp;(MOD(A860-1,5)+1)&amp;"_"&amp;(MOD(INT((A860-1)/5),5)+1)</f>
        <v>Округ_4_2</v>
      </c>
      <c r="H860" s="10" t="str">
        <f aca="false">"Город_"&amp;(MOD(A860-1,5)+1)&amp;"_"&amp;(MOD(INT((A860-1)/5),5)+1)&amp;"_"&amp;(MOD(INT((A860-1)/25),10)+1)</f>
        <v>Город_4_2_5</v>
      </c>
      <c r="I860" s="10" t="str">
        <f aca="false">CHOOSE(MOD(A860-1,4)+1,"Электроника","Одежда","Продукты","Мебель")</f>
        <v>Продукты</v>
      </c>
      <c r="J860" s="10" t="str">
        <f aca="false">CHOOSE(MOD(INT((A860-1)/4),4)+1,CHOOSE(MOD(A860-1,4)+1,"Смартфоны","Ноутбуки","Аксессуары","Аудио"),CHOOSE(MOD(A860-1,4)+1,"Верхняя одежда","Спортивная","Повседневная","Обувь"),CHOOSE(MOD(A860-1,4)+1,"Молочные","Мясные","Бакалея","Напитки"),CHOOSE(MOD(A860-1,4)+1,"Мягкая мебель","Корпусная","Офисная","Кухонная"))</f>
        <v>Бакалея</v>
      </c>
      <c r="K860" s="12" t="n">
        <f aca="false">1000+MOD(A860*317+A860*A860*7,49001)</f>
        <v>48360</v>
      </c>
      <c r="L860" s="12" t="n">
        <f aca="false">1+MOD(A860*131,100)</f>
        <v>30</v>
      </c>
      <c r="M860" s="12" t="n">
        <f aca="false">INT(K860*(0.6+MOD(A860*43,21)/100))</f>
        <v>38204</v>
      </c>
      <c r="N860" s="12" t="n">
        <f aca="false">K860-M860</f>
        <v>10156</v>
      </c>
    </row>
    <row r="861" customFormat="false" ht="12.8" hidden="false" customHeight="false" outlineLevel="0" collapsed="false">
      <c r="A861" s="10" t="n">
        <f aca="false">A860+1</f>
        <v>860</v>
      </c>
      <c r="B861" s="11" t="n">
        <f aca="false">B860+1</f>
        <v>45786</v>
      </c>
      <c r="C861" s="10" t="n">
        <f aca="false">YEAR(B861)</f>
        <v>2025</v>
      </c>
      <c r="D861" s="10" t="n">
        <f aca="false">INT((MONTH(B861)-1)/3)+1</f>
        <v>2</v>
      </c>
      <c r="E861" s="10" t="n">
        <f aca="false">MONTH(B861)</f>
        <v>5</v>
      </c>
      <c r="F861" s="10" t="str">
        <f aca="false">CHOOSE(MOD(A861-1,5)+1,"Центр","Юг","Север","Запад","Восток")</f>
        <v>Восток</v>
      </c>
      <c r="G861" s="10" t="str">
        <f aca="false">"Округ_"&amp;(MOD(A861-1,5)+1)&amp;"_"&amp;(MOD(INT((A861-1)/5),5)+1)</f>
        <v>Округ_5_2</v>
      </c>
      <c r="H861" s="10" t="str">
        <f aca="false">"Город_"&amp;(MOD(A861-1,5)+1)&amp;"_"&amp;(MOD(INT((A861-1)/5),5)+1)&amp;"_"&amp;(MOD(INT((A861-1)/25),10)+1)</f>
        <v>Город_5_2_5</v>
      </c>
      <c r="I861" s="10" t="str">
        <f aca="false">CHOOSE(MOD(A861-1,4)+1,"Электроника","Одежда","Продукты","Мебель")</f>
        <v>Мебель</v>
      </c>
      <c r="J861" s="10" t="str">
        <f aca="false">CHOOSE(MOD(INT((A861-1)/4),4)+1,CHOOSE(MOD(A861-1,4)+1,"Смартфоны","Ноутбуки","Аксессуары","Аудио"),CHOOSE(MOD(A861-1,4)+1,"Верхняя одежда","Спортивная","Повседневная","Обувь"),CHOOSE(MOD(A861-1,4)+1,"Молочные","Мясные","Бакалея","Напитки"),CHOOSE(MOD(A861-1,4)+1,"Мягкая мебель","Корпусная","Офисная","Кухонная"))</f>
        <v>Напитки</v>
      </c>
      <c r="K861" s="12" t="n">
        <f aca="false">1000+MOD(A861*317+A861*A861*7,49001)</f>
        <v>11709</v>
      </c>
      <c r="L861" s="12" t="n">
        <f aca="false">1+MOD(A861*131,100)</f>
        <v>61</v>
      </c>
      <c r="M861" s="12" t="n">
        <f aca="false">INT(K861*(0.6+MOD(A861*43,21)/100))</f>
        <v>9367</v>
      </c>
      <c r="N861" s="12" t="n">
        <f aca="false">K861-M861</f>
        <v>2342</v>
      </c>
    </row>
    <row r="862" customFormat="false" ht="12.8" hidden="false" customHeight="false" outlineLevel="0" collapsed="false">
      <c r="A862" s="10" t="n">
        <f aca="false">A861+1</f>
        <v>861</v>
      </c>
      <c r="B862" s="11" t="n">
        <f aca="false">B861+1</f>
        <v>45787</v>
      </c>
      <c r="C862" s="10" t="n">
        <f aca="false">YEAR(B862)</f>
        <v>2025</v>
      </c>
      <c r="D862" s="10" t="n">
        <f aca="false">INT((MONTH(B862)-1)/3)+1</f>
        <v>2</v>
      </c>
      <c r="E862" s="10" t="n">
        <f aca="false">MONTH(B862)</f>
        <v>5</v>
      </c>
      <c r="F862" s="10" t="str">
        <f aca="false">CHOOSE(MOD(A862-1,5)+1,"Центр","Юг","Север","Запад","Восток")</f>
        <v>Центр</v>
      </c>
      <c r="G862" s="10" t="str">
        <f aca="false">"Округ_"&amp;(MOD(A862-1,5)+1)&amp;"_"&amp;(MOD(INT((A862-1)/5),5)+1)</f>
        <v>Округ_1_3</v>
      </c>
      <c r="H862" s="10" t="str">
        <f aca="false">"Город_"&amp;(MOD(A862-1,5)+1)&amp;"_"&amp;(MOD(INT((A862-1)/5),5)+1)&amp;"_"&amp;(MOD(INT((A862-1)/25),10)+1)</f>
        <v>Город_1_3_5</v>
      </c>
      <c r="I862" s="10" t="str">
        <f aca="false">CHOOSE(MOD(A862-1,4)+1,"Электроника","Одежда","Продукты","Мебель")</f>
        <v>Электроника</v>
      </c>
      <c r="J862" s="10" t="str">
        <f aca="false">CHOOSE(MOD(INT((A862-1)/4),4)+1,CHOOSE(MOD(A862-1,4)+1,"Смартфоны","Ноутбуки","Аксессуары","Аудио"),CHOOSE(MOD(A862-1,4)+1,"Верхняя одежда","Спортивная","Повседневная","Обувь"),CHOOSE(MOD(A862-1,4)+1,"Молочные","Мясные","Бакалея","Напитки"),CHOOSE(MOD(A862-1,4)+1,"Мягкая мебель","Корпусная","Офисная","Кухонная"))</f>
        <v>Мягкая мебель</v>
      </c>
      <c r="K862" s="12" t="n">
        <f aca="false">1000+MOD(A862*317+A862*A862*7,49001)</f>
        <v>24073</v>
      </c>
      <c r="L862" s="12" t="n">
        <f aca="false">1+MOD(A862*131,100)</f>
        <v>92</v>
      </c>
      <c r="M862" s="12" t="n">
        <f aca="false">INT(K862*(0.6+MOD(A862*43,21)/100))</f>
        <v>14443</v>
      </c>
      <c r="N862" s="12" t="n">
        <f aca="false">K862-M862</f>
        <v>9630</v>
      </c>
    </row>
    <row r="863" customFormat="false" ht="12.8" hidden="false" customHeight="false" outlineLevel="0" collapsed="false">
      <c r="A863" s="10" t="n">
        <f aca="false">A862+1</f>
        <v>862</v>
      </c>
      <c r="B863" s="11" t="n">
        <f aca="false">B862+1</f>
        <v>45788</v>
      </c>
      <c r="C863" s="10" t="n">
        <f aca="false">YEAR(B863)</f>
        <v>2025</v>
      </c>
      <c r="D863" s="10" t="n">
        <f aca="false">INT((MONTH(B863)-1)/3)+1</f>
        <v>2</v>
      </c>
      <c r="E863" s="10" t="n">
        <f aca="false">MONTH(B863)</f>
        <v>5</v>
      </c>
      <c r="F863" s="10" t="str">
        <f aca="false">CHOOSE(MOD(A863-1,5)+1,"Центр","Юг","Север","Запад","Восток")</f>
        <v>Юг</v>
      </c>
      <c r="G863" s="10" t="str">
        <f aca="false">"Округ_"&amp;(MOD(A863-1,5)+1)&amp;"_"&amp;(MOD(INT((A863-1)/5),5)+1)</f>
        <v>Округ_2_3</v>
      </c>
      <c r="H863" s="10" t="str">
        <f aca="false">"Город_"&amp;(MOD(A863-1,5)+1)&amp;"_"&amp;(MOD(INT((A863-1)/5),5)+1)&amp;"_"&amp;(MOD(INT((A863-1)/25),10)+1)</f>
        <v>Город_2_3_5</v>
      </c>
      <c r="I863" s="10" t="str">
        <f aca="false">CHOOSE(MOD(A863-1,4)+1,"Электроника","Одежда","Продукты","Мебель")</f>
        <v>Одежда</v>
      </c>
      <c r="J863" s="10" t="str">
        <f aca="false">CHOOSE(MOD(INT((A863-1)/4),4)+1,CHOOSE(MOD(A863-1,4)+1,"Смартфоны","Ноутбуки","Аксессуары","Аудио"),CHOOSE(MOD(A863-1,4)+1,"Верхняя одежда","Спортивная","Повседневная","Обувь"),CHOOSE(MOD(A863-1,4)+1,"Молочные","Мясные","Бакалея","Напитки"),CHOOSE(MOD(A863-1,4)+1,"Мягкая мебель","Корпусная","Офисная","Кухонная"))</f>
        <v>Корпусная</v>
      </c>
      <c r="K863" s="12" t="n">
        <f aca="false">1000+MOD(A863*317+A863*A863*7,49001)</f>
        <v>36451</v>
      </c>
      <c r="L863" s="12" t="n">
        <f aca="false">1+MOD(A863*131,100)</f>
        <v>23</v>
      </c>
      <c r="M863" s="12" t="n">
        <f aca="false">INT(K863*(0.6+MOD(A863*43,21)/100))</f>
        <v>22235</v>
      </c>
      <c r="N863" s="12" t="n">
        <f aca="false">K863-M863</f>
        <v>14216</v>
      </c>
    </row>
    <row r="864" customFormat="false" ht="12.8" hidden="false" customHeight="false" outlineLevel="0" collapsed="false">
      <c r="A864" s="10" t="n">
        <f aca="false">A863+1</f>
        <v>863</v>
      </c>
      <c r="B864" s="11" t="n">
        <f aca="false">B863+1</f>
        <v>45789</v>
      </c>
      <c r="C864" s="10" t="n">
        <f aca="false">YEAR(B864)</f>
        <v>2025</v>
      </c>
      <c r="D864" s="10" t="n">
        <f aca="false">INT((MONTH(B864)-1)/3)+1</f>
        <v>2</v>
      </c>
      <c r="E864" s="10" t="n">
        <f aca="false">MONTH(B864)</f>
        <v>5</v>
      </c>
      <c r="F864" s="10" t="str">
        <f aca="false">CHOOSE(MOD(A864-1,5)+1,"Центр","Юг","Север","Запад","Восток")</f>
        <v>Север</v>
      </c>
      <c r="G864" s="10" t="str">
        <f aca="false">"Округ_"&amp;(MOD(A864-1,5)+1)&amp;"_"&amp;(MOD(INT((A864-1)/5),5)+1)</f>
        <v>Округ_3_3</v>
      </c>
      <c r="H864" s="10" t="str">
        <f aca="false">"Город_"&amp;(MOD(A864-1,5)+1)&amp;"_"&amp;(MOD(INT((A864-1)/5),5)+1)&amp;"_"&amp;(MOD(INT((A864-1)/25),10)+1)</f>
        <v>Город_3_3_5</v>
      </c>
      <c r="I864" s="10" t="str">
        <f aca="false">CHOOSE(MOD(A864-1,4)+1,"Электроника","Одежда","Продукты","Мебель")</f>
        <v>Продукты</v>
      </c>
      <c r="J864" s="10" t="str">
        <f aca="false">CHOOSE(MOD(INT((A864-1)/4),4)+1,CHOOSE(MOD(A864-1,4)+1,"Смартфоны","Ноутбуки","Аксессуары","Аудио"),CHOOSE(MOD(A864-1,4)+1,"Верхняя одежда","Спортивная","Повседневная","Обувь"),CHOOSE(MOD(A864-1,4)+1,"Молочные","Мясные","Бакалея","Напитки"),CHOOSE(MOD(A864-1,4)+1,"Мягкая мебель","Корпусная","Офисная","Кухонная"))</f>
        <v>Офисная</v>
      </c>
      <c r="K864" s="12" t="n">
        <f aca="false">1000+MOD(A864*317+A864*A864*7,49001)</f>
        <v>48843</v>
      </c>
      <c r="L864" s="12" t="n">
        <f aca="false">1+MOD(A864*131,100)</f>
        <v>54</v>
      </c>
      <c r="M864" s="12" t="n">
        <f aca="false">INT(K864*(0.6+MOD(A864*43,21)/100))</f>
        <v>30282</v>
      </c>
      <c r="N864" s="12" t="n">
        <f aca="false">K864-M864</f>
        <v>18561</v>
      </c>
    </row>
    <row r="865" customFormat="false" ht="12.8" hidden="false" customHeight="false" outlineLevel="0" collapsed="false">
      <c r="A865" s="10" t="n">
        <f aca="false">A864+1</f>
        <v>864</v>
      </c>
      <c r="B865" s="11" t="n">
        <f aca="false">B864+1</f>
        <v>45790</v>
      </c>
      <c r="C865" s="10" t="n">
        <f aca="false">YEAR(B865)</f>
        <v>2025</v>
      </c>
      <c r="D865" s="10" t="n">
        <f aca="false">INT((MONTH(B865)-1)/3)+1</f>
        <v>2</v>
      </c>
      <c r="E865" s="10" t="n">
        <f aca="false">MONTH(B865)</f>
        <v>5</v>
      </c>
      <c r="F865" s="10" t="str">
        <f aca="false">CHOOSE(MOD(A865-1,5)+1,"Центр","Юг","Север","Запад","Восток")</f>
        <v>Запад</v>
      </c>
      <c r="G865" s="10" t="str">
        <f aca="false">"Округ_"&amp;(MOD(A865-1,5)+1)&amp;"_"&amp;(MOD(INT((A865-1)/5),5)+1)</f>
        <v>Округ_4_3</v>
      </c>
      <c r="H865" s="10" t="str">
        <f aca="false">"Город_"&amp;(MOD(A865-1,5)+1)&amp;"_"&amp;(MOD(INT((A865-1)/5),5)+1)&amp;"_"&amp;(MOD(INT((A865-1)/25),10)+1)</f>
        <v>Город_4_3_5</v>
      </c>
      <c r="I865" s="10" t="str">
        <f aca="false">CHOOSE(MOD(A865-1,4)+1,"Электроника","Одежда","Продукты","Мебель")</f>
        <v>Мебель</v>
      </c>
      <c r="J865" s="10" t="str">
        <f aca="false">CHOOSE(MOD(INT((A865-1)/4),4)+1,CHOOSE(MOD(A865-1,4)+1,"Смартфоны","Ноутбуки","Аксессуары","Аудио"),CHOOSE(MOD(A865-1,4)+1,"Верхняя одежда","Спортивная","Повседневная","Обувь"),CHOOSE(MOD(A865-1,4)+1,"Молочные","Мясные","Бакалея","Напитки"),CHOOSE(MOD(A865-1,4)+1,"Мягкая мебель","Корпусная","Офисная","Кухонная"))</f>
        <v>Кухонная</v>
      </c>
      <c r="K865" s="12" t="n">
        <f aca="false">1000+MOD(A865*317+A865*A865*7,49001)</f>
        <v>12248</v>
      </c>
      <c r="L865" s="12" t="n">
        <f aca="false">1+MOD(A865*131,100)</f>
        <v>85</v>
      </c>
      <c r="M865" s="12" t="n">
        <f aca="false">INT(K865*(0.6+MOD(A865*43,21)/100))</f>
        <v>7716</v>
      </c>
      <c r="N865" s="12" t="n">
        <f aca="false">K865-M865</f>
        <v>4532</v>
      </c>
    </row>
    <row r="866" customFormat="false" ht="12.8" hidden="false" customHeight="false" outlineLevel="0" collapsed="false">
      <c r="A866" s="10" t="n">
        <f aca="false">A865+1</f>
        <v>865</v>
      </c>
      <c r="B866" s="11" t="n">
        <f aca="false">B865+1</f>
        <v>45791</v>
      </c>
      <c r="C866" s="10" t="n">
        <f aca="false">YEAR(B866)</f>
        <v>2025</v>
      </c>
      <c r="D866" s="10" t="n">
        <f aca="false">INT((MONTH(B866)-1)/3)+1</f>
        <v>2</v>
      </c>
      <c r="E866" s="10" t="n">
        <f aca="false">MONTH(B866)</f>
        <v>5</v>
      </c>
      <c r="F866" s="10" t="str">
        <f aca="false">CHOOSE(MOD(A866-1,5)+1,"Центр","Юг","Север","Запад","Восток")</f>
        <v>Восток</v>
      </c>
      <c r="G866" s="10" t="str">
        <f aca="false">"Округ_"&amp;(MOD(A866-1,5)+1)&amp;"_"&amp;(MOD(INT((A866-1)/5),5)+1)</f>
        <v>Округ_5_3</v>
      </c>
      <c r="H866" s="10" t="str">
        <f aca="false">"Город_"&amp;(MOD(A866-1,5)+1)&amp;"_"&amp;(MOD(INT((A866-1)/5),5)+1)&amp;"_"&amp;(MOD(INT((A866-1)/25),10)+1)</f>
        <v>Город_5_3_5</v>
      </c>
      <c r="I866" s="10" t="str">
        <f aca="false">CHOOSE(MOD(A866-1,4)+1,"Электроника","Одежда","Продукты","Мебель")</f>
        <v>Электроника</v>
      </c>
      <c r="J866" s="10" t="str">
        <f aca="false">CHOOSE(MOD(INT((A866-1)/4),4)+1,CHOOSE(MOD(A866-1,4)+1,"Смартфоны","Ноутбуки","Аксессуары","Аудио"),CHOOSE(MOD(A866-1,4)+1,"Верхняя одежда","Спортивная","Повседневная","Обувь"),CHOOSE(MOD(A866-1,4)+1,"Молочные","Мясные","Бакалея","Напитки"),CHOOSE(MOD(A866-1,4)+1,"Мягкая мебель","Корпусная","Офисная","Кухонная"))</f>
        <v>Смартфоны</v>
      </c>
      <c r="K866" s="12" t="n">
        <f aca="false">1000+MOD(A866*317+A866*A866*7,49001)</f>
        <v>24668</v>
      </c>
      <c r="L866" s="12" t="n">
        <f aca="false">1+MOD(A866*131,100)</f>
        <v>16</v>
      </c>
      <c r="M866" s="12" t="n">
        <f aca="false">INT(K866*(0.6+MOD(A866*43,21)/100))</f>
        <v>15787</v>
      </c>
      <c r="N866" s="12" t="n">
        <f aca="false">K866-M866</f>
        <v>8881</v>
      </c>
    </row>
    <row r="867" customFormat="false" ht="12.8" hidden="false" customHeight="false" outlineLevel="0" collapsed="false">
      <c r="A867" s="10" t="n">
        <f aca="false">A866+1</f>
        <v>866</v>
      </c>
      <c r="B867" s="11" t="n">
        <f aca="false">B866+1</f>
        <v>45792</v>
      </c>
      <c r="C867" s="10" t="n">
        <f aca="false">YEAR(B867)</f>
        <v>2025</v>
      </c>
      <c r="D867" s="10" t="n">
        <f aca="false">INT((MONTH(B867)-1)/3)+1</f>
        <v>2</v>
      </c>
      <c r="E867" s="10" t="n">
        <f aca="false">MONTH(B867)</f>
        <v>5</v>
      </c>
      <c r="F867" s="10" t="str">
        <f aca="false">CHOOSE(MOD(A867-1,5)+1,"Центр","Юг","Север","Запад","Восток")</f>
        <v>Центр</v>
      </c>
      <c r="G867" s="10" t="str">
        <f aca="false">"Округ_"&amp;(MOD(A867-1,5)+1)&amp;"_"&amp;(MOD(INT((A867-1)/5),5)+1)</f>
        <v>Округ_1_4</v>
      </c>
      <c r="H867" s="10" t="str">
        <f aca="false">"Город_"&amp;(MOD(A867-1,5)+1)&amp;"_"&amp;(MOD(INT((A867-1)/5),5)+1)&amp;"_"&amp;(MOD(INT((A867-1)/25),10)+1)</f>
        <v>Город_1_4_5</v>
      </c>
      <c r="I867" s="10" t="str">
        <f aca="false">CHOOSE(MOD(A867-1,4)+1,"Электроника","Одежда","Продукты","Мебель")</f>
        <v>Одежда</v>
      </c>
      <c r="J867" s="10" t="str">
        <f aca="false">CHOOSE(MOD(INT((A867-1)/4),4)+1,CHOOSE(MOD(A867-1,4)+1,"Смартфоны","Ноутбуки","Аксессуары","Аудио"),CHOOSE(MOD(A867-1,4)+1,"Верхняя одежда","Спортивная","Повседневная","Обувь"),CHOOSE(MOD(A867-1,4)+1,"Молочные","Мясные","Бакалея","Напитки"),CHOOSE(MOD(A867-1,4)+1,"Мягкая мебель","Корпусная","Офисная","Кухонная"))</f>
        <v>Ноутбуки</v>
      </c>
      <c r="K867" s="12" t="n">
        <f aca="false">1000+MOD(A867*317+A867*A867*7,49001)</f>
        <v>37102</v>
      </c>
      <c r="L867" s="12" t="n">
        <f aca="false">1+MOD(A867*131,100)</f>
        <v>47</v>
      </c>
      <c r="M867" s="12" t="n">
        <f aca="false">INT(K867*(0.6+MOD(A867*43,21)/100))</f>
        <v>24116</v>
      </c>
      <c r="N867" s="12" t="n">
        <f aca="false">K867-M867</f>
        <v>12986</v>
      </c>
    </row>
    <row r="868" customFormat="false" ht="12.8" hidden="false" customHeight="false" outlineLevel="0" collapsed="false">
      <c r="A868" s="10" t="n">
        <f aca="false">A867+1</f>
        <v>867</v>
      </c>
      <c r="B868" s="11" t="n">
        <f aca="false">B867+1</f>
        <v>45793</v>
      </c>
      <c r="C868" s="10" t="n">
        <f aca="false">YEAR(B868)</f>
        <v>2025</v>
      </c>
      <c r="D868" s="10" t="n">
        <f aca="false">INT((MONTH(B868)-1)/3)+1</f>
        <v>2</v>
      </c>
      <c r="E868" s="10" t="n">
        <f aca="false">MONTH(B868)</f>
        <v>5</v>
      </c>
      <c r="F868" s="10" t="str">
        <f aca="false">CHOOSE(MOD(A868-1,5)+1,"Центр","Юг","Север","Запад","Восток")</f>
        <v>Юг</v>
      </c>
      <c r="G868" s="10" t="str">
        <f aca="false">"Округ_"&amp;(MOD(A868-1,5)+1)&amp;"_"&amp;(MOD(INT((A868-1)/5),5)+1)</f>
        <v>Округ_2_4</v>
      </c>
      <c r="H868" s="10" t="str">
        <f aca="false">"Город_"&amp;(MOD(A868-1,5)+1)&amp;"_"&amp;(MOD(INT((A868-1)/5),5)+1)&amp;"_"&amp;(MOD(INT((A868-1)/25),10)+1)</f>
        <v>Город_2_4_5</v>
      </c>
      <c r="I868" s="10" t="str">
        <f aca="false">CHOOSE(MOD(A868-1,4)+1,"Электроника","Одежда","Продукты","Мебель")</f>
        <v>Продукты</v>
      </c>
      <c r="J868" s="10" t="str">
        <f aca="false">CHOOSE(MOD(INT((A868-1)/4),4)+1,CHOOSE(MOD(A868-1,4)+1,"Смартфоны","Ноутбуки","Аксессуары","Аудио"),CHOOSE(MOD(A868-1,4)+1,"Верхняя одежда","Спортивная","Повседневная","Обувь"),CHOOSE(MOD(A868-1,4)+1,"Молочные","Мясные","Бакалея","Напитки"),CHOOSE(MOD(A868-1,4)+1,"Мягкая мебель","Корпусная","Офисная","Кухонная"))</f>
        <v>Аксессуары</v>
      </c>
      <c r="K868" s="12" t="n">
        <f aca="false">1000+MOD(A868*317+A868*A868*7,49001)</f>
        <v>49550</v>
      </c>
      <c r="L868" s="12" t="n">
        <f aca="false">1+MOD(A868*131,100)</f>
        <v>78</v>
      </c>
      <c r="M868" s="12" t="n">
        <f aca="false">INT(K868*(0.6+MOD(A868*43,21)/100))</f>
        <v>32703</v>
      </c>
      <c r="N868" s="12" t="n">
        <f aca="false">K868-M868</f>
        <v>16847</v>
      </c>
    </row>
    <row r="869" customFormat="false" ht="12.8" hidden="false" customHeight="false" outlineLevel="0" collapsed="false">
      <c r="A869" s="10" t="n">
        <f aca="false">A868+1</f>
        <v>868</v>
      </c>
      <c r="B869" s="11" t="n">
        <f aca="false">B868+1</f>
        <v>45794</v>
      </c>
      <c r="C869" s="10" t="n">
        <f aca="false">YEAR(B869)</f>
        <v>2025</v>
      </c>
      <c r="D869" s="10" t="n">
        <f aca="false">INT((MONTH(B869)-1)/3)+1</f>
        <v>2</v>
      </c>
      <c r="E869" s="10" t="n">
        <f aca="false">MONTH(B869)</f>
        <v>5</v>
      </c>
      <c r="F869" s="10" t="str">
        <f aca="false">CHOOSE(MOD(A869-1,5)+1,"Центр","Юг","Север","Запад","Восток")</f>
        <v>Север</v>
      </c>
      <c r="G869" s="10" t="str">
        <f aca="false">"Округ_"&amp;(MOD(A869-1,5)+1)&amp;"_"&amp;(MOD(INT((A869-1)/5),5)+1)</f>
        <v>Округ_3_4</v>
      </c>
      <c r="H869" s="10" t="str">
        <f aca="false">"Город_"&amp;(MOD(A869-1,5)+1)&amp;"_"&amp;(MOD(INT((A869-1)/5),5)+1)&amp;"_"&amp;(MOD(INT((A869-1)/25),10)+1)</f>
        <v>Город_3_4_5</v>
      </c>
      <c r="I869" s="10" t="str">
        <f aca="false">CHOOSE(MOD(A869-1,4)+1,"Электроника","Одежда","Продукты","Мебель")</f>
        <v>Мебель</v>
      </c>
      <c r="J869" s="10" t="str">
        <f aca="false">CHOOSE(MOD(INT((A869-1)/4),4)+1,CHOOSE(MOD(A869-1,4)+1,"Смартфоны","Ноутбуки","Аксессуары","Аудио"),CHOOSE(MOD(A869-1,4)+1,"Верхняя одежда","Спортивная","Повседневная","Обувь"),CHOOSE(MOD(A869-1,4)+1,"Молочные","Мясные","Бакалея","Напитки"),CHOOSE(MOD(A869-1,4)+1,"Мягкая мебель","Корпусная","Офисная","Кухонная"))</f>
        <v>Аудио</v>
      </c>
      <c r="K869" s="12" t="n">
        <f aca="false">1000+MOD(A869*317+A869*A869*7,49001)</f>
        <v>13011</v>
      </c>
      <c r="L869" s="12" t="n">
        <f aca="false">1+MOD(A869*131,100)</f>
        <v>9</v>
      </c>
      <c r="M869" s="12" t="n">
        <f aca="false">INT(K869*(0.6+MOD(A869*43,21)/100))</f>
        <v>8717</v>
      </c>
      <c r="N869" s="12" t="n">
        <f aca="false">K869-M869</f>
        <v>4294</v>
      </c>
    </row>
    <row r="870" customFormat="false" ht="12.8" hidden="false" customHeight="false" outlineLevel="0" collapsed="false">
      <c r="A870" s="10" t="n">
        <f aca="false">A869+1</f>
        <v>869</v>
      </c>
      <c r="B870" s="11" t="n">
        <f aca="false">B869+1</f>
        <v>45795</v>
      </c>
      <c r="C870" s="10" t="n">
        <f aca="false">YEAR(B870)</f>
        <v>2025</v>
      </c>
      <c r="D870" s="10" t="n">
        <f aca="false">INT((MONTH(B870)-1)/3)+1</f>
        <v>2</v>
      </c>
      <c r="E870" s="10" t="n">
        <f aca="false">MONTH(B870)</f>
        <v>5</v>
      </c>
      <c r="F870" s="10" t="str">
        <f aca="false">CHOOSE(MOD(A870-1,5)+1,"Центр","Юг","Север","Запад","Восток")</f>
        <v>Запад</v>
      </c>
      <c r="G870" s="10" t="str">
        <f aca="false">"Округ_"&amp;(MOD(A870-1,5)+1)&amp;"_"&amp;(MOD(INT((A870-1)/5),5)+1)</f>
        <v>Округ_4_4</v>
      </c>
      <c r="H870" s="10" t="str">
        <f aca="false">"Город_"&amp;(MOD(A870-1,5)+1)&amp;"_"&amp;(MOD(INT((A870-1)/5),5)+1)&amp;"_"&amp;(MOD(INT((A870-1)/25),10)+1)</f>
        <v>Город_4_4_5</v>
      </c>
      <c r="I870" s="10" t="str">
        <f aca="false">CHOOSE(MOD(A870-1,4)+1,"Электроника","Одежда","Продукты","Мебель")</f>
        <v>Электроника</v>
      </c>
      <c r="J870" s="10" t="str">
        <f aca="false">CHOOSE(MOD(INT((A870-1)/4),4)+1,CHOOSE(MOD(A870-1,4)+1,"Смартфоны","Ноутбуки","Аксессуары","Аудио"),CHOOSE(MOD(A870-1,4)+1,"Верхняя одежда","Спортивная","Повседневная","Обувь"),CHOOSE(MOD(A870-1,4)+1,"Молочные","Мясные","Бакалея","Напитки"),CHOOSE(MOD(A870-1,4)+1,"Мягкая мебель","Корпусная","Офисная","Кухонная"))</f>
        <v>Верхняя одежда</v>
      </c>
      <c r="K870" s="12" t="n">
        <f aca="false">1000+MOD(A870*317+A870*A870*7,49001)</f>
        <v>25487</v>
      </c>
      <c r="L870" s="12" t="n">
        <f aca="false">1+MOD(A870*131,100)</f>
        <v>40</v>
      </c>
      <c r="M870" s="12" t="n">
        <f aca="false">INT(K870*(0.6+MOD(A870*43,21)/100))</f>
        <v>17331</v>
      </c>
      <c r="N870" s="12" t="n">
        <f aca="false">K870-M870</f>
        <v>8156</v>
      </c>
    </row>
    <row r="871" customFormat="false" ht="12.8" hidden="false" customHeight="false" outlineLevel="0" collapsed="false">
      <c r="A871" s="10" t="n">
        <f aca="false">A870+1</f>
        <v>870</v>
      </c>
      <c r="B871" s="11" t="n">
        <f aca="false">B870+1</f>
        <v>45796</v>
      </c>
      <c r="C871" s="10" t="n">
        <f aca="false">YEAR(B871)</f>
        <v>2025</v>
      </c>
      <c r="D871" s="10" t="n">
        <f aca="false">INT((MONTH(B871)-1)/3)+1</f>
        <v>2</v>
      </c>
      <c r="E871" s="10" t="n">
        <f aca="false">MONTH(B871)</f>
        <v>5</v>
      </c>
      <c r="F871" s="10" t="str">
        <f aca="false">CHOOSE(MOD(A871-1,5)+1,"Центр","Юг","Север","Запад","Восток")</f>
        <v>Восток</v>
      </c>
      <c r="G871" s="10" t="str">
        <f aca="false">"Округ_"&amp;(MOD(A871-1,5)+1)&amp;"_"&amp;(MOD(INT((A871-1)/5),5)+1)</f>
        <v>Округ_5_4</v>
      </c>
      <c r="H871" s="10" t="str">
        <f aca="false">"Город_"&amp;(MOD(A871-1,5)+1)&amp;"_"&amp;(MOD(INT((A871-1)/5),5)+1)&amp;"_"&amp;(MOD(INT((A871-1)/25),10)+1)</f>
        <v>Город_5_4_5</v>
      </c>
      <c r="I871" s="10" t="str">
        <f aca="false">CHOOSE(MOD(A871-1,4)+1,"Электроника","Одежда","Продукты","Мебель")</f>
        <v>Одежда</v>
      </c>
      <c r="J871" s="10" t="str">
        <f aca="false">CHOOSE(MOD(INT((A871-1)/4),4)+1,CHOOSE(MOD(A871-1,4)+1,"Смартфоны","Ноутбуки","Аксессуары","Аудио"),CHOOSE(MOD(A871-1,4)+1,"Верхняя одежда","Спортивная","Повседневная","Обувь"),CHOOSE(MOD(A871-1,4)+1,"Молочные","Мясные","Бакалея","Напитки"),CHOOSE(MOD(A871-1,4)+1,"Мягкая мебель","Корпусная","Офисная","Кухонная"))</f>
        <v>Спортивная</v>
      </c>
      <c r="K871" s="12" t="n">
        <f aca="false">1000+MOD(A871*317+A871*A871*7,49001)</f>
        <v>37977</v>
      </c>
      <c r="L871" s="12" t="n">
        <f aca="false">1+MOD(A871*131,100)</f>
        <v>71</v>
      </c>
      <c r="M871" s="12" t="n">
        <f aca="false">INT(K871*(0.6+MOD(A871*43,21)/100))</f>
        <v>26204</v>
      </c>
      <c r="N871" s="12" t="n">
        <f aca="false">K871-M871</f>
        <v>11773</v>
      </c>
    </row>
    <row r="872" customFormat="false" ht="12.8" hidden="false" customHeight="false" outlineLevel="0" collapsed="false">
      <c r="A872" s="10" t="n">
        <f aca="false">A871+1</f>
        <v>871</v>
      </c>
      <c r="B872" s="11" t="n">
        <f aca="false">B871+1</f>
        <v>45797</v>
      </c>
      <c r="C872" s="10" t="n">
        <f aca="false">YEAR(B872)</f>
        <v>2025</v>
      </c>
      <c r="D872" s="10" t="n">
        <f aca="false">INT((MONTH(B872)-1)/3)+1</f>
        <v>2</v>
      </c>
      <c r="E872" s="10" t="n">
        <f aca="false">MONTH(B872)</f>
        <v>5</v>
      </c>
      <c r="F872" s="10" t="str">
        <f aca="false">CHOOSE(MOD(A872-1,5)+1,"Центр","Юг","Север","Запад","Восток")</f>
        <v>Центр</v>
      </c>
      <c r="G872" s="10" t="str">
        <f aca="false">"Округ_"&amp;(MOD(A872-1,5)+1)&amp;"_"&amp;(MOD(INT((A872-1)/5),5)+1)</f>
        <v>Округ_1_5</v>
      </c>
      <c r="H872" s="10" t="str">
        <f aca="false">"Город_"&amp;(MOD(A872-1,5)+1)&amp;"_"&amp;(MOD(INT((A872-1)/5),5)+1)&amp;"_"&amp;(MOD(INT((A872-1)/25),10)+1)</f>
        <v>Город_1_5_5</v>
      </c>
      <c r="I872" s="10" t="str">
        <f aca="false">CHOOSE(MOD(A872-1,4)+1,"Электроника","Одежда","Продукты","Мебель")</f>
        <v>Продукты</v>
      </c>
      <c r="J872" s="10" t="str">
        <f aca="false">CHOOSE(MOD(INT((A872-1)/4),4)+1,CHOOSE(MOD(A872-1,4)+1,"Смартфоны","Ноутбуки","Аксессуары","Аудио"),CHOOSE(MOD(A872-1,4)+1,"Верхняя одежда","Спортивная","Повседневная","Обувь"),CHOOSE(MOD(A872-1,4)+1,"Молочные","Мясные","Бакалея","Напитки"),CHOOSE(MOD(A872-1,4)+1,"Мягкая мебель","Корпусная","Офисная","Кухонная"))</f>
        <v>Повседневная</v>
      </c>
      <c r="K872" s="12" t="n">
        <f aca="false">1000+MOD(A872*317+A872*A872*7,49001)</f>
        <v>1480</v>
      </c>
      <c r="L872" s="12" t="n">
        <f aca="false">1+MOD(A872*131,100)</f>
        <v>2</v>
      </c>
      <c r="M872" s="12" t="n">
        <f aca="false">INT(K872*(0.6+MOD(A872*43,21)/100))</f>
        <v>1036</v>
      </c>
      <c r="N872" s="12" t="n">
        <f aca="false">K872-M872</f>
        <v>444</v>
      </c>
    </row>
    <row r="873" customFormat="false" ht="12.8" hidden="false" customHeight="false" outlineLevel="0" collapsed="false">
      <c r="A873" s="10" t="n">
        <f aca="false">A872+1</f>
        <v>872</v>
      </c>
      <c r="B873" s="11" t="n">
        <f aca="false">B872+1</f>
        <v>45798</v>
      </c>
      <c r="C873" s="10" t="n">
        <f aca="false">YEAR(B873)</f>
        <v>2025</v>
      </c>
      <c r="D873" s="10" t="n">
        <f aca="false">INT((MONTH(B873)-1)/3)+1</f>
        <v>2</v>
      </c>
      <c r="E873" s="10" t="n">
        <f aca="false">MONTH(B873)</f>
        <v>5</v>
      </c>
      <c r="F873" s="10" t="str">
        <f aca="false">CHOOSE(MOD(A873-1,5)+1,"Центр","Юг","Север","Запад","Восток")</f>
        <v>Юг</v>
      </c>
      <c r="G873" s="10" t="str">
        <f aca="false">"Округ_"&amp;(MOD(A873-1,5)+1)&amp;"_"&amp;(MOD(INT((A873-1)/5),5)+1)</f>
        <v>Округ_2_5</v>
      </c>
      <c r="H873" s="10" t="str">
        <f aca="false">"Город_"&amp;(MOD(A873-1,5)+1)&amp;"_"&amp;(MOD(INT((A873-1)/5),5)+1)&amp;"_"&amp;(MOD(INT((A873-1)/25),10)+1)</f>
        <v>Город_2_5_5</v>
      </c>
      <c r="I873" s="10" t="str">
        <f aca="false">CHOOSE(MOD(A873-1,4)+1,"Электроника","Одежда","Продукты","Мебель")</f>
        <v>Мебель</v>
      </c>
      <c r="J873" s="10" t="str">
        <f aca="false">CHOOSE(MOD(INT((A873-1)/4),4)+1,CHOOSE(MOD(A873-1,4)+1,"Смартфоны","Ноутбуки","Аксессуары","Аудио"),CHOOSE(MOD(A873-1,4)+1,"Верхняя одежда","Спортивная","Повседневная","Обувь"),CHOOSE(MOD(A873-1,4)+1,"Молочные","Мясные","Бакалея","Напитки"),CHOOSE(MOD(A873-1,4)+1,"Мягкая мебель","Корпусная","Офисная","Кухонная"))</f>
        <v>Обувь</v>
      </c>
      <c r="K873" s="12" t="n">
        <f aca="false">1000+MOD(A873*317+A873*A873*7,49001)</f>
        <v>13998</v>
      </c>
      <c r="L873" s="12" t="n">
        <f aca="false">1+MOD(A873*131,100)</f>
        <v>33</v>
      </c>
      <c r="M873" s="12" t="n">
        <f aca="false">INT(K873*(0.6+MOD(A873*43,21)/100))</f>
        <v>9938</v>
      </c>
      <c r="N873" s="12" t="n">
        <f aca="false">K873-M873</f>
        <v>4060</v>
      </c>
    </row>
    <row r="874" customFormat="false" ht="12.8" hidden="false" customHeight="false" outlineLevel="0" collapsed="false">
      <c r="A874" s="10" t="n">
        <f aca="false">A873+1</f>
        <v>873</v>
      </c>
      <c r="B874" s="11" t="n">
        <f aca="false">B873+1</f>
        <v>45799</v>
      </c>
      <c r="C874" s="10" t="n">
        <f aca="false">YEAR(B874)</f>
        <v>2025</v>
      </c>
      <c r="D874" s="10" t="n">
        <f aca="false">INT((MONTH(B874)-1)/3)+1</f>
        <v>2</v>
      </c>
      <c r="E874" s="10" t="n">
        <f aca="false">MONTH(B874)</f>
        <v>5</v>
      </c>
      <c r="F874" s="10" t="str">
        <f aca="false">CHOOSE(MOD(A874-1,5)+1,"Центр","Юг","Север","Запад","Восток")</f>
        <v>Север</v>
      </c>
      <c r="G874" s="10" t="str">
        <f aca="false">"Округ_"&amp;(MOD(A874-1,5)+1)&amp;"_"&amp;(MOD(INT((A874-1)/5),5)+1)</f>
        <v>Округ_3_5</v>
      </c>
      <c r="H874" s="10" t="str">
        <f aca="false">"Город_"&amp;(MOD(A874-1,5)+1)&amp;"_"&amp;(MOD(INT((A874-1)/5),5)+1)&amp;"_"&amp;(MOD(INT((A874-1)/25),10)+1)</f>
        <v>Город_3_5_5</v>
      </c>
      <c r="I874" s="10" t="str">
        <f aca="false">CHOOSE(MOD(A874-1,4)+1,"Электроника","Одежда","Продукты","Мебель")</f>
        <v>Электроника</v>
      </c>
      <c r="J874" s="10" t="str">
        <f aca="false">CHOOSE(MOD(INT((A874-1)/4),4)+1,CHOOSE(MOD(A874-1,4)+1,"Смартфоны","Ноутбуки","Аксессуары","Аудио"),CHOOSE(MOD(A874-1,4)+1,"Верхняя одежда","Спортивная","Повседневная","Обувь"),CHOOSE(MOD(A874-1,4)+1,"Молочные","Мясные","Бакалея","Напитки"),CHOOSE(MOD(A874-1,4)+1,"Мягкая мебель","Корпусная","Офисная","Кухонная"))</f>
        <v>Молочные</v>
      </c>
      <c r="K874" s="12" t="n">
        <f aca="false">1000+MOD(A874*317+A874*A874*7,49001)</f>
        <v>26530</v>
      </c>
      <c r="L874" s="12" t="n">
        <f aca="false">1+MOD(A874*131,100)</f>
        <v>64</v>
      </c>
      <c r="M874" s="12" t="n">
        <f aca="false">INT(K874*(0.6+MOD(A874*43,21)/100))</f>
        <v>19101</v>
      </c>
      <c r="N874" s="12" t="n">
        <f aca="false">K874-M874</f>
        <v>7429</v>
      </c>
    </row>
    <row r="875" customFormat="false" ht="12.8" hidden="false" customHeight="false" outlineLevel="0" collapsed="false">
      <c r="A875" s="10" t="n">
        <f aca="false">A874+1</f>
        <v>874</v>
      </c>
      <c r="B875" s="11" t="n">
        <f aca="false">B874+1</f>
        <v>45800</v>
      </c>
      <c r="C875" s="10" t="n">
        <f aca="false">YEAR(B875)</f>
        <v>2025</v>
      </c>
      <c r="D875" s="10" t="n">
        <f aca="false">INT((MONTH(B875)-1)/3)+1</f>
        <v>2</v>
      </c>
      <c r="E875" s="10" t="n">
        <f aca="false">MONTH(B875)</f>
        <v>5</v>
      </c>
      <c r="F875" s="10" t="str">
        <f aca="false">CHOOSE(MOD(A875-1,5)+1,"Центр","Юг","Север","Запад","Восток")</f>
        <v>Запад</v>
      </c>
      <c r="G875" s="10" t="str">
        <f aca="false">"Округ_"&amp;(MOD(A875-1,5)+1)&amp;"_"&amp;(MOD(INT((A875-1)/5),5)+1)</f>
        <v>Округ_4_5</v>
      </c>
      <c r="H875" s="10" t="str">
        <f aca="false">"Город_"&amp;(MOD(A875-1,5)+1)&amp;"_"&amp;(MOD(INT((A875-1)/5),5)+1)&amp;"_"&amp;(MOD(INT((A875-1)/25),10)+1)</f>
        <v>Город_4_5_5</v>
      </c>
      <c r="I875" s="10" t="str">
        <f aca="false">CHOOSE(MOD(A875-1,4)+1,"Электроника","Одежда","Продукты","Мебель")</f>
        <v>Одежда</v>
      </c>
      <c r="J875" s="10" t="str">
        <f aca="false">CHOOSE(MOD(INT((A875-1)/4),4)+1,CHOOSE(MOD(A875-1,4)+1,"Смартфоны","Ноутбуки","Аксессуары","Аудио"),CHOOSE(MOD(A875-1,4)+1,"Верхняя одежда","Спортивная","Повседневная","Обувь"),CHOOSE(MOD(A875-1,4)+1,"Молочные","Мясные","Бакалея","Напитки"),CHOOSE(MOD(A875-1,4)+1,"Мягкая мебель","Корпусная","Офисная","Кухонная"))</f>
        <v>Мясные</v>
      </c>
      <c r="K875" s="12" t="n">
        <f aca="false">1000+MOD(A875*317+A875*A875*7,49001)</f>
        <v>39076</v>
      </c>
      <c r="L875" s="12" t="n">
        <f aca="false">1+MOD(A875*131,100)</f>
        <v>95</v>
      </c>
      <c r="M875" s="12" t="n">
        <f aca="false">INT(K875*(0.6+MOD(A875*43,21)/100))</f>
        <v>28525</v>
      </c>
      <c r="N875" s="12" t="n">
        <f aca="false">K875-M875</f>
        <v>10551</v>
      </c>
    </row>
    <row r="876" customFormat="false" ht="12.8" hidden="false" customHeight="false" outlineLevel="0" collapsed="false">
      <c r="A876" s="10" t="n">
        <f aca="false">A875+1</f>
        <v>875</v>
      </c>
      <c r="B876" s="11" t="n">
        <f aca="false">B875+1</f>
        <v>45801</v>
      </c>
      <c r="C876" s="10" t="n">
        <f aca="false">YEAR(B876)</f>
        <v>2025</v>
      </c>
      <c r="D876" s="10" t="n">
        <f aca="false">INT((MONTH(B876)-1)/3)+1</f>
        <v>2</v>
      </c>
      <c r="E876" s="10" t="n">
        <f aca="false">MONTH(B876)</f>
        <v>5</v>
      </c>
      <c r="F876" s="10" t="str">
        <f aca="false">CHOOSE(MOD(A876-1,5)+1,"Центр","Юг","Север","Запад","Восток")</f>
        <v>Восток</v>
      </c>
      <c r="G876" s="10" t="str">
        <f aca="false">"Округ_"&amp;(MOD(A876-1,5)+1)&amp;"_"&amp;(MOD(INT((A876-1)/5),5)+1)</f>
        <v>Округ_5_5</v>
      </c>
      <c r="H876" s="10" t="str">
        <f aca="false">"Город_"&amp;(MOD(A876-1,5)+1)&amp;"_"&amp;(MOD(INT((A876-1)/5),5)+1)&amp;"_"&amp;(MOD(INT((A876-1)/25),10)+1)</f>
        <v>Город_5_5_5</v>
      </c>
      <c r="I876" s="10" t="str">
        <f aca="false">CHOOSE(MOD(A876-1,4)+1,"Электроника","Одежда","Продукты","Мебель")</f>
        <v>Продукты</v>
      </c>
      <c r="J876" s="10" t="str">
        <f aca="false">CHOOSE(MOD(INT((A876-1)/4),4)+1,CHOOSE(MOD(A876-1,4)+1,"Смартфоны","Ноутбуки","Аксессуары","Аудио"),CHOOSE(MOD(A876-1,4)+1,"Верхняя одежда","Спортивная","Повседневная","Обувь"),CHOOSE(MOD(A876-1,4)+1,"Молочные","Мясные","Бакалея","Напитки"),CHOOSE(MOD(A876-1,4)+1,"Мягкая мебель","Корпусная","Офисная","Кухонная"))</f>
        <v>Бакалея</v>
      </c>
      <c r="K876" s="12" t="n">
        <f aca="false">1000+MOD(A876*317+A876*A876*7,49001)</f>
        <v>2635</v>
      </c>
      <c r="L876" s="12" t="n">
        <f aca="false">1+MOD(A876*131,100)</f>
        <v>26</v>
      </c>
      <c r="M876" s="12" t="n">
        <f aca="false">INT(K876*(0.6+MOD(A876*43,21)/100))</f>
        <v>1949</v>
      </c>
      <c r="N876" s="12" t="n">
        <f aca="false">K876-M876</f>
        <v>686</v>
      </c>
    </row>
    <row r="877" customFormat="false" ht="12.8" hidden="false" customHeight="false" outlineLevel="0" collapsed="false">
      <c r="A877" s="10" t="n">
        <f aca="false">A876+1</f>
        <v>876</v>
      </c>
      <c r="B877" s="11" t="n">
        <f aca="false">B876+1</f>
        <v>45802</v>
      </c>
      <c r="C877" s="10" t="n">
        <f aca="false">YEAR(B877)</f>
        <v>2025</v>
      </c>
      <c r="D877" s="10" t="n">
        <f aca="false">INT((MONTH(B877)-1)/3)+1</f>
        <v>2</v>
      </c>
      <c r="E877" s="10" t="n">
        <f aca="false">MONTH(B877)</f>
        <v>5</v>
      </c>
      <c r="F877" s="10" t="str">
        <f aca="false">CHOOSE(MOD(A877-1,5)+1,"Центр","Юг","Север","Запад","Восток")</f>
        <v>Центр</v>
      </c>
      <c r="G877" s="10" t="str">
        <f aca="false">"Округ_"&amp;(MOD(A877-1,5)+1)&amp;"_"&amp;(MOD(INT((A877-1)/5),5)+1)</f>
        <v>Округ_1_1</v>
      </c>
      <c r="H877" s="10" t="str">
        <f aca="false">"Город_"&amp;(MOD(A877-1,5)+1)&amp;"_"&amp;(MOD(INT((A877-1)/5),5)+1)&amp;"_"&amp;(MOD(INT((A877-1)/25),10)+1)</f>
        <v>Город_1_1_6</v>
      </c>
      <c r="I877" s="10" t="str">
        <f aca="false">CHOOSE(MOD(A877-1,4)+1,"Электроника","Одежда","Продукты","Мебель")</f>
        <v>Мебель</v>
      </c>
      <c r="J877" s="10" t="str">
        <f aca="false">CHOOSE(MOD(INT((A877-1)/4),4)+1,CHOOSE(MOD(A877-1,4)+1,"Смартфоны","Ноутбуки","Аксессуары","Аудио"),CHOOSE(MOD(A877-1,4)+1,"Верхняя одежда","Спортивная","Повседневная","Обувь"),CHOOSE(MOD(A877-1,4)+1,"Молочные","Мясные","Бакалея","Напитки"),CHOOSE(MOD(A877-1,4)+1,"Мягкая мебель","Корпусная","Офисная","Кухонная"))</f>
        <v>Напитки</v>
      </c>
      <c r="K877" s="12" t="n">
        <f aca="false">1000+MOD(A877*317+A877*A877*7,49001)</f>
        <v>15209</v>
      </c>
      <c r="L877" s="12" t="n">
        <f aca="false">1+MOD(A877*131,100)</f>
        <v>57</v>
      </c>
      <c r="M877" s="12" t="n">
        <f aca="false">INT(K877*(0.6+MOD(A877*43,21)/100))</f>
        <v>11406</v>
      </c>
      <c r="N877" s="12" t="n">
        <f aca="false">K877-M877</f>
        <v>3803</v>
      </c>
    </row>
    <row r="878" customFormat="false" ht="12.8" hidden="false" customHeight="false" outlineLevel="0" collapsed="false">
      <c r="A878" s="10" t="n">
        <f aca="false">A877+1</f>
        <v>877</v>
      </c>
      <c r="B878" s="11" t="n">
        <f aca="false">B877+1</f>
        <v>45803</v>
      </c>
      <c r="C878" s="10" t="n">
        <f aca="false">YEAR(B878)</f>
        <v>2025</v>
      </c>
      <c r="D878" s="10" t="n">
        <f aca="false">INT((MONTH(B878)-1)/3)+1</f>
        <v>2</v>
      </c>
      <c r="E878" s="10" t="n">
        <f aca="false">MONTH(B878)</f>
        <v>5</v>
      </c>
      <c r="F878" s="10" t="str">
        <f aca="false">CHOOSE(MOD(A878-1,5)+1,"Центр","Юг","Север","Запад","Восток")</f>
        <v>Юг</v>
      </c>
      <c r="G878" s="10" t="str">
        <f aca="false">"Округ_"&amp;(MOD(A878-1,5)+1)&amp;"_"&amp;(MOD(INT((A878-1)/5),5)+1)</f>
        <v>Округ_2_1</v>
      </c>
      <c r="H878" s="10" t="str">
        <f aca="false">"Город_"&amp;(MOD(A878-1,5)+1)&amp;"_"&amp;(MOD(INT((A878-1)/5),5)+1)&amp;"_"&amp;(MOD(INT((A878-1)/25),10)+1)</f>
        <v>Город_2_1_6</v>
      </c>
      <c r="I878" s="10" t="str">
        <f aca="false">CHOOSE(MOD(A878-1,4)+1,"Электроника","Одежда","Продукты","Мебель")</f>
        <v>Электроника</v>
      </c>
      <c r="J878" s="10" t="str">
        <f aca="false">CHOOSE(MOD(INT((A878-1)/4),4)+1,CHOOSE(MOD(A878-1,4)+1,"Смартфоны","Ноутбуки","Аксессуары","Аудио"),CHOOSE(MOD(A878-1,4)+1,"Верхняя одежда","Спортивная","Повседневная","Обувь"),CHOOSE(MOD(A878-1,4)+1,"Молочные","Мясные","Бакалея","Напитки"),CHOOSE(MOD(A878-1,4)+1,"Мягкая мебель","Корпусная","Офисная","Кухонная"))</f>
        <v>Мягкая мебель</v>
      </c>
      <c r="K878" s="12" t="n">
        <f aca="false">1000+MOD(A878*317+A878*A878*7,49001)</f>
        <v>27797</v>
      </c>
      <c r="L878" s="12" t="n">
        <f aca="false">1+MOD(A878*131,100)</f>
        <v>88</v>
      </c>
      <c r="M878" s="12" t="n">
        <f aca="false">INT(K878*(0.6+MOD(A878*43,21)/100))</f>
        <v>21125</v>
      </c>
      <c r="N878" s="12" t="n">
        <f aca="false">K878-M878</f>
        <v>6672</v>
      </c>
    </row>
    <row r="879" customFormat="false" ht="12.8" hidden="false" customHeight="false" outlineLevel="0" collapsed="false">
      <c r="A879" s="10" t="n">
        <f aca="false">A878+1</f>
        <v>878</v>
      </c>
      <c r="B879" s="11" t="n">
        <f aca="false">B878+1</f>
        <v>45804</v>
      </c>
      <c r="C879" s="10" t="n">
        <f aca="false">YEAR(B879)</f>
        <v>2025</v>
      </c>
      <c r="D879" s="10" t="n">
        <f aca="false">INT((MONTH(B879)-1)/3)+1</f>
        <v>2</v>
      </c>
      <c r="E879" s="10" t="n">
        <f aca="false">MONTH(B879)</f>
        <v>5</v>
      </c>
      <c r="F879" s="10" t="str">
        <f aca="false">CHOOSE(MOD(A879-1,5)+1,"Центр","Юг","Север","Запад","Восток")</f>
        <v>Север</v>
      </c>
      <c r="G879" s="10" t="str">
        <f aca="false">"Округ_"&amp;(MOD(A879-1,5)+1)&amp;"_"&amp;(MOD(INT((A879-1)/5),5)+1)</f>
        <v>Округ_3_1</v>
      </c>
      <c r="H879" s="10" t="str">
        <f aca="false">"Город_"&amp;(MOD(A879-1,5)+1)&amp;"_"&amp;(MOD(INT((A879-1)/5),5)+1)&amp;"_"&amp;(MOD(INT((A879-1)/25),10)+1)</f>
        <v>Город_3_1_6</v>
      </c>
      <c r="I879" s="10" t="str">
        <f aca="false">CHOOSE(MOD(A879-1,4)+1,"Электроника","Одежда","Продукты","Мебель")</f>
        <v>Одежда</v>
      </c>
      <c r="J879" s="10" t="str">
        <f aca="false">CHOOSE(MOD(INT((A879-1)/4),4)+1,CHOOSE(MOD(A879-1,4)+1,"Смартфоны","Ноутбуки","Аксессуары","Аудио"),CHOOSE(MOD(A879-1,4)+1,"Верхняя одежда","Спортивная","Повседневная","Обувь"),CHOOSE(MOD(A879-1,4)+1,"Молочные","Мясные","Бакалея","Напитки"),CHOOSE(MOD(A879-1,4)+1,"Мягкая мебель","Корпусная","Офисная","Кухонная"))</f>
        <v>Корпусная</v>
      </c>
      <c r="K879" s="12" t="n">
        <f aca="false">1000+MOD(A879*317+A879*A879*7,49001)</f>
        <v>40399</v>
      </c>
      <c r="L879" s="12" t="n">
        <f aca="false">1+MOD(A879*131,100)</f>
        <v>19</v>
      </c>
      <c r="M879" s="12" t="n">
        <f aca="false">INT(K879*(0.6+MOD(A879*43,21)/100))</f>
        <v>31107</v>
      </c>
      <c r="N879" s="12" t="n">
        <f aca="false">K879-M879</f>
        <v>9292</v>
      </c>
    </row>
    <row r="880" customFormat="false" ht="12.8" hidden="false" customHeight="false" outlineLevel="0" collapsed="false">
      <c r="A880" s="10" t="n">
        <f aca="false">A879+1</f>
        <v>879</v>
      </c>
      <c r="B880" s="11" t="n">
        <f aca="false">B879+1</f>
        <v>45805</v>
      </c>
      <c r="C880" s="10" t="n">
        <f aca="false">YEAR(B880)</f>
        <v>2025</v>
      </c>
      <c r="D880" s="10" t="n">
        <f aca="false">INT((MONTH(B880)-1)/3)+1</f>
        <v>2</v>
      </c>
      <c r="E880" s="10" t="n">
        <f aca="false">MONTH(B880)</f>
        <v>5</v>
      </c>
      <c r="F880" s="10" t="str">
        <f aca="false">CHOOSE(MOD(A880-1,5)+1,"Центр","Юг","Север","Запад","Восток")</f>
        <v>Запад</v>
      </c>
      <c r="G880" s="10" t="str">
        <f aca="false">"Округ_"&amp;(MOD(A880-1,5)+1)&amp;"_"&amp;(MOD(INT((A880-1)/5),5)+1)</f>
        <v>Округ_4_1</v>
      </c>
      <c r="H880" s="10" t="str">
        <f aca="false">"Город_"&amp;(MOD(A880-1,5)+1)&amp;"_"&amp;(MOD(INT((A880-1)/5),5)+1)&amp;"_"&amp;(MOD(INT((A880-1)/25),10)+1)</f>
        <v>Город_4_1_6</v>
      </c>
      <c r="I880" s="10" t="str">
        <f aca="false">CHOOSE(MOD(A880-1,4)+1,"Электроника","Одежда","Продукты","Мебель")</f>
        <v>Продукты</v>
      </c>
      <c r="J880" s="10" t="str">
        <f aca="false">CHOOSE(MOD(INT((A880-1)/4),4)+1,CHOOSE(MOD(A880-1,4)+1,"Смартфоны","Ноутбуки","Аксессуары","Аудио"),CHOOSE(MOD(A880-1,4)+1,"Верхняя одежда","Спортивная","Повседневная","Обувь"),CHOOSE(MOD(A880-1,4)+1,"Молочные","Мясные","Бакалея","Напитки"),CHOOSE(MOD(A880-1,4)+1,"Мягкая мебель","Корпусная","Офисная","Кухонная"))</f>
        <v>Офисная</v>
      </c>
      <c r="K880" s="12" t="n">
        <f aca="false">1000+MOD(A880*317+A880*A880*7,49001)</f>
        <v>4014</v>
      </c>
      <c r="L880" s="12" t="n">
        <f aca="false">1+MOD(A880*131,100)</f>
        <v>50</v>
      </c>
      <c r="M880" s="12" t="n">
        <f aca="false">INT(K880*(0.6+MOD(A880*43,21)/100))</f>
        <v>3130</v>
      </c>
      <c r="N880" s="12" t="n">
        <f aca="false">K880-M880</f>
        <v>884</v>
      </c>
    </row>
    <row r="881" customFormat="false" ht="12.8" hidden="false" customHeight="false" outlineLevel="0" collapsed="false">
      <c r="A881" s="10" t="n">
        <f aca="false">A880+1</f>
        <v>880</v>
      </c>
      <c r="B881" s="11" t="n">
        <f aca="false">B880+1</f>
        <v>45806</v>
      </c>
      <c r="C881" s="10" t="n">
        <f aca="false">YEAR(B881)</f>
        <v>2025</v>
      </c>
      <c r="D881" s="10" t="n">
        <f aca="false">INT((MONTH(B881)-1)/3)+1</f>
        <v>2</v>
      </c>
      <c r="E881" s="10" t="n">
        <f aca="false">MONTH(B881)</f>
        <v>5</v>
      </c>
      <c r="F881" s="10" t="str">
        <f aca="false">CHOOSE(MOD(A881-1,5)+1,"Центр","Юг","Север","Запад","Восток")</f>
        <v>Восток</v>
      </c>
      <c r="G881" s="10" t="str">
        <f aca="false">"Округ_"&amp;(MOD(A881-1,5)+1)&amp;"_"&amp;(MOD(INT((A881-1)/5),5)+1)</f>
        <v>Округ_5_1</v>
      </c>
      <c r="H881" s="10" t="str">
        <f aca="false">"Город_"&amp;(MOD(A881-1,5)+1)&amp;"_"&amp;(MOD(INT((A881-1)/5),5)+1)&amp;"_"&amp;(MOD(INT((A881-1)/25),10)+1)</f>
        <v>Город_5_1_6</v>
      </c>
      <c r="I881" s="10" t="str">
        <f aca="false">CHOOSE(MOD(A881-1,4)+1,"Электроника","Одежда","Продукты","Мебель")</f>
        <v>Мебель</v>
      </c>
      <c r="J881" s="10" t="str">
        <f aca="false">CHOOSE(MOD(INT((A881-1)/4),4)+1,CHOOSE(MOD(A881-1,4)+1,"Смартфоны","Ноутбуки","Аксессуары","Аудио"),CHOOSE(MOD(A881-1,4)+1,"Верхняя одежда","Спортивная","Повседневная","Обувь"),CHOOSE(MOD(A881-1,4)+1,"Молочные","Мясные","Бакалея","Напитки"),CHOOSE(MOD(A881-1,4)+1,"Мягкая мебель","Корпусная","Офисная","Кухонная"))</f>
        <v>Кухонная</v>
      </c>
      <c r="K881" s="12" t="n">
        <f aca="false">1000+MOD(A881*317+A881*A881*7,49001)</f>
        <v>16644</v>
      </c>
      <c r="L881" s="12" t="n">
        <f aca="false">1+MOD(A881*131,100)</f>
        <v>81</v>
      </c>
      <c r="M881" s="12" t="n">
        <f aca="false">INT(K881*(0.6+MOD(A881*43,21)/100))</f>
        <v>13148</v>
      </c>
      <c r="N881" s="12" t="n">
        <f aca="false">K881-M881</f>
        <v>3496</v>
      </c>
    </row>
    <row r="882" customFormat="false" ht="12.8" hidden="false" customHeight="false" outlineLevel="0" collapsed="false">
      <c r="A882" s="10" t="n">
        <f aca="false">A881+1</f>
        <v>881</v>
      </c>
      <c r="B882" s="11" t="n">
        <f aca="false">B881+1</f>
        <v>45807</v>
      </c>
      <c r="C882" s="10" t="n">
        <f aca="false">YEAR(B882)</f>
        <v>2025</v>
      </c>
      <c r="D882" s="10" t="n">
        <f aca="false">INT((MONTH(B882)-1)/3)+1</f>
        <v>2</v>
      </c>
      <c r="E882" s="10" t="n">
        <f aca="false">MONTH(B882)</f>
        <v>5</v>
      </c>
      <c r="F882" s="10" t="str">
        <f aca="false">CHOOSE(MOD(A882-1,5)+1,"Центр","Юг","Север","Запад","Восток")</f>
        <v>Центр</v>
      </c>
      <c r="G882" s="10" t="str">
        <f aca="false">"Округ_"&amp;(MOD(A882-1,5)+1)&amp;"_"&amp;(MOD(INT((A882-1)/5),5)+1)</f>
        <v>Округ_1_2</v>
      </c>
      <c r="H882" s="10" t="str">
        <f aca="false">"Город_"&amp;(MOD(A882-1,5)+1)&amp;"_"&amp;(MOD(INT((A882-1)/5),5)+1)&amp;"_"&amp;(MOD(INT((A882-1)/25),10)+1)</f>
        <v>Город_1_2_6</v>
      </c>
      <c r="I882" s="10" t="str">
        <f aca="false">CHOOSE(MOD(A882-1,4)+1,"Электроника","Одежда","Продукты","Мебель")</f>
        <v>Электроника</v>
      </c>
      <c r="J882" s="10" t="str">
        <f aca="false">CHOOSE(MOD(INT((A882-1)/4),4)+1,CHOOSE(MOD(A882-1,4)+1,"Смартфоны","Ноутбуки","Аксессуары","Аудио"),CHOOSE(MOD(A882-1,4)+1,"Верхняя одежда","Спортивная","Повседневная","Обувь"),CHOOSE(MOD(A882-1,4)+1,"Молочные","Мясные","Бакалея","Напитки"),CHOOSE(MOD(A882-1,4)+1,"Мягкая мебель","Корпусная","Офисная","Кухонная"))</f>
        <v>Смартфоны</v>
      </c>
      <c r="K882" s="12" t="n">
        <f aca="false">1000+MOD(A882*317+A882*A882*7,49001)</f>
        <v>29288</v>
      </c>
      <c r="L882" s="12" t="n">
        <f aca="false">1+MOD(A882*131,100)</f>
        <v>12</v>
      </c>
      <c r="M882" s="12" t="n">
        <f aca="false">INT(K882*(0.6+MOD(A882*43,21)/100))</f>
        <v>23430</v>
      </c>
      <c r="N882" s="12" t="n">
        <f aca="false">K882-M882</f>
        <v>5858</v>
      </c>
    </row>
    <row r="883" customFormat="false" ht="12.8" hidden="false" customHeight="false" outlineLevel="0" collapsed="false">
      <c r="A883" s="10" t="n">
        <f aca="false">A882+1</f>
        <v>882</v>
      </c>
      <c r="B883" s="11" t="n">
        <f aca="false">B882+1</f>
        <v>45808</v>
      </c>
      <c r="C883" s="10" t="n">
        <f aca="false">YEAR(B883)</f>
        <v>2025</v>
      </c>
      <c r="D883" s="10" t="n">
        <f aca="false">INT((MONTH(B883)-1)/3)+1</f>
        <v>2</v>
      </c>
      <c r="E883" s="10" t="n">
        <f aca="false">MONTH(B883)</f>
        <v>5</v>
      </c>
      <c r="F883" s="10" t="str">
        <f aca="false">CHOOSE(MOD(A883-1,5)+1,"Центр","Юг","Север","Запад","Восток")</f>
        <v>Юг</v>
      </c>
      <c r="G883" s="10" t="str">
        <f aca="false">"Округ_"&amp;(MOD(A883-1,5)+1)&amp;"_"&amp;(MOD(INT((A883-1)/5),5)+1)</f>
        <v>Округ_2_2</v>
      </c>
      <c r="H883" s="10" t="str">
        <f aca="false">"Город_"&amp;(MOD(A883-1,5)+1)&amp;"_"&amp;(MOD(INT((A883-1)/5),5)+1)&amp;"_"&amp;(MOD(INT((A883-1)/25),10)+1)</f>
        <v>Город_2_2_6</v>
      </c>
      <c r="I883" s="10" t="str">
        <f aca="false">CHOOSE(MOD(A883-1,4)+1,"Электроника","Одежда","Продукты","Мебель")</f>
        <v>Одежда</v>
      </c>
      <c r="J883" s="10" t="str">
        <f aca="false">CHOOSE(MOD(INT((A883-1)/4),4)+1,CHOOSE(MOD(A883-1,4)+1,"Смартфоны","Ноутбуки","Аксессуары","Аудио"),CHOOSE(MOD(A883-1,4)+1,"Верхняя одежда","Спортивная","Повседневная","Обувь"),CHOOSE(MOD(A883-1,4)+1,"Молочные","Мясные","Бакалея","Напитки"),CHOOSE(MOD(A883-1,4)+1,"Мягкая мебель","Корпусная","Офисная","Кухонная"))</f>
        <v>Ноутбуки</v>
      </c>
      <c r="K883" s="12" t="n">
        <f aca="false">1000+MOD(A883*317+A883*A883*7,49001)</f>
        <v>41946</v>
      </c>
      <c r="L883" s="12" t="n">
        <f aca="false">1+MOD(A883*131,100)</f>
        <v>43</v>
      </c>
      <c r="M883" s="12" t="n">
        <f aca="false">INT(K883*(0.6+MOD(A883*43,21)/100))</f>
        <v>25167</v>
      </c>
      <c r="N883" s="12" t="n">
        <f aca="false">K883-M883</f>
        <v>16779</v>
      </c>
    </row>
    <row r="884" customFormat="false" ht="12.8" hidden="false" customHeight="false" outlineLevel="0" collapsed="false">
      <c r="A884" s="10" t="n">
        <f aca="false">A883+1</f>
        <v>883</v>
      </c>
      <c r="B884" s="11" t="n">
        <f aca="false">B883+1</f>
        <v>45809</v>
      </c>
      <c r="C884" s="10" t="n">
        <f aca="false">YEAR(B884)</f>
        <v>2025</v>
      </c>
      <c r="D884" s="10" t="n">
        <f aca="false">INT((MONTH(B884)-1)/3)+1</f>
        <v>2</v>
      </c>
      <c r="E884" s="10" t="n">
        <f aca="false">MONTH(B884)</f>
        <v>6</v>
      </c>
      <c r="F884" s="10" t="str">
        <f aca="false">CHOOSE(MOD(A884-1,5)+1,"Центр","Юг","Север","Запад","Восток")</f>
        <v>Север</v>
      </c>
      <c r="G884" s="10" t="str">
        <f aca="false">"Округ_"&amp;(MOD(A884-1,5)+1)&amp;"_"&amp;(MOD(INT((A884-1)/5),5)+1)</f>
        <v>Округ_3_2</v>
      </c>
      <c r="H884" s="10" t="str">
        <f aca="false">"Город_"&amp;(MOD(A884-1,5)+1)&amp;"_"&amp;(MOD(INT((A884-1)/5),5)+1)&amp;"_"&amp;(MOD(INT((A884-1)/25),10)+1)</f>
        <v>Город_3_2_6</v>
      </c>
      <c r="I884" s="10" t="str">
        <f aca="false">CHOOSE(MOD(A884-1,4)+1,"Электроника","Одежда","Продукты","Мебель")</f>
        <v>Продукты</v>
      </c>
      <c r="J884" s="10" t="str">
        <f aca="false">CHOOSE(MOD(INT((A884-1)/4),4)+1,CHOOSE(MOD(A884-1,4)+1,"Смартфоны","Ноутбуки","Аксессуары","Аудио"),CHOOSE(MOD(A884-1,4)+1,"Верхняя одежда","Спортивная","Повседневная","Обувь"),CHOOSE(MOD(A884-1,4)+1,"Молочные","Мясные","Бакалея","Напитки"),CHOOSE(MOD(A884-1,4)+1,"Мягкая мебель","Корпусная","Офисная","Кухонная"))</f>
        <v>Аксессуары</v>
      </c>
      <c r="K884" s="12" t="n">
        <f aca="false">1000+MOD(A884*317+A884*A884*7,49001)</f>
        <v>5617</v>
      </c>
      <c r="L884" s="12" t="n">
        <f aca="false">1+MOD(A884*131,100)</f>
        <v>74</v>
      </c>
      <c r="M884" s="12" t="n">
        <f aca="false">INT(K884*(0.6+MOD(A884*43,21)/100))</f>
        <v>3426</v>
      </c>
      <c r="N884" s="12" t="n">
        <f aca="false">K884-M884</f>
        <v>2191</v>
      </c>
    </row>
    <row r="885" customFormat="false" ht="12.8" hidden="false" customHeight="false" outlineLevel="0" collapsed="false">
      <c r="A885" s="10" t="n">
        <f aca="false">A884+1</f>
        <v>884</v>
      </c>
      <c r="B885" s="11" t="n">
        <f aca="false">B884+1</f>
        <v>45810</v>
      </c>
      <c r="C885" s="10" t="n">
        <f aca="false">YEAR(B885)</f>
        <v>2025</v>
      </c>
      <c r="D885" s="10" t="n">
        <f aca="false">INT((MONTH(B885)-1)/3)+1</f>
        <v>2</v>
      </c>
      <c r="E885" s="10" t="n">
        <f aca="false">MONTH(B885)</f>
        <v>6</v>
      </c>
      <c r="F885" s="10" t="str">
        <f aca="false">CHOOSE(MOD(A885-1,5)+1,"Центр","Юг","Север","Запад","Восток")</f>
        <v>Запад</v>
      </c>
      <c r="G885" s="10" t="str">
        <f aca="false">"Округ_"&amp;(MOD(A885-1,5)+1)&amp;"_"&amp;(MOD(INT((A885-1)/5),5)+1)</f>
        <v>Округ_4_2</v>
      </c>
      <c r="H885" s="10" t="str">
        <f aca="false">"Город_"&amp;(MOD(A885-1,5)+1)&amp;"_"&amp;(MOD(INT((A885-1)/5),5)+1)&amp;"_"&amp;(MOD(INT((A885-1)/25),10)+1)</f>
        <v>Город_4_2_6</v>
      </c>
      <c r="I885" s="10" t="str">
        <f aca="false">CHOOSE(MOD(A885-1,4)+1,"Электроника","Одежда","Продукты","Мебель")</f>
        <v>Мебель</v>
      </c>
      <c r="J885" s="10" t="str">
        <f aca="false">CHOOSE(MOD(INT((A885-1)/4),4)+1,CHOOSE(MOD(A885-1,4)+1,"Смартфоны","Ноутбуки","Аксессуары","Аудио"),CHOOSE(MOD(A885-1,4)+1,"Верхняя одежда","Спортивная","Повседневная","Обувь"),CHOOSE(MOD(A885-1,4)+1,"Молочные","Мясные","Бакалея","Напитки"),CHOOSE(MOD(A885-1,4)+1,"Мягкая мебель","Корпусная","Офисная","Кухонная"))</f>
        <v>Аудио</v>
      </c>
      <c r="K885" s="12" t="n">
        <f aca="false">1000+MOD(A885*317+A885*A885*7,49001)</f>
        <v>18303</v>
      </c>
      <c r="L885" s="12" t="n">
        <f aca="false">1+MOD(A885*131,100)</f>
        <v>5</v>
      </c>
      <c r="M885" s="12" t="n">
        <f aca="false">INT(K885*(0.6+MOD(A885*43,21)/100))</f>
        <v>11347</v>
      </c>
      <c r="N885" s="12" t="n">
        <f aca="false">K885-M885</f>
        <v>6956</v>
      </c>
    </row>
    <row r="886" customFormat="false" ht="12.8" hidden="false" customHeight="false" outlineLevel="0" collapsed="false">
      <c r="A886" s="10" t="n">
        <f aca="false">A885+1</f>
        <v>885</v>
      </c>
      <c r="B886" s="11" t="n">
        <f aca="false">B885+1</f>
        <v>45811</v>
      </c>
      <c r="C886" s="10" t="n">
        <f aca="false">YEAR(B886)</f>
        <v>2025</v>
      </c>
      <c r="D886" s="10" t="n">
        <f aca="false">INT((MONTH(B886)-1)/3)+1</f>
        <v>2</v>
      </c>
      <c r="E886" s="10" t="n">
        <f aca="false">MONTH(B886)</f>
        <v>6</v>
      </c>
      <c r="F886" s="10" t="str">
        <f aca="false">CHOOSE(MOD(A886-1,5)+1,"Центр","Юг","Север","Запад","Восток")</f>
        <v>Восток</v>
      </c>
      <c r="G886" s="10" t="str">
        <f aca="false">"Округ_"&amp;(MOD(A886-1,5)+1)&amp;"_"&amp;(MOD(INT((A886-1)/5),5)+1)</f>
        <v>Округ_5_2</v>
      </c>
      <c r="H886" s="10" t="str">
        <f aca="false">"Город_"&amp;(MOD(A886-1,5)+1)&amp;"_"&amp;(MOD(INT((A886-1)/5),5)+1)&amp;"_"&amp;(MOD(INT((A886-1)/25),10)+1)</f>
        <v>Город_5_2_6</v>
      </c>
      <c r="I886" s="10" t="str">
        <f aca="false">CHOOSE(MOD(A886-1,4)+1,"Электроника","Одежда","Продукты","Мебель")</f>
        <v>Электроника</v>
      </c>
      <c r="J886" s="10" t="str">
        <f aca="false">CHOOSE(MOD(INT((A886-1)/4),4)+1,CHOOSE(MOD(A886-1,4)+1,"Смартфоны","Ноутбуки","Аксессуары","Аудио"),CHOOSE(MOD(A886-1,4)+1,"Верхняя одежда","Спортивная","Повседневная","Обувь"),CHOOSE(MOD(A886-1,4)+1,"Молочные","Мясные","Бакалея","Напитки"),CHOOSE(MOD(A886-1,4)+1,"Мягкая мебель","Корпусная","Офисная","Кухонная"))</f>
        <v>Верхняя одежда</v>
      </c>
      <c r="K886" s="12" t="n">
        <f aca="false">1000+MOD(A886*317+A886*A886*7,49001)</f>
        <v>31003</v>
      </c>
      <c r="L886" s="12" t="n">
        <f aca="false">1+MOD(A886*131,100)</f>
        <v>36</v>
      </c>
      <c r="M886" s="12" t="n">
        <f aca="false">INT(K886*(0.6+MOD(A886*43,21)/100))</f>
        <v>19531</v>
      </c>
      <c r="N886" s="12" t="n">
        <f aca="false">K886-M886</f>
        <v>11472</v>
      </c>
    </row>
    <row r="887" customFormat="false" ht="12.8" hidden="false" customHeight="false" outlineLevel="0" collapsed="false">
      <c r="A887" s="10" t="n">
        <f aca="false">A886+1</f>
        <v>886</v>
      </c>
      <c r="B887" s="11" t="n">
        <f aca="false">B886+1</f>
        <v>45812</v>
      </c>
      <c r="C887" s="10" t="n">
        <f aca="false">YEAR(B887)</f>
        <v>2025</v>
      </c>
      <c r="D887" s="10" t="n">
        <f aca="false">INT((MONTH(B887)-1)/3)+1</f>
        <v>2</v>
      </c>
      <c r="E887" s="10" t="n">
        <f aca="false">MONTH(B887)</f>
        <v>6</v>
      </c>
      <c r="F887" s="10" t="str">
        <f aca="false">CHOOSE(MOD(A887-1,5)+1,"Центр","Юг","Север","Запад","Восток")</f>
        <v>Центр</v>
      </c>
      <c r="G887" s="10" t="str">
        <f aca="false">"Округ_"&amp;(MOD(A887-1,5)+1)&amp;"_"&amp;(MOD(INT((A887-1)/5),5)+1)</f>
        <v>Округ_1_3</v>
      </c>
      <c r="H887" s="10" t="str">
        <f aca="false">"Город_"&amp;(MOD(A887-1,5)+1)&amp;"_"&amp;(MOD(INT((A887-1)/5),5)+1)&amp;"_"&amp;(MOD(INT((A887-1)/25),10)+1)</f>
        <v>Город_1_3_6</v>
      </c>
      <c r="I887" s="10" t="str">
        <f aca="false">CHOOSE(MOD(A887-1,4)+1,"Электроника","Одежда","Продукты","Мебель")</f>
        <v>Одежда</v>
      </c>
      <c r="J887" s="10" t="str">
        <f aca="false">CHOOSE(MOD(INT((A887-1)/4),4)+1,CHOOSE(MOD(A887-1,4)+1,"Смартфоны","Ноутбуки","Аксессуары","Аудио"),CHOOSE(MOD(A887-1,4)+1,"Верхняя одежда","Спортивная","Повседневная","Обувь"),CHOOSE(MOD(A887-1,4)+1,"Молочные","Мясные","Бакалея","Напитки"),CHOOSE(MOD(A887-1,4)+1,"Мягкая мебель","Корпусная","Офисная","Кухонная"))</f>
        <v>Спортивная</v>
      </c>
      <c r="K887" s="12" t="n">
        <f aca="false">1000+MOD(A887*317+A887*A887*7,49001)</f>
        <v>43717</v>
      </c>
      <c r="L887" s="12" t="n">
        <f aca="false">1+MOD(A887*131,100)</f>
        <v>67</v>
      </c>
      <c r="M887" s="12" t="n">
        <f aca="false">INT(K887*(0.6+MOD(A887*43,21)/100))</f>
        <v>27978</v>
      </c>
      <c r="N887" s="12" t="n">
        <f aca="false">K887-M887</f>
        <v>15739</v>
      </c>
    </row>
    <row r="888" customFormat="false" ht="12.8" hidden="false" customHeight="false" outlineLevel="0" collapsed="false">
      <c r="A888" s="10" t="n">
        <f aca="false">A887+1</f>
        <v>887</v>
      </c>
      <c r="B888" s="11" t="n">
        <f aca="false">B887+1</f>
        <v>45813</v>
      </c>
      <c r="C888" s="10" t="n">
        <f aca="false">YEAR(B888)</f>
        <v>2025</v>
      </c>
      <c r="D888" s="10" t="n">
        <f aca="false">INT((MONTH(B888)-1)/3)+1</f>
        <v>2</v>
      </c>
      <c r="E888" s="10" t="n">
        <f aca="false">MONTH(B888)</f>
        <v>6</v>
      </c>
      <c r="F888" s="10" t="str">
        <f aca="false">CHOOSE(MOD(A888-1,5)+1,"Центр","Юг","Север","Запад","Восток")</f>
        <v>Юг</v>
      </c>
      <c r="G888" s="10" t="str">
        <f aca="false">"Округ_"&amp;(MOD(A888-1,5)+1)&amp;"_"&amp;(MOD(INT((A888-1)/5),5)+1)</f>
        <v>Округ_2_3</v>
      </c>
      <c r="H888" s="10" t="str">
        <f aca="false">"Город_"&amp;(MOD(A888-1,5)+1)&amp;"_"&amp;(MOD(INT((A888-1)/5),5)+1)&amp;"_"&amp;(MOD(INT((A888-1)/25),10)+1)</f>
        <v>Город_2_3_6</v>
      </c>
      <c r="I888" s="10" t="str">
        <f aca="false">CHOOSE(MOD(A888-1,4)+1,"Электроника","Одежда","Продукты","Мебель")</f>
        <v>Продукты</v>
      </c>
      <c r="J888" s="10" t="str">
        <f aca="false">CHOOSE(MOD(INT((A888-1)/4),4)+1,CHOOSE(MOD(A888-1,4)+1,"Смартфоны","Ноутбуки","Аксессуары","Аудио"),CHOOSE(MOD(A888-1,4)+1,"Верхняя одежда","Спортивная","Повседневная","Обувь"),CHOOSE(MOD(A888-1,4)+1,"Молочные","Мясные","Бакалея","Напитки"),CHOOSE(MOD(A888-1,4)+1,"Мягкая мебель","Корпусная","Офисная","Кухонная"))</f>
        <v>Повседневная</v>
      </c>
      <c r="K888" s="12" t="n">
        <f aca="false">1000+MOD(A888*317+A888*A888*7,49001)</f>
        <v>7444</v>
      </c>
      <c r="L888" s="12" t="n">
        <f aca="false">1+MOD(A888*131,100)</f>
        <v>98</v>
      </c>
      <c r="M888" s="12" t="n">
        <f aca="false">INT(K888*(0.6+MOD(A888*43,21)/100))</f>
        <v>4838</v>
      </c>
      <c r="N888" s="12" t="n">
        <f aca="false">K888-M888</f>
        <v>2606</v>
      </c>
    </row>
    <row r="889" customFormat="false" ht="12.8" hidden="false" customHeight="false" outlineLevel="0" collapsed="false">
      <c r="A889" s="10" t="n">
        <f aca="false">A888+1</f>
        <v>888</v>
      </c>
      <c r="B889" s="11" t="n">
        <f aca="false">B888+1</f>
        <v>45814</v>
      </c>
      <c r="C889" s="10" t="n">
        <f aca="false">YEAR(B889)</f>
        <v>2025</v>
      </c>
      <c r="D889" s="10" t="n">
        <f aca="false">INT((MONTH(B889)-1)/3)+1</f>
        <v>2</v>
      </c>
      <c r="E889" s="10" t="n">
        <f aca="false">MONTH(B889)</f>
        <v>6</v>
      </c>
      <c r="F889" s="10" t="str">
        <f aca="false">CHOOSE(MOD(A889-1,5)+1,"Центр","Юг","Север","Запад","Восток")</f>
        <v>Север</v>
      </c>
      <c r="G889" s="10" t="str">
        <f aca="false">"Округ_"&amp;(MOD(A889-1,5)+1)&amp;"_"&amp;(MOD(INT((A889-1)/5),5)+1)</f>
        <v>Округ_3_3</v>
      </c>
      <c r="H889" s="10" t="str">
        <f aca="false">"Город_"&amp;(MOD(A889-1,5)+1)&amp;"_"&amp;(MOD(INT((A889-1)/5),5)+1)&amp;"_"&amp;(MOD(INT((A889-1)/25),10)+1)</f>
        <v>Город_3_3_6</v>
      </c>
      <c r="I889" s="10" t="str">
        <f aca="false">CHOOSE(MOD(A889-1,4)+1,"Электроника","Одежда","Продукты","Мебель")</f>
        <v>Мебель</v>
      </c>
      <c r="J889" s="10" t="str">
        <f aca="false">CHOOSE(MOD(INT((A889-1)/4),4)+1,CHOOSE(MOD(A889-1,4)+1,"Смартфоны","Ноутбуки","Аксессуары","Аудио"),CHOOSE(MOD(A889-1,4)+1,"Верхняя одежда","Спортивная","Повседневная","Обувь"),CHOOSE(MOD(A889-1,4)+1,"Молочные","Мясные","Бакалея","Напитки"),CHOOSE(MOD(A889-1,4)+1,"Мягкая мебель","Корпусная","Офисная","Кухонная"))</f>
        <v>Обувь</v>
      </c>
      <c r="K889" s="12" t="n">
        <f aca="false">1000+MOD(A889*317+A889*A889*7,49001)</f>
        <v>20186</v>
      </c>
      <c r="L889" s="12" t="n">
        <f aca="false">1+MOD(A889*131,100)</f>
        <v>29</v>
      </c>
      <c r="M889" s="12" t="n">
        <f aca="false">INT(K889*(0.6+MOD(A889*43,21)/100))</f>
        <v>13322</v>
      </c>
      <c r="N889" s="12" t="n">
        <f aca="false">K889-M889</f>
        <v>6864</v>
      </c>
    </row>
    <row r="890" customFormat="false" ht="12.8" hidden="false" customHeight="false" outlineLevel="0" collapsed="false">
      <c r="A890" s="10" t="n">
        <f aca="false">A889+1</f>
        <v>889</v>
      </c>
      <c r="B890" s="11" t="n">
        <f aca="false">B889+1</f>
        <v>45815</v>
      </c>
      <c r="C890" s="10" t="n">
        <f aca="false">YEAR(B890)</f>
        <v>2025</v>
      </c>
      <c r="D890" s="10" t="n">
        <f aca="false">INT((MONTH(B890)-1)/3)+1</f>
        <v>2</v>
      </c>
      <c r="E890" s="10" t="n">
        <f aca="false">MONTH(B890)</f>
        <v>6</v>
      </c>
      <c r="F890" s="10" t="str">
        <f aca="false">CHOOSE(MOD(A890-1,5)+1,"Центр","Юг","Север","Запад","Восток")</f>
        <v>Запад</v>
      </c>
      <c r="G890" s="10" t="str">
        <f aca="false">"Округ_"&amp;(MOD(A890-1,5)+1)&amp;"_"&amp;(MOD(INT((A890-1)/5),5)+1)</f>
        <v>Округ_4_3</v>
      </c>
      <c r="H890" s="10" t="str">
        <f aca="false">"Город_"&amp;(MOD(A890-1,5)+1)&amp;"_"&amp;(MOD(INT((A890-1)/5),5)+1)&amp;"_"&amp;(MOD(INT((A890-1)/25),10)+1)</f>
        <v>Город_4_3_6</v>
      </c>
      <c r="I890" s="10" t="str">
        <f aca="false">CHOOSE(MOD(A890-1,4)+1,"Электроника","Одежда","Продукты","Мебель")</f>
        <v>Электроника</v>
      </c>
      <c r="J890" s="10" t="str">
        <f aca="false">CHOOSE(MOD(INT((A890-1)/4),4)+1,CHOOSE(MOD(A890-1,4)+1,"Смартфоны","Ноутбуки","Аксессуары","Аудио"),CHOOSE(MOD(A890-1,4)+1,"Верхняя одежда","Спортивная","Повседневная","Обувь"),CHOOSE(MOD(A890-1,4)+1,"Молочные","Мясные","Бакалея","Напитки"),CHOOSE(MOD(A890-1,4)+1,"Мягкая мебель","Корпусная","Офисная","Кухонная"))</f>
        <v>Молочные</v>
      </c>
      <c r="K890" s="12" t="n">
        <f aca="false">1000+MOD(A890*317+A890*A890*7,49001)</f>
        <v>32942</v>
      </c>
      <c r="L890" s="12" t="n">
        <f aca="false">1+MOD(A890*131,100)</f>
        <v>60</v>
      </c>
      <c r="M890" s="12" t="n">
        <f aca="false">INT(K890*(0.6+MOD(A890*43,21)/100))</f>
        <v>22071</v>
      </c>
      <c r="N890" s="12" t="n">
        <f aca="false">K890-M890</f>
        <v>10871</v>
      </c>
    </row>
    <row r="891" customFormat="false" ht="12.8" hidden="false" customHeight="false" outlineLevel="0" collapsed="false">
      <c r="A891" s="10" t="n">
        <f aca="false">A890+1</f>
        <v>890</v>
      </c>
      <c r="B891" s="11" t="n">
        <f aca="false">B890+1</f>
        <v>45816</v>
      </c>
      <c r="C891" s="10" t="n">
        <f aca="false">YEAR(B891)</f>
        <v>2025</v>
      </c>
      <c r="D891" s="10" t="n">
        <f aca="false">INT((MONTH(B891)-1)/3)+1</f>
        <v>2</v>
      </c>
      <c r="E891" s="10" t="n">
        <f aca="false">MONTH(B891)</f>
        <v>6</v>
      </c>
      <c r="F891" s="10" t="str">
        <f aca="false">CHOOSE(MOD(A891-1,5)+1,"Центр","Юг","Север","Запад","Восток")</f>
        <v>Восток</v>
      </c>
      <c r="G891" s="10" t="str">
        <f aca="false">"Округ_"&amp;(MOD(A891-1,5)+1)&amp;"_"&amp;(MOD(INT((A891-1)/5),5)+1)</f>
        <v>Округ_5_3</v>
      </c>
      <c r="H891" s="10" t="str">
        <f aca="false">"Город_"&amp;(MOD(A891-1,5)+1)&amp;"_"&amp;(MOD(INT((A891-1)/5),5)+1)&amp;"_"&amp;(MOD(INT((A891-1)/25),10)+1)</f>
        <v>Город_5_3_6</v>
      </c>
      <c r="I891" s="10" t="str">
        <f aca="false">CHOOSE(MOD(A891-1,4)+1,"Электроника","Одежда","Продукты","Мебель")</f>
        <v>Одежда</v>
      </c>
      <c r="J891" s="10" t="str">
        <f aca="false">CHOOSE(MOD(INT((A891-1)/4),4)+1,CHOOSE(MOD(A891-1,4)+1,"Смартфоны","Ноутбуки","Аксессуары","Аудио"),CHOOSE(MOD(A891-1,4)+1,"Верхняя одежда","Спортивная","Повседневная","Обувь"),CHOOSE(MOD(A891-1,4)+1,"Молочные","Мясные","Бакалея","Напитки"),CHOOSE(MOD(A891-1,4)+1,"Мягкая мебель","Корпусная","Офисная","Кухонная"))</f>
        <v>Мясные</v>
      </c>
      <c r="K891" s="12" t="n">
        <f aca="false">1000+MOD(A891*317+A891*A891*7,49001)</f>
        <v>45712</v>
      </c>
      <c r="L891" s="12" t="n">
        <f aca="false">1+MOD(A891*131,100)</f>
        <v>91</v>
      </c>
      <c r="M891" s="12" t="n">
        <f aca="false">INT(K891*(0.6+MOD(A891*43,21)/100))</f>
        <v>31084</v>
      </c>
      <c r="N891" s="12" t="n">
        <f aca="false">K891-M891</f>
        <v>14628</v>
      </c>
    </row>
    <row r="892" customFormat="false" ht="12.8" hidden="false" customHeight="false" outlineLevel="0" collapsed="false">
      <c r="A892" s="10" t="n">
        <f aca="false">A891+1</f>
        <v>891</v>
      </c>
      <c r="B892" s="11" t="n">
        <f aca="false">B891+1</f>
        <v>45817</v>
      </c>
      <c r="C892" s="10" t="n">
        <f aca="false">YEAR(B892)</f>
        <v>2025</v>
      </c>
      <c r="D892" s="10" t="n">
        <f aca="false">INT((MONTH(B892)-1)/3)+1</f>
        <v>2</v>
      </c>
      <c r="E892" s="10" t="n">
        <f aca="false">MONTH(B892)</f>
        <v>6</v>
      </c>
      <c r="F892" s="10" t="str">
        <f aca="false">CHOOSE(MOD(A892-1,5)+1,"Центр","Юг","Север","Запад","Восток")</f>
        <v>Центр</v>
      </c>
      <c r="G892" s="10" t="str">
        <f aca="false">"Округ_"&amp;(MOD(A892-1,5)+1)&amp;"_"&amp;(MOD(INT((A892-1)/5),5)+1)</f>
        <v>Округ_1_4</v>
      </c>
      <c r="H892" s="10" t="str">
        <f aca="false">"Город_"&amp;(MOD(A892-1,5)+1)&amp;"_"&amp;(MOD(INT((A892-1)/5),5)+1)&amp;"_"&amp;(MOD(INT((A892-1)/25),10)+1)</f>
        <v>Город_1_4_6</v>
      </c>
      <c r="I892" s="10" t="str">
        <f aca="false">CHOOSE(MOD(A892-1,4)+1,"Электроника","Одежда","Продукты","Мебель")</f>
        <v>Продукты</v>
      </c>
      <c r="J892" s="10" t="str">
        <f aca="false">CHOOSE(MOD(INT((A892-1)/4),4)+1,CHOOSE(MOD(A892-1,4)+1,"Смартфоны","Ноутбуки","Аксессуары","Аудио"),CHOOSE(MOD(A892-1,4)+1,"Верхняя одежда","Спортивная","Повседневная","Обувь"),CHOOSE(MOD(A892-1,4)+1,"Молочные","Мясные","Бакалея","Напитки"),CHOOSE(MOD(A892-1,4)+1,"Мягкая мебель","Корпусная","Офисная","Кухонная"))</f>
        <v>Бакалея</v>
      </c>
      <c r="K892" s="12" t="n">
        <f aca="false">1000+MOD(A892*317+A892*A892*7,49001)</f>
        <v>9495</v>
      </c>
      <c r="L892" s="12" t="n">
        <f aca="false">1+MOD(A892*131,100)</f>
        <v>22</v>
      </c>
      <c r="M892" s="12" t="n">
        <f aca="false">INT(K892*(0.6+MOD(A892*43,21)/100))</f>
        <v>6551</v>
      </c>
      <c r="N892" s="12" t="n">
        <f aca="false">K892-M892</f>
        <v>2944</v>
      </c>
    </row>
    <row r="893" customFormat="false" ht="12.8" hidden="false" customHeight="false" outlineLevel="0" collapsed="false">
      <c r="A893" s="10" t="n">
        <f aca="false">A892+1</f>
        <v>892</v>
      </c>
      <c r="B893" s="11" t="n">
        <f aca="false">B892+1</f>
        <v>45818</v>
      </c>
      <c r="C893" s="10" t="n">
        <f aca="false">YEAR(B893)</f>
        <v>2025</v>
      </c>
      <c r="D893" s="10" t="n">
        <f aca="false">INT((MONTH(B893)-1)/3)+1</f>
        <v>2</v>
      </c>
      <c r="E893" s="10" t="n">
        <f aca="false">MONTH(B893)</f>
        <v>6</v>
      </c>
      <c r="F893" s="10" t="str">
        <f aca="false">CHOOSE(MOD(A893-1,5)+1,"Центр","Юг","Север","Запад","Восток")</f>
        <v>Юг</v>
      </c>
      <c r="G893" s="10" t="str">
        <f aca="false">"Округ_"&amp;(MOD(A893-1,5)+1)&amp;"_"&amp;(MOD(INT((A893-1)/5),5)+1)</f>
        <v>Округ_2_4</v>
      </c>
      <c r="H893" s="10" t="str">
        <f aca="false">"Город_"&amp;(MOD(A893-1,5)+1)&amp;"_"&amp;(MOD(INT((A893-1)/5),5)+1)&amp;"_"&amp;(MOD(INT((A893-1)/25),10)+1)</f>
        <v>Город_2_4_6</v>
      </c>
      <c r="I893" s="10" t="str">
        <f aca="false">CHOOSE(MOD(A893-1,4)+1,"Электроника","Одежда","Продукты","Мебель")</f>
        <v>Мебель</v>
      </c>
      <c r="J893" s="10" t="str">
        <f aca="false">CHOOSE(MOD(INT((A893-1)/4),4)+1,CHOOSE(MOD(A893-1,4)+1,"Смартфоны","Ноутбуки","Аксессуары","Аудио"),CHOOSE(MOD(A893-1,4)+1,"Верхняя одежда","Спортивная","Повседневная","Обувь"),CHOOSE(MOD(A893-1,4)+1,"Молочные","Мясные","Бакалея","Напитки"),CHOOSE(MOD(A893-1,4)+1,"Мягкая мебель","Корпусная","Офисная","Кухонная"))</f>
        <v>Напитки</v>
      </c>
      <c r="K893" s="12" t="n">
        <f aca="false">1000+MOD(A893*317+A893*A893*7,49001)</f>
        <v>22293</v>
      </c>
      <c r="L893" s="12" t="n">
        <f aca="false">1+MOD(A893*131,100)</f>
        <v>53</v>
      </c>
      <c r="M893" s="12" t="n">
        <f aca="false">INT(K893*(0.6+MOD(A893*43,21)/100))</f>
        <v>15605</v>
      </c>
      <c r="N893" s="12" t="n">
        <f aca="false">K893-M893</f>
        <v>6688</v>
      </c>
    </row>
    <row r="894" customFormat="false" ht="12.8" hidden="false" customHeight="false" outlineLevel="0" collapsed="false">
      <c r="A894" s="10" t="n">
        <f aca="false">A893+1</f>
        <v>893</v>
      </c>
      <c r="B894" s="11" t="n">
        <f aca="false">B893+1</f>
        <v>45819</v>
      </c>
      <c r="C894" s="10" t="n">
        <f aca="false">YEAR(B894)</f>
        <v>2025</v>
      </c>
      <c r="D894" s="10" t="n">
        <f aca="false">INT((MONTH(B894)-1)/3)+1</f>
        <v>2</v>
      </c>
      <c r="E894" s="10" t="n">
        <f aca="false">MONTH(B894)</f>
        <v>6</v>
      </c>
      <c r="F894" s="10" t="str">
        <f aca="false">CHOOSE(MOD(A894-1,5)+1,"Центр","Юг","Север","Запад","Восток")</f>
        <v>Север</v>
      </c>
      <c r="G894" s="10" t="str">
        <f aca="false">"Округ_"&amp;(MOD(A894-1,5)+1)&amp;"_"&amp;(MOD(INT((A894-1)/5),5)+1)</f>
        <v>Округ_3_4</v>
      </c>
      <c r="H894" s="10" t="str">
        <f aca="false">"Город_"&amp;(MOD(A894-1,5)+1)&amp;"_"&amp;(MOD(INT((A894-1)/5),5)+1)&amp;"_"&amp;(MOD(INT((A894-1)/25),10)+1)</f>
        <v>Город_3_4_6</v>
      </c>
      <c r="I894" s="10" t="str">
        <f aca="false">CHOOSE(MOD(A894-1,4)+1,"Электроника","Одежда","Продукты","Мебель")</f>
        <v>Электроника</v>
      </c>
      <c r="J894" s="10" t="str">
        <f aca="false">CHOOSE(MOD(INT((A894-1)/4),4)+1,CHOOSE(MOD(A894-1,4)+1,"Смартфоны","Ноутбуки","Аксессуары","Аудио"),CHOOSE(MOD(A894-1,4)+1,"Верхняя одежда","Спортивная","Повседневная","Обувь"),CHOOSE(MOD(A894-1,4)+1,"Молочные","Мясные","Бакалея","Напитки"),CHOOSE(MOD(A894-1,4)+1,"Мягкая мебель","Корпусная","Офисная","Кухонная"))</f>
        <v>Мягкая мебель</v>
      </c>
      <c r="K894" s="12" t="n">
        <f aca="false">1000+MOD(A894*317+A894*A894*7,49001)</f>
        <v>35105</v>
      </c>
      <c r="L894" s="12" t="n">
        <f aca="false">1+MOD(A894*131,100)</f>
        <v>84</v>
      </c>
      <c r="M894" s="12" t="n">
        <f aca="false">INT(K894*(0.6+MOD(A894*43,21)/100))</f>
        <v>24924</v>
      </c>
      <c r="N894" s="12" t="n">
        <f aca="false">K894-M894</f>
        <v>10181</v>
      </c>
    </row>
    <row r="895" customFormat="false" ht="12.8" hidden="false" customHeight="false" outlineLevel="0" collapsed="false">
      <c r="A895" s="10" t="n">
        <f aca="false">A894+1</f>
        <v>894</v>
      </c>
      <c r="B895" s="11" t="n">
        <f aca="false">B894+1</f>
        <v>45820</v>
      </c>
      <c r="C895" s="10" t="n">
        <f aca="false">YEAR(B895)</f>
        <v>2025</v>
      </c>
      <c r="D895" s="10" t="n">
        <f aca="false">INT((MONTH(B895)-1)/3)+1</f>
        <v>2</v>
      </c>
      <c r="E895" s="10" t="n">
        <f aca="false">MONTH(B895)</f>
        <v>6</v>
      </c>
      <c r="F895" s="10" t="str">
        <f aca="false">CHOOSE(MOD(A895-1,5)+1,"Центр","Юг","Север","Запад","Восток")</f>
        <v>Запад</v>
      </c>
      <c r="G895" s="10" t="str">
        <f aca="false">"Округ_"&amp;(MOD(A895-1,5)+1)&amp;"_"&amp;(MOD(INT((A895-1)/5),5)+1)</f>
        <v>Округ_4_4</v>
      </c>
      <c r="H895" s="10" t="str">
        <f aca="false">"Город_"&amp;(MOD(A895-1,5)+1)&amp;"_"&amp;(MOD(INT((A895-1)/5),5)+1)&amp;"_"&amp;(MOD(INT((A895-1)/25),10)+1)</f>
        <v>Город_4_4_6</v>
      </c>
      <c r="I895" s="10" t="str">
        <f aca="false">CHOOSE(MOD(A895-1,4)+1,"Электроника","Одежда","Продукты","Мебель")</f>
        <v>Одежда</v>
      </c>
      <c r="J895" s="10" t="str">
        <f aca="false">CHOOSE(MOD(INT((A895-1)/4),4)+1,CHOOSE(MOD(A895-1,4)+1,"Смартфоны","Ноутбуки","Аксессуары","Аудио"),CHOOSE(MOD(A895-1,4)+1,"Верхняя одежда","Спортивная","Повседневная","Обувь"),CHOOSE(MOD(A895-1,4)+1,"Молочные","Мясные","Бакалея","Напитки"),CHOOSE(MOD(A895-1,4)+1,"Мягкая мебель","Корпусная","Офисная","Кухонная"))</f>
        <v>Корпусная</v>
      </c>
      <c r="K895" s="12" t="n">
        <f aca="false">1000+MOD(A895*317+A895*A895*7,49001)</f>
        <v>47931</v>
      </c>
      <c r="L895" s="12" t="n">
        <f aca="false">1+MOD(A895*131,100)</f>
        <v>15</v>
      </c>
      <c r="M895" s="12" t="n">
        <f aca="false">INT(K895*(0.6+MOD(A895*43,21)/100))</f>
        <v>34510</v>
      </c>
      <c r="N895" s="12" t="n">
        <f aca="false">K895-M895</f>
        <v>13421</v>
      </c>
    </row>
    <row r="896" customFormat="false" ht="12.8" hidden="false" customHeight="false" outlineLevel="0" collapsed="false">
      <c r="A896" s="10" t="n">
        <f aca="false">A895+1</f>
        <v>895</v>
      </c>
      <c r="B896" s="11" t="n">
        <f aca="false">B895+1</f>
        <v>45821</v>
      </c>
      <c r="C896" s="10" t="n">
        <f aca="false">YEAR(B896)</f>
        <v>2025</v>
      </c>
      <c r="D896" s="10" t="n">
        <f aca="false">INT((MONTH(B896)-1)/3)+1</f>
        <v>2</v>
      </c>
      <c r="E896" s="10" t="n">
        <f aca="false">MONTH(B896)</f>
        <v>6</v>
      </c>
      <c r="F896" s="10" t="str">
        <f aca="false">CHOOSE(MOD(A896-1,5)+1,"Центр","Юг","Север","Запад","Восток")</f>
        <v>Восток</v>
      </c>
      <c r="G896" s="10" t="str">
        <f aca="false">"Округ_"&amp;(MOD(A896-1,5)+1)&amp;"_"&amp;(MOD(INT((A896-1)/5),5)+1)</f>
        <v>Округ_5_4</v>
      </c>
      <c r="H896" s="10" t="str">
        <f aca="false">"Город_"&amp;(MOD(A896-1,5)+1)&amp;"_"&amp;(MOD(INT((A896-1)/5),5)+1)&amp;"_"&amp;(MOD(INT((A896-1)/25),10)+1)</f>
        <v>Город_5_4_6</v>
      </c>
      <c r="I896" s="10" t="str">
        <f aca="false">CHOOSE(MOD(A896-1,4)+1,"Электроника","Одежда","Продукты","Мебель")</f>
        <v>Продукты</v>
      </c>
      <c r="J896" s="10" t="str">
        <f aca="false">CHOOSE(MOD(INT((A896-1)/4),4)+1,CHOOSE(MOD(A896-1,4)+1,"Смартфоны","Ноутбуки","Аксессуары","Аудио"),CHOOSE(MOD(A896-1,4)+1,"Верхняя одежда","Спортивная","Повседневная","Обувь"),CHOOSE(MOD(A896-1,4)+1,"Молочные","Мясные","Бакалея","Напитки"),CHOOSE(MOD(A896-1,4)+1,"Мягкая мебель","Корпусная","Офисная","Кухонная"))</f>
        <v>Офисная</v>
      </c>
      <c r="K896" s="12" t="n">
        <f aca="false">1000+MOD(A896*317+A896*A896*7,49001)</f>
        <v>11770</v>
      </c>
      <c r="L896" s="12" t="n">
        <f aca="false">1+MOD(A896*131,100)</f>
        <v>46</v>
      </c>
      <c r="M896" s="12" t="n">
        <f aca="false">INT(K896*(0.6+MOD(A896*43,21)/100))</f>
        <v>8592</v>
      </c>
      <c r="N896" s="12" t="n">
        <f aca="false">K896-M896</f>
        <v>3178</v>
      </c>
    </row>
    <row r="897" customFormat="false" ht="12.8" hidden="false" customHeight="false" outlineLevel="0" collapsed="false">
      <c r="A897" s="10" t="n">
        <f aca="false">A896+1</f>
        <v>896</v>
      </c>
      <c r="B897" s="11" t="n">
        <f aca="false">B896+1</f>
        <v>45822</v>
      </c>
      <c r="C897" s="10" t="n">
        <f aca="false">YEAR(B897)</f>
        <v>2025</v>
      </c>
      <c r="D897" s="10" t="n">
        <f aca="false">INT((MONTH(B897)-1)/3)+1</f>
        <v>2</v>
      </c>
      <c r="E897" s="10" t="n">
        <f aca="false">MONTH(B897)</f>
        <v>6</v>
      </c>
      <c r="F897" s="10" t="str">
        <f aca="false">CHOOSE(MOD(A897-1,5)+1,"Центр","Юг","Север","Запад","Восток")</f>
        <v>Центр</v>
      </c>
      <c r="G897" s="10" t="str">
        <f aca="false">"Округ_"&amp;(MOD(A897-1,5)+1)&amp;"_"&amp;(MOD(INT((A897-1)/5),5)+1)</f>
        <v>Округ_1_5</v>
      </c>
      <c r="H897" s="10" t="str">
        <f aca="false">"Город_"&amp;(MOD(A897-1,5)+1)&amp;"_"&amp;(MOD(INT((A897-1)/5),5)+1)&amp;"_"&amp;(MOD(INT((A897-1)/25),10)+1)</f>
        <v>Город_1_5_6</v>
      </c>
      <c r="I897" s="10" t="str">
        <f aca="false">CHOOSE(MOD(A897-1,4)+1,"Электроника","Одежда","Продукты","Мебель")</f>
        <v>Мебель</v>
      </c>
      <c r="J897" s="10" t="str">
        <f aca="false">CHOOSE(MOD(INT((A897-1)/4),4)+1,CHOOSE(MOD(A897-1,4)+1,"Смартфоны","Ноутбуки","Аксессуары","Аудио"),CHOOSE(MOD(A897-1,4)+1,"Верхняя одежда","Спортивная","Повседневная","Обувь"),CHOOSE(MOD(A897-1,4)+1,"Молочные","Мясные","Бакалея","Напитки"),CHOOSE(MOD(A897-1,4)+1,"Мягкая мебель","Корпусная","Офисная","Кухонная"))</f>
        <v>Кухонная</v>
      </c>
      <c r="K897" s="12" t="n">
        <f aca="false">1000+MOD(A897*317+A897*A897*7,49001)</f>
        <v>24624</v>
      </c>
      <c r="L897" s="12" t="n">
        <f aca="false">1+MOD(A897*131,100)</f>
        <v>77</v>
      </c>
      <c r="M897" s="12" t="n">
        <f aca="false">INT(K897*(0.6+MOD(A897*43,21)/100))</f>
        <v>18221</v>
      </c>
      <c r="N897" s="12" t="n">
        <f aca="false">K897-M897</f>
        <v>6403</v>
      </c>
    </row>
    <row r="898" customFormat="false" ht="12.8" hidden="false" customHeight="false" outlineLevel="0" collapsed="false">
      <c r="A898" s="10" t="n">
        <f aca="false">A897+1</f>
        <v>897</v>
      </c>
      <c r="B898" s="11" t="n">
        <f aca="false">B897+1</f>
        <v>45823</v>
      </c>
      <c r="C898" s="10" t="n">
        <f aca="false">YEAR(B898)</f>
        <v>2025</v>
      </c>
      <c r="D898" s="10" t="n">
        <f aca="false">INT((MONTH(B898)-1)/3)+1</f>
        <v>2</v>
      </c>
      <c r="E898" s="10" t="n">
        <f aca="false">MONTH(B898)</f>
        <v>6</v>
      </c>
      <c r="F898" s="10" t="str">
        <f aca="false">CHOOSE(MOD(A898-1,5)+1,"Центр","Юг","Север","Запад","Восток")</f>
        <v>Юг</v>
      </c>
      <c r="G898" s="10" t="str">
        <f aca="false">"Округ_"&amp;(MOD(A898-1,5)+1)&amp;"_"&amp;(MOD(INT((A898-1)/5),5)+1)</f>
        <v>Округ_2_5</v>
      </c>
      <c r="H898" s="10" t="str">
        <f aca="false">"Город_"&amp;(MOD(A898-1,5)+1)&amp;"_"&amp;(MOD(INT((A898-1)/5),5)+1)&amp;"_"&amp;(MOD(INT((A898-1)/25),10)+1)</f>
        <v>Город_2_5_6</v>
      </c>
      <c r="I898" s="10" t="str">
        <f aca="false">CHOOSE(MOD(A898-1,4)+1,"Электроника","Одежда","Продукты","Мебель")</f>
        <v>Электроника</v>
      </c>
      <c r="J898" s="10" t="str">
        <f aca="false">CHOOSE(MOD(INT((A898-1)/4),4)+1,CHOOSE(MOD(A898-1,4)+1,"Смартфоны","Ноутбуки","Аксессуары","Аудио"),CHOOSE(MOD(A898-1,4)+1,"Верхняя одежда","Спортивная","Повседневная","Обувь"),CHOOSE(MOD(A898-1,4)+1,"Молочные","Мясные","Бакалея","Напитки"),CHOOSE(MOD(A898-1,4)+1,"Мягкая мебель","Корпусная","Офисная","Кухонная"))</f>
        <v>Смартфоны</v>
      </c>
      <c r="K898" s="12" t="n">
        <f aca="false">1000+MOD(A898*317+A898*A898*7,49001)</f>
        <v>37492</v>
      </c>
      <c r="L898" s="12" t="n">
        <f aca="false">1+MOD(A898*131,100)</f>
        <v>8</v>
      </c>
      <c r="M898" s="12" t="n">
        <f aca="false">INT(K898*(0.6+MOD(A898*43,21)/100))</f>
        <v>28119</v>
      </c>
      <c r="N898" s="12" t="n">
        <f aca="false">K898-M898</f>
        <v>9373</v>
      </c>
    </row>
    <row r="899" customFormat="false" ht="12.8" hidden="false" customHeight="false" outlineLevel="0" collapsed="false">
      <c r="A899" s="10" t="n">
        <f aca="false">A898+1</f>
        <v>898</v>
      </c>
      <c r="B899" s="11" t="n">
        <f aca="false">B898+1</f>
        <v>45824</v>
      </c>
      <c r="C899" s="10" t="n">
        <f aca="false">YEAR(B899)</f>
        <v>2025</v>
      </c>
      <c r="D899" s="10" t="n">
        <f aca="false">INT((MONTH(B899)-1)/3)+1</f>
        <v>2</v>
      </c>
      <c r="E899" s="10" t="n">
        <f aca="false">MONTH(B899)</f>
        <v>6</v>
      </c>
      <c r="F899" s="10" t="str">
        <f aca="false">CHOOSE(MOD(A899-1,5)+1,"Центр","Юг","Север","Запад","Восток")</f>
        <v>Север</v>
      </c>
      <c r="G899" s="10" t="str">
        <f aca="false">"Округ_"&amp;(MOD(A899-1,5)+1)&amp;"_"&amp;(MOD(INT((A899-1)/5),5)+1)</f>
        <v>Округ_3_5</v>
      </c>
      <c r="H899" s="10" t="str">
        <f aca="false">"Город_"&amp;(MOD(A899-1,5)+1)&amp;"_"&amp;(MOD(INT((A899-1)/5),5)+1)&amp;"_"&amp;(MOD(INT((A899-1)/25),10)+1)</f>
        <v>Город_3_5_6</v>
      </c>
      <c r="I899" s="10" t="str">
        <f aca="false">CHOOSE(MOD(A899-1,4)+1,"Электроника","Одежда","Продукты","Мебель")</f>
        <v>Одежда</v>
      </c>
      <c r="J899" s="10" t="str">
        <f aca="false">CHOOSE(MOD(INT((A899-1)/4),4)+1,CHOOSE(MOD(A899-1,4)+1,"Смартфоны","Ноутбуки","Аксессуары","Аудио"),CHOOSE(MOD(A899-1,4)+1,"Верхняя одежда","Спортивная","Повседневная","Обувь"),CHOOSE(MOD(A899-1,4)+1,"Молочные","Мясные","Бакалея","Напитки"),CHOOSE(MOD(A899-1,4)+1,"Мягкая мебель","Корпусная","Офисная","Кухонная"))</f>
        <v>Ноутбуки</v>
      </c>
      <c r="K899" s="12" t="n">
        <f aca="false">1000+MOD(A899*317+A899*A899*7,49001)</f>
        <v>1373</v>
      </c>
      <c r="L899" s="12" t="n">
        <f aca="false">1+MOD(A899*131,100)</f>
        <v>39</v>
      </c>
      <c r="M899" s="12" t="n">
        <f aca="false">INT(K899*(0.6+MOD(A899*43,21)/100))</f>
        <v>1043</v>
      </c>
      <c r="N899" s="12" t="n">
        <f aca="false">K899-M899</f>
        <v>330</v>
      </c>
    </row>
    <row r="900" customFormat="false" ht="12.8" hidden="false" customHeight="false" outlineLevel="0" collapsed="false">
      <c r="A900" s="10" t="n">
        <f aca="false">A899+1</f>
        <v>899</v>
      </c>
      <c r="B900" s="11" t="n">
        <f aca="false">B899+1</f>
        <v>45825</v>
      </c>
      <c r="C900" s="10" t="n">
        <f aca="false">YEAR(B900)</f>
        <v>2025</v>
      </c>
      <c r="D900" s="10" t="n">
        <f aca="false">INT((MONTH(B900)-1)/3)+1</f>
        <v>2</v>
      </c>
      <c r="E900" s="10" t="n">
        <f aca="false">MONTH(B900)</f>
        <v>6</v>
      </c>
      <c r="F900" s="10" t="str">
        <f aca="false">CHOOSE(MOD(A900-1,5)+1,"Центр","Юг","Север","Запад","Восток")</f>
        <v>Запад</v>
      </c>
      <c r="G900" s="10" t="str">
        <f aca="false">"Округ_"&amp;(MOD(A900-1,5)+1)&amp;"_"&amp;(MOD(INT((A900-1)/5),5)+1)</f>
        <v>Округ_4_5</v>
      </c>
      <c r="H900" s="10" t="str">
        <f aca="false">"Город_"&amp;(MOD(A900-1,5)+1)&amp;"_"&amp;(MOD(INT((A900-1)/5),5)+1)&amp;"_"&amp;(MOD(INT((A900-1)/25),10)+1)</f>
        <v>Город_4_5_6</v>
      </c>
      <c r="I900" s="10" t="str">
        <f aca="false">CHOOSE(MOD(A900-1,4)+1,"Электроника","Одежда","Продукты","Мебель")</f>
        <v>Продукты</v>
      </c>
      <c r="J900" s="10" t="str">
        <f aca="false">CHOOSE(MOD(INT((A900-1)/4),4)+1,CHOOSE(MOD(A900-1,4)+1,"Смартфоны","Ноутбуки","Аксессуары","Аудио"),CHOOSE(MOD(A900-1,4)+1,"Верхняя одежда","Спортивная","Повседневная","Обувь"),CHOOSE(MOD(A900-1,4)+1,"Молочные","Мясные","Бакалея","Напитки"),CHOOSE(MOD(A900-1,4)+1,"Мягкая мебель","Корпусная","Офисная","Кухонная"))</f>
        <v>Аксессуары</v>
      </c>
      <c r="K900" s="12" t="n">
        <f aca="false">1000+MOD(A900*317+A900*A900*7,49001)</f>
        <v>14269</v>
      </c>
      <c r="L900" s="12" t="n">
        <f aca="false">1+MOD(A900*131,100)</f>
        <v>70</v>
      </c>
      <c r="M900" s="12" t="n">
        <f aca="false">INT(K900*(0.6+MOD(A900*43,21)/100))</f>
        <v>10987</v>
      </c>
      <c r="N900" s="12" t="n">
        <f aca="false">K900-M900</f>
        <v>3282</v>
      </c>
    </row>
    <row r="901" customFormat="false" ht="12.8" hidden="false" customHeight="false" outlineLevel="0" collapsed="false">
      <c r="A901" s="10" t="n">
        <f aca="false">A900+1</f>
        <v>900</v>
      </c>
      <c r="B901" s="11" t="n">
        <f aca="false">B900+1</f>
        <v>45826</v>
      </c>
      <c r="C901" s="10" t="n">
        <f aca="false">YEAR(B901)</f>
        <v>2025</v>
      </c>
      <c r="D901" s="10" t="n">
        <f aca="false">INT((MONTH(B901)-1)/3)+1</f>
        <v>2</v>
      </c>
      <c r="E901" s="10" t="n">
        <f aca="false">MONTH(B901)</f>
        <v>6</v>
      </c>
      <c r="F901" s="10" t="str">
        <f aca="false">CHOOSE(MOD(A901-1,5)+1,"Центр","Юг","Север","Запад","Восток")</f>
        <v>Восток</v>
      </c>
      <c r="G901" s="10" t="str">
        <f aca="false">"Округ_"&amp;(MOD(A901-1,5)+1)&amp;"_"&amp;(MOD(INT((A901-1)/5),5)+1)</f>
        <v>Округ_5_5</v>
      </c>
      <c r="H901" s="10" t="str">
        <f aca="false">"Город_"&amp;(MOD(A901-1,5)+1)&amp;"_"&amp;(MOD(INT((A901-1)/5),5)+1)&amp;"_"&amp;(MOD(INT((A901-1)/25),10)+1)</f>
        <v>Город_5_5_6</v>
      </c>
      <c r="I901" s="10" t="str">
        <f aca="false">CHOOSE(MOD(A901-1,4)+1,"Электроника","Одежда","Продукты","Мебель")</f>
        <v>Мебель</v>
      </c>
      <c r="J901" s="10" t="str">
        <f aca="false">CHOOSE(MOD(INT((A901-1)/4),4)+1,CHOOSE(MOD(A901-1,4)+1,"Смартфоны","Ноутбуки","Аксессуары","Аудио"),CHOOSE(MOD(A901-1,4)+1,"Верхняя одежда","Спортивная","Повседневная","Обувь"),CHOOSE(MOD(A901-1,4)+1,"Молочные","Мясные","Бакалея","Напитки"),CHOOSE(MOD(A901-1,4)+1,"Мягкая мебель","Корпусная","Офисная","Кухонная"))</f>
        <v>Аудио</v>
      </c>
      <c r="K901" s="12" t="n">
        <f aca="false">1000+MOD(A901*317+A901*A901*7,49001)</f>
        <v>27179</v>
      </c>
      <c r="L901" s="12" t="n">
        <f aca="false">1+MOD(A901*131,100)</f>
        <v>1</v>
      </c>
      <c r="M901" s="12" t="n">
        <f aca="false">INT(K901*(0.6+MOD(A901*43,21)/100))</f>
        <v>21199</v>
      </c>
      <c r="N901" s="12" t="n">
        <f aca="false">K901-M901</f>
        <v>5980</v>
      </c>
    </row>
    <row r="902" customFormat="false" ht="12.8" hidden="false" customHeight="false" outlineLevel="0" collapsed="false">
      <c r="A902" s="10" t="n">
        <f aca="false">A901+1</f>
        <v>901</v>
      </c>
      <c r="B902" s="11" t="n">
        <f aca="false">B901+1</f>
        <v>45827</v>
      </c>
      <c r="C902" s="10" t="n">
        <f aca="false">YEAR(B902)</f>
        <v>2025</v>
      </c>
      <c r="D902" s="10" t="n">
        <f aca="false">INT((MONTH(B902)-1)/3)+1</f>
        <v>2</v>
      </c>
      <c r="E902" s="10" t="n">
        <f aca="false">MONTH(B902)</f>
        <v>6</v>
      </c>
      <c r="F902" s="10" t="str">
        <f aca="false">CHOOSE(MOD(A902-1,5)+1,"Центр","Юг","Север","Запад","Восток")</f>
        <v>Центр</v>
      </c>
      <c r="G902" s="10" t="str">
        <f aca="false">"Округ_"&amp;(MOD(A902-1,5)+1)&amp;"_"&amp;(MOD(INT((A902-1)/5),5)+1)</f>
        <v>Округ_1_1</v>
      </c>
      <c r="H902" s="10" t="str">
        <f aca="false">"Город_"&amp;(MOD(A902-1,5)+1)&amp;"_"&amp;(MOD(INT((A902-1)/5),5)+1)&amp;"_"&amp;(MOD(INT((A902-1)/25),10)+1)</f>
        <v>Город_1_1_7</v>
      </c>
      <c r="I902" s="10" t="str">
        <f aca="false">CHOOSE(MOD(A902-1,4)+1,"Электроника","Одежда","Продукты","Мебель")</f>
        <v>Электроника</v>
      </c>
      <c r="J902" s="10" t="str">
        <f aca="false">CHOOSE(MOD(INT((A902-1)/4),4)+1,CHOOSE(MOD(A902-1,4)+1,"Смартфоны","Ноутбуки","Аксессуары","Аудио"),CHOOSE(MOD(A902-1,4)+1,"Верхняя одежда","Спортивная","Повседневная","Обувь"),CHOOSE(MOD(A902-1,4)+1,"Молочные","Мясные","Бакалея","Напитки"),CHOOSE(MOD(A902-1,4)+1,"Мягкая мебель","Корпусная","Офисная","Кухонная"))</f>
        <v>Верхняя одежда</v>
      </c>
      <c r="K902" s="12" t="n">
        <f aca="false">1000+MOD(A902*317+A902*A902*7,49001)</f>
        <v>40103</v>
      </c>
      <c r="L902" s="12" t="n">
        <f aca="false">1+MOD(A902*131,100)</f>
        <v>32</v>
      </c>
      <c r="M902" s="12" t="n">
        <f aca="false">INT(K902*(0.6+MOD(A902*43,21)/100))</f>
        <v>31681</v>
      </c>
      <c r="N902" s="12" t="n">
        <f aca="false">K902-M902</f>
        <v>8422</v>
      </c>
    </row>
    <row r="903" customFormat="false" ht="12.8" hidden="false" customHeight="false" outlineLevel="0" collapsed="false">
      <c r="A903" s="10" t="n">
        <f aca="false">A902+1</f>
        <v>902</v>
      </c>
      <c r="B903" s="11" t="n">
        <f aca="false">B902+1</f>
        <v>45828</v>
      </c>
      <c r="C903" s="10" t="n">
        <f aca="false">YEAR(B903)</f>
        <v>2025</v>
      </c>
      <c r="D903" s="10" t="n">
        <f aca="false">INT((MONTH(B903)-1)/3)+1</f>
        <v>2</v>
      </c>
      <c r="E903" s="10" t="n">
        <f aca="false">MONTH(B903)</f>
        <v>6</v>
      </c>
      <c r="F903" s="10" t="str">
        <f aca="false">CHOOSE(MOD(A903-1,5)+1,"Центр","Юг","Север","Запад","Восток")</f>
        <v>Юг</v>
      </c>
      <c r="G903" s="10" t="str">
        <f aca="false">"Округ_"&amp;(MOD(A903-1,5)+1)&amp;"_"&amp;(MOD(INT((A903-1)/5),5)+1)</f>
        <v>Округ_2_1</v>
      </c>
      <c r="H903" s="10" t="str">
        <f aca="false">"Город_"&amp;(MOD(A903-1,5)+1)&amp;"_"&amp;(MOD(INT((A903-1)/5),5)+1)&amp;"_"&amp;(MOD(INT((A903-1)/25),10)+1)</f>
        <v>Город_2_1_7</v>
      </c>
      <c r="I903" s="10" t="str">
        <f aca="false">CHOOSE(MOD(A903-1,4)+1,"Электроника","Одежда","Продукты","Мебель")</f>
        <v>Одежда</v>
      </c>
      <c r="J903" s="10" t="str">
        <f aca="false">CHOOSE(MOD(INT((A903-1)/4),4)+1,CHOOSE(MOD(A903-1,4)+1,"Смартфоны","Ноутбуки","Аксессуары","Аудио"),CHOOSE(MOD(A903-1,4)+1,"Верхняя одежда","Спортивная","Повседневная","Обувь"),CHOOSE(MOD(A903-1,4)+1,"Молочные","Мясные","Бакалея","Напитки"),CHOOSE(MOD(A903-1,4)+1,"Мягкая мебель","Корпусная","Офисная","Кухонная"))</f>
        <v>Спортивная</v>
      </c>
      <c r="K903" s="12" t="n">
        <f aca="false">1000+MOD(A903*317+A903*A903*7,49001)</f>
        <v>4040</v>
      </c>
      <c r="L903" s="12" t="n">
        <f aca="false">1+MOD(A903*131,100)</f>
        <v>63</v>
      </c>
      <c r="M903" s="12" t="n">
        <f aca="false">INT(K903*(0.6+MOD(A903*43,21)/100))</f>
        <v>3232</v>
      </c>
      <c r="N903" s="12" t="n">
        <f aca="false">K903-M903</f>
        <v>808</v>
      </c>
    </row>
    <row r="904" customFormat="false" ht="12.8" hidden="false" customHeight="false" outlineLevel="0" collapsed="false">
      <c r="A904" s="10" t="n">
        <f aca="false">A903+1</f>
        <v>903</v>
      </c>
      <c r="B904" s="11" t="n">
        <f aca="false">B903+1</f>
        <v>45829</v>
      </c>
      <c r="C904" s="10" t="n">
        <f aca="false">YEAR(B904)</f>
        <v>2025</v>
      </c>
      <c r="D904" s="10" t="n">
        <f aca="false">INT((MONTH(B904)-1)/3)+1</f>
        <v>2</v>
      </c>
      <c r="E904" s="10" t="n">
        <f aca="false">MONTH(B904)</f>
        <v>6</v>
      </c>
      <c r="F904" s="10" t="str">
        <f aca="false">CHOOSE(MOD(A904-1,5)+1,"Центр","Юг","Север","Запад","Восток")</f>
        <v>Север</v>
      </c>
      <c r="G904" s="10" t="str">
        <f aca="false">"Округ_"&amp;(MOD(A904-1,5)+1)&amp;"_"&amp;(MOD(INT((A904-1)/5),5)+1)</f>
        <v>Округ_3_1</v>
      </c>
      <c r="H904" s="10" t="str">
        <f aca="false">"Город_"&amp;(MOD(A904-1,5)+1)&amp;"_"&amp;(MOD(INT((A904-1)/5),5)+1)&amp;"_"&amp;(MOD(INT((A904-1)/25),10)+1)</f>
        <v>Город_3_1_7</v>
      </c>
      <c r="I904" s="10" t="str">
        <f aca="false">CHOOSE(MOD(A904-1,4)+1,"Электроника","Одежда","Продукты","Мебель")</f>
        <v>Продукты</v>
      </c>
      <c r="J904" s="10" t="str">
        <f aca="false">CHOOSE(MOD(INT((A904-1)/4),4)+1,CHOOSE(MOD(A904-1,4)+1,"Смартфоны","Ноутбуки","Аксессуары","Аудио"),CHOOSE(MOD(A904-1,4)+1,"Верхняя одежда","Спортивная","Повседневная","Обувь"),CHOOSE(MOD(A904-1,4)+1,"Молочные","Мясные","Бакалея","Напитки"),CHOOSE(MOD(A904-1,4)+1,"Мягкая мебель","Корпусная","Офисная","Кухонная"))</f>
        <v>Повседневная</v>
      </c>
      <c r="K904" s="12" t="n">
        <f aca="false">1000+MOD(A904*317+A904*A904*7,49001)</f>
        <v>16992</v>
      </c>
      <c r="L904" s="12" t="n">
        <f aca="false">1+MOD(A904*131,100)</f>
        <v>94</v>
      </c>
      <c r="M904" s="12" t="n">
        <f aca="false">INT(K904*(0.6+MOD(A904*43,21)/100))</f>
        <v>10195</v>
      </c>
      <c r="N904" s="12" t="n">
        <f aca="false">K904-M904</f>
        <v>6797</v>
      </c>
    </row>
    <row r="905" customFormat="false" ht="12.8" hidden="false" customHeight="false" outlineLevel="0" collapsed="false">
      <c r="A905" s="10" t="n">
        <f aca="false">A904+1</f>
        <v>904</v>
      </c>
      <c r="B905" s="11" t="n">
        <f aca="false">B904+1</f>
        <v>45830</v>
      </c>
      <c r="C905" s="10" t="n">
        <f aca="false">YEAR(B905)</f>
        <v>2025</v>
      </c>
      <c r="D905" s="10" t="n">
        <f aca="false">INT((MONTH(B905)-1)/3)+1</f>
        <v>2</v>
      </c>
      <c r="E905" s="10" t="n">
        <f aca="false">MONTH(B905)</f>
        <v>6</v>
      </c>
      <c r="F905" s="10" t="str">
        <f aca="false">CHOOSE(MOD(A905-1,5)+1,"Центр","Юг","Север","Запад","Восток")</f>
        <v>Запад</v>
      </c>
      <c r="G905" s="10" t="str">
        <f aca="false">"Округ_"&amp;(MOD(A905-1,5)+1)&amp;"_"&amp;(MOD(INT((A905-1)/5),5)+1)</f>
        <v>Округ_4_1</v>
      </c>
      <c r="H905" s="10" t="str">
        <f aca="false">"Город_"&amp;(MOD(A905-1,5)+1)&amp;"_"&amp;(MOD(INT((A905-1)/5),5)+1)&amp;"_"&amp;(MOD(INT((A905-1)/25),10)+1)</f>
        <v>Город_4_1_7</v>
      </c>
      <c r="I905" s="10" t="str">
        <f aca="false">CHOOSE(MOD(A905-1,4)+1,"Электроника","Одежда","Продукты","Мебель")</f>
        <v>Мебель</v>
      </c>
      <c r="J905" s="10" t="str">
        <f aca="false">CHOOSE(MOD(INT((A905-1)/4),4)+1,CHOOSE(MOD(A905-1,4)+1,"Смартфоны","Ноутбуки","Аксессуары","Аудио"),CHOOSE(MOD(A905-1,4)+1,"Верхняя одежда","Спортивная","Повседневная","Обувь"),CHOOSE(MOD(A905-1,4)+1,"Молочные","Мясные","Бакалея","Напитки"),CHOOSE(MOD(A905-1,4)+1,"Мягкая мебель","Корпусная","Офисная","Кухонная"))</f>
        <v>Обувь</v>
      </c>
      <c r="K905" s="12" t="n">
        <f aca="false">1000+MOD(A905*317+A905*A905*7,49001)</f>
        <v>29958</v>
      </c>
      <c r="L905" s="12" t="n">
        <f aca="false">1+MOD(A905*131,100)</f>
        <v>25</v>
      </c>
      <c r="M905" s="12" t="n">
        <f aca="false">INT(K905*(0.6+MOD(A905*43,21)/100))</f>
        <v>18274</v>
      </c>
      <c r="N905" s="12" t="n">
        <f aca="false">K905-M905</f>
        <v>11684</v>
      </c>
    </row>
    <row r="906" customFormat="false" ht="12.8" hidden="false" customHeight="false" outlineLevel="0" collapsed="false">
      <c r="A906" s="10" t="n">
        <f aca="false">A905+1</f>
        <v>905</v>
      </c>
      <c r="B906" s="11" t="n">
        <f aca="false">B905+1</f>
        <v>45831</v>
      </c>
      <c r="C906" s="10" t="n">
        <f aca="false">YEAR(B906)</f>
        <v>2025</v>
      </c>
      <c r="D906" s="10" t="n">
        <f aca="false">INT((MONTH(B906)-1)/3)+1</f>
        <v>2</v>
      </c>
      <c r="E906" s="10" t="n">
        <f aca="false">MONTH(B906)</f>
        <v>6</v>
      </c>
      <c r="F906" s="10" t="str">
        <f aca="false">CHOOSE(MOD(A906-1,5)+1,"Центр","Юг","Север","Запад","Восток")</f>
        <v>Восток</v>
      </c>
      <c r="G906" s="10" t="str">
        <f aca="false">"Округ_"&amp;(MOD(A906-1,5)+1)&amp;"_"&amp;(MOD(INT((A906-1)/5),5)+1)</f>
        <v>Округ_5_1</v>
      </c>
      <c r="H906" s="10" t="str">
        <f aca="false">"Город_"&amp;(MOD(A906-1,5)+1)&amp;"_"&amp;(MOD(INT((A906-1)/5),5)+1)&amp;"_"&amp;(MOD(INT((A906-1)/25),10)+1)</f>
        <v>Город_5_1_7</v>
      </c>
      <c r="I906" s="10" t="str">
        <f aca="false">CHOOSE(MOD(A906-1,4)+1,"Электроника","Одежда","Продукты","Мебель")</f>
        <v>Электроника</v>
      </c>
      <c r="J906" s="10" t="str">
        <f aca="false">CHOOSE(MOD(INT((A906-1)/4),4)+1,CHOOSE(MOD(A906-1,4)+1,"Смартфоны","Ноутбуки","Аксессуары","Аудио"),CHOOSE(MOD(A906-1,4)+1,"Верхняя одежда","Спортивная","Повседневная","Обувь"),CHOOSE(MOD(A906-1,4)+1,"Молочные","Мясные","Бакалея","Напитки"),CHOOSE(MOD(A906-1,4)+1,"Мягкая мебель","Корпусная","Офисная","Кухонная"))</f>
        <v>Молочные</v>
      </c>
      <c r="K906" s="12" t="n">
        <f aca="false">1000+MOD(A906*317+A906*A906*7,49001)</f>
        <v>42938</v>
      </c>
      <c r="L906" s="12" t="n">
        <f aca="false">1+MOD(A906*131,100)</f>
        <v>56</v>
      </c>
      <c r="M906" s="12" t="n">
        <f aca="false">INT(K906*(0.6+MOD(A906*43,21)/100))</f>
        <v>26621</v>
      </c>
      <c r="N906" s="12" t="n">
        <f aca="false">K906-M906</f>
        <v>16317</v>
      </c>
    </row>
    <row r="907" customFormat="false" ht="12.8" hidden="false" customHeight="false" outlineLevel="0" collapsed="false">
      <c r="A907" s="10" t="n">
        <f aca="false">A906+1</f>
        <v>906</v>
      </c>
      <c r="B907" s="11" t="n">
        <f aca="false">B906+1</f>
        <v>45832</v>
      </c>
      <c r="C907" s="10" t="n">
        <f aca="false">YEAR(B907)</f>
        <v>2025</v>
      </c>
      <c r="D907" s="10" t="n">
        <f aca="false">INT((MONTH(B907)-1)/3)+1</f>
        <v>2</v>
      </c>
      <c r="E907" s="10" t="n">
        <f aca="false">MONTH(B907)</f>
        <v>6</v>
      </c>
      <c r="F907" s="10" t="str">
        <f aca="false">CHOOSE(MOD(A907-1,5)+1,"Центр","Юг","Север","Запад","Восток")</f>
        <v>Центр</v>
      </c>
      <c r="G907" s="10" t="str">
        <f aca="false">"Округ_"&amp;(MOD(A907-1,5)+1)&amp;"_"&amp;(MOD(INT((A907-1)/5),5)+1)</f>
        <v>Округ_1_2</v>
      </c>
      <c r="H907" s="10" t="str">
        <f aca="false">"Город_"&amp;(MOD(A907-1,5)+1)&amp;"_"&amp;(MOD(INT((A907-1)/5),5)+1)&amp;"_"&amp;(MOD(INT((A907-1)/25),10)+1)</f>
        <v>Город_1_2_7</v>
      </c>
      <c r="I907" s="10" t="str">
        <f aca="false">CHOOSE(MOD(A907-1,4)+1,"Электроника","Одежда","Продукты","Мебель")</f>
        <v>Одежда</v>
      </c>
      <c r="J907" s="10" t="str">
        <f aca="false">CHOOSE(MOD(INT((A907-1)/4),4)+1,CHOOSE(MOD(A907-1,4)+1,"Смартфоны","Ноутбуки","Аксессуары","Аудио"),CHOOSE(MOD(A907-1,4)+1,"Верхняя одежда","Спортивная","Повседневная","Обувь"),CHOOSE(MOD(A907-1,4)+1,"Молочные","Мясные","Бакалея","Напитки"),CHOOSE(MOD(A907-1,4)+1,"Мягкая мебель","Корпусная","Офисная","Кухонная"))</f>
        <v>Мясные</v>
      </c>
      <c r="K907" s="12" t="n">
        <f aca="false">1000+MOD(A907*317+A907*A907*7,49001)</f>
        <v>6931</v>
      </c>
      <c r="L907" s="12" t="n">
        <f aca="false">1+MOD(A907*131,100)</f>
        <v>87</v>
      </c>
      <c r="M907" s="12" t="n">
        <f aca="false">INT(K907*(0.6+MOD(A907*43,21)/100))</f>
        <v>4366</v>
      </c>
      <c r="N907" s="12" t="n">
        <f aca="false">K907-M907</f>
        <v>2565</v>
      </c>
    </row>
    <row r="908" customFormat="false" ht="12.8" hidden="false" customHeight="false" outlineLevel="0" collapsed="false">
      <c r="A908" s="10" t="n">
        <f aca="false">A907+1</f>
        <v>907</v>
      </c>
      <c r="B908" s="11" t="n">
        <f aca="false">B907+1</f>
        <v>45833</v>
      </c>
      <c r="C908" s="10" t="n">
        <f aca="false">YEAR(B908)</f>
        <v>2025</v>
      </c>
      <c r="D908" s="10" t="n">
        <f aca="false">INT((MONTH(B908)-1)/3)+1</f>
        <v>2</v>
      </c>
      <c r="E908" s="10" t="n">
        <f aca="false">MONTH(B908)</f>
        <v>6</v>
      </c>
      <c r="F908" s="10" t="str">
        <f aca="false">CHOOSE(MOD(A908-1,5)+1,"Центр","Юг","Север","Запад","Восток")</f>
        <v>Юг</v>
      </c>
      <c r="G908" s="10" t="str">
        <f aca="false">"Округ_"&amp;(MOD(A908-1,5)+1)&amp;"_"&amp;(MOD(INT((A908-1)/5),5)+1)</f>
        <v>Округ_2_2</v>
      </c>
      <c r="H908" s="10" t="str">
        <f aca="false">"Город_"&amp;(MOD(A908-1,5)+1)&amp;"_"&amp;(MOD(INT((A908-1)/5),5)+1)&amp;"_"&amp;(MOD(INT((A908-1)/25),10)+1)</f>
        <v>Город_2_2_7</v>
      </c>
      <c r="I908" s="10" t="str">
        <f aca="false">CHOOSE(MOD(A908-1,4)+1,"Электроника","Одежда","Продукты","Мебель")</f>
        <v>Продукты</v>
      </c>
      <c r="J908" s="10" t="str">
        <f aca="false">CHOOSE(MOD(INT((A908-1)/4),4)+1,CHOOSE(MOD(A908-1,4)+1,"Смартфоны","Ноутбуки","Аксессуары","Аудио"),CHOOSE(MOD(A908-1,4)+1,"Верхняя одежда","Спортивная","Повседневная","Обувь"),CHOOSE(MOD(A908-1,4)+1,"Молочные","Мясные","Бакалея","Напитки"),CHOOSE(MOD(A908-1,4)+1,"Мягкая мебель","Корпусная","Офисная","Кухонная"))</f>
        <v>Бакалея</v>
      </c>
      <c r="K908" s="12" t="n">
        <f aca="false">1000+MOD(A908*317+A908*A908*7,49001)</f>
        <v>19939</v>
      </c>
      <c r="L908" s="12" t="n">
        <f aca="false">1+MOD(A908*131,100)</f>
        <v>18</v>
      </c>
      <c r="M908" s="12" t="n">
        <f aca="false">INT(K908*(0.6+MOD(A908*43,21)/100))</f>
        <v>12760</v>
      </c>
      <c r="N908" s="12" t="n">
        <f aca="false">K908-M908</f>
        <v>7179</v>
      </c>
    </row>
    <row r="909" customFormat="false" ht="12.8" hidden="false" customHeight="false" outlineLevel="0" collapsed="false">
      <c r="A909" s="10" t="n">
        <f aca="false">A908+1</f>
        <v>908</v>
      </c>
      <c r="B909" s="11" t="n">
        <f aca="false">B908+1</f>
        <v>45834</v>
      </c>
      <c r="C909" s="10" t="n">
        <f aca="false">YEAR(B909)</f>
        <v>2025</v>
      </c>
      <c r="D909" s="10" t="n">
        <f aca="false">INT((MONTH(B909)-1)/3)+1</f>
        <v>2</v>
      </c>
      <c r="E909" s="10" t="n">
        <f aca="false">MONTH(B909)</f>
        <v>6</v>
      </c>
      <c r="F909" s="10" t="str">
        <f aca="false">CHOOSE(MOD(A909-1,5)+1,"Центр","Юг","Север","Запад","Восток")</f>
        <v>Север</v>
      </c>
      <c r="G909" s="10" t="str">
        <f aca="false">"Округ_"&amp;(MOD(A909-1,5)+1)&amp;"_"&amp;(MOD(INT((A909-1)/5),5)+1)</f>
        <v>Округ_3_2</v>
      </c>
      <c r="H909" s="10" t="str">
        <f aca="false">"Город_"&amp;(MOD(A909-1,5)+1)&amp;"_"&amp;(MOD(INT((A909-1)/5),5)+1)&amp;"_"&amp;(MOD(INT((A909-1)/25),10)+1)</f>
        <v>Город_3_2_7</v>
      </c>
      <c r="I909" s="10" t="str">
        <f aca="false">CHOOSE(MOD(A909-1,4)+1,"Электроника","Одежда","Продукты","Мебель")</f>
        <v>Мебель</v>
      </c>
      <c r="J909" s="10" t="str">
        <f aca="false">CHOOSE(MOD(INT((A909-1)/4),4)+1,CHOOSE(MOD(A909-1,4)+1,"Смартфоны","Ноутбуки","Аксессуары","Аудио"),CHOOSE(MOD(A909-1,4)+1,"Верхняя одежда","Спортивная","Повседневная","Обувь"),CHOOSE(MOD(A909-1,4)+1,"Молочные","Мясные","Бакалея","Напитки"),CHOOSE(MOD(A909-1,4)+1,"Мягкая мебель","Корпусная","Офисная","Кухонная"))</f>
        <v>Напитки</v>
      </c>
      <c r="K909" s="12" t="n">
        <f aca="false">1000+MOD(A909*317+A909*A909*7,49001)</f>
        <v>32961</v>
      </c>
      <c r="L909" s="12" t="n">
        <f aca="false">1+MOD(A909*131,100)</f>
        <v>49</v>
      </c>
      <c r="M909" s="12" t="n">
        <f aca="false">INT(K909*(0.6+MOD(A909*43,21)/100))</f>
        <v>21424</v>
      </c>
      <c r="N909" s="12" t="n">
        <f aca="false">K909-M909</f>
        <v>11537</v>
      </c>
    </row>
    <row r="910" customFormat="false" ht="12.8" hidden="false" customHeight="false" outlineLevel="0" collapsed="false">
      <c r="A910" s="10" t="n">
        <f aca="false">A909+1</f>
        <v>909</v>
      </c>
      <c r="B910" s="11" t="n">
        <f aca="false">B909+1</f>
        <v>45835</v>
      </c>
      <c r="C910" s="10" t="n">
        <f aca="false">YEAR(B910)</f>
        <v>2025</v>
      </c>
      <c r="D910" s="10" t="n">
        <f aca="false">INT((MONTH(B910)-1)/3)+1</f>
        <v>2</v>
      </c>
      <c r="E910" s="10" t="n">
        <f aca="false">MONTH(B910)</f>
        <v>6</v>
      </c>
      <c r="F910" s="10" t="str">
        <f aca="false">CHOOSE(MOD(A910-1,5)+1,"Центр","Юг","Север","Запад","Восток")</f>
        <v>Запад</v>
      </c>
      <c r="G910" s="10" t="str">
        <f aca="false">"Округ_"&amp;(MOD(A910-1,5)+1)&amp;"_"&amp;(MOD(INT((A910-1)/5),5)+1)</f>
        <v>Округ_4_2</v>
      </c>
      <c r="H910" s="10" t="str">
        <f aca="false">"Город_"&amp;(MOD(A910-1,5)+1)&amp;"_"&amp;(MOD(INT((A910-1)/5),5)+1)&amp;"_"&amp;(MOD(INT((A910-1)/25),10)+1)</f>
        <v>Город_4_2_7</v>
      </c>
      <c r="I910" s="10" t="str">
        <f aca="false">CHOOSE(MOD(A910-1,4)+1,"Электроника","Одежда","Продукты","Мебель")</f>
        <v>Электроника</v>
      </c>
      <c r="J910" s="10" t="str">
        <f aca="false">CHOOSE(MOD(INT((A910-1)/4),4)+1,CHOOSE(MOD(A910-1,4)+1,"Смартфоны","Ноутбуки","Аксессуары","Аудио"),CHOOSE(MOD(A910-1,4)+1,"Верхняя одежда","Спортивная","Повседневная","Обувь"),CHOOSE(MOD(A910-1,4)+1,"Молочные","Мясные","Бакалея","Напитки"),CHOOSE(MOD(A910-1,4)+1,"Мягкая мебель","Корпусная","Офисная","Кухонная"))</f>
        <v>Мягкая мебель</v>
      </c>
      <c r="K910" s="12" t="n">
        <f aca="false">1000+MOD(A910*317+A910*A910*7,49001)</f>
        <v>45997</v>
      </c>
      <c r="L910" s="12" t="n">
        <f aca="false">1+MOD(A910*131,100)</f>
        <v>80</v>
      </c>
      <c r="M910" s="12" t="n">
        <f aca="false">INT(K910*(0.6+MOD(A910*43,21)/100))</f>
        <v>30358</v>
      </c>
      <c r="N910" s="12" t="n">
        <f aca="false">K910-M910</f>
        <v>15639</v>
      </c>
    </row>
    <row r="911" customFormat="false" ht="12.8" hidden="false" customHeight="false" outlineLevel="0" collapsed="false">
      <c r="A911" s="10" t="n">
        <f aca="false">A910+1</f>
        <v>910</v>
      </c>
      <c r="B911" s="11" t="n">
        <f aca="false">B910+1</f>
        <v>45836</v>
      </c>
      <c r="C911" s="10" t="n">
        <f aca="false">YEAR(B911)</f>
        <v>2025</v>
      </c>
      <c r="D911" s="10" t="n">
        <f aca="false">INT((MONTH(B911)-1)/3)+1</f>
        <v>2</v>
      </c>
      <c r="E911" s="10" t="n">
        <f aca="false">MONTH(B911)</f>
        <v>6</v>
      </c>
      <c r="F911" s="10" t="str">
        <f aca="false">CHOOSE(MOD(A911-1,5)+1,"Центр","Юг","Север","Запад","Восток")</f>
        <v>Восток</v>
      </c>
      <c r="G911" s="10" t="str">
        <f aca="false">"Округ_"&amp;(MOD(A911-1,5)+1)&amp;"_"&amp;(MOD(INT((A911-1)/5),5)+1)</f>
        <v>Округ_5_2</v>
      </c>
      <c r="H911" s="10" t="str">
        <f aca="false">"Город_"&amp;(MOD(A911-1,5)+1)&amp;"_"&amp;(MOD(INT((A911-1)/5),5)+1)&amp;"_"&amp;(MOD(INT((A911-1)/25),10)+1)</f>
        <v>Город_5_2_7</v>
      </c>
      <c r="I911" s="10" t="str">
        <f aca="false">CHOOSE(MOD(A911-1,4)+1,"Электроника","Одежда","Продукты","Мебель")</f>
        <v>Одежда</v>
      </c>
      <c r="J911" s="10" t="str">
        <f aca="false">CHOOSE(MOD(INT((A911-1)/4),4)+1,CHOOSE(MOD(A911-1,4)+1,"Смартфоны","Ноутбуки","Аксессуары","Аудио"),CHOOSE(MOD(A911-1,4)+1,"Верхняя одежда","Спортивная","Повседневная","Обувь"),CHOOSE(MOD(A911-1,4)+1,"Молочные","Мясные","Бакалея","Напитки"),CHOOSE(MOD(A911-1,4)+1,"Мягкая мебель","Корпусная","Офисная","Кухонная"))</f>
        <v>Корпусная</v>
      </c>
      <c r="K911" s="12" t="n">
        <f aca="false">1000+MOD(A911*317+A911*A911*7,49001)</f>
        <v>10046</v>
      </c>
      <c r="L911" s="12" t="n">
        <f aca="false">1+MOD(A911*131,100)</f>
        <v>11</v>
      </c>
      <c r="M911" s="12" t="n">
        <f aca="false">INT(K911*(0.6+MOD(A911*43,21)/100))</f>
        <v>6730</v>
      </c>
      <c r="N911" s="12" t="n">
        <f aca="false">K911-M911</f>
        <v>3316</v>
      </c>
    </row>
    <row r="912" customFormat="false" ht="12.8" hidden="false" customHeight="false" outlineLevel="0" collapsed="false">
      <c r="A912" s="10" t="n">
        <f aca="false">A911+1</f>
        <v>911</v>
      </c>
      <c r="B912" s="11" t="n">
        <f aca="false">B911+1</f>
        <v>45837</v>
      </c>
      <c r="C912" s="10" t="n">
        <f aca="false">YEAR(B912)</f>
        <v>2025</v>
      </c>
      <c r="D912" s="10" t="n">
        <f aca="false">INT((MONTH(B912)-1)/3)+1</f>
        <v>2</v>
      </c>
      <c r="E912" s="10" t="n">
        <f aca="false">MONTH(B912)</f>
        <v>6</v>
      </c>
      <c r="F912" s="10" t="str">
        <f aca="false">CHOOSE(MOD(A912-1,5)+1,"Центр","Юг","Север","Запад","Восток")</f>
        <v>Центр</v>
      </c>
      <c r="G912" s="10" t="str">
        <f aca="false">"Округ_"&amp;(MOD(A912-1,5)+1)&amp;"_"&amp;(MOD(INT((A912-1)/5),5)+1)</f>
        <v>Округ_1_3</v>
      </c>
      <c r="H912" s="10" t="str">
        <f aca="false">"Город_"&amp;(MOD(A912-1,5)+1)&amp;"_"&amp;(MOD(INT((A912-1)/5),5)+1)&amp;"_"&amp;(MOD(INT((A912-1)/25),10)+1)</f>
        <v>Город_1_3_7</v>
      </c>
      <c r="I912" s="10" t="str">
        <f aca="false">CHOOSE(MOD(A912-1,4)+1,"Электроника","Одежда","Продукты","Мебель")</f>
        <v>Продукты</v>
      </c>
      <c r="J912" s="10" t="str">
        <f aca="false">CHOOSE(MOD(INT((A912-1)/4),4)+1,CHOOSE(MOD(A912-1,4)+1,"Смартфоны","Ноутбуки","Аксессуары","Аудио"),CHOOSE(MOD(A912-1,4)+1,"Верхняя одежда","Спортивная","Повседневная","Обувь"),CHOOSE(MOD(A912-1,4)+1,"Молочные","Мясные","Бакалея","Напитки"),CHOOSE(MOD(A912-1,4)+1,"Мягкая мебель","Корпусная","Офисная","Кухонная"))</f>
        <v>Офисная</v>
      </c>
      <c r="K912" s="12" t="n">
        <f aca="false">1000+MOD(A912*317+A912*A912*7,49001)</f>
        <v>23110</v>
      </c>
      <c r="L912" s="12" t="n">
        <f aca="false">1+MOD(A912*131,100)</f>
        <v>42</v>
      </c>
      <c r="M912" s="12" t="n">
        <f aca="false">INT(K912*(0.6+MOD(A912*43,21)/100))</f>
        <v>15714</v>
      </c>
      <c r="N912" s="12" t="n">
        <f aca="false">K912-M912</f>
        <v>7396</v>
      </c>
    </row>
    <row r="913" customFormat="false" ht="12.8" hidden="false" customHeight="false" outlineLevel="0" collapsed="false">
      <c r="A913" s="10" t="n">
        <f aca="false">A912+1</f>
        <v>912</v>
      </c>
      <c r="B913" s="11" t="n">
        <f aca="false">B912+1</f>
        <v>45838</v>
      </c>
      <c r="C913" s="10" t="n">
        <f aca="false">YEAR(B913)</f>
        <v>2025</v>
      </c>
      <c r="D913" s="10" t="n">
        <f aca="false">INT((MONTH(B913)-1)/3)+1</f>
        <v>2</v>
      </c>
      <c r="E913" s="10" t="n">
        <f aca="false">MONTH(B913)</f>
        <v>6</v>
      </c>
      <c r="F913" s="10" t="str">
        <f aca="false">CHOOSE(MOD(A913-1,5)+1,"Центр","Юг","Север","Запад","Восток")</f>
        <v>Юг</v>
      </c>
      <c r="G913" s="10" t="str">
        <f aca="false">"Округ_"&amp;(MOD(A913-1,5)+1)&amp;"_"&amp;(MOD(INT((A913-1)/5),5)+1)</f>
        <v>Округ_2_3</v>
      </c>
      <c r="H913" s="10" t="str">
        <f aca="false">"Город_"&amp;(MOD(A913-1,5)+1)&amp;"_"&amp;(MOD(INT((A913-1)/5),5)+1)&amp;"_"&amp;(MOD(INT((A913-1)/25),10)+1)</f>
        <v>Город_2_3_7</v>
      </c>
      <c r="I913" s="10" t="str">
        <f aca="false">CHOOSE(MOD(A913-1,4)+1,"Электроника","Одежда","Продукты","Мебель")</f>
        <v>Мебель</v>
      </c>
      <c r="J913" s="10" t="str">
        <f aca="false">CHOOSE(MOD(INT((A913-1)/4),4)+1,CHOOSE(MOD(A913-1,4)+1,"Смартфоны","Ноутбуки","Аксессуары","Аудио"),CHOOSE(MOD(A913-1,4)+1,"Верхняя одежда","Спортивная","Повседневная","Обувь"),CHOOSE(MOD(A913-1,4)+1,"Молочные","Мясные","Бакалея","Напитки"),CHOOSE(MOD(A913-1,4)+1,"Мягкая мебель","Корпусная","Офисная","Кухонная"))</f>
        <v>Кухонная</v>
      </c>
      <c r="K913" s="12" t="n">
        <f aca="false">1000+MOD(A913*317+A913*A913*7,49001)</f>
        <v>36188</v>
      </c>
      <c r="L913" s="12" t="n">
        <f aca="false">1+MOD(A913*131,100)</f>
        <v>73</v>
      </c>
      <c r="M913" s="12" t="n">
        <f aca="false">INT(K913*(0.6+MOD(A913*43,21)/100))</f>
        <v>24969</v>
      </c>
      <c r="N913" s="12" t="n">
        <f aca="false">K913-M913</f>
        <v>11219</v>
      </c>
    </row>
    <row r="914" customFormat="false" ht="12.8" hidden="false" customHeight="false" outlineLevel="0" collapsed="false">
      <c r="A914" s="10" t="n">
        <f aca="false">A913+1</f>
        <v>913</v>
      </c>
      <c r="B914" s="11" t="n">
        <f aca="false">B913+1</f>
        <v>45839</v>
      </c>
      <c r="C914" s="10" t="n">
        <f aca="false">YEAR(B914)</f>
        <v>2025</v>
      </c>
      <c r="D914" s="10" t="n">
        <f aca="false">INT((MONTH(B914)-1)/3)+1</f>
        <v>3</v>
      </c>
      <c r="E914" s="10" t="n">
        <f aca="false">MONTH(B914)</f>
        <v>7</v>
      </c>
      <c r="F914" s="10" t="str">
        <f aca="false">CHOOSE(MOD(A914-1,5)+1,"Центр","Юг","Север","Запад","Восток")</f>
        <v>Север</v>
      </c>
      <c r="G914" s="10" t="str">
        <f aca="false">"Округ_"&amp;(MOD(A914-1,5)+1)&amp;"_"&amp;(MOD(INT((A914-1)/5),5)+1)</f>
        <v>Округ_3_3</v>
      </c>
      <c r="H914" s="10" t="str">
        <f aca="false">"Город_"&amp;(MOD(A914-1,5)+1)&amp;"_"&amp;(MOD(INT((A914-1)/5),5)+1)&amp;"_"&amp;(MOD(INT((A914-1)/25),10)+1)</f>
        <v>Город_3_3_7</v>
      </c>
      <c r="I914" s="10" t="str">
        <f aca="false">CHOOSE(MOD(A914-1,4)+1,"Электроника","Одежда","Продукты","Мебель")</f>
        <v>Электроника</v>
      </c>
      <c r="J914" s="10" t="str">
        <f aca="false">CHOOSE(MOD(INT((A914-1)/4),4)+1,CHOOSE(MOD(A914-1,4)+1,"Смартфоны","Ноутбуки","Аксессуары","Аудио"),CHOOSE(MOD(A914-1,4)+1,"Верхняя одежда","Спортивная","Повседневная","Обувь"),CHOOSE(MOD(A914-1,4)+1,"Молочные","Мясные","Бакалея","Напитки"),CHOOSE(MOD(A914-1,4)+1,"Мягкая мебель","Корпусная","Офисная","Кухонная"))</f>
        <v>Смартфоны</v>
      </c>
      <c r="K914" s="12" t="n">
        <f aca="false">1000+MOD(A914*317+A914*A914*7,49001)</f>
        <v>49280</v>
      </c>
      <c r="L914" s="12" t="n">
        <f aca="false">1+MOD(A914*131,100)</f>
        <v>4</v>
      </c>
      <c r="M914" s="12" t="n">
        <f aca="false">INT(K914*(0.6+MOD(A914*43,21)/100))</f>
        <v>34496</v>
      </c>
      <c r="N914" s="12" t="n">
        <f aca="false">K914-M914</f>
        <v>14784</v>
      </c>
    </row>
    <row r="915" customFormat="false" ht="12.8" hidden="false" customHeight="false" outlineLevel="0" collapsed="false">
      <c r="A915" s="10" t="n">
        <f aca="false">A914+1</f>
        <v>914</v>
      </c>
      <c r="B915" s="11" t="n">
        <f aca="false">B914+1</f>
        <v>45840</v>
      </c>
      <c r="C915" s="10" t="n">
        <f aca="false">YEAR(B915)</f>
        <v>2025</v>
      </c>
      <c r="D915" s="10" t="n">
        <f aca="false">INT((MONTH(B915)-1)/3)+1</f>
        <v>3</v>
      </c>
      <c r="E915" s="10" t="n">
        <f aca="false">MONTH(B915)</f>
        <v>7</v>
      </c>
      <c r="F915" s="10" t="str">
        <f aca="false">CHOOSE(MOD(A915-1,5)+1,"Центр","Юг","Север","Запад","Восток")</f>
        <v>Запад</v>
      </c>
      <c r="G915" s="10" t="str">
        <f aca="false">"Округ_"&amp;(MOD(A915-1,5)+1)&amp;"_"&amp;(MOD(INT((A915-1)/5),5)+1)</f>
        <v>Округ_4_3</v>
      </c>
      <c r="H915" s="10" t="str">
        <f aca="false">"Город_"&amp;(MOD(A915-1,5)+1)&amp;"_"&amp;(MOD(INT((A915-1)/5),5)+1)&amp;"_"&amp;(MOD(INT((A915-1)/25),10)+1)</f>
        <v>Город_4_3_7</v>
      </c>
      <c r="I915" s="10" t="str">
        <f aca="false">CHOOSE(MOD(A915-1,4)+1,"Электроника","Одежда","Продукты","Мебель")</f>
        <v>Одежда</v>
      </c>
      <c r="J915" s="10" t="str">
        <f aca="false">CHOOSE(MOD(INT((A915-1)/4),4)+1,CHOOSE(MOD(A915-1,4)+1,"Смартфоны","Ноутбуки","Аксессуары","Аудио"),CHOOSE(MOD(A915-1,4)+1,"Верхняя одежда","Спортивная","Повседневная","Обувь"),CHOOSE(MOD(A915-1,4)+1,"Молочные","Мясные","Бакалея","Напитки"),CHOOSE(MOD(A915-1,4)+1,"Мягкая мебель","Корпусная","Офисная","Кухонная"))</f>
        <v>Ноутбуки</v>
      </c>
      <c r="K915" s="12" t="n">
        <f aca="false">1000+MOD(A915*317+A915*A915*7,49001)</f>
        <v>13385</v>
      </c>
      <c r="L915" s="12" t="n">
        <f aca="false">1+MOD(A915*131,100)</f>
        <v>35</v>
      </c>
      <c r="M915" s="12" t="n">
        <f aca="false">INT(K915*(0.6+MOD(A915*43,21)/100))</f>
        <v>9503</v>
      </c>
      <c r="N915" s="12" t="n">
        <f aca="false">K915-M915</f>
        <v>3882</v>
      </c>
    </row>
    <row r="916" customFormat="false" ht="12.8" hidden="false" customHeight="false" outlineLevel="0" collapsed="false">
      <c r="A916" s="10" t="n">
        <f aca="false">A915+1</f>
        <v>915</v>
      </c>
      <c r="B916" s="11" t="n">
        <f aca="false">B915+1</f>
        <v>45841</v>
      </c>
      <c r="C916" s="10" t="n">
        <f aca="false">YEAR(B916)</f>
        <v>2025</v>
      </c>
      <c r="D916" s="10" t="n">
        <f aca="false">INT((MONTH(B916)-1)/3)+1</f>
        <v>3</v>
      </c>
      <c r="E916" s="10" t="n">
        <f aca="false">MONTH(B916)</f>
        <v>7</v>
      </c>
      <c r="F916" s="10" t="str">
        <f aca="false">CHOOSE(MOD(A916-1,5)+1,"Центр","Юг","Север","Запад","Восток")</f>
        <v>Восток</v>
      </c>
      <c r="G916" s="10" t="str">
        <f aca="false">"Округ_"&amp;(MOD(A916-1,5)+1)&amp;"_"&amp;(MOD(INT((A916-1)/5),5)+1)</f>
        <v>Округ_5_3</v>
      </c>
      <c r="H916" s="10" t="str">
        <f aca="false">"Город_"&amp;(MOD(A916-1,5)+1)&amp;"_"&amp;(MOD(INT((A916-1)/5),5)+1)&amp;"_"&amp;(MOD(INT((A916-1)/25),10)+1)</f>
        <v>Город_5_3_7</v>
      </c>
      <c r="I916" s="10" t="str">
        <f aca="false">CHOOSE(MOD(A916-1,4)+1,"Электроника","Одежда","Продукты","Мебель")</f>
        <v>Продукты</v>
      </c>
      <c r="J916" s="10" t="str">
        <f aca="false">CHOOSE(MOD(INT((A916-1)/4),4)+1,CHOOSE(MOD(A916-1,4)+1,"Смартфоны","Ноутбуки","Аксессуары","Аудио"),CHOOSE(MOD(A916-1,4)+1,"Верхняя одежда","Спортивная","Повседневная","Обувь"),CHOOSE(MOD(A916-1,4)+1,"Молочные","Мясные","Бакалея","Напитки"),CHOOSE(MOD(A916-1,4)+1,"Мягкая мебель","Корпусная","Офисная","Кухонная"))</f>
        <v>Аксессуары</v>
      </c>
      <c r="K916" s="12" t="n">
        <f aca="false">1000+MOD(A916*317+A916*A916*7,49001)</f>
        <v>26505</v>
      </c>
      <c r="L916" s="12" t="n">
        <f aca="false">1+MOD(A916*131,100)</f>
        <v>66</v>
      </c>
      <c r="M916" s="12" t="n">
        <f aca="false">INT(K916*(0.6+MOD(A916*43,21)/100))</f>
        <v>19083</v>
      </c>
      <c r="N916" s="12" t="n">
        <f aca="false">K916-M916</f>
        <v>7422</v>
      </c>
    </row>
    <row r="917" customFormat="false" ht="12.8" hidden="false" customHeight="false" outlineLevel="0" collapsed="false">
      <c r="A917" s="10" t="n">
        <f aca="false">A916+1</f>
        <v>916</v>
      </c>
      <c r="B917" s="11" t="n">
        <f aca="false">B916+1</f>
        <v>45842</v>
      </c>
      <c r="C917" s="10" t="n">
        <f aca="false">YEAR(B917)</f>
        <v>2025</v>
      </c>
      <c r="D917" s="10" t="n">
        <f aca="false">INT((MONTH(B917)-1)/3)+1</f>
        <v>3</v>
      </c>
      <c r="E917" s="10" t="n">
        <f aca="false">MONTH(B917)</f>
        <v>7</v>
      </c>
      <c r="F917" s="10" t="str">
        <f aca="false">CHOOSE(MOD(A917-1,5)+1,"Центр","Юг","Север","Запад","Восток")</f>
        <v>Центр</v>
      </c>
      <c r="G917" s="10" t="str">
        <f aca="false">"Округ_"&amp;(MOD(A917-1,5)+1)&amp;"_"&amp;(MOD(INT((A917-1)/5),5)+1)</f>
        <v>Округ_1_4</v>
      </c>
      <c r="H917" s="10" t="str">
        <f aca="false">"Город_"&amp;(MOD(A917-1,5)+1)&amp;"_"&amp;(MOD(INT((A917-1)/5),5)+1)&amp;"_"&amp;(MOD(INT((A917-1)/25),10)+1)</f>
        <v>Город_1_4_7</v>
      </c>
      <c r="I917" s="10" t="str">
        <f aca="false">CHOOSE(MOD(A917-1,4)+1,"Электроника","Одежда","Продукты","Мебель")</f>
        <v>Мебель</v>
      </c>
      <c r="J917" s="10" t="str">
        <f aca="false">CHOOSE(MOD(INT((A917-1)/4),4)+1,CHOOSE(MOD(A917-1,4)+1,"Смартфоны","Ноутбуки","Аксессуары","Аудио"),CHOOSE(MOD(A917-1,4)+1,"Верхняя одежда","Спортивная","Повседневная","Обувь"),CHOOSE(MOD(A917-1,4)+1,"Молочные","Мясные","Бакалея","Напитки"),CHOOSE(MOD(A917-1,4)+1,"Мягкая мебель","Корпусная","Офисная","Кухонная"))</f>
        <v>Аудио</v>
      </c>
      <c r="K917" s="12" t="n">
        <f aca="false">1000+MOD(A917*317+A917*A917*7,49001)</f>
        <v>39639</v>
      </c>
      <c r="L917" s="12" t="n">
        <f aca="false">1+MOD(A917*131,100)</f>
        <v>97</v>
      </c>
      <c r="M917" s="12" t="n">
        <f aca="false">INT(K917*(0.6+MOD(A917*43,21)/100))</f>
        <v>28936</v>
      </c>
      <c r="N917" s="12" t="n">
        <f aca="false">K917-M917</f>
        <v>10703</v>
      </c>
    </row>
    <row r="918" customFormat="false" ht="12.8" hidden="false" customHeight="false" outlineLevel="0" collapsed="false">
      <c r="A918" s="10" t="n">
        <f aca="false">A917+1</f>
        <v>917</v>
      </c>
      <c r="B918" s="11" t="n">
        <f aca="false">B917+1</f>
        <v>45843</v>
      </c>
      <c r="C918" s="10" t="n">
        <f aca="false">YEAR(B918)</f>
        <v>2025</v>
      </c>
      <c r="D918" s="10" t="n">
        <f aca="false">INT((MONTH(B918)-1)/3)+1</f>
        <v>3</v>
      </c>
      <c r="E918" s="10" t="n">
        <f aca="false">MONTH(B918)</f>
        <v>7</v>
      </c>
      <c r="F918" s="10" t="str">
        <f aca="false">CHOOSE(MOD(A918-1,5)+1,"Центр","Юг","Север","Запад","Восток")</f>
        <v>Юг</v>
      </c>
      <c r="G918" s="10" t="str">
        <f aca="false">"Округ_"&amp;(MOD(A918-1,5)+1)&amp;"_"&amp;(MOD(INT((A918-1)/5),5)+1)</f>
        <v>Округ_2_4</v>
      </c>
      <c r="H918" s="10" t="str">
        <f aca="false">"Город_"&amp;(MOD(A918-1,5)+1)&amp;"_"&amp;(MOD(INT((A918-1)/5),5)+1)&amp;"_"&amp;(MOD(INT((A918-1)/25),10)+1)</f>
        <v>Город_2_4_7</v>
      </c>
      <c r="I918" s="10" t="str">
        <f aca="false">CHOOSE(MOD(A918-1,4)+1,"Электроника","Одежда","Продукты","Мебель")</f>
        <v>Электроника</v>
      </c>
      <c r="J918" s="10" t="str">
        <f aca="false">CHOOSE(MOD(INT((A918-1)/4),4)+1,CHOOSE(MOD(A918-1,4)+1,"Смартфоны","Ноутбуки","Аксессуары","Аудио"),CHOOSE(MOD(A918-1,4)+1,"Верхняя одежда","Спортивная","Повседневная","Обувь"),CHOOSE(MOD(A918-1,4)+1,"Молочные","Мясные","Бакалея","Напитки"),CHOOSE(MOD(A918-1,4)+1,"Мягкая мебель","Корпусная","Офисная","Кухонная"))</f>
        <v>Верхняя одежда</v>
      </c>
      <c r="K918" s="12" t="n">
        <f aca="false">1000+MOD(A918*317+A918*A918*7,49001)</f>
        <v>3786</v>
      </c>
      <c r="L918" s="12" t="n">
        <f aca="false">1+MOD(A918*131,100)</f>
        <v>28</v>
      </c>
      <c r="M918" s="12" t="n">
        <f aca="false">INT(K918*(0.6+MOD(A918*43,21)/100))</f>
        <v>2801</v>
      </c>
      <c r="N918" s="12" t="n">
        <f aca="false">K918-M918</f>
        <v>985</v>
      </c>
    </row>
    <row r="919" customFormat="false" ht="12.8" hidden="false" customHeight="false" outlineLevel="0" collapsed="false">
      <c r="A919" s="10" t="n">
        <f aca="false">A918+1</f>
        <v>918</v>
      </c>
      <c r="B919" s="11" t="n">
        <f aca="false">B918+1</f>
        <v>45844</v>
      </c>
      <c r="C919" s="10" t="n">
        <f aca="false">YEAR(B919)</f>
        <v>2025</v>
      </c>
      <c r="D919" s="10" t="n">
        <f aca="false">INT((MONTH(B919)-1)/3)+1</f>
        <v>3</v>
      </c>
      <c r="E919" s="10" t="n">
        <f aca="false">MONTH(B919)</f>
        <v>7</v>
      </c>
      <c r="F919" s="10" t="str">
        <f aca="false">CHOOSE(MOD(A919-1,5)+1,"Центр","Юг","Север","Запад","Восток")</f>
        <v>Север</v>
      </c>
      <c r="G919" s="10" t="str">
        <f aca="false">"Округ_"&amp;(MOD(A919-1,5)+1)&amp;"_"&amp;(MOD(INT((A919-1)/5),5)+1)</f>
        <v>Округ_3_4</v>
      </c>
      <c r="H919" s="10" t="str">
        <f aca="false">"Город_"&amp;(MOD(A919-1,5)+1)&amp;"_"&amp;(MOD(INT((A919-1)/5),5)+1)&amp;"_"&amp;(MOD(INT((A919-1)/25),10)+1)</f>
        <v>Город_3_4_7</v>
      </c>
      <c r="I919" s="10" t="str">
        <f aca="false">CHOOSE(MOD(A919-1,4)+1,"Электроника","Одежда","Продукты","Мебель")</f>
        <v>Одежда</v>
      </c>
      <c r="J919" s="10" t="str">
        <f aca="false">CHOOSE(MOD(INT((A919-1)/4),4)+1,CHOOSE(MOD(A919-1,4)+1,"Смартфоны","Ноутбуки","Аксессуары","Аудио"),CHOOSE(MOD(A919-1,4)+1,"Верхняя одежда","Спортивная","Повседневная","Обувь"),CHOOSE(MOD(A919-1,4)+1,"Молочные","Мясные","Бакалея","Напитки"),CHOOSE(MOD(A919-1,4)+1,"Мягкая мебель","Корпусная","Офисная","Кухонная"))</f>
        <v>Спортивная</v>
      </c>
      <c r="K919" s="12" t="n">
        <f aca="false">1000+MOD(A919*317+A919*A919*7,49001)</f>
        <v>16948</v>
      </c>
      <c r="L919" s="12" t="n">
        <f aca="false">1+MOD(A919*131,100)</f>
        <v>59</v>
      </c>
      <c r="M919" s="12" t="n">
        <f aca="false">INT(K919*(0.6+MOD(A919*43,21)/100))</f>
        <v>12711</v>
      </c>
      <c r="N919" s="12" t="n">
        <f aca="false">K919-M919</f>
        <v>4237</v>
      </c>
    </row>
    <row r="920" customFormat="false" ht="12.8" hidden="false" customHeight="false" outlineLevel="0" collapsed="false">
      <c r="A920" s="10" t="n">
        <f aca="false">A919+1</f>
        <v>919</v>
      </c>
      <c r="B920" s="11" t="n">
        <f aca="false">B919+1</f>
        <v>45845</v>
      </c>
      <c r="C920" s="10" t="n">
        <f aca="false">YEAR(B920)</f>
        <v>2025</v>
      </c>
      <c r="D920" s="10" t="n">
        <f aca="false">INT((MONTH(B920)-1)/3)+1</f>
        <v>3</v>
      </c>
      <c r="E920" s="10" t="n">
        <f aca="false">MONTH(B920)</f>
        <v>7</v>
      </c>
      <c r="F920" s="10" t="str">
        <f aca="false">CHOOSE(MOD(A920-1,5)+1,"Центр","Юг","Север","Запад","Восток")</f>
        <v>Запад</v>
      </c>
      <c r="G920" s="10" t="str">
        <f aca="false">"Округ_"&amp;(MOD(A920-1,5)+1)&amp;"_"&amp;(MOD(INT((A920-1)/5),5)+1)</f>
        <v>Округ_4_4</v>
      </c>
      <c r="H920" s="10" t="str">
        <f aca="false">"Город_"&amp;(MOD(A920-1,5)+1)&amp;"_"&amp;(MOD(INT((A920-1)/5),5)+1)&amp;"_"&amp;(MOD(INT((A920-1)/25),10)+1)</f>
        <v>Город_4_4_7</v>
      </c>
      <c r="I920" s="10" t="str">
        <f aca="false">CHOOSE(MOD(A920-1,4)+1,"Электроника","Одежда","Продукты","Мебель")</f>
        <v>Продукты</v>
      </c>
      <c r="J920" s="10" t="str">
        <f aca="false">CHOOSE(MOD(INT((A920-1)/4),4)+1,CHOOSE(MOD(A920-1,4)+1,"Смартфоны","Ноутбуки","Аксессуары","Аудио"),CHOOSE(MOD(A920-1,4)+1,"Верхняя одежда","Спортивная","Повседневная","Обувь"),CHOOSE(MOD(A920-1,4)+1,"Молочные","Мясные","Бакалея","Напитки"),CHOOSE(MOD(A920-1,4)+1,"Мягкая мебель","Корпусная","Офисная","Кухонная"))</f>
        <v>Повседневная</v>
      </c>
      <c r="K920" s="12" t="n">
        <f aca="false">1000+MOD(A920*317+A920*A920*7,49001)</f>
        <v>30124</v>
      </c>
      <c r="L920" s="12" t="n">
        <f aca="false">1+MOD(A920*131,100)</f>
        <v>90</v>
      </c>
      <c r="M920" s="12" t="n">
        <f aca="false">INT(K920*(0.6+MOD(A920*43,21)/100))</f>
        <v>22894</v>
      </c>
      <c r="N920" s="12" t="n">
        <f aca="false">K920-M920</f>
        <v>7230</v>
      </c>
    </row>
    <row r="921" customFormat="false" ht="12.8" hidden="false" customHeight="false" outlineLevel="0" collapsed="false">
      <c r="A921" s="10" t="n">
        <f aca="false">A920+1</f>
        <v>920</v>
      </c>
      <c r="B921" s="11" t="n">
        <f aca="false">B920+1</f>
        <v>45846</v>
      </c>
      <c r="C921" s="10" t="n">
        <f aca="false">YEAR(B921)</f>
        <v>2025</v>
      </c>
      <c r="D921" s="10" t="n">
        <f aca="false">INT((MONTH(B921)-1)/3)+1</f>
        <v>3</v>
      </c>
      <c r="E921" s="10" t="n">
        <f aca="false">MONTH(B921)</f>
        <v>7</v>
      </c>
      <c r="F921" s="10" t="str">
        <f aca="false">CHOOSE(MOD(A921-1,5)+1,"Центр","Юг","Север","Запад","Восток")</f>
        <v>Восток</v>
      </c>
      <c r="G921" s="10" t="str">
        <f aca="false">"Округ_"&amp;(MOD(A921-1,5)+1)&amp;"_"&amp;(MOD(INT((A921-1)/5),5)+1)</f>
        <v>Округ_5_4</v>
      </c>
      <c r="H921" s="10" t="str">
        <f aca="false">"Город_"&amp;(MOD(A921-1,5)+1)&amp;"_"&amp;(MOD(INT((A921-1)/5),5)+1)&amp;"_"&amp;(MOD(INT((A921-1)/25),10)+1)</f>
        <v>Город_5_4_7</v>
      </c>
      <c r="I921" s="10" t="str">
        <f aca="false">CHOOSE(MOD(A921-1,4)+1,"Электроника","Одежда","Продукты","Мебель")</f>
        <v>Мебель</v>
      </c>
      <c r="J921" s="10" t="str">
        <f aca="false">CHOOSE(MOD(INT((A921-1)/4),4)+1,CHOOSE(MOD(A921-1,4)+1,"Смартфоны","Ноутбуки","Аксессуары","Аудио"),CHOOSE(MOD(A921-1,4)+1,"Верхняя одежда","Спортивная","Повседневная","Обувь"),CHOOSE(MOD(A921-1,4)+1,"Молочные","Мясные","Бакалея","Напитки"),CHOOSE(MOD(A921-1,4)+1,"Мягкая мебель","Корпусная","Офисная","Кухонная"))</f>
        <v>Обувь</v>
      </c>
      <c r="K921" s="12" t="n">
        <f aca="false">1000+MOD(A921*317+A921*A921*7,49001)</f>
        <v>43314</v>
      </c>
      <c r="L921" s="12" t="n">
        <f aca="false">1+MOD(A921*131,100)</f>
        <v>21</v>
      </c>
      <c r="M921" s="12" t="n">
        <f aca="false">INT(K921*(0.6+MOD(A921*43,21)/100))</f>
        <v>33351</v>
      </c>
      <c r="N921" s="12" t="n">
        <f aca="false">K921-M921</f>
        <v>9963</v>
      </c>
    </row>
    <row r="922" customFormat="false" ht="12.8" hidden="false" customHeight="false" outlineLevel="0" collapsed="false">
      <c r="A922" s="10" t="n">
        <f aca="false">A921+1</f>
        <v>921</v>
      </c>
      <c r="B922" s="11" t="n">
        <f aca="false">B921+1</f>
        <v>45847</v>
      </c>
      <c r="C922" s="10" t="n">
        <f aca="false">YEAR(B922)</f>
        <v>2025</v>
      </c>
      <c r="D922" s="10" t="n">
        <f aca="false">INT((MONTH(B922)-1)/3)+1</f>
        <v>3</v>
      </c>
      <c r="E922" s="10" t="n">
        <f aca="false">MONTH(B922)</f>
        <v>7</v>
      </c>
      <c r="F922" s="10" t="str">
        <f aca="false">CHOOSE(MOD(A922-1,5)+1,"Центр","Юг","Север","Запад","Восток")</f>
        <v>Центр</v>
      </c>
      <c r="G922" s="10" t="str">
        <f aca="false">"Округ_"&amp;(MOD(A922-1,5)+1)&amp;"_"&amp;(MOD(INT((A922-1)/5),5)+1)</f>
        <v>Округ_1_5</v>
      </c>
      <c r="H922" s="10" t="str">
        <f aca="false">"Город_"&amp;(MOD(A922-1,5)+1)&amp;"_"&amp;(MOD(INT((A922-1)/5),5)+1)&amp;"_"&amp;(MOD(INT((A922-1)/25),10)+1)</f>
        <v>Город_1_5_7</v>
      </c>
      <c r="I922" s="10" t="str">
        <f aca="false">CHOOSE(MOD(A922-1,4)+1,"Электроника","Одежда","Продукты","Мебель")</f>
        <v>Электроника</v>
      </c>
      <c r="J922" s="10" t="str">
        <f aca="false">CHOOSE(MOD(INT((A922-1)/4),4)+1,CHOOSE(MOD(A922-1,4)+1,"Смартфоны","Ноутбуки","Аксессуары","Аудио"),CHOOSE(MOD(A922-1,4)+1,"Верхняя одежда","Спортивная","Повседневная","Обувь"),CHOOSE(MOD(A922-1,4)+1,"Молочные","Мясные","Бакалея","Напитки"),CHOOSE(MOD(A922-1,4)+1,"Мягкая мебель","Корпусная","Офисная","Кухонная"))</f>
        <v>Молочные</v>
      </c>
      <c r="K922" s="12" t="n">
        <f aca="false">1000+MOD(A922*317+A922*A922*7,49001)</f>
        <v>7517</v>
      </c>
      <c r="L922" s="12" t="n">
        <f aca="false">1+MOD(A922*131,100)</f>
        <v>52</v>
      </c>
      <c r="M922" s="12" t="n">
        <f aca="false">INT(K922*(0.6+MOD(A922*43,21)/100))</f>
        <v>5863</v>
      </c>
      <c r="N922" s="12" t="n">
        <f aca="false">K922-M922</f>
        <v>1654</v>
      </c>
    </row>
    <row r="923" customFormat="false" ht="12.8" hidden="false" customHeight="false" outlineLevel="0" collapsed="false">
      <c r="A923" s="10" t="n">
        <f aca="false">A922+1</f>
        <v>922</v>
      </c>
      <c r="B923" s="11" t="n">
        <f aca="false">B922+1</f>
        <v>45848</v>
      </c>
      <c r="C923" s="10" t="n">
        <f aca="false">YEAR(B923)</f>
        <v>2025</v>
      </c>
      <c r="D923" s="10" t="n">
        <f aca="false">INT((MONTH(B923)-1)/3)+1</f>
        <v>3</v>
      </c>
      <c r="E923" s="10" t="n">
        <f aca="false">MONTH(B923)</f>
        <v>7</v>
      </c>
      <c r="F923" s="10" t="str">
        <f aca="false">CHOOSE(MOD(A923-1,5)+1,"Центр","Юг","Север","Запад","Восток")</f>
        <v>Юг</v>
      </c>
      <c r="G923" s="10" t="str">
        <f aca="false">"Округ_"&amp;(MOD(A923-1,5)+1)&amp;"_"&amp;(MOD(INT((A923-1)/5),5)+1)</f>
        <v>Округ_2_5</v>
      </c>
      <c r="H923" s="10" t="str">
        <f aca="false">"Город_"&amp;(MOD(A923-1,5)+1)&amp;"_"&amp;(MOD(INT((A923-1)/5),5)+1)&amp;"_"&amp;(MOD(INT((A923-1)/25),10)+1)</f>
        <v>Город_2_5_7</v>
      </c>
      <c r="I923" s="10" t="str">
        <f aca="false">CHOOSE(MOD(A923-1,4)+1,"Электроника","Одежда","Продукты","Мебель")</f>
        <v>Одежда</v>
      </c>
      <c r="J923" s="10" t="str">
        <f aca="false">CHOOSE(MOD(INT((A923-1)/4),4)+1,CHOOSE(MOD(A923-1,4)+1,"Смартфоны","Ноутбуки","Аксессуары","Аудио"),CHOOSE(MOD(A923-1,4)+1,"Верхняя одежда","Спортивная","Повседневная","Обувь"),CHOOSE(MOD(A923-1,4)+1,"Молочные","Мясные","Бакалея","Напитки"),CHOOSE(MOD(A923-1,4)+1,"Мягкая мебель","Корпусная","Офисная","Кухонная"))</f>
        <v>Мясные</v>
      </c>
      <c r="K923" s="12" t="n">
        <f aca="false">1000+MOD(A923*317+A923*A923*7,49001)</f>
        <v>20735</v>
      </c>
      <c r="L923" s="12" t="n">
        <f aca="false">1+MOD(A923*131,100)</f>
        <v>83</v>
      </c>
      <c r="M923" s="12" t="n">
        <f aca="false">INT(K923*(0.6+MOD(A923*43,21)/100))</f>
        <v>16380</v>
      </c>
      <c r="N923" s="12" t="n">
        <f aca="false">K923-M923</f>
        <v>4355</v>
      </c>
    </row>
    <row r="924" customFormat="false" ht="12.8" hidden="false" customHeight="false" outlineLevel="0" collapsed="false">
      <c r="A924" s="10" t="n">
        <f aca="false">A923+1</f>
        <v>923</v>
      </c>
      <c r="B924" s="11" t="n">
        <f aca="false">B923+1</f>
        <v>45849</v>
      </c>
      <c r="C924" s="10" t="n">
        <f aca="false">YEAR(B924)</f>
        <v>2025</v>
      </c>
      <c r="D924" s="10" t="n">
        <f aca="false">INT((MONTH(B924)-1)/3)+1</f>
        <v>3</v>
      </c>
      <c r="E924" s="10" t="n">
        <f aca="false">MONTH(B924)</f>
        <v>7</v>
      </c>
      <c r="F924" s="10" t="str">
        <f aca="false">CHOOSE(MOD(A924-1,5)+1,"Центр","Юг","Север","Запад","Восток")</f>
        <v>Север</v>
      </c>
      <c r="G924" s="10" t="str">
        <f aca="false">"Округ_"&amp;(MOD(A924-1,5)+1)&amp;"_"&amp;(MOD(INT((A924-1)/5),5)+1)</f>
        <v>Округ_3_5</v>
      </c>
      <c r="H924" s="10" t="str">
        <f aca="false">"Город_"&amp;(MOD(A924-1,5)+1)&amp;"_"&amp;(MOD(INT((A924-1)/5),5)+1)&amp;"_"&amp;(MOD(INT((A924-1)/25),10)+1)</f>
        <v>Город_3_5_7</v>
      </c>
      <c r="I924" s="10" t="str">
        <f aca="false">CHOOSE(MOD(A924-1,4)+1,"Электроника","Одежда","Продукты","Мебель")</f>
        <v>Продукты</v>
      </c>
      <c r="J924" s="10" t="str">
        <f aca="false">CHOOSE(MOD(INT((A924-1)/4),4)+1,CHOOSE(MOD(A924-1,4)+1,"Смартфоны","Ноутбуки","Аксессуары","Аудио"),CHOOSE(MOD(A924-1,4)+1,"Верхняя одежда","Спортивная","Повседневная","Обувь"),CHOOSE(MOD(A924-1,4)+1,"Молочные","Мясные","Бакалея","Напитки"),CHOOSE(MOD(A924-1,4)+1,"Мягкая мебель","Корпусная","Офисная","Кухонная"))</f>
        <v>Бакалея</v>
      </c>
      <c r="K924" s="12" t="n">
        <f aca="false">1000+MOD(A924*317+A924*A924*7,49001)</f>
        <v>33967</v>
      </c>
      <c r="L924" s="12" t="n">
        <f aca="false">1+MOD(A924*131,100)</f>
        <v>14</v>
      </c>
      <c r="M924" s="12" t="n">
        <f aca="false">INT(K924*(0.6+MOD(A924*43,21)/100))</f>
        <v>27173</v>
      </c>
      <c r="N924" s="12" t="n">
        <f aca="false">K924-M924</f>
        <v>6794</v>
      </c>
    </row>
    <row r="925" customFormat="false" ht="12.8" hidden="false" customHeight="false" outlineLevel="0" collapsed="false">
      <c r="A925" s="10" t="n">
        <f aca="false">A924+1</f>
        <v>924</v>
      </c>
      <c r="B925" s="11" t="n">
        <f aca="false">B924+1</f>
        <v>45850</v>
      </c>
      <c r="C925" s="10" t="n">
        <f aca="false">YEAR(B925)</f>
        <v>2025</v>
      </c>
      <c r="D925" s="10" t="n">
        <f aca="false">INT((MONTH(B925)-1)/3)+1</f>
        <v>3</v>
      </c>
      <c r="E925" s="10" t="n">
        <f aca="false">MONTH(B925)</f>
        <v>7</v>
      </c>
      <c r="F925" s="10" t="str">
        <f aca="false">CHOOSE(MOD(A925-1,5)+1,"Центр","Юг","Север","Запад","Восток")</f>
        <v>Запад</v>
      </c>
      <c r="G925" s="10" t="str">
        <f aca="false">"Округ_"&amp;(MOD(A925-1,5)+1)&amp;"_"&amp;(MOD(INT((A925-1)/5),5)+1)</f>
        <v>Округ_4_5</v>
      </c>
      <c r="H925" s="10" t="str">
        <f aca="false">"Город_"&amp;(MOD(A925-1,5)+1)&amp;"_"&amp;(MOD(INT((A925-1)/5),5)+1)&amp;"_"&amp;(MOD(INT((A925-1)/25),10)+1)</f>
        <v>Город_4_5_7</v>
      </c>
      <c r="I925" s="10" t="str">
        <f aca="false">CHOOSE(MOD(A925-1,4)+1,"Электроника","Одежда","Продукты","Мебель")</f>
        <v>Мебель</v>
      </c>
      <c r="J925" s="10" t="str">
        <f aca="false">CHOOSE(MOD(INT((A925-1)/4),4)+1,CHOOSE(MOD(A925-1,4)+1,"Смартфоны","Ноутбуки","Аксессуары","Аудио"),CHOOSE(MOD(A925-1,4)+1,"Верхняя одежда","Спортивная","Повседневная","Обувь"),CHOOSE(MOD(A925-1,4)+1,"Молочные","Мясные","Бакалея","Напитки"),CHOOSE(MOD(A925-1,4)+1,"Мягкая мебель","Корпусная","Офисная","Кухонная"))</f>
        <v>Напитки</v>
      </c>
      <c r="K925" s="12" t="n">
        <f aca="false">1000+MOD(A925*317+A925*A925*7,49001)</f>
        <v>47213</v>
      </c>
      <c r="L925" s="12" t="n">
        <f aca="false">1+MOD(A925*131,100)</f>
        <v>45</v>
      </c>
      <c r="M925" s="12" t="n">
        <f aca="false">INT(K925*(0.6+MOD(A925*43,21)/100))</f>
        <v>28327</v>
      </c>
      <c r="N925" s="12" t="n">
        <f aca="false">K925-M925</f>
        <v>18886</v>
      </c>
    </row>
    <row r="926" customFormat="false" ht="12.8" hidden="false" customHeight="false" outlineLevel="0" collapsed="false">
      <c r="A926" s="10" t="n">
        <f aca="false">A925+1</f>
        <v>925</v>
      </c>
      <c r="B926" s="11" t="n">
        <f aca="false">B925+1</f>
        <v>45851</v>
      </c>
      <c r="C926" s="10" t="n">
        <f aca="false">YEAR(B926)</f>
        <v>2025</v>
      </c>
      <c r="D926" s="10" t="n">
        <f aca="false">INT((MONTH(B926)-1)/3)+1</f>
        <v>3</v>
      </c>
      <c r="E926" s="10" t="n">
        <f aca="false">MONTH(B926)</f>
        <v>7</v>
      </c>
      <c r="F926" s="10" t="str">
        <f aca="false">CHOOSE(MOD(A926-1,5)+1,"Центр","Юг","Север","Запад","Восток")</f>
        <v>Восток</v>
      </c>
      <c r="G926" s="10" t="str">
        <f aca="false">"Округ_"&amp;(MOD(A926-1,5)+1)&amp;"_"&amp;(MOD(INT((A926-1)/5),5)+1)</f>
        <v>Округ_5_5</v>
      </c>
      <c r="H926" s="10" t="str">
        <f aca="false">"Город_"&amp;(MOD(A926-1,5)+1)&amp;"_"&amp;(MOD(INT((A926-1)/5),5)+1)&amp;"_"&amp;(MOD(INT((A926-1)/25),10)+1)</f>
        <v>Город_5_5_7</v>
      </c>
      <c r="I926" s="10" t="str">
        <f aca="false">CHOOSE(MOD(A926-1,4)+1,"Электроника","Одежда","Продукты","Мебель")</f>
        <v>Электроника</v>
      </c>
      <c r="J926" s="10" t="str">
        <f aca="false">CHOOSE(MOD(INT((A926-1)/4),4)+1,CHOOSE(MOD(A926-1,4)+1,"Смартфоны","Ноутбуки","Аксессуары","Аудио"),CHOOSE(MOD(A926-1,4)+1,"Верхняя одежда","Спортивная","Повседневная","Обувь"),CHOOSE(MOD(A926-1,4)+1,"Молочные","Мясные","Бакалея","Напитки"),CHOOSE(MOD(A926-1,4)+1,"Мягкая мебель","Корпусная","Офисная","Кухонная"))</f>
        <v>Мягкая мебель</v>
      </c>
      <c r="K926" s="12" t="n">
        <f aca="false">1000+MOD(A926*317+A926*A926*7,49001)</f>
        <v>11472</v>
      </c>
      <c r="L926" s="12" t="n">
        <f aca="false">1+MOD(A926*131,100)</f>
        <v>76</v>
      </c>
      <c r="M926" s="12" t="n">
        <f aca="false">INT(K926*(0.6+MOD(A926*43,21)/100))</f>
        <v>6997</v>
      </c>
      <c r="N926" s="12" t="n">
        <f aca="false">K926-M926</f>
        <v>4475</v>
      </c>
    </row>
    <row r="927" customFormat="false" ht="12.8" hidden="false" customHeight="false" outlineLevel="0" collapsed="false">
      <c r="A927" s="10" t="n">
        <f aca="false">A926+1</f>
        <v>926</v>
      </c>
      <c r="B927" s="11" t="n">
        <f aca="false">B926+1</f>
        <v>45852</v>
      </c>
      <c r="C927" s="10" t="n">
        <f aca="false">YEAR(B927)</f>
        <v>2025</v>
      </c>
      <c r="D927" s="10" t="n">
        <f aca="false">INT((MONTH(B927)-1)/3)+1</f>
        <v>3</v>
      </c>
      <c r="E927" s="10" t="n">
        <f aca="false">MONTH(B927)</f>
        <v>7</v>
      </c>
      <c r="F927" s="10" t="str">
        <f aca="false">CHOOSE(MOD(A927-1,5)+1,"Центр","Юг","Север","Запад","Восток")</f>
        <v>Центр</v>
      </c>
      <c r="G927" s="10" t="str">
        <f aca="false">"Округ_"&amp;(MOD(A927-1,5)+1)&amp;"_"&amp;(MOD(INT((A927-1)/5),5)+1)</f>
        <v>Округ_1_1</v>
      </c>
      <c r="H927" s="10" t="str">
        <f aca="false">"Город_"&amp;(MOD(A927-1,5)+1)&amp;"_"&amp;(MOD(INT((A927-1)/5),5)+1)&amp;"_"&amp;(MOD(INT((A927-1)/25),10)+1)</f>
        <v>Город_1_1_8</v>
      </c>
      <c r="I927" s="10" t="str">
        <f aca="false">CHOOSE(MOD(A927-1,4)+1,"Электроника","Одежда","Продукты","Мебель")</f>
        <v>Одежда</v>
      </c>
      <c r="J927" s="10" t="str">
        <f aca="false">CHOOSE(MOD(INT((A927-1)/4),4)+1,CHOOSE(MOD(A927-1,4)+1,"Смартфоны","Ноутбуки","Аксессуары","Аудио"),CHOOSE(MOD(A927-1,4)+1,"Верхняя одежда","Спортивная","Повседневная","Обувь"),CHOOSE(MOD(A927-1,4)+1,"Молочные","Мясные","Бакалея","Напитки"),CHOOSE(MOD(A927-1,4)+1,"Мягкая мебель","Корпусная","Офисная","Кухонная"))</f>
        <v>Корпусная</v>
      </c>
      <c r="K927" s="12" t="n">
        <f aca="false">1000+MOD(A927*317+A927*A927*7,49001)</f>
        <v>24746</v>
      </c>
      <c r="L927" s="12" t="n">
        <f aca="false">1+MOD(A927*131,100)</f>
        <v>7</v>
      </c>
      <c r="M927" s="12" t="n">
        <f aca="false">INT(K927*(0.6+MOD(A927*43,21)/100))</f>
        <v>15342</v>
      </c>
      <c r="N927" s="12" t="n">
        <f aca="false">K927-M927</f>
        <v>9404</v>
      </c>
    </row>
    <row r="928" customFormat="false" ht="12.8" hidden="false" customHeight="false" outlineLevel="0" collapsed="false">
      <c r="A928" s="10" t="n">
        <f aca="false">A927+1</f>
        <v>927</v>
      </c>
      <c r="B928" s="11" t="n">
        <f aca="false">B927+1</f>
        <v>45853</v>
      </c>
      <c r="C928" s="10" t="n">
        <f aca="false">YEAR(B928)</f>
        <v>2025</v>
      </c>
      <c r="D928" s="10" t="n">
        <f aca="false">INT((MONTH(B928)-1)/3)+1</f>
        <v>3</v>
      </c>
      <c r="E928" s="10" t="n">
        <f aca="false">MONTH(B928)</f>
        <v>7</v>
      </c>
      <c r="F928" s="10" t="str">
        <f aca="false">CHOOSE(MOD(A928-1,5)+1,"Центр","Юг","Север","Запад","Восток")</f>
        <v>Юг</v>
      </c>
      <c r="G928" s="10" t="str">
        <f aca="false">"Округ_"&amp;(MOD(A928-1,5)+1)&amp;"_"&amp;(MOD(INT((A928-1)/5),5)+1)</f>
        <v>Округ_2_1</v>
      </c>
      <c r="H928" s="10" t="str">
        <f aca="false">"Город_"&amp;(MOD(A928-1,5)+1)&amp;"_"&amp;(MOD(INT((A928-1)/5),5)+1)&amp;"_"&amp;(MOD(INT((A928-1)/25),10)+1)</f>
        <v>Город_2_1_8</v>
      </c>
      <c r="I928" s="10" t="str">
        <f aca="false">CHOOSE(MOD(A928-1,4)+1,"Электроника","Одежда","Продукты","Мебель")</f>
        <v>Продукты</v>
      </c>
      <c r="J928" s="10" t="str">
        <f aca="false">CHOOSE(MOD(INT((A928-1)/4),4)+1,CHOOSE(MOD(A928-1,4)+1,"Смартфоны","Ноутбуки","Аксессуары","Аудио"),CHOOSE(MOD(A928-1,4)+1,"Верхняя одежда","Спортивная","Повседневная","Обувь"),CHOOSE(MOD(A928-1,4)+1,"Молочные","Мясные","Бакалея","Напитки"),CHOOSE(MOD(A928-1,4)+1,"Мягкая мебель","Корпусная","Офисная","Кухонная"))</f>
        <v>Офисная</v>
      </c>
      <c r="K928" s="12" t="n">
        <f aca="false">1000+MOD(A928*317+A928*A928*7,49001)</f>
        <v>38034</v>
      </c>
      <c r="L928" s="12" t="n">
        <f aca="false">1+MOD(A928*131,100)</f>
        <v>38</v>
      </c>
      <c r="M928" s="12" t="n">
        <f aca="false">INT(K928*(0.6+MOD(A928*43,21)/100))</f>
        <v>23961</v>
      </c>
      <c r="N928" s="12" t="n">
        <f aca="false">K928-M928</f>
        <v>14073</v>
      </c>
    </row>
    <row r="929" customFormat="false" ht="12.8" hidden="false" customHeight="false" outlineLevel="0" collapsed="false">
      <c r="A929" s="10" t="n">
        <f aca="false">A928+1</f>
        <v>928</v>
      </c>
      <c r="B929" s="11" t="n">
        <f aca="false">B928+1</f>
        <v>45854</v>
      </c>
      <c r="C929" s="10" t="n">
        <f aca="false">YEAR(B929)</f>
        <v>2025</v>
      </c>
      <c r="D929" s="10" t="n">
        <f aca="false">INT((MONTH(B929)-1)/3)+1</f>
        <v>3</v>
      </c>
      <c r="E929" s="10" t="n">
        <f aca="false">MONTH(B929)</f>
        <v>7</v>
      </c>
      <c r="F929" s="10" t="str">
        <f aca="false">CHOOSE(MOD(A929-1,5)+1,"Центр","Юг","Север","Запад","Восток")</f>
        <v>Север</v>
      </c>
      <c r="G929" s="10" t="str">
        <f aca="false">"Округ_"&amp;(MOD(A929-1,5)+1)&amp;"_"&amp;(MOD(INT((A929-1)/5),5)+1)</f>
        <v>Округ_3_1</v>
      </c>
      <c r="H929" s="10" t="str">
        <f aca="false">"Город_"&amp;(MOD(A929-1,5)+1)&amp;"_"&amp;(MOD(INT((A929-1)/5),5)+1)&amp;"_"&amp;(MOD(INT((A929-1)/25),10)+1)</f>
        <v>Город_3_1_8</v>
      </c>
      <c r="I929" s="10" t="str">
        <f aca="false">CHOOSE(MOD(A929-1,4)+1,"Электроника","Одежда","Продукты","Мебель")</f>
        <v>Мебель</v>
      </c>
      <c r="J929" s="10" t="str">
        <f aca="false">CHOOSE(MOD(INT((A929-1)/4),4)+1,CHOOSE(MOD(A929-1,4)+1,"Смартфоны","Ноутбуки","Аксессуары","Аудио"),CHOOSE(MOD(A929-1,4)+1,"Верхняя одежда","Спортивная","Повседневная","Обувь"),CHOOSE(MOD(A929-1,4)+1,"Молочные","Мясные","Бакалея","Напитки"),CHOOSE(MOD(A929-1,4)+1,"Мягкая мебель","Корпусная","Офисная","Кухонная"))</f>
        <v>Кухонная</v>
      </c>
      <c r="K929" s="12" t="n">
        <f aca="false">1000+MOD(A929*317+A929*A929*7,49001)</f>
        <v>2335</v>
      </c>
      <c r="L929" s="12" t="n">
        <f aca="false">1+MOD(A929*131,100)</f>
        <v>69</v>
      </c>
      <c r="M929" s="12" t="n">
        <f aca="false">INT(K929*(0.6+MOD(A929*43,21)/100))</f>
        <v>1494</v>
      </c>
      <c r="N929" s="12" t="n">
        <f aca="false">K929-M929</f>
        <v>841</v>
      </c>
    </row>
    <row r="930" customFormat="false" ht="12.8" hidden="false" customHeight="false" outlineLevel="0" collapsed="false">
      <c r="A930" s="10" t="n">
        <f aca="false">A929+1</f>
        <v>929</v>
      </c>
      <c r="B930" s="11" t="n">
        <f aca="false">B929+1</f>
        <v>45855</v>
      </c>
      <c r="C930" s="10" t="n">
        <f aca="false">YEAR(B930)</f>
        <v>2025</v>
      </c>
      <c r="D930" s="10" t="n">
        <f aca="false">INT((MONTH(B930)-1)/3)+1</f>
        <v>3</v>
      </c>
      <c r="E930" s="10" t="n">
        <f aca="false">MONTH(B930)</f>
        <v>7</v>
      </c>
      <c r="F930" s="10" t="str">
        <f aca="false">CHOOSE(MOD(A930-1,5)+1,"Центр","Юг","Север","Запад","Восток")</f>
        <v>Запад</v>
      </c>
      <c r="G930" s="10" t="str">
        <f aca="false">"Округ_"&amp;(MOD(A930-1,5)+1)&amp;"_"&amp;(MOD(INT((A930-1)/5),5)+1)</f>
        <v>Округ_4_1</v>
      </c>
      <c r="H930" s="10" t="str">
        <f aca="false">"Город_"&amp;(MOD(A930-1,5)+1)&amp;"_"&amp;(MOD(INT((A930-1)/5),5)+1)&amp;"_"&amp;(MOD(INT((A930-1)/25),10)+1)</f>
        <v>Город_4_1_8</v>
      </c>
      <c r="I930" s="10" t="str">
        <f aca="false">CHOOSE(MOD(A930-1,4)+1,"Электроника","Одежда","Продукты","Мебель")</f>
        <v>Электроника</v>
      </c>
      <c r="J930" s="10" t="str">
        <f aca="false">CHOOSE(MOD(INT((A930-1)/4),4)+1,CHOOSE(MOD(A930-1,4)+1,"Смартфоны","Ноутбуки","Аксессуары","Аудио"),CHOOSE(MOD(A930-1,4)+1,"Верхняя одежда","Спортивная","Повседневная","Обувь"),CHOOSE(MOD(A930-1,4)+1,"Молочные","Мясные","Бакалея","Напитки"),CHOOSE(MOD(A930-1,4)+1,"Мягкая мебель","Корпусная","Офисная","Кухонная"))</f>
        <v>Смартфоны</v>
      </c>
      <c r="K930" s="12" t="n">
        <f aca="false">1000+MOD(A930*317+A930*A930*7,49001)</f>
        <v>15651</v>
      </c>
      <c r="L930" s="12" t="n">
        <f aca="false">1+MOD(A930*131,100)</f>
        <v>100</v>
      </c>
      <c r="M930" s="12" t="n">
        <f aca="false">INT(K930*(0.6+MOD(A930*43,21)/100))</f>
        <v>10173</v>
      </c>
      <c r="N930" s="12" t="n">
        <f aca="false">K930-M930</f>
        <v>5478</v>
      </c>
    </row>
    <row r="931" customFormat="false" ht="12.8" hidden="false" customHeight="false" outlineLevel="0" collapsed="false">
      <c r="A931" s="10" t="n">
        <f aca="false">A930+1</f>
        <v>930</v>
      </c>
      <c r="B931" s="11" t="n">
        <f aca="false">B930+1</f>
        <v>45856</v>
      </c>
      <c r="C931" s="10" t="n">
        <f aca="false">YEAR(B931)</f>
        <v>2025</v>
      </c>
      <c r="D931" s="10" t="n">
        <f aca="false">INT((MONTH(B931)-1)/3)+1</f>
        <v>3</v>
      </c>
      <c r="E931" s="10" t="n">
        <f aca="false">MONTH(B931)</f>
        <v>7</v>
      </c>
      <c r="F931" s="10" t="str">
        <f aca="false">CHOOSE(MOD(A931-1,5)+1,"Центр","Юг","Север","Запад","Восток")</f>
        <v>Восток</v>
      </c>
      <c r="G931" s="10" t="str">
        <f aca="false">"Округ_"&amp;(MOD(A931-1,5)+1)&amp;"_"&amp;(MOD(INT((A931-1)/5),5)+1)</f>
        <v>Округ_5_1</v>
      </c>
      <c r="H931" s="10" t="str">
        <f aca="false">"Город_"&amp;(MOD(A931-1,5)+1)&amp;"_"&amp;(MOD(INT((A931-1)/5),5)+1)&amp;"_"&amp;(MOD(INT((A931-1)/25),10)+1)</f>
        <v>Город_5_1_8</v>
      </c>
      <c r="I931" s="10" t="str">
        <f aca="false">CHOOSE(MOD(A931-1,4)+1,"Электроника","Одежда","Продукты","Мебель")</f>
        <v>Одежда</v>
      </c>
      <c r="J931" s="10" t="str">
        <f aca="false">CHOOSE(MOD(INT((A931-1)/4),4)+1,CHOOSE(MOD(A931-1,4)+1,"Смартфоны","Ноутбуки","Аксессуары","Аудио"),CHOOSE(MOD(A931-1,4)+1,"Верхняя одежда","Спортивная","Повседневная","Обувь"),CHOOSE(MOD(A931-1,4)+1,"Молочные","Мясные","Бакалея","Напитки"),CHOOSE(MOD(A931-1,4)+1,"Мягкая мебель","Корпусная","Офисная","Кухонная"))</f>
        <v>Ноутбуки</v>
      </c>
      <c r="K931" s="12" t="n">
        <f aca="false">1000+MOD(A931*317+A931*A931*7,49001)</f>
        <v>28981</v>
      </c>
      <c r="L931" s="12" t="n">
        <f aca="false">1+MOD(A931*131,100)</f>
        <v>31</v>
      </c>
      <c r="M931" s="12" t="n">
        <f aca="false">INT(K931*(0.6+MOD(A931*43,21)/100))</f>
        <v>19127</v>
      </c>
      <c r="N931" s="12" t="n">
        <f aca="false">K931-M931</f>
        <v>9854</v>
      </c>
    </row>
    <row r="932" customFormat="false" ht="12.8" hidden="false" customHeight="false" outlineLevel="0" collapsed="false">
      <c r="A932" s="10" t="n">
        <f aca="false">A931+1</f>
        <v>931</v>
      </c>
      <c r="B932" s="11" t="n">
        <f aca="false">B931+1</f>
        <v>45857</v>
      </c>
      <c r="C932" s="10" t="n">
        <f aca="false">YEAR(B932)</f>
        <v>2025</v>
      </c>
      <c r="D932" s="10" t="n">
        <f aca="false">INT((MONTH(B932)-1)/3)+1</f>
        <v>3</v>
      </c>
      <c r="E932" s="10" t="n">
        <f aca="false">MONTH(B932)</f>
        <v>7</v>
      </c>
      <c r="F932" s="10" t="str">
        <f aca="false">CHOOSE(MOD(A932-1,5)+1,"Центр","Юг","Север","Запад","Восток")</f>
        <v>Центр</v>
      </c>
      <c r="G932" s="10" t="str">
        <f aca="false">"Округ_"&amp;(MOD(A932-1,5)+1)&amp;"_"&amp;(MOD(INT((A932-1)/5),5)+1)</f>
        <v>Округ_1_2</v>
      </c>
      <c r="H932" s="10" t="str">
        <f aca="false">"Город_"&amp;(MOD(A932-1,5)+1)&amp;"_"&amp;(MOD(INT((A932-1)/5),5)+1)&amp;"_"&amp;(MOD(INT((A932-1)/25),10)+1)</f>
        <v>Город_1_2_8</v>
      </c>
      <c r="I932" s="10" t="str">
        <f aca="false">CHOOSE(MOD(A932-1,4)+1,"Электроника","Одежда","Продукты","Мебель")</f>
        <v>Продукты</v>
      </c>
      <c r="J932" s="10" t="str">
        <f aca="false">CHOOSE(MOD(INT((A932-1)/4),4)+1,CHOOSE(MOD(A932-1,4)+1,"Смартфоны","Ноутбуки","Аксессуары","Аудио"),CHOOSE(MOD(A932-1,4)+1,"Верхняя одежда","Спортивная","Повседневная","Обувь"),CHOOSE(MOD(A932-1,4)+1,"Молочные","Мясные","Бакалея","Напитки"),CHOOSE(MOD(A932-1,4)+1,"Мягкая мебель","Корпусная","Офисная","Кухонная"))</f>
        <v>Аксессуары</v>
      </c>
      <c r="K932" s="12" t="n">
        <f aca="false">1000+MOD(A932*317+A932*A932*7,49001)</f>
        <v>42325</v>
      </c>
      <c r="L932" s="12" t="n">
        <f aca="false">1+MOD(A932*131,100)</f>
        <v>62</v>
      </c>
      <c r="M932" s="12" t="n">
        <f aca="false">INT(K932*(0.6+MOD(A932*43,21)/100))</f>
        <v>28357</v>
      </c>
      <c r="N932" s="12" t="n">
        <f aca="false">K932-M932</f>
        <v>13968</v>
      </c>
    </row>
    <row r="933" customFormat="false" ht="12.8" hidden="false" customHeight="false" outlineLevel="0" collapsed="false">
      <c r="A933" s="10" t="n">
        <f aca="false">A932+1</f>
        <v>932</v>
      </c>
      <c r="B933" s="11" t="n">
        <f aca="false">B932+1</f>
        <v>45858</v>
      </c>
      <c r="C933" s="10" t="n">
        <f aca="false">YEAR(B933)</f>
        <v>2025</v>
      </c>
      <c r="D933" s="10" t="n">
        <f aca="false">INT((MONTH(B933)-1)/3)+1</f>
        <v>3</v>
      </c>
      <c r="E933" s="10" t="n">
        <f aca="false">MONTH(B933)</f>
        <v>7</v>
      </c>
      <c r="F933" s="10" t="str">
        <f aca="false">CHOOSE(MOD(A933-1,5)+1,"Центр","Юг","Север","Запад","Восток")</f>
        <v>Юг</v>
      </c>
      <c r="G933" s="10" t="str">
        <f aca="false">"Округ_"&amp;(MOD(A933-1,5)+1)&amp;"_"&amp;(MOD(INT((A933-1)/5),5)+1)</f>
        <v>Округ_2_2</v>
      </c>
      <c r="H933" s="10" t="str">
        <f aca="false">"Город_"&amp;(MOD(A933-1,5)+1)&amp;"_"&amp;(MOD(INT((A933-1)/5),5)+1)&amp;"_"&amp;(MOD(INT((A933-1)/25),10)+1)</f>
        <v>Город_2_2_8</v>
      </c>
      <c r="I933" s="10" t="str">
        <f aca="false">CHOOSE(MOD(A933-1,4)+1,"Электроника","Одежда","Продукты","Мебель")</f>
        <v>Мебель</v>
      </c>
      <c r="J933" s="10" t="str">
        <f aca="false">CHOOSE(MOD(INT((A933-1)/4),4)+1,CHOOSE(MOD(A933-1,4)+1,"Смартфоны","Ноутбуки","Аксессуары","Аудио"),CHOOSE(MOD(A933-1,4)+1,"Верхняя одежда","Спортивная","Повседневная","Обувь"),CHOOSE(MOD(A933-1,4)+1,"Молочные","Мясные","Бакалея","Напитки"),CHOOSE(MOD(A933-1,4)+1,"Мягкая мебель","Корпусная","Офисная","Кухонная"))</f>
        <v>Аудио</v>
      </c>
      <c r="K933" s="12" t="n">
        <f aca="false">1000+MOD(A933*317+A933*A933*7,49001)</f>
        <v>6682</v>
      </c>
      <c r="L933" s="12" t="n">
        <f aca="false">1+MOD(A933*131,100)</f>
        <v>93</v>
      </c>
      <c r="M933" s="12" t="n">
        <f aca="false">INT(K933*(0.6+MOD(A933*43,21)/100))</f>
        <v>4543</v>
      </c>
      <c r="N933" s="12" t="n">
        <f aca="false">K933-M933</f>
        <v>2139</v>
      </c>
    </row>
    <row r="934" customFormat="false" ht="12.8" hidden="false" customHeight="false" outlineLevel="0" collapsed="false">
      <c r="A934" s="10" t="n">
        <f aca="false">A933+1</f>
        <v>933</v>
      </c>
      <c r="B934" s="11" t="n">
        <f aca="false">B933+1</f>
        <v>45859</v>
      </c>
      <c r="C934" s="10" t="n">
        <f aca="false">YEAR(B934)</f>
        <v>2025</v>
      </c>
      <c r="D934" s="10" t="n">
        <f aca="false">INT((MONTH(B934)-1)/3)+1</f>
        <v>3</v>
      </c>
      <c r="E934" s="10" t="n">
        <f aca="false">MONTH(B934)</f>
        <v>7</v>
      </c>
      <c r="F934" s="10" t="str">
        <f aca="false">CHOOSE(MOD(A934-1,5)+1,"Центр","Юг","Север","Запад","Восток")</f>
        <v>Север</v>
      </c>
      <c r="G934" s="10" t="str">
        <f aca="false">"Округ_"&amp;(MOD(A934-1,5)+1)&amp;"_"&amp;(MOD(INT((A934-1)/5),5)+1)</f>
        <v>Округ_3_2</v>
      </c>
      <c r="H934" s="10" t="str">
        <f aca="false">"Город_"&amp;(MOD(A934-1,5)+1)&amp;"_"&amp;(MOD(INT((A934-1)/5),5)+1)&amp;"_"&amp;(MOD(INT((A934-1)/25),10)+1)</f>
        <v>Город_3_2_8</v>
      </c>
      <c r="I934" s="10" t="str">
        <f aca="false">CHOOSE(MOD(A934-1,4)+1,"Электроника","Одежда","Продукты","Мебель")</f>
        <v>Электроника</v>
      </c>
      <c r="J934" s="10" t="str">
        <f aca="false">CHOOSE(MOD(INT((A934-1)/4),4)+1,CHOOSE(MOD(A934-1,4)+1,"Смартфоны","Ноутбуки","Аксессуары","Аудио"),CHOOSE(MOD(A934-1,4)+1,"Верхняя одежда","Спортивная","Повседневная","Обувь"),CHOOSE(MOD(A934-1,4)+1,"Молочные","Мясные","Бакалея","Напитки"),CHOOSE(MOD(A934-1,4)+1,"Мягкая мебель","Корпусная","Офисная","Кухонная"))</f>
        <v>Верхняя одежда</v>
      </c>
      <c r="K934" s="12" t="n">
        <f aca="false">1000+MOD(A934*317+A934*A934*7,49001)</f>
        <v>20054</v>
      </c>
      <c r="L934" s="12" t="n">
        <f aca="false">1+MOD(A934*131,100)</f>
        <v>24</v>
      </c>
      <c r="M934" s="12" t="n">
        <f aca="false">INT(K934*(0.6+MOD(A934*43,21)/100))</f>
        <v>13837</v>
      </c>
      <c r="N934" s="12" t="n">
        <f aca="false">K934-M934</f>
        <v>6217</v>
      </c>
    </row>
    <row r="935" customFormat="false" ht="12.8" hidden="false" customHeight="false" outlineLevel="0" collapsed="false">
      <c r="A935" s="10" t="n">
        <f aca="false">A934+1</f>
        <v>934</v>
      </c>
      <c r="B935" s="11" t="n">
        <f aca="false">B934+1</f>
        <v>45860</v>
      </c>
      <c r="C935" s="10" t="n">
        <f aca="false">YEAR(B935)</f>
        <v>2025</v>
      </c>
      <c r="D935" s="10" t="n">
        <f aca="false">INT((MONTH(B935)-1)/3)+1</f>
        <v>3</v>
      </c>
      <c r="E935" s="10" t="n">
        <f aca="false">MONTH(B935)</f>
        <v>7</v>
      </c>
      <c r="F935" s="10" t="str">
        <f aca="false">CHOOSE(MOD(A935-1,5)+1,"Центр","Юг","Север","Запад","Восток")</f>
        <v>Запад</v>
      </c>
      <c r="G935" s="10" t="str">
        <f aca="false">"Округ_"&amp;(MOD(A935-1,5)+1)&amp;"_"&amp;(MOD(INT((A935-1)/5),5)+1)</f>
        <v>Округ_4_2</v>
      </c>
      <c r="H935" s="10" t="str">
        <f aca="false">"Город_"&amp;(MOD(A935-1,5)+1)&amp;"_"&amp;(MOD(INT((A935-1)/5),5)+1)&amp;"_"&amp;(MOD(INT((A935-1)/25),10)+1)</f>
        <v>Город_4_2_8</v>
      </c>
      <c r="I935" s="10" t="str">
        <f aca="false">CHOOSE(MOD(A935-1,4)+1,"Электроника","Одежда","Продукты","Мебель")</f>
        <v>Одежда</v>
      </c>
      <c r="J935" s="10" t="str">
        <f aca="false">CHOOSE(MOD(INT((A935-1)/4),4)+1,CHOOSE(MOD(A935-1,4)+1,"Смартфоны","Ноутбуки","Аксессуары","Аудио"),CHOOSE(MOD(A935-1,4)+1,"Верхняя одежда","Спортивная","Повседневная","Обувь"),CHOOSE(MOD(A935-1,4)+1,"Молочные","Мясные","Бакалея","Напитки"),CHOOSE(MOD(A935-1,4)+1,"Мягкая мебель","Корпусная","Офисная","Кухонная"))</f>
        <v>Спортивная</v>
      </c>
      <c r="K935" s="12" t="n">
        <f aca="false">1000+MOD(A935*317+A935*A935*7,49001)</f>
        <v>33440</v>
      </c>
      <c r="L935" s="12" t="n">
        <f aca="false">1+MOD(A935*131,100)</f>
        <v>55</v>
      </c>
      <c r="M935" s="12" t="n">
        <f aca="false">INT(K935*(0.6+MOD(A935*43,21)/100))</f>
        <v>23408</v>
      </c>
      <c r="N935" s="12" t="n">
        <f aca="false">K935-M935</f>
        <v>10032</v>
      </c>
    </row>
    <row r="936" customFormat="false" ht="12.8" hidden="false" customHeight="false" outlineLevel="0" collapsed="false">
      <c r="A936" s="10" t="n">
        <f aca="false">A935+1</f>
        <v>935</v>
      </c>
      <c r="B936" s="11" t="n">
        <f aca="false">B935+1</f>
        <v>45861</v>
      </c>
      <c r="C936" s="10" t="n">
        <f aca="false">YEAR(B936)</f>
        <v>2025</v>
      </c>
      <c r="D936" s="10" t="n">
        <f aca="false">INT((MONTH(B936)-1)/3)+1</f>
        <v>3</v>
      </c>
      <c r="E936" s="10" t="n">
        <f aca="false">MONTH(B936)</f>
        <v>7</v>
      </c>
      <c r="F936" s="10" t="str">
        <f aca="false">CHOOSE(MOD(A936-1,5)+1,"Центр","Юг","Север","Запад","Восток")</f>
        <v>Восток</v>
      </c>
      <c r="G936" s="10" t="str">
        <f aca="false">"Округ_"&amp;(MOD(A936-1,5)+1)&amp;"_"&amp;(MOD(INT((A936-1)/5),5)+1)</f>
        <v>Округ_5_2</v>
      </c>
      <c r="H936" s="10" t="str">
        <f aca="false">"Город_"&amp;(MOD(A936-1,5)+1)&amp;"_"&amp;(MOD(INT((A936-1)/5),5)+1)&amp;"_"&amp;(MOD(INT((A936-1)/25),10)+1)</f>
        <v>Город_5_2_8</v>
      </c>
      <c r="I936" s="10" t="str">
        <f aca="false">CHOOSE(MOD(A936-1,4)+1,"Электроника","Одежда","Продукты","Мебель")</f>
        <v>Продукты</v>
      </c>
      <c r="J936" s="10" t="str">
        <f aca="false">CHOOSE(MOD(INT((A936-1)/4),4)+1,CHOOSE(MOD(A936-1,4)+1,"Смартфоны","Ноутбуки","Аксессуары","Аудио"),CHOOSE(MOD(A936-1,4)+1,"Верхняя одежда","Спортивная","Повседневная","Обувь"),CHOOSE(MOD(A936-1,4)+1,"Молочные","Мясные","Бакалея","Напитки"),CHOOSE(MOD(A936-1,4)+1,"Мягкая мебель","Корпусная","Офисная","Кухонная"))</f>
        <v>Повседневная</v>
      </c>
      <c r="K936" s="12" t="n">
        <f aca="false">1000+MOD(A936*317+A936*A936*7,49001)</f>
        <v>46840</v>
      </c>
      <c r="L936" s="12" t="n">
        <f aca="false">1+MOD(A936*131,100)</f>
        <v>86</v>
      </c>
      <c r="M936" s="12" t="n">
        <f aca="false">INT(K936*(0.6+MOD(A936*43,21)/100))</f>
        <v>33256</v>
      </c>
      <c r="N936" s="12" t="n">
        <f aca="false">K936-M936</f>
        <v>13584</v>
      </c>
    </row>
    <row r="937" customFormat="false" ht="12.8" hidden="false" customHeight="false" outlineLevel="0" collapsed="false">
      <c r="A937" s="10" t="n">
        <f aca="false">A936+1</f>
        <v>936</v>
      </c>
      <c r="B937" s="11" t="n">
        <f aca="false">B936+1</f>
        <v>45862</v>
      </c>
      <c r="C937" s="10" t="n">
        <f aca="false">YEAR(B937)</f>
        <v>2025</v>
      </c>
      <c r="D937" s="10" t="n">
        <f aca="false">INT((MONTH(B937)-1)/3)+1</f>
        <v>3</v>
      </c>
      <c r="E937" s="10" t="n">
        <f aca="false">MONTH(B937)</f>
        <v>7</v>
      </c>
      <c r="F937" s="10" t="str">
        <f aca="false">CHOOSE(MOD(A937-1,5)+1,"Центр","Юг","Север","Запад","Восток")</f>
        <v>Центр</v>
      </c>
      <c r="G937" s="10" t="str">
        <f aca="false">"Округ_"&amp;(MOD(A937-1,5)+1)&amp;"_"&amp;(MOD(INT((A937-1)/5),5)+1)</f>
        <v>Округ_1_3</v>
      </c>
      <c r="H937" s="10" t="str">
        <f aca="false">"Город_"&amp;(MOD(A937-1,5)+1)&amp;"_"&amp;(MOD(INT((A937-1)/5),5)+1)&amp;"_"&amp;(MOD(INT((A937-1)/25),10)+1)</f>
        <v>Город_1_3_8</v>
      </c>
      <c r="I937" s="10" t="str">
        <f aca="false">CHOOSE(MOD(A937-1,4)+1,"Электроника","Одежда","Продукты","Мебель")</f>
        <v>Мебель</v>
      </c>
      <c r="J937" s="10" t="str">
        <f aca="false">CHOOSE(MOD(INT((A937-1)/4),4)+1,CHOOSE(MOD(A937-1,4)+1,"Смартфоны","Ноутбуки","Аксессуары","Аудио"),CHOOSE(MOD(A937-1,4)+1,"Верхняя одежда","Спортивная","Повседневная","Обувь"),CHOOSE(MOD(A937-1,4)+1,"Молочные","Мясные","Бакалея","Напитки"),CHOOSE(MOD(A937-1,4)+1,"Мягкая мебель","Корпусная","Офисная","Кухонная"))</f>
        <v>Обувь</v>
      </c>
      <c r="K937" s="12" t="n">
        <f aca="false">1000+MOD(A937*317+A937*A937*7,49001)</f>
        <v>11253</v>
      </c>
      <c r="L937" s="12" t="n">
        <f aca="false">1+MOD(A937*131,100)</f>
        <v>17</v>
      </c>
      <c r="M937" s="12" t="n">
        <f aca="false">INT(K937*(0.6+MOD(A937*43,21)/100))</f>
        <v>8102</v>
      </c>
      <c r="N937" s="12" t="n">
        <f aca="false">K937-M937</f>
        <v>3151</v>
      </c>
    </row>
    <row r="938" customFormat="false" ht="12.8" hidden="false" customHeight="false" outlineLevel="0" collapsed="false">
      <c r="A938" s="10" t="n">
        <f aca="false">A937+1</f>
        <v>937</v>
      </c>
      <c r="B938" s="11" t="n">
        <f aca="false">B937+1</f>
        <v>45863</v>
      </c>
      <c r="C938" s="10" t="n">
        <f aca="false">YEAR(B938)</f>
        <v>2025</v>
      </c>
      <c r="D938" s="10" t="n">
        <f aca="false">INT((MONTH(B938)-1)/3)+1</f>
        <v>3</v>
      </c>
      <c r="E938" s="10" t="n">
        <f aca="false">MONTH(B938)</f>
        <v>7</v>
      </c>
      <c r="F938" s="10" t="str">
        <f aca="false">CHOOSE(MOD(A938-1,5)+1,"Центр","Юг","Север","Запад","Восток")</f>
        <v>Юг</v>
      </c>
      <c r="G938" s="10" t="str">
        <f aca="false">"Округ_"&amp;(MOD(A938-1,5)+1)&amp;"_"&amp;(MOD(INT((A938-1)/5),5)+1)</f>
        <v>Округ_2_3</v>
      </c>
      <c r="H938" s="10" t="str">
        <f aca="false">"Город_"&amp;(MOD(A938-1,5)+1)&amp;"_"&amp;(MOD(INT((A938-1)/5),5)+1)&amp;"_"&amp;(MOD(INT((A938-1)/25),10)+1)</f>
        <v>Город_2_3_8</v>
      </c>
      <c r="I938" s="10" t="str">
        <f aca="false">CHOOSE(MOD(A938-1,4)+1,"Электроника","Одежда","Продукты","Мебель")</f>
        <v>Электроника</v>
      </c>
      <c r="J938" s="10" t="str">
        <f aca="false">CHOOSE(MOD(INT((A938-1)/4),4)+1,CHOOSE(MOD(A938-1,4)+1,"Смартфоны","Ноутбуки","Аксессуары","Аудио"),CHOOSE(MOD(A938-1,4)+1,"Верхняя одежда","Спортивная","Повседневная","Обувь"),CHOOSE(MOD(A938-1,4)+1,"Молочные","Мясные","Бакалея","Напитки"),CHOOSE(MOD(A938-1,4)+1,"Мягкая мебель","Корпусная","Офисная","Кухонная"))</f>
        <v>Молочные</v>
      </c>
      <c r="K938" s="12" t="n">
        <f aca="false">1000+MOD(A938*317+A938*A938*7,49001)</f>
        <v>24681</v>
      </c>
      <c r="L938" s="12" t="n">
        <f aca="false">1+MOD(A938*131,100)</f>
        <v>48</v>
      </c>
      <c r="M938" s="12" t="n">
        <f aca="false">INT(K938*(0.6+MOD(A938*43,21)/100))</f>
        <v>18017</v>
      </c>
      <c r="N938" s="12" t="n">
        <f aca="false">K938-M938</f>
        <v>6664</v>
      </c>
    </row>
    <row r="939" customFormat="false" ht="12.8" hidden="false" customHeight="false" outlineLevel="0" collapsed="false">
      <c r="A939" s="10" t="n">
        <f aca="false">A938+1</f>
        <v>938</v>
      </c>
      <c r="B939" s="11" t="n">
        <f aca="false">B938+1</f>
        <v>45864</v>
      </c>
      <c r="C939" s="10" t="n">
        <f aca="false">YEAR(B939)</f>
        <v>2025</v>
      </c>
      <c r="D939" s="10" t="n">
        <f aca="false">INT((MONTH(B939)-1)/3)+1</f>
        <v>3</v>
      </c>
      <c r="E939" s="10" t="n">
        <f aca="false">MONTH(B939)</f>
        <v>7</v>
      </c>
      <c r="F939" s="10" t="str">
        <f aca="false">CHOOSE(MOD(A939-1,5)+1,"Центр","Юг","Север","Запад","Восток")</f>
        <v>Север</v>
      </c>
      <c r="G939" s="10" t="str">
        <f aca="false">"Округ_"&amp;(MOD(A939-1,5)+1)&amp;"_"&amp;(MOD(INT((A939-1)/5),5)+1)</f>
        <v>Округ_3_3</v>
      </c>
      <c r="H939" s="10" t="str">
        <f aca="false">"Город_"&amp;(MOD(A939-1,5)+1)&amp;"_"&amp;(MOD(INT((A939-1)/5),5)+1)&amp;"_"&amp;(MOD(INT((A939-1)/25),10)+1)</f>
        <v>Город_3_3_8</v>
      </c>
      <c r="I939" s="10" t="str">
        <f aca="false">CHOOSE(MOD(A939-1,4)+1,"Электроника","Одежда","Продукты","Мебель")</f>
        <v>Одежда</v>
      </c>
      <c r="J939" s="10" t="str">
        <f aca="false">CHOOSE(MOD(INT((A939-1)/4),4)+1,CHOOSE(MOD(A939-1,4)+1,"Смартфоны","Ноутбуки","Аксессуары","Аудио"),CHOOSE(MOD(A939-1,4)+1,"Верхняя одежда","Спортивная","Повседневная","Обувь"),CHOOSE(MOD(A939-1,4)+1,"Молочные","Мясные","Бакалея","Напитки"),CHOOSE(MOD(A939-1,4)+1,"Мягкая мебель","Корпусная","Офисная","Кухонная"))</f>
        <v>Мясные</v>
      </c>
      <c r="K939" s="12" t="n">
        <f aca="false">1000+MOD(A939*317+A939*A939*7,49001)</f>
        <v>38123</v>
      </c>
      <c r="L939" s="12" t="n">
        <f aca="false">1+MOD(A939*131,100)</f>
        <v>79</v>
      </c>
      <c r="M939" s="12" t="n">
        <f aca="false">INT(K939*(0.6+MOD(A939*43,21)/100))</f>
        <v>28211</v>
      </c>
      <c r="N939" s="12" t="n">
        <f aca="false">K939-M939</f>
        <v>9912</v>
      </c>
    </row>
    <row r="940" customFormat="false" ht="12.8" hidden="false" customHeight="false" outlineLevel="0" collapsed="false">
      <c r="A940" s="10" t="n">
        <f aca="false">A939+1</f>
        <v>939</v>
      </c>
      <c r="B940" s="11" t="n">
        <f aca="false">B939+1</f>
        <v>45865</v>
      </c>
      <c r="C940" s="10" t="n">
        <f aca="false">YEAR(B940)</f>
        <v>2025</v>
      </c>
      <c r="D940" s="10" t="n">
        <f aca="false">INT((MONTH(B940)-1)/3)+1</f>
        <v>3</v>
      </c>
      <c r="E940" s="10" t="n">
        <f aca="false">MONTH(B940)</f>
        <v>7</v>
      </c>
      <c r="F940" s="10" t="str">
        <f aca="false">CHOOSE(MOD(A940-1,5)+1,"Центр","Юг","Север","Запад","Восток")</f>
        <v>Запад</v>
      </c>
      <c r="G940" s="10" t="str">
        <f aca="false">"Округ_"&amp;(MOD(A940-1,5)+1)&amp;"_"&amp;(MOD(INT((A940-1)/5),5)+1)</f>
        <v>Округ_4_3</v>
      </c>
      <c r="H940" s="10" t="str">
        <f aca="false">"Город_"&amp;(MOD(A940-1,5)+1)&amp;"_"&amp;(MOD(INT((A940-1)/5),5)+1)&amp;"_"&amp;(MOD(INT((A940-1)/25),10)+1)</f>
        <v>Город_4_3_8</v>
      </c>
      <c r="I940" s="10" t="str">
        <f aca="false">CHOOSE(MOD(A940-1,4)+1,"Электроника","Одежда","Продукты","Мебель")</f>
        <v>Продукты</v>
      </c>
      <c r="J940" s="10" t="str">
        <f aca="false">CHOOSE(MOD(INT((A940-1)/4),4)+1,CHOOSE(MOD(A940-1,4)+1,"Смартфоны","Ноутбуки","Аксессуары","Аудио"),CHOOSE(MOD(A940-1,4)+1,"Верхняя одежда","Спортивная","Повседневная","Обувь"),CHOOSE(MOD(A940-1,4)+1,"Молочные","Мясные","Бакалея","Напитки"),CHOOSE(MOD(A940-1,4)+1,"Мягкая мебель","Корпусная","Офисная","Кухонная"))</f>
        <v>Бакалея</v>
      </c>
      <c r="K940" s="12" t="n">
        <f aca="false">1000+MOD(A940*317+A940*A940*7,49001)</f>
        <v>2578</v>
      </c>
      <c r="L940" s="12" t="n">
        <f aca="false">1+MOD(A940*131,100)</f>
        <v>10</v>
      </c>
      <c r="M940" s="12" t="n">
        <f aca="false">INT(K940*(0.6+MOD(A940*43,21)/100))</f>
        <v>1933</v>
      </c>
      <c r="N940" s="12" t="n">
        <f aca="false">K940-M940</f>
        <v>645</v>
      </c>
    </row>
    <row r="941" customFormat="false" ht="12.8" hidden="false" customHeight="false" outlineLevel="0" collapsed="false">
      <c r="A941" s="10" t="n">
        <f aca="false">A940+1</f>
        <v>940</v>
      </c>
      <c r="B941" s="11" t="n">
        <f aca="false">B940+1</f>
        <v>45866</v>
      </c>
      <c r="C941" s="10" t="n">
        <f aca="false">YEAR(B941)</f>
        <v>2025</v>
      </c>
      <c r="D941" s="10" t="n">
        <f aca="false">INT((MONTH(B941)-1)/3)+1</f>
        <v>3</v>
      </c>
      <c r="E941" s="10" t="n">
        <f aca="false">MONTH(B941)</f>
        <v>7</v>
      </c>
      <c r="F941" s="10" t="str">
        <f aca="false">CHOOSE(MOD(A941-1,5)+1,"Центр","Юг","Север","Запад","Восток")</f>
        <v>Восток</v>
      </c>
      <c r="G941" s="10" t="str">
        <f aca="false">"Округ_"&amp;(MOD(A941-1,5)+1)&amp;"_"&amp;(MOD(INT((A941-1)/5),5)+1)</f>
        <v>Округ_5_3</v>
      </c>
      <c r="H941" s="10" t="str">
        <f aca="false">"Город_"&amp;(MOD(A941-1,5)+1)&amp;"_"&amp;(MOD(INT((A941-1)/5),5)+1)&amp;"_"&amp;(MOD(INT((A941-1)/25),10)+1)</f>
        <v>Город_5_3_8</v>
      </c>
      <c r="I941" s="10" t="str">
        <f aca="false">CHOOSE(MOD(A941-1,4)+1,"Электроника","Одежда","Продукты","Мебель")</f>
        <v>Мебель</v>
      </c>
      <c r="J941" s="10" t="str">
        <f aca="false">CHOOSE(MOD(INT((A941-1)/4),4)+1,CHOOSE(MOD(A941-1,4)+1,"Смартфоны","Ноутбуки","Аксессуары","Аудио"),CHOOSE(MOD(A941-1,4)+1,"Верхняя одежда","Спортивная","Повседневная","Обувь"),CHOOSE(MOD(A941-1,4)+1,"Молочные","Мясные","Бакалея","Напитки"),CHOOSE(MOD(A941-1,4)+1,"Мягкая мебель","Корпусная","Офисная","Кухонная"))</f>
        <v>Напитки</v>
      </c>
      <c r="K941" s="12" t="n">
        <f aca="false">1000+MOD(A941*317+A941*A941*7,49001)</f>
        <v>16048</v>
      </c>
      <c r="L941" s="12" t="n">
        <f aca="false">1+MOD(A941*131,100)</f>
        <v>41</v>
      </c>
      <c r="M941" s="12" t="n">
        <f aca="false">INT(K941*(0.6+MOD(A941*43,21)/100))</f>
        <v>12196</v>
      </c>
      <c r="N941" s="12" t="n">
        <f aca="false">K941-M941</f>
        <v>3852</v>
      </c>
    </row>
    <row r="942" customFormat="false" ht="12.8" hidden="false" customHeight="false" outlineLevel="0" collapsed="false">
      <c r="A942" s="10" t="n">
        <f aca="false">A941+1</f>
        <v>941</v>
      </c>
      <c r="B942" s="11" t="n">
        <f aca="false">B941+1</f>
        <v>45867</v>
      </c>
      <c r="C942" s="10" t="n">
        <f aca="false">YEAR(B942)</f>
        <v>2025</v>
      </c>
      <c r="D942" s="10" t="n">
        <f aca="false">INT((MONTH(B942)-1)/3)+1</f>
        <v>3</v>
      </c>
      <c r="E942" s="10" t="n">
        <f aca="false">MONTH(B942)</f>
        <v>7</v>
      </c>
      <c r="F942" s="10" t="str">
        <f aca="false">CHOOSE(MOD(A942-1,5)+1,"Центр","Юг","Север","Запад","Восток")</f>
        <v>Центр</v>
      </c>
      <c r="G942" s="10" t="str">
        <f aca="false">"Округ_"&amp;(MOD(A942-1,5)+1)&amp;"_"&amp;(MOD(INT((A942-1)/5),5)+1)</f>
        <v>Округ_1_4</v>
      </c>
      <c r="H942" s="10" t="str">
        <f aca="false">"Город_"&amp;(MOD(A942-1,5)+1)&amp;"_"&amp;(MOD(INT((A942-1)/5),5)+1)&amp;"_"&amp;(MOD(INT((A942-1)/25),10)+1)</f>
        <v>Город_1_4_8</v>
      </c>
      <c r="I942" s="10" t="str">
        <f aca="false">CHOOSE(MOD(A942-1,4)+1,"Электроника","Одежда","Продукты","Мебель")</f>
        <v>Электроника</v>
      </c>
      <c r="J942" s="10" t="str">
        <f aca="false">CHOOSE(MOD(INT((A942-1)/4),4)+1,CHOOSE(MOD(A942-1,4)+1,"Смартфоны","Ноутбуки","Аксессуары","Аудио"),CHOOSE(MOD(A942-1,4)+1,"Верхняя одежда","Спортивная","Повседневная","Обувь"),CHOOSE(MOD(A942-1,4)+1,"Молочные","Мясные","Бакалея","Напитки"),CHOOSE(MOD(A942-1,4)+1,"Мягкая мебель","Корпусная","Офисная","Кухонная"))</f>
        <v>Мягкая мебель</v>
      </c>
      <c r="K942" s="12" t="n">
        <f aca="false">1000+MOD(A942*317+A942*A942*7,49001)</f>
        <v>29532</v>
      </c>
      <c r="L942" s="12" t="n">
        <f aca="false">1+MOD(A942*131,100)</f>
        <v>72</v>
      </c>
      <c r="M942" s="12" t="n">
        <f aca="false">INT(K942*(0.6+MOD(A942*43,21)/100))</f>
        <v>22739</v>
      </c>
      <c r="N942" s="12" t="n">
        <f aca="false">K942-M942</f>
        <v>6793</v>
      </c>
    </row>
    <row r="943" customFormat="false" ht="12.8" hidden="false" customHeight="false" outlineLevel="0" collapsed="false">
      <c r="A943" s="10" t="n">
        <f aca="false">A942+1</f>
        <v>942</v>
      </c>
      <c r="B943" s="11" t="n">
        <f aca="false">B942+1</f>
        <v>45868</v>
      </c>
      <c r="C943" s="10" t="n">
        <f aca="false">YEAR(B943)</f>
        <v>2025</v>
      </c>
      <c r="D943" s="10" t="n">
        <f aca="false">INT((MONTH(B943)-1)/3)+1</f>
        <v>3</v>
      </c>
      <c r="E943" s="10" t="n">
        <f aca="false">MONTH(B943)</f>
        <v>7</v>
      </c>
      <c r="F943" s="10" t="str">
        <f aca="false">CHOOSE(MOD(A943-1,5)+1,"Центр","Юг","Север","Запад","Восток")</f>
        <v>Юг</v>
      </c>
      <c r="G943" s="10" t="str">
        <f aca="false">"Округ_"&amp;(MOD(A943-1,5)+1)&amp;"_"&amp;(MOD(INT((A943-1)/5),5)+1)</f>
        <v>Округ_2_4</v>
      </c>
      <c r="H943" s="10" t="str">
        <f aca="false">"Город_"&amp;(MOD(A943-1,5)+1)&amp;"_"&amp;(MOD(INT((A943-1)/5),5)+1)&amp;"_"&amp;(MOD(INT((A943-1)/25),10)+1)</f>
        <v>Город_2_4_8</v>
      </c>
      <c r="I943" s="10" t="str">
        <f aca="false">CHOOSE(MOD(A943-1,4)+1,"Электроника","Одежда","Продукты","Мебель")</f>
        <v>Одежда</v>
      </c>
      <c r="J943" s="10" t="str">
        <f aca="false">CHOOSE(MOD(INT((A943-1)/4),4)+1,CHOOSE(MOD(A943-1,4)+1,"Смартфоны","Ноутбуки","Аксессуары","Аудио"),CHOOSE(MOD(A943-1,4)+1,"Верхняя одежда","Спортивная","Повседневная","Обувь"),CHOOSE(MOD(A943-1,4)+1,"Молочные","Мясные","Бакалея","Напитки"),CHOOSE(MOD(A943-1,4)+1,"Мягкая мебель","Корпусная","Офисная","Кухонная"))</f>
        <v>Корпусная</v>
      </c>
      <c r="K943" s="12" t="n">
        <f aca="false">1000+MOD(A943*317+A943*A943*7,49001)</f>
        <v>43030</v>
      </c>
      <c r="L943" s="12" t="n">
        <f aca="false">1+MOD(A943*131,100)</f>
        <v>3</v>
      </c>
      <c r="M943" s="12" t="n">
        <f aca="false">INT(K943*(0.6+MOD(A943*43,21)/100))</f>
        <v>33563</v>
      </c>
      <c r="N943" s="12" t="n">
        <f aca="false">K943-M943</f>
        <v>9467</v>
      </c>
    </row>
    <row r="944" customFormat="false" ht="12.8" hidden="false" customHeight="false" outlineLevel="0" collapsed="false">
      <c r="A944" s="10" t="n">
        <f aca="false">A943+1</f>
        <v>943</v>
      </c>
      <c r="B944" s="11" t="n">
        <f aca="false">B943+1</f>
        <v>45869</v>
      </c>
      <c r="C944" s="10" t="n">
        <f aca="false">YEAR(B944)</f>
        <v>2025</v>
      </c>
      <c r="D944" s="10" t="n">
        <f aca="false">INT((MONTH(B944)-1)/3)+1</f>
        <v>3</v>
      </c>
      <c r="E944" s="10" t="n">
        <f aca="false">MONTH(B944)</f>
        <v>7</v>
      </c>
      <c r="F944" s="10" t="str">
        <f aca="false">CHOOSE(MOD(A944-1,5)+1,"Центр","Юг","Север","Запад","Восток")</f>
        <v>Север</v>
      </c>
      <c r="G944" s="10" t="str">
        <f aca="false">"Округ_"&amp;(MOD(A944-1,5)+1)&amp;"_"&amp;(MOD(INT((A944-1)/5),5)+1)</f>
        <v>Округ_3_4</v>
      </c>
      <c r="H944" s="10" t="str">
        <f aca="false">"Город_"&amp;(MOD(A944-1,5)+1)&amp;"_"&amp;(MOD(INT((A944-1)/5),5)+1)&amp;"_"&amp;(MOD(INT((A944-1)/25),10)+1)</f>
        <v>Город_3_4_8</v>
      </c>
      <c r="I944" s="10" t="str">
        <f aca="false">CHOOSE(MOD(A944-1,4)+1,"Электроника","Одежда","Продукты","Мебель")</f>
        <v>Продукты</v>
      </c>
      <c r="J944" s="10" t="str">
        <f aca="false">CHOOSE(MOD(INT((A944-1)/4),4)+1,CHOOSE(MOD(A944-1,4)+1,"Смартфоны","Ноутбуки","Аксессуары","Аудио"),CHOOSE(MOD(A944-1,4)+1,"Верхняя одежда","Спортивная","Повседневная","Обувь"),CHOOSE(MOD(A944-1,4)+1,"Молочные","Мясные","Бакалея","Напитки"),CHOOSE(MOD(A944-1,4)+1,"Мягкая мебель","Корпусная","Офисная","Кухонная"))</f>
        <v>Офисная</v>
      </c>
      <c r="K944" s="12" t="n">
        <f aca="false">1000+MOD(A944*317+A944*A944*7,49001)</f>
        <v>7541</v>
      </c>
      <c r="L944" s="12" t="n">
        <f aca="false">1+MOD(A944*131,100)</f>
        <v>34</v>
      </c>
      <c r="M944" s="12" t="n">
        <f aca="false">INT(K944*(0.6+MOD(A944*43,21)/100))</f>
        <v>5957</v>
      </c>
      <c r="N944" s="12" t="n">
        <f aca="false">K944-M944</f>
        <v>1584</v>
      </c>
    </row>
    <row r="945" customFormat="false" ht="12.8" hidden="false" customHeight="false" outlineLevel="0" collapsed="false">
      <c r="A945" s="10" t="n">
        <f aca="false">A944+1</f>
        <v>944</v>
      </c>
      <c r="B945" s="11" t="n">
        <f aca="false">B944+1</f>
        <v>45870</v>
      </c>
      <c r="C945" s="10" t="n">
        <f aca="false">YEAR(B945)</f>
        <v>2025</v>
      </c>
      <c r="D945" s="10" t="n">
        <f aca="false">INT((MONTH(B945)-1)/3)+1</f>
        <v>3</v>
      </c>
      <c r="E945" s="10" t="n">
        <f aca="false">MONTH(B945)</f>
        <v>8</v>
      </c>
      <c r="F945" s="10" t="str">
        <f aca="false">CHOOSE(MOD(A945-1,5)+1,"Центр","Юг","Север","Запад","Восток")</f>
        <v>Запад</v>
      </c>
      <c r="G945" s="10" t="str">
        <f aca="false">"Округ_"&amp;(MOD(A945-1,5)+1)&amp;"_"&amp;(MOD(INT((A945-1)/5),5)+1)</f>
        <v>Округ_4_4</v>
      </c>
      <c r="H945" s="10" t="str">
        <f aca="false">"Город_"&amp;(MOD(A945-1,5)+1)&amp;"_"&amp;(MOD(INT((A945-1)/5),5)+1)&amp;"_"&amp;(MOD(INT((A945-1)/25),10)+1)</f>
        <v>Город_4_4_8</v>
      </c>
      <c r="I945" s="10" t="str">
        <f aca="false">CHOOSE(MOD(A945-1,4)+1,"Электроника","Одежда","Продукты","Мебель")</f>
        <v>Мебель</v>
      </c>
      <c r="J945" s="10" t="str">
        <f aca="false">CHOOSE(MOD(INT((A945-1)/4),4)+1,CHOOSE(MOD(A945-1,4)+1,"Смартфоны","Ноутбуки","Аксессуары","Аудио"),CHOOSE(MOD(A945-1,4)+1,"Верхняя одежда","Спортивная","Повседневная","Обувь"),CHOOSE(MOD(A945-1,4)+1,"Молочные","Мясные","Бакалея","Напитки"),CHOOSE(MOD(A945-1,4)+1,"Мягкая мебель","Корпусная","Офисная","Кухонная"))</f>
        <v>Кухонная</v>
      </c>
      <c r="K945" s="12" t="n">
        <f aca="false">1000+MOD(A945*317+A945*A945*7,49001)</f>
        <v>21067</v>
      </c>
      <c r="L945" s="12" t="n">
        <f aca="false">1+MOD(A945*131,100)</f>
        <v>65</v>
      </c>
      <c r="M945" s="12" t="n">
        <f aca="false">INT(K945*(0.6+MOD(A945*43,21)/100))</f>
        <v>16853</v>
      </c>
      <c r="N945" s="12" t="n">
        <f aca="false">K945-M945</f>
        <v>4214</v>
      </c>
    </row>
    <row r="946" customFormat="false" ht="12.8" hidden="false" customHeight="false" outlineLevel="0" collapsed="false">
      <c r="A946" s="10" t="n">
        <f aca="false">A945+1</f>
        <v>945</v>
      </c>
      <c r="B946" s="11" t="n">
        <f aca="false">B945+1</f>
        <v>45871</v>
      </c>
      <c r="C946" s="10" t="n">
        <f aca="false">YEAR(B946)</f>
        <v>2025</v>
      </c>
      <c r="D946" s="10" t="n">
        <f aca="false">INT((MONTH(B946)-1)/3)+1</f>
        <v>3</v>
      </c>
      <c r="E946" s="10" t="n">
        <f aca="false">MONTH(B946)</f>
        <v>8</v>
      </c>
      <c r="F946" s="10" t="str">
        <f aca="false">CHOOSE(MOD(A946-1,5)+1,"Центр","Юг","Север","Запад","Восток")</f>
        <v>Восток</v>
      </c>
      <c r="G946" s="10" t="str">
        <f aca="false">"Округ_"&amp;(MOD(A946-1,5)+1)&amp;"_"&amp;(MOD(INT((A946-1)/5),5)+1)</f>
        <v>Округ_5_4</v>
      </c>
      <c r="H946" s="10" t="str">
        <f aca="false">"Город_"&amp;(MOD(A946-1,5)+1)&amp;"_"&amp;(MOD(INT((A946-1)/5),5)+1)&amp;"_"&amp;(MOD(INT((A946-1)/25),10)+1)</f>
        <v>Город_5_4_8</v>
      </c>
      <c r="I946" s="10" t="str">
        <f aca="false">CHOOSE(MOD(A946-1,4)+1,"Электроника","Одежда","Продукты","Мебель")</f>
        <v>Электроника</v>
      </c>
      <c r="J946" s="10" t="str">
        <f aca="false">CHOOSE(MOD(INT((A946-1)/4),4)+1,CHOOSE(MOD(A946-1,4)+1,"Смартфоны","Ноутбуки","Аксессуары","Аудио"),CHOOSE(MOD(A946-1,4)+1,"Верхняя одежда","Спортивная","Повседневная","Обувь"),CHOOSE(MOD(A946-1,4)+1,"Молочные","Мясные","Бакалея","Напитки"),CHOOSE(MOD(A946-1,4)+1,"Мягкая мебель","Корпусная","Офисная","Кухонная"))</f>
        <v>Смартфоны</v>
      </c>
      <c r="K946" s="12" t="n">
        <f aca="false">1000+MOD(A946*317+A946*A946*7,49001)</f>
        <v>34607</v>
      </c>
      <c r="L946" s="12" t="n">
        <f aca="false">1+MOD(A946*131,100)</f>
        <v>96</v>
      </c>
      <c r="M946" s="12" t="n">
        <f aca="false">INT(K946*(0.6+MOD(A946*43,21)/100))</f>
        <v>20764</v>
      </c>
      <c r="N946" s="12" t="n">
        <f aca="false">K946-M946</f>
        <v>13843</v>
      </c>
    </row>
    <row r="947" customFormat="false" ht="12.8" hidden="false" customHeight="false" outlineLevel="0" collapsed="false">
      <c r="A947" s="10" t="n">
        <f aca="false">A946+1</f>
        <v>946</v>
      </c>
      <c r="B947" s="11" t="n">
        <f aca="false">B946+1</f>
        <v>45872</v>
      </c>
      <c r="C947" s="10" t="n">
        <f aca="false">YEAR(B947)</f>
        <v>2025</v>
      </c>
      <c r="D947" s="10" t="n">
        <f aca="false">INT((MONTH(B947)-1)/3)+1</f>
        <v>3</v>
      </c>
      <c r="E947" s="10" t="n">
        <f aca="false">MONTH(B947)</f>
        <v>8</v>
      </c>
      <c r="F947" s="10" t="str">
        <f aca="false">CHOOSE(MOD(A947-1,5)+1,"Центр","Юг","Север","Запад","Восток")</f>
        <v>Центр</v>
      </c>
      <c r="G947" s="10" t="str">
        <f aca="false">"Округ_"&amp;(MOD(A947-1,5)+1)&amp;"_"&amp;(MOD(INT((A947-1)/5),5)+1)</f>
        <v>Округ_1_5</v>
      </c>
      <c r="H947" s="10" t="str">
        <f aca="false">"Город_"&amp;(MOD(A947-1,5)+1)&amp;"_"&amp;(MOD(INT((A947-1)/5),5)+1)&amp;"_"&amp;(MOD(INT((A947-1)/25),10)+1)</f>
        <v>Город_1_5_8</v>
      </c>
      <c r="I947" s="10" t="str">
        <f aca="false">CHOOSE(MOD(A947-1,4)+1,"Электроника","Одежда","Продукты","Мебель")</f>
        <v>Одежда</v>
      </c>
      <c r="J947" s="10" t="str">
        <f aca="false">CHOOSE(MOD(INT((A947-1)/4),4)+1,CHOOSE(MOD(A947-1,4)+1,"Смартфоны","Ноутбуки","Аксессуары","Аудио"),CHOOSE(MOD(A947-1,4)+1,"Верхняя одежда","Спортивная","Повседневная","Обувь"),CHOOSE(MOD(A947-1,4)+1,"Молочные","Мясные","Бакалея","Напитки"),CHOOSE(MOD(A947-1,4)+1,"Мягкая мебель","Корпусная","Офисная","Кухонная"))</f>
        <v>Ноутбуки</v>
      </c>
      <c r="K947" s="12" t="n">
        <f aca="false">1000+MOD(A947*317+A947*A947*7,49001)</f>
        <v>48161</v>
      </c>
      <c r="L947" s="12" t="n">
        <f aca="false">1+MOD(A947*131,100)</f>
        <v>27</v>
      </c>
      <c r="M947" s="12" t="n">
        <f aca="false">INT(K947*(0.6+MOD(A947*43,21)/100))</f>
        <v>29378</v>
      </c>
      <c r="N947" s="12" t="n">
        <f aca="false">K947-M947</f>
        <v>18783</v>
      </c>
    </row>
    <row r="948" customFormat="false" ht="12.8" hidden="false" customHeight="false" outlineLevel="0" collapsed="false">
      <c r="A948" s="10" t="n">
        <f aca="false">A947+1</f>
        <v>947</v>
      </c>
      <c r="B948" s="11" t="n">
        <f aca="false">B947+1</f>
        <v>45873</v>
      </c>
      <c r="C948" s="10" t="n">
        <f aca="false">YEAR(B948)</f>
        <v>2025</v>
      </c>
      <c r="D948" s="10" t="n">
        <f aca="false">INT((MONTH(B948)-1)/3)+1</f>
        <v>3</v>
      </c>
      <c r="E948" s="10" t="n">
        <f aca="false">MONTH(B948)</f>
        <v>8</v>
      </c>
      <c r="F948" s="10" t="str">
        <f aca="false">CHOOSE(MOD(A948-1,5)+1,"Центр","Юг","Север","Запад","Восток")</f>
        <v>Юг</v>
      </c>
      <c r="G948" s="10" t="str">
        <f aca="false">"Округ_"&amp;(MOD(A948-1,5)+1)&amp;"_"&amp;(MOD(INT((A948-1)/5),5)+1)</f>
        <v>Округ_2_5</v>
      </c>
      <c r="H948" s="10" t="str">
        <f aca="false">"Город_"&amp;(MOD(A948-1,5)+1)&amp;"_"&amp;(MOD(INT((A948-1)/5),5)+1)&amp;"_"&amp;(MOD(INT((A948-1)/25),10)+1)</f>
        <v>Город_2_5_8</v>
      </c>
      <c r="I948" s="10" t="str">
        <f aca="false">CHOOSE(MOD(A948-1,4)+1,"Электроника","Одежда","Продукты","Мебель")</f>
        <v>Продукты</v>
      </c>
      <c r="J948" s="10" t="str">
        <f aca="false">CHOOSE(MOD(INT((A948-1)/4),4)+1,CHOOSE(MOD(A948-1,4)+1,"Смартфоны","Ноутбуки","Аксессуары","Аудио"),CHOOSE(MOD(A948-1,4)+1,"Верхняя одежда","Спортивная","Повседневная","Обувь"),CHOOSE(MOD(A948-1,4)+1,"Молочные","Мясные","Бакалея","Напитки"),CHOOSE(MOD(A948-1,4)+1,"Мягкая мебель","Корпусная","Офисная","Кухонная"))</f>
        <v>Аксессуары</v>
      </c>
      <c r="K948" s="12" t="n">
        <f aca="false">1000+MOD(A948*317+A948*A948*7,49001)</f>
        <v>12728</v>
      </c>
      <c r="L948" s="12" t="n">
        <f aca="false">1+MOD(A948*131,100)</f>
        <v>58</v>
      </c>
      <c r="M948" s="12" t="n">
        <f aca="false">INT(K948*(0.6+MOD(A948*43,21)/100))</f>
        <v>7891</v>
      </c>
      <c r="N948" s="12" t="n">
        <f aca="false">K948-M948</f>
        <v>4837</v>
      </c>
    </row>
    <row r="949" customFormat="false" ht="12.8" hidden="false" customHeight="false" outlineLevel="0" collapsed="false">
      <c r="A949" s="10" t="n">
        <f aca="false">A948+1</f>
        <v>948</v>
      </c>
      <c r="B949" s="11" t="n">
        <f aca="false">B948+1</f>
        <v>45874</v>
      </c>
      <c r="C949" s="10" t="n">
        <f aca="false">YEAR(B949)</f>
        <v>2025</v>
      </c>
      <c r="D949" s="10" t="n">
        <f aca="false">INT((MONTH(B949)-1)/3)+1</f>
        <v>3</v>
      </c>
      <c r="E949" s="10" t="n">
        <f aca="false">MONTH(B949)</f>
        <v>8</v>
      </c>
      <c r="F949" s="10" t="str">
        <f aca="false">CHOOSE(MOD(A949-1,5)+1,"Центр","Юг","Север","Запад","Восток")</f>
        <v>Север</v>
      </c>
      <c r="G949" s="10" t="str">
        <f aca="false">"Округ_"&amp;(MOD(A949-1,5)+1)&amp;"_"&amp;(MOD(INT((A949-1)/5),5)+1)</f>
        <v>Округ_3_5</v>
      </c>
      <c r="H949" s="10" t="str">
        <f aca="false">"Город_"&amp;(MOD(A949-1,5)+1)&amp;"_"&amp;(MOD(INT((A949-1)/5),5)+1)&amp;"_"&amp;(MOD(INT((A949-1)/25),10)+1)</f>
        <v>Город_3_5_8</v>
      </c>
      <c r="I949" s="10" t="str">
        <f aca="false">CHOOSE(MOD(A949-1,4)+1,"Электроника","Одежда","Продукты","Мебель")</f>
        <v>Мебель</v>
      </c>
      <c r="J949" s="10" t="str">
        <f aca="false">CHOOSE(MOD(INT((A949-1)/4),4)+1,CHOOSE(MOD(A949-1,4)+1,"Смартфоны","Ноутбуки","Аксессуары","Аудио"),CHOOSE(MOD(A949-1,4)+1,"Верхняя одежда","Спортивная","Повседневная","Обувь"),CHOOSE(MOD(A949-1,4)+1,"Молочные","Мясные","Бакалея","Напитки"),CHOOSE(MOD(A949-1,4)+1,"Мягкая мебель","Корпусная","Офисная","Кухонная"))</f>
        <v>Аудио</v>
      </c>
      <c r="K949" s="12" t="n">
        <f aca="false">1000+MOD(A949*317+A949*A949*7,49001)</f>
        <v>26310</v>
      </c>
      <c r="L949" s="12" t="n">
        <f aca="false">1+MOD(A949*131,100)</f>
        <v>89</v>
      </c>
      <c r="M949" s="12" t="n">
        <f aca="false">INT(K949*(0.6+MOD(A949*43,21)/100))</f>
        <v>16575</v>
      </c>
      <c r="N949" s="12" t="n">
        <f aca="false">K949-M949</f>
        <v>9735</v>
      </c>
    </row>
    <row r="950" customFormat="false" ht="12.8" hidden="false" customHeight="false" outlineLevel="0" collapsed="false">
      <c r="A950" s="10" t="n">
        <f aca="false">A949+1</f>
        <v>949</v>
      </c>
      <c r="B950" s="11" t="n">
        <f aca="false">B949+1</f>
        <v>45875</v>
      </c>
      <c r="C950" s="10" t="n">
        <f aca="false">YEAR(B950)</f>
        <v>2025</v>
      </c>
      <c r="D950" s="10" t="n">
        <f aca="false">INT((MONTH(B950)-1)/3)+1</f>
        <v>3</v>
      </c>
      <c r="E950" s="10" t="n">
        <f aca="false">MONTH(B950)</f>
        <v>8</v>
      </c>
      <c r="F950" s="10" t="str">
        <f aca="false">CHOOSE(MOD(A950-1,5)+1,"Центр","Юг","Север","Запад","Восток")</f>
        <v>Запад</v>
      </c>
      <c r="G950" s="10" t="str">
        <f aca="false">"Округ_"&amp;(MOD(A950-1,5)+1)&amp;"_"&amp;(MOD(INT((A950-1)/5),5)+1)</f>
        <v>Округ_4_5</v>
      </c>
      <c r="H950" s="10" t="str">
        <f aca="false">"Город_"&amp;(MOD(A950-1,5)+1)&amp;"_"&amp;(MOD(INT((A950-1)/5),5)+1)&amp;"_"&amp;(MOD(INT((A950-1)/25),10)+1)</f>
        <v>Город_4_5_8</v>
      </c>
      <c r="I950" s="10" t="str">
        <f aca="false">CHOOSE(MOD(A950-1,4)+1,"Электроника","Одежда","Продукты","Мебель")</f>
        <v>Электроника</v>
      </c>
      <c r="J950" s="10" t="str">
        <f aca="false">CHOOSE(MOD(INT((A950-1)/4),4)+1,CHOOSE(MOD(A950-1,4)+1,"Смартфоны","Ноутбуки","Аксессуары","Аудио"),CHOOSE(MOD(A950-1,4)+1,"Верхняя одежда","Спортивная","Повседневная","Обувь"),CHOOSE(MOD(A950-1,4)+1,"Молочные","Мясные","Бакалея","Напитки"),CHOOSE(MOD(A950-1,4)+1,"Мягкая мебель","Корпусная","Офисная","Кухонная"))</f>
        <v>Верхняя одежда</v>
      </c>
      <c r="K950" s="12" t="n">
        <f aca="false">1000+MOD(A950*317+A950*A950*7,49001)</f>
        <v>39906</v>
      </c>
      <c r="L950" s="12" t="n">
        <f aca="false">1+MOD(A950*131,100)</f>
        <v>20</v>
      </c>
      <c r="M950" s="12" t="n">
        <f aca="false">INT(K950*(0.6+MOD(A950*43,21)/100))</f>
        <v>25539</v>
      </c>
      <c r="N950" s="12" t="n">
        <f aca="false">K950-M950</f>
        <v>14367</v>
      </c>
    </row>
    <row r="951" customFormat="false" ht="12.8" hidden="false" customHeight="false" outlineLevel="0" collapsed="false">
      <c r="A951" s="10" t="n">
        <f aca="false">A950+1</f>
        <v>950</v>
      </c>
      <c r="B951" s="11" t="n">
        <f aca="false">B950+1</f>
        <v>45876</v>
      </c>
      <c r="C951" s="10" t="n">
        <f aca="false">YEAR(B951)</f>
        <v>2025</v>
      </c>
      <c r="D951" s="10" t="n">
        <f aca="false">INT((MONTH(B951)-1)/3)+1</f>
        <v>3</v>
      </c>
      <c r="E951" s="10" t="n">
        <f aca="false">MONTH(B951)</f>
        <v>8</v>
      </c>
      <c r="F951" s="10" t="str">
        <f aca="false">CHOOSE(MOD(A951-1,5)+1,"Центр","Юг","Север","Запад","Восток")</f>
        <v>Восток</v>
      </c>
      <c r="G951" s="10" t="str">
        <f aca="false">"Округ_"&amp;(MOD(A951-1,5)+1)&amp;"_"&amp;(MOD(INT((A951-1)/5),5)+1)</f>
        <v>Округ_5_5</v>
      </c>
      <c r="H951" s="10" t="str">
        <f aca="false">"Город_"&amp;(MOD(A951-1,5)+1)&amp;"_"&amp;(MOD(INT((A951-1)/5),5)+1)&amp;"_"&amp;(MOD(INT((A951-1)/25),10)+1)</f>
        <v>Город_5_5_8</v>
      </c>
      <c r="I951" s="10" t="str">
        <f aca="false">CHOOSE(MOD(A951-1,4)+1,"Электроника","Одежда","Продукты","Мебель")</f>
        <v>Одежда</v>
      </c>
      <c r="J951" s="10" t="str">
        <f aca="false">CHOOSE(MOD(INT((A951-1)/4),4)+1,CHOOSE(MOD(A951-1,4)+1,"Смартфоны","Ноутбуки","Аксессуары","Аудио"),CHOOSE(MOD(A951-1,4)+1,"Верхняя одежда","Спортивная","Повседневная","Обувь"),CHOOSE(MOD(A951-1,4)+1,"Молочные","Мясные","Бакалея","Напитки"),CHOOSE(MOD(A951-1,4)+1,"Мягкая мебель","Корпусная","Офисная","Кухонная"))</f>
        <v>Спортивная</v>
      </c>
      <c r="K951" s="12" t="n">
        <f aca="false">1000+MOD(A951*317+A951*A951*7,49001)</f>
        <v>4515</v>
      </c>
      <c r="L951" s="12" t="n">
        <f aca="false">1+MOD(A951*131,100)</f>
        <v>51</v>
      </c>
      <c r="M951" s="12" t="n">
        <f aca="false">INT(K951*(0.6+MOD(A951*43,21)/100))</f>
        <v>2934</v>
      </c>
      <c r="N951" s="12" t="n">
        <f aca="false">K951-M951</f>
        <v>1581</v>
      </c>
    </row>
    <row r="952" customFormat="false" ht="12.8" hidden="false" customHeight="false" outlineLevel="0" collapsed="false">
      <c r="A952" s="10" t="n">
        <f aca="false">A951+1</f>
        <v>951</v>
      </c>
      <c r="B952" s="11" t="n">
        <f aca="false">B951+1</f>
        <v>45877</v>
      </c>
      <c r="C952" s="10" t="n">
        <f aca="false">YEAR(B952)</f>
        <v>2025</v>
      </c>
      <c r="D952" s="10" t="n">
        <f aca="false">INT((MONTH(B952)-1)/3)+1</f>
        <v>3</v>
      </c>
      <c r="E952" s="10" t="n">
        <f aca="false">MONTH(B952)</f>
        <v>8</v>
      </c>
      <c r="F952" s="10" t="str">
        <f aca="false">CHOOSE(MOD(A952-1,5)+1,"Центр","Юг","Север","Запад","Восток")</f>
        <v>Центр</v>
      </c>
      <c r="G952" s="10" t="str">
        <f aca="false">"Округ_"&amp;(MOD(A952-1,5)+1)&amp;"_"&amp;(MOD(INT((A952-1)/5),5)+1)</f>
        <v>Округ_1_1</v>
      </c>
      <c r="H952" s="10" t="str">
        <f aca="false">"Город_"&amp;(MOD(A952-1,5)+1)&amp;"_"&amp;(MOD(INT((A952-1)/5),5)+1)&amp;"_"&amp;(MOD(INT((A952-1)/25),10)+1)</f>
        <v>Город_1_1_9</v>
      </c>
      <c r="I952" s="10" t="str">
        <f aca="false">CHOOSE(MOD(A952-1,4)+1,"Электроника","Одежда","Продукты","Мебель")</f>
        <v>Продукты</v>
      </c>
      <c r="J952" s="10" t="str">
        <f aca="false">CHOOSE(MOD(INT((A952-1)/4),4)+1,CHOOSE(MOD(A952-1,4)+1,"Смартфоны","Ноутбуки","Аксессуары","Аудио"),CHOOSE(MOD(A952-1,4)+1,"Верхняя одежда","Спортивная","Повседневная","Обувь"),CHOOSE(MOD(A952-1,4)+1,"Молочные","Мясные","Бакалея","Напитки"),CHOOSE(MOD(A952-1,4)+1,"Мягкая мебель","Корпусная","Офисная","Кухонная"))</f>
        <v>Повседневная</v>
      </c>
      <c r="K952" s="12" t="n">
        <f aca="false">1000+MOD(A952*317+A952*A952*7,49001)</f>
        <v>18139</v>
      </c>
      <c r="L952" s="12" t="n">
        <f aca="false">1+MOD(A952*131,100)</f>
        <v>82</v>
      </c>
      <c r="M952" s="12" t="n">
        <f aca="false">INT(K952*(0.6+MOD(A952*43,21)/100))</f>
        <v>11971</v>
      </c>
      <c r="N952" s="12" t="n">
        <f aca="false">K952-M952</f>
        <v>6168</v>
      </c>
    </row>
    <row r="953" customFormat="false" ht="12.8" hidden="false" customHeight="false" outlineLevel="0" collapsed="false">
      <c r="A953" s="10" t="n">
        <f aca="false">A952+1</f>
        <v>952</v>
      </c>
      <c r="B953" s="11" t="n">
        <f aca="false">B952+1</f>
        <v>45878</v>
      </c>
      <c r="C953" s="10" t="n">
        <f aca="false">YEAR(B953)</f>
        <v>2025</v>
      </c>
      <c r="D953" s="10" t="n">
        <f aca="false">INT((MONTH(B953)-1)/3)+1</f>
        <v>3</v>
      </c>
      <c r="E953" s="10" t="n">
        <f aca="false">MONTH(B953)</f>
        <v>8</v>
      </c>
      <c r="F953" s="10" t="str">
        <f aca="false">CHOOSE(MOD(A953-1,5)+1,"Центр","Юг","Север","Запад","Восток")</f>
        <v>Юг</v>
      </c>
      <c r="G953" s="10" t="str">
        <f aca="false">"Округ_"&amp;(MOD(A953-1,5)+1)&amp;"_"&amp;(MOD(INT((A953-1)/5),5)+1)</f>
        <v>Округ_2_1</v>
      </c>
      <c r="H953" s="10" t="str">
        <f aca="false">"Город_"&amp;(MOD(A953-1,5)+1)&amp;"_"&amp;(MOD(INT((A953-1)/5),5)+1)&amp;"_"&amp;(MOD(INT((A953-1)/25),10)+1)</f>
        <v>Город_2_1_9</v>
      </c>
      <c r="I953" s="10" t="str">
        <f aca="false">CHOOSE(MOD(A953-1,4)+1,"Электроника","Одежда","Продукты","Мебель")</f>
        <v>Мебель</v>
      </c>
      <c r="J953" s="10" t="str">
        <f aca="false">CHOOSE(MOD(INT((A953-1)/4),4)+1,CHOOSE(MOD(A953-1,4)+1,"Смартфоны","Ноутбуки","Аксессуары","Аудио"),CHOOSE(MOD(A953-1,4)+1,"Верхняя одежда","Спортивная","Повседневная","Обувь"),CHOOSE(MOD(A953-1,4)+1,"Молочные","Мясные","Бакалея","Напитки"),CHOOSE(MOD(A953-1,4)+1,"Мягкая мебель","Корпусная","Офисная","Кухонная"))</f>
        <v>Обувь</v>
      </c>
      <c r="K953" s="12" t="n">
        <f aca="false">1000+MOD(A953*317+A953*A953*7,49001)</f>
        <v>31777</v>
      </c>
      <c r="L953" s="12" t="n">
        <f aca="false">1+MOD(A953*131,100)</f>
        <v>13</v>
      </c>
      <c r="M953" s="12" t="n">
        <f aca="false">INT(K953*(0.6+MOD(A953*43,21)/100))</f>
        <v>21290</v>
      </c>
      <c r="N953" s="12" t="n">
        <f aca="false">K953-M953</f>
        <v>10487</v>
      </c>
    </row>
    <row r="954" customFormat="false" ht="12.8" hidden="false" customHeight="false" outlineLevel="0" collapsed="false">
      <c r="A954" s="10" t="n">
        <f aca="false">A953+1</f>
        <v>953</v>
      </c>
      <c r="B954" s="11" t="n">
        <f aca="false">B953+1</f>
        <v>45879</v>
      </c>
      <c r="C954" s="10" t="n">
        <f aca="false">YEAR(B954)</f>
        <v>2025</v>
      </c>
      <c r="D954" s="10" t="n">
        <f aca="false">INT((MONTH(B954)-1)/3)+1</f>
        <v>3</v>
      </c>
      <c r="E954" s="10" t="n">
        <f aca="false">MONTH(B954)</f>
        <v>8</v>
      </c>
      <c r="F954" s="10" t="str">
        <f aca="false">CHOOSE(MOD(A954-1,5)+1,"Центр","Юг","Север","Запад","Восток")</f>
        <v>Север</v>
      </c>
      <c r="G954" s="10" t="str">
        <f aca="false">"Округ_"&amp;(MOD(A954-1,5)+1)&amp;"_"&amp;(MOD(INT((A954-1)/5),5)+1)</f>
        <v>Округ_3_1</v>
      </c>
      <c r="H954" s="10" t="str">
        <f aca="false">"Город_"&amp;(MOD(A954-1,5)+1)&amp;"_"&amp;(MOD(INT((A954-1)/5),5)+1)&amp;"_"&amp;(MOD(INT((A954-1)/25),10)+1)</f>
        <v>Город_3_1_9</v>
      </c>
      <c r="I954" s="10" t="str">
        <f aca="false">CHOOSE(MOD(A954-1,4)+1,"Электроника","Одежда","Продукты","Мебель")</f>
        <v>Электроника</v>
      </c>
      <c r="J954" s="10" t="str">
        <f aca="false">CHOOSE(MOD(INT((A954-1)/4),4)+1,CHOOSE(MOD(A954-1,4)+1,"Смартфоны","Ноутбуки","Аксессуары","Аудио"),CHOOSE(MOD(A954-1,4)+1,"Верхняя одежда","Спортивная","Повседневная","Обувь"),CHOOSE(MOD(A954-1,4)+1,"Молочные","Мясные","Бакалея","Напитки"),CHOOSE(MOD(A954-1,4)+1,"Мягкая мебель","Корпусная","Офисная","Кухонная"))</f>
        <v>Молочные</v>
      </c>
      <c r="K954" s="12" t="n">
        <f aca="false">1000+MOD(A954*317+A954*A954*7,49001)</f>
        <v>45429</v>
      </c>
      <c r="L954" s="12" t="n">
        <f aca="false">1+MOD(A954*131,100)</f>
        <v>44</v>
      </c>
      <c r="M954" s="12" t="n">
        <f aca="false">INT(K954*(0.6+MOD(A954*43,21)/100))</f>
        <v>30891</v>
      </c>
      <c r="N954" s="12" t="n">
        <f aca="false">K954-M954</f>
        <v>14538</v>
      </c>
    </row>
    <row r="955" customFormat="false" ht="12.8" hidden="false" customHeight="false" outlineLevel="0" collapsed="false">
      <c r="A955" s="10" t="n">
        <f aca="false">A954+1</f>
        <v>954</v>
      </c>
      <c r="B955" s="11" t="n">
        <f aca="false">B954+1</f>
        <v>45880</v>
      </c>
      <c r="C955" s="10" t="n">
        <f aca="false">YEAR(B955)</f>
        <v>2025</v>
      </c>
      <c r="D955" s="10" t="n">
        <f aca="false">INT((MONTH(B955)-1)/3)+1</f>
        <v>3</v>
      </c>
      <c r="E955" s="10" t="n">
        <f aca="false">MONTH(B955)</f>
        <v>8</v>
      </c>
      <c r="F955" s="10" t="str">
        <f aca="false">CHOOSE(MOD(A955-1,5)+1,"Центр","Юг","Север","Запад","Восток")</f>
        <v>Запад</v>
      </c>
      <c r="G955" s="10" t="str">
        <f aca="false">"Округ_"&amp;(MOD(A955-1,5)+1)&amp;"_"&amp;(MOD(INT((A955-1)/5),5)+1)</f>
        <v>Округ_4_1</v>
      </c>
      <c r="H955" s="10" t="str">
        <f aca="false">"Город_"&amp;(MOD(A955-1,5)+1)&amp;"_"&amp;(MOD(INT((A955-1)/5),5)+1)&amp;"_"&amp;(MOD(INT((A955-1)/25),10)+1)</f>
        <v>Город_4_1_9</v>
      </c>
      <c r="I955" s="10" t="str">
        <f aca="false">CHOOSE(MOD(A955-1,4)+1,"Электроника","Одежда","Продукты","Мебель")</f>
        <v>Одежда</v>
      </c>
      <c r="J955" s="10" t="str">
        <f aca="false">CHOOSE(MOD(INT((A955-1)/4),4)+1,CHOOSE(MOD(A955-1,4)+1,"Смартфоны","Ноутбуки","Аксессуары","Аудио"),CHOOSE(MOD(A955-1,4)+1,"Верхняя одежда","Спортивная","Повседневная","Обувь"),CHOOSE(MOD(A955-1,4)+1,"Молочные","Мясные","Бакалея","Напитки"),CHOOSE(MOD(A955-1,4)+1,"Мягкая мебель","Корпусная","Офисная","Кухонная"))</f>
        <v>Мясные</v>
      </c>
      <c r="K955" s="12" t="n">
        <f aca="false">1000+MOD(A955*317+A955*A955*7,49001)</f>
        <v>10094</v>
      </c>
      <c r="L955" s="12" t="n">
        <f aca="false">1+MOD(A955*131,100)</f>
        <v>75</v>
      </c>
      <c r="M955" s="12" t="n">
        <f aca="false">INT(K955*(0.6+MOD(A955*43,21)/100))</f>
        <v>6964</v>
      </c>
      <c r="N955" s="12" t="n">
        <f aca="false">K955-M955</f>
        <v>3130</v>
      </c>
    </row>
    <row r="956" customFormat="false" ht="12.8" hidden="false" customHeight="false" outlineLevel="0" collapsed="false">
      <c r="A956" s="10" t="n">
        <f aca="false">A955+1</f>
        <v>955</v>
      </c>
      <c r="B956" s="11" t="n">
        <f aca="false">B955+1</f>
        <v>45881</v>
      </c>
      <c r="C956" s="10" t="n">
        <f aca="false">YEAR(B956)</f>
        <v>2025</v>
      </c>
      <c r="D956" s="10" t="n">
        <f aca="false">INT((MONTH(B956)-1)/3)+1</f>
        <v>3</v>
      </c>
      <c r="E956" s="10" t="n">
        <f aca="false">MONTH(B956)</f>
        <v>8</v>
      </c>
      <c r="F956" s="10" t="str">
        <f aca="false">CHOOSE(MOD(A956-1,5)+1,"Центр","Юг","Север","Запад","Восток")</f>
        <v>Восток</v>
      </c>
      <c r="G956" s="10" t="str">
        <f aca="false">"Округ_"&amp;(MOD(A956-1,5)+1)&amp;"_"&amp;(MOD(INT((A956-1)/5),5)+1)</f>
        <v>Округ_5_1</v>
      </c>
      <c r="H956" s="10" t="str">
        <f aca="false">"Город_"&amp;(MOD(A956-1,5)+1)&amp;"_"&amp;(MOD(INT((A956-1)/5),5)+1)&amp;"_"&amp;(MOD(INT((A956-1)/25),10)+1)</f>
        <v>Город_5_1_9</v>
      </c>
      <c r="I956" s="10" t="str">
        <f aca="false">CHOOSE(MOD(A956-1,4)+1,"Электроника","Одежда","Продукты","Мебель")</f>
        <v>Продукты</v>
      </c>
      <c r="J956" s="10" t="str">
        <f aca="false">CHOOSE(MOD(INT((A956-1)/4),4)+1,CHOOSE(MOD(A956-1,4)+1,"Смартфоны","Ноутбуки","Аксессуары","Аудио"),CHOOSE(MOD(A956-1,4)+1,"Верхняя одежда","Спортивная","Повседневная","Обувь"),CHOOSE(MOD(A956-1,4)+1,"Молочные","Мясные","Бакалея","Напитки"),CHOOSE(MOD(A956-1,4)+1,"Мягкая мебель","Корпусная","Офисная","Кухонная"))</f>
        <v>Бакалея</v>
      </c>
      <c r="K956" s="12" t="n">
        <f aca="false">1000+MOD(A956*317+A956*A956*7,49001)</f>
        <v>23774</v>
      </c>
      <c r="L956" s="12" t="n">
        <f aca="false">1+MOD(A956*131,100)</f>
        <v>6</v>
      </c>
      <c r="M956" s="12" t="n">
        <f aca="false">INT(K956*(0.6+MOD(A956*43,21)/100))</f>
        <v>16641</v>
      </c>
      <c r="N956" s="12" t="n">
        <f aca="false">K956-M956</f>
        <v>7133</v>
      </c>
    </row>
    <row r="957" customFormat="false" ht="12.8" hidden="false" customHeight="false" outlineLevel="0" collapsed="false">
      <c r="A957" s="10" t="n">
        <f aca="false">A956+1</f>
        <v>956</v>
      </c>
      <c r="B957" s="11" t="n">
        <f aca="false">B956+1</f>
        <v>45882</v>
      </c>
      <c r="C957" s="10" t="n">
        <f aca="false">YEAR(B957)</f>
        <v>2025</v>
      </c>
      <c r="D957" s="10" t="n">
        <f aca="false">INT((MONTH(B957)-1)/3)+1</f>
        <v>3</v>
      </c>
      <c r="E957" s="10" t="n">
        <f aca="false">MONTH(B957)</f>
        <v>8</v>
      </c>
      <c r="F957" s="10" t="str">
        <f aca="false">CHOOSE(MOD(A957-1,5)+1,"Центр","Юг","Север","Запад","Восток")</f>
        <v>Центр</v>
      </c>
      <c r="G957" s="10" t="str">
        <f aca="false">"Округ_"&amp;(MOD(A957-1,5)+1)&amp;"_"&amp;(MOD(INT((A957-1)/5),5)+1)</f>
        <v>Округ_1_2</v>
      </c>
      <c r="H957" s="10" t="str">
        <f aca="false">"Город_"&amp;(MOD(A957-1,5)+1)&amp;"_"&amp;(MOD(INT((A957-1)/5),5)+1)&amp;"_"&amp;(MOD(INT((A957-1)/25),10)+1)</f>
        <v>Город_1_2_9</v>
      </c>
      <c r="I957" s="10" t="str">
        <f aca="false">CHOOSE(MOD(A957-1,4)+1,"Электроника","Одежда","Продукты","Мебель")</f>
        <v>Мебель</v>
      </c>
      <c r="J957" s="10" t="str">
        <f aca="false">CHOOSE(MOD(INT((A957-1)/4),4)+1,CHOOSE(MOD(A957-1,4)+1,"Смартфоны","Ноутбуки","Аксессуары","Аудио"),CHOOSE(MOD(A957-1,4)+1,"Верхняя одежда","Спортивная","Повседневная","Обувь"),CHOOSE(MOD(A957-1,4)+1,"Молочные","Мясные","Бакалея","Напитки"),CHOOSE(MOD(A957-1,4)+1,"Мягкая мебель","Корпусная","Офисная","Кухонная"))</f>
        <v>Напитки</v>
      </c>
      <c r="K957" s="12" t="n">
        <f aca="false">1000+MOD(A957*317+A957*A957*7,49001)</f>
        <v>37468</v>
      </c>
      <c r="L957" s="12" t="n">
        <f aca="false">1+MOD(A957*131,100)</f>
        <v>37</v>
      </c>
      <c r="M957" s="12" t="n">
        <f aca="false">INT(K957*(0.6+MOD(A957*43,21)/100))</f>
        <v>26602</v>
      </c>
      <c r="N957" s="12" t="n">
        <f aca="false">K957-M957</f>
        <v>10866</v>
      </c>
    </row>
    <row r="958" customFormat="false" ht="12.8" hidden="false" customHeight="false" outlineLevel="0" collapsed="false">
      <c r="A958" s="10" t="n">
        <f aca="false">A957+1</f>
        <v>957</v>
      </c>
      <c r="B958" s="11" t="n">
        <f aca="false">B957+1</f>
        <v>45883</v>
      </c>
      <c r="C958" s="10" t="n">
        <f aca="false">YEAR(B958)</f>
        <v>2025</v>
      </c>
      <c r="D958" s="10" t="n">
        <f aca="false">INT((MONTH(B958)-1)/3)+1</f>
        <v>3</v>
      </c>
      <c r="E958" s="10" t="n">
        <f aca="false">MONTH(B958)</f>
        <v>8</v>
      </c>
      <c r="F958" s="10" t="str">
        <f aca="false">CHOOSE(MOD(A958-1,5)+1,"Центр","Юг","Север","Запад","Восток")</f>
        <v>Юг</v>
      </c>
      <c r="G958" s="10" t="str">
        <f aca="false">"Округ_"&amp;(MOD(A958-1,5)+1)&amp;"_"&amp;(MOD(INT((A958-1)/5),5)+1)</f>
        <v>Округ_2_2</v>
      </c>
      <c r="H958" s="10" t="str">
        <f aca="false">"Город_"&amp;(MOD(A958-1,5)+1)&amp;"_"&amp;(MOD(INT((A958-1)/5),5)+1)&amp;"_"&amp;(MOD(INT((A958-1)/25),10)+1)</f>
        <v>Город_2_2_9</v>
      </c>
      <c r="I958" s="10" t="str">
        <f aca="false">CHOOSE(MOD(A958-1,4)+1,"Электроника","Одежда","Продукты","Мебель")</f>
        <v>Электроника</v>
      </c>
      <c r="J958" s="10" t="str">
        <f aca="false">CHOOSE(MOD(INT((A958-1)/4),4)+1,CHOOSE(MOD(A958-1,4)+1,"Смартфоны","Ноутбуки","Аксессуары","Аудио"),CHOOSE(MOD(A958-1,4)+1,"Верхняя одежда","Спортивная","Повседневная","Обувь"),CHOOSE(MOD(A958-1,4)+1,"Молочные","Мясные","Бакалея","Напитки"),CHOOSE(MOD(A958-1,4)+1,"Мягкая мебель","Корпусная","Офисная","Кухонная"))</f>
        <v>Мягкая мебель</v>
      </c>
      <c r="K958" s="12" t="n">
        <f aca="false">1000+MOD(A958*317+A958*A958*7,49001)</f>
        <v>2175</v>
      </c>
      <c r="L958" s="12" t="n">
        <f aca="false">1+MOD(A958*131,100)</f>
        <v>68</v>
      </c>
      <c r="M958" s="12" t="n">
        <f aca="false">INT(K958*(0.6+MOD(A958*43,21)/100))</f>
        <v>1566</v>
      </c>
      <c r="N958" s="12" t="n">
        <f aca="false">K958-M958</f>
        <v>609</v>
      </c>
    </row>
    <row r="959" customFormat="false" ht="12.8" hidden="false" customHeight="false" outlineLevel="0" collapsed="false">
      <c r="A959" s="10" t="n">
        <f aca="false">A958+1</f>
        <v>958</v>
      </c>
      <c r="B959" s="11" t="n">
        <f aca="false">B958+1</f>
        <v>45884</v>
      </c>
      <c r="C959" s="10" t="n">
        <f aca="false">YEAR(B959)</f>
        <v>2025</v>
      </c>
      <c r="D959" s="10" t="n">
        <f aca="false">INT((MONTH(B959)-1)/3)+1</f>
        <v>3</v>
      </c>
      <c r="E959" s="10" t="n">
        <f aca="false">MONTH(B959)</f>
        <v>8</v>
      </c>
      <c r="F959" s="10" t="str">
        <f aca="false">CHOOSE(MOD(A959-1,5)+1,"Центр","Юг","Север","Запад","Восток")</f>
        <v>Север</v>
      </c>
      <c r="G959" s="10" t="str">
        <f aca="false">"Округ_"&amp;(MOD(A959-1,5)+1)&amp;"_"&amp;(MOD(INT((A959-1)/5),5)+1)</f>
        <v>Округ_3_2</v>
      </c>
      <c r="H959" s="10" t="str">
        <f aca="false">"Город_"&amp;(MOD(A959-1,5)+1)&amp;"_"&amp;(MOD(INT((A959-1)/5),5)+1)&amp;"_"&amp;(MOD(INT((A959-1)/25),10)+1)</f>
        <v>Город_3_2_9</v>
      </c>
      <c r="I959" s="10" t="str">
        <f aca="false">CHOOSE(MOD(A959-1,4)+1,"Электроника","Одежда","Продукты","Мебель")</f>
        <v>Одежда</v>
      </c>
      <c r="J959" s="10" t="str">
        <f aca="false">CHOOSE(MOD(INT((A959-1)/4),4)+1,CHOOSE(MOD(A959-1,4)+1,"Смартфоны","Ноутбуки","Аксессуары","Аудио"),CHOOSE(MOD(A959-1,4)+1,"Верхняя одежда","Спортивная","Повседневная","Обувь"),CHOOSE(MOD(A959-1,4)+1,"Молочные","Мясные","Бакалея","Напитки"),CHOOSE(MOD(A959-1,4)+1,"Мягкая мебель","Корпусная","Офисная","Кухонная"))</f>
        <v>Корпусная</v>
      </c>
      <c r="K959" s="12" t="n">
        <f aca="false">1000+MOD(A959*317+A959*A959*7,49001)</f>
        <v>15897</v>
      </c>
      <c r="L959" s="12" t="n">
        <f aca="false">1+MOD(A959*131,100)</f>
        <v>99</v>
      </c>
      <c r="M959" s="12" t="n">
        <f aca="false">INT(K959*(0.6+MOD(A959*43,21)/100))</f>
        <v>11604</v>
      </c>
      <c r="N959" s="12" t="n">
        <f aca="false">K959-M959</f>
        <v>4293</v>
      </c>
    </row>
    <row r="960" customFormat="false" ht="12.8" hidden="false" customHeight="false" outlineLevel="0" collapsed="false">
      <c r="A960" s="10" t="n">
        <f aca="false">A959+1</f>
        <v>959</v>
      </c>
      <c r="B960" s="11" t="n">
        <f aca="false">B959+1</f>
        <v>45885</v>
      </c>
      <c r="C960" s="10" t="n">
        <f aca="false">YEAR(B960)</f>
        <v>2025</v>
      </c>
      <c r="D960" s="10" t="n">
        <f aca="false">INT((MONTH(B960)-1)/3)+1</f>
        <v>3</v>
      </c>
      <c r="E960" s="10" t="n">
        <f aca="false">MONTH(B960)</f>
        <v>8</v>
      </c>
      <c r="F960" s="10" t="str">
        <f aca="false">CHOOSE(MOD(A960-1,5)+1,"Центр","Юг","Север","Запад","Восток")</f>
        <v>Запад</v>
      </c>
      <c r="G960" s="10" t="str">
        <f aca="false">"Округ_"&amp;(MOD(A960-1,5)+1)&amp;"_"&amp;(MOD(INT((A960-1)/5),5)+1)</f>
        <v>Округ_4_2</v>
      </c>
      <c r="H960" s="10" t="str">
        <f aca="false">"Город_"&amp;(MOD(A960-1,5)+1)&amp;"_"&amp;(MOD(INT((A960-1)/5),5)+1)&amp;"_"&amp;(MOD(INT((A960-1)/25),10)+1)</f>
        <v>Город_4_2_9</v>
      </c>
      <c r="I960" s="10" t="str">
        <f aca="false">CHOOSE(MOD(A960-1,4)+1,"Электроника","Одежда","Продукты","Мебель")</f>
        <v>Продукты</v>
      </c>
      <c r="J960" s="10" t="str">
        <f aca="false">CHOOSE(MOD(INT((A960-1)/4),4)+1,CHOOSE(MOD(A960-1,4)+1,"Смартфоны","Ноутбуки","Аксессуары","Аудио"),CHOOSE(MOD(A960-1,4)+1,"Верхняя одежда","Спортивная","Повседневная","Обувь"),CHOOSE(MOD(A960-1,4)+1,"Молочные","Мясные","Бакалея","Напитки"),CHOOSE(MOD(A960-1,4)+1,"Мягкая мебель","Корпусная","Офисная","Кухонная"))</f>
        <v>Офисная</v>
      </c>
      <c r="K960" s="12" t="n">
        <f aca="false">1000+MOD(A960*317+A960*A960*7,49001)</f>
        <v>29633</v>
      </c>
      <c r="L960" s="12" t="n">
        <f aca="false">1+MOD(A960*131,100)</f>
        <v>30</v>
      </c>
      <c r="M960" s="12" t="n">
        <f aca="false">INT(K960*(0.6+MOD(A960*43,21)/100))</f>
        <v>21928</v>
      </c>
      <c r="N960" s="12" t="n">
        <f aca="false">K960-M960</f>
        <v>7705</v>
      </c>
    </row>
    <row r="961" customFormat="false" ht="12.8" hidden="false" customHeight="false" outlineLevel="0" collapsed="false">
      <c r="A961" s="10" t="n">
        <f aca="false">A960+1</f>
        <v>960</v>
      </c>
      <c r="B961" s="11" t="n">
        <f aca="false">B960+1</f>
        <v>45886</v>
      </c>
      <c r="C961" s="10" t="n">
        <f aca="false">YEAR(B961)</f>
        <v>2025</v>
      </c>
      <c r="D961" s="10" t="n">
        <f aca="false">INT((MONTH(B961)-1)/3)+1</f>
        <v>3</v>
      </c>
      <c r="E961" s="10" t="n">
        <f aca="false">MONTH(B961)</f>
        <v>8</v>
      </c>
      <c r="F961" s="10" t="str">
        <f aca="false">CHOOSE(MOD(A961-1,5)+1,"Центр","Юг","Север","Запад","Восток")</f>
        <v>Восток</v>
      </c>
      <c r="G961" s="10" t="str">
        <f aca="false">"Округ_"&amp;(MOD(A961-1,5)+1)&amp;"_"&amp;(MOD(INT((A961-1)/5),5)+1)</f>
        <v>Округ_5_2</v>
      </c>
      <c r="H961" s="10" t="str">
        <f aca="false">"Город_"&amp;(MOD(A961-1,5)+1)&amp;"_"&amp;(MOD(INT((A961-1)/5),5)+1)&amp;"_"&amp;(MOD(INT((A961-1)/25),10)+1)</f>
        <v>Город_5_2_9</v>
      </c>
      <c r="I961" s="10" t="str">
        <f aca="false">CHOOSE(MOD(A961-1,4)+1,"Электроника","Одежда","Продукты","Мебель")</f>
        <v>Мебель</v>
      </c>
      <c r="J961" s="10" t="str">
        <f aca="false">CHOOSE(MOD(INT((A961-1)/4),4)+1,CHOOSE(MOD(A961-1,4)+1,"Смартфоны","Ноутбуки","Аксессуары","Аудио"),CHOOSE(MOD(A961-1,4)+1,"Верхняя одежда","Спортивная","Повседневная","Обувь"),CHOOSE(MOD(A961-1,4)+1,"Молочные","Мясные","Бакалея","Напитки"),CHOOSE(MOD(A961-1,4)+1,"Мягкая мебель","Корпусная","Офисная","Кухонная"))</f>
        <v>Кухонная</v>
      </c>
      <c r="K961" s="12" t="n">
        <f aca="false">1000+MOD(A961*317+A961*A961*7,49001)</f>
        <v>43383</v>
      </c>
      <c r="L961" s="12" t="n">
        <f aca="false">1+MOD(A961*131,100)</f>
        <v>61</v>
      </c>
      <c r="M961" s="12" t="n">
        <f aca="false">INT(K961*(0.6+MOD(A961*43,21)/100))</f>
        <v>32537</v>
      </c>
      <c r="N961" s="12" t="n">
        <f aca="false">K961-M961</f>
        <v>10846</v>
      </c>
    </row>
    <row r="962" customFormat="false" ht="12.8" hidden="false" customHeight="false" outlineLevel="0" collapsed="false">
      <c r="A962" s="10" t="n">
        <f aca="false">A961+1</f>
        <v>961</v>
      </c>
      <c r="B962" s="11" t="n">
        <f aca="false">B961+1</f>
        <v>45887</v>
      </c>
      <c r="C962" s="10" t="n">
        <f aca="false">YEAR(B962)</f>
        <v>2025</v>
      </c>
      <c r="D962" s="10" t="n">
        <f aca="false">INT((MONTH(B962)-1)/3)+1</f>
        <v>3</v>
      </c>
      <c r="E962" s="10" t="n">
        <f aca="false">MONTH(B962)</f>
        <v>8</v>
      </c>
      <c r="F962" s="10" t="str">
        <f aca="false">CHOOSE(MOD(A962-1,5)+1,"Центр","Юг","Север","Запад","Восток")</f>
        <v>Центр</v>
      </c>
      <c r="G962" s="10" t="str">
        <f aca="false">"Округ_"&amp;(MOD(A962-1,5)+1)&amp;"_"&amp;(MOD(INT((A962-1)/5),5)+1)</f>
        <v>Округ_1_3</v>
      </c>
      <c r="H962" s="10" t="str">
        <f aca="false">"Город_"&amp;(MOD(A962-1,5)+1)&amp;"_"&amp;(MOD(INT((A962-1)/5),5)+1)&amp;"_"&amp;(MOD(INT((A962-1)/25),10)+1)</f>
        <v>Город_1_3_9</v>
      </c>
      <c r="I962" s="10" t="str">
        <f aca="false">CHOOSE(MOD(A962-1,4)+1,"Электроника","Одежда","Продукты","Мебель")</f>
        <v>Электроника</v>
      </c>
      <c r="J962" s="10" t="str">
        <f aca="false">CHOOSE(MOD(INT((A962-1)/4),4)+1,CHOOSE(MOD(A962-1,4)+1,"Смартфоны","Ноутбуки","Аксессуары","Аудио"),CHOOSE(MOD(A962-1,4)+1,"Верхняя одежда","Спортивная","Повседневная","Обувь"),CHOOSE(MOD(A962-1,4)+1,"Молочные","Мясные","Бакалея","Напитки"),CHOOSE(MOD(A962-1,4)+1,"Мягкая мебель","Корпусная","Офисная","Кухонная"))</f>
        <v>Смартфоны</v>
      </c>
      <c r="K962" s="12" t="n">
        <f aca="false">1000+MOD(A962*317+A962*A962*7,49001)</f>
        <v>8146</v>
      </c>
      <c r="L962" s="12" t="n">
        <f aca="false">1+MOD(A962*131,100)</f>
        <v>92</v>
      </c>
      <c r="M962" s="12" t="n">
        <f aca="false">INT(K962*(0.6+MOD(A962*43,21)/100))</f>
        <v>6190</v>
      </c>
      <c r="N962" s="12" t="n">
        <f aca="false">K962-M962</f>
        <v>1956</v>
      </c>
    </row>
    <row r="963" customFormat="false" ht="12.8" hidden="false" customHeight="false" outlineLevel="0" collapsed="false">
      <c r="A963" s="10" t="n">
        <f aca="false">A962+1</f>
        <v>962</v>
      </c>
      <c r="B963" s="11" t="n">
        <f aca="false">B962+1</f>
        <v>45888</v>
      </c>
      <c r="C963" s="10" t="n">
        <f aca="false">YEAR(B963)</f>
        <v>2025</v>
      </c>
      <c r="D963" s="10" t="n">
        <f aca="false">INT((MONTH(B963)-1)/3)+1</f>
        <v>3</v>
      </c>
      <c r="E963" s="10" t="n">
        <f aca="false">MONTH(B963)</f>
        <v>8</v>
      </c>
      <c r="F963" s="10" t="str">
        <f aca="false">CHOOSE(MOD(A963-1,5)+1,"Центр","Юг","Север","Запад","Восток")</f>
        <v>Юг</v>
      </c>
      <c r="G963" s="10" t="str">
        <f aca="false">"Округ_"&amp;(MOD(A963-1,5)+1)&amp;"_"&amp;(MOD(INT((A963-1)/5),5)+1)</f>
        <v>Округ_2_3</v>
      </c>
      <c r="H963" s="10" t="str">
        <f aca="false">"Город_"&amp;(MOD(A963-1,5)+1)&amp;"_"&amp;(MOD(INT((A963-1)/5),5)+1)&amp;"_"&amp;(MOD(INT((A963-1)/25),10)+1)</f>
        <v>Город_2_3_9</v>
      </c>
      <c r="I963" s="10" t="str">
        <f aca="false">CHOOSE(MOD(A963-1,4)+1,"Электроника","Одежда","Продукты","Мебель")</f>
        <v>Одежда</v>
      </c>
      <c r="J963" s="10" t="str">
        <f aca="false">CHOOSE(MOD(INT((A963-1)/4),4)+1,CHOOSE(MOD(A963-1,4)+1,"Смартфоны","Ноутбуки","Аксессуары","Аудио"),CHOOSE(MOD(A963-1,4)+1,"Верхняя одежда","Спортивная","Повседневная","Обувь"),CHOOSE(MOD(A963-1,4)+1,"Молочные","Мясные","Бакалея","Напитки"),CHOOSE(MOD(A963-1,4)+1,"Мягкая мебель","Корпусная","Офисная","Кухонная"))</f>
        <v>Ноутбуки</v>
      </c>
      <c r="K963" s="12" t="n">
        <f aca="false">1000+MOD(A963*317+A963*A963*7,49001)</f>
        <v>21924</v>
      </c>
      <c r="L963" s="12" t="n">
        <f aca="false">1+MOD(A963*131,100)</f>
        <v>23</v>
      </c>
      <c r="M963" s="12" t="n">
        <f aca="false">INT(K963*(0.6+MOD(A963*43,21)/100))</f>
        <v>16881</v>
      </c>
      <c r="N963" s="12" t="n">
        <f aca="false">K963-M963</f>
        <v>5043</v>
      </c>
    </row>
    <row r="964" customFormat="false" ht="12.8" hidden="false" customHeight="false" outlineLevel="0" collapsed="false">
      <c r="A964" s="10" t="n">
        <f aca="false">A963+1</f>
        <v>963</v>
      </c>
      <c r="B964" s="11" t="n">
        <f aca="false">B963+1</f>
        <v>45889</v>
      </c>
      <c r="C964" s="10" t="n">
        <f aca="false">YEAR(B964)</f>
        <v>2025</v>
      </c>
      <c r="D964" s="10" t="n">
        <f aca="false">INT((MONTH(B964)-1)/3)+1</f>
        <v>3</v>
      </c>
      <c r="E964" s="10" t="n">
        <f aca="false">MONTH(B964)</f>
        <v>8</v>
      </c>
      <c r="F964" s="10" t="str">
        <f aca="false">CHOOSE(MOD(A964-1,5)+1,"Центр","Юг","Север","Запад","Восток")</f>
        <v>Север</v>
      </c>
      <c r="G964" s="10" t="str">
        <f aca="false">"Округ_"&amp;(MOD(A964-1,5)+1)&amp;"_"&amp;(MOD(INT((A964-1)/5),5)+1)</f>
        <v>Округ_3_3</v>
      </c>
      <c r="H964" s="10" t="str">
        <f aca="false">"Город_"&amp;(MOD(A964-1,5)+1)&amp;"_"&amp;(MOD(INT((A964-1)/5),5)+1)&amp;"_"&amp;(MOD(INT((A964-1)/25),10)+1)</f>
        <v>Город_3_3_9</v>
      </c>
      <c r="I964" s="10" t="str">
        <f aca="false">CHOOSE(MOD(A964-1,4)+1,"Электроника","Одежда","Продукты","Мебель")</f>
        <v>Продукты</v>
      </c>
      <c r="J964" s="10" t="str">
        <f aca="false">CHOOSE(MOD(INT((A964-1)/4),4)+1,CHOOSE(MOD(A964-1,4)+1,"Смартфоны","Ноутбуки","Аксессуары","Аудио"),CHOOSE(MOD(A964-1,4)+1,"Верхняя одежда","Спортивная","Повседневная","Обувь"),CHOOSE(MOD(A964-1,4)+1,"Молочные","Мясные","Бакалея","Напитки"),CHOOSE(MOD(A964-1,4)+1,"Мягкая мебель","Корпусная","Офисная","Кухонная"))</f>
        <v>Аксессуары</v>
      </c>
      <c r="K964" s="12" t="n">
        <f aca="false">1000+MOD(A964*317+A964*A964*7,49001)</f>
        <v>35716</v>
      </c>
      <c r="L964" s="12" t="n">
        <f aca="false">1+MOD(A964*131,100)</f>
        <v>54</v>
      </c>
      <c r="M964" s="12" t="n">
        <f aca="false">INT(K964*(0.6+MOD(A964*43,21)/100))</f>
        <v>27858</v>
      </c>
      <c r="N964" s="12" t="n">
        <f aca="false">K964-M964</f>
        <v>7858</v>
      </c>
    </row>
    <row r="965" customFormat="false" ht="12.8" hidden="false" customHeight="false" outlineLevel="0" collapsed="false">
      <c r="A965" s="10" t="n">
        <f aca="false">A964+1</f>
        <v>964</v>
      </c>
      <c r="B965" s="11" t="n">
        <f aca="false">B964+1</f>
        <v>45890</v>
      </c>
      <c r="C965" s="10" t="n">
        <f aca="false">YEAR(B965)</f>
        <v>2025</v>
      </c>
      <c r="D965" s="10" t="n">
        <f aca="false">INT((MONTH(B965)-1)/3)+1</f>
        <v>3</v>
      </c>
      <c r="E965" s="10" t="n">
        <f aca="false">MONTH(B965)</f>
        <v>8</v>
      </c>
      <c r="F965" s="10" t="str">
        <f aca="false">CHOOSE(MOD(A965-1,5)+1,"Центр","Юг","Север","Запад","Восток")</f>
        <v>Запад</v>
      </c>
      <c r="G965" s="10" t="str">
        <f aca="false">"Округ_"&amp;(MOD(A965-1,5)+1)&amp;"_"&amp;(MOD(INT((A965-1)/5),5)+1)</f>
        <v>Округ_4_3</v>
      </c>
      <c r="H965" s="10" t="str">
        <f aca="false">"Город_"&amp;(MOD(A965-1,5)+1)&amp;"_"&amp;(MOD(INT((A965-1)/5),5)+1)&amp;"_"&amp;(MOD(INT((A965-1)/25),10)+1)</f>
        <v>Город_4_3_9</v>
      </c>
      <c r="I965" s="10" t="str">
        <f aca="false">CHOOSE(MOD(A965-1,4)+1,"Электроника","Одежда","Продукты","Мебель")</f>
        <v>Мебель</v>
      </c>
      <c r="J965" s="10" t="str">
        <f aca="false">CHOOSE(MOD(INT((A965-1)/4),4)+1,CHOOSE(MOD(A965-1,4)+1,"Смартфоны","Ноутбуки","Аксессуары","Аудио"),CHOOSE(MOD(A965-1,4)+1,"Верхняя одежда","Спортивная","Повседневная","Обувь"),CHOOSE(MOD(A965-1,4)+1,"Молочные","Мясные","Бакалея","Напитки"),CHOOSE(MOD(A965-1,4)+1,"Мягкая мебель","Корпусная","Офисная","Кухонная"))</f>
        <v>Аудио</v>
      </c>
      <c r="K965" s="12" t="n">
        <f aca="false">1000+MOD(A965*317+A965*A965*7,49001)</f>
        <v>49522</v>
      </c>
      <c r="L965" s="12" t="n">
        <f aca="false">1+MOD(A965*131,100)</f>
        <v>85</v>
      </c>
      <c r="M965" s="12" t="n">
        <f aca="false">INT(K965*(0.6+MOD(A965*43,21)/100))</f>
        <v>39122</v>
      </c>
      <c r="N965" s="12" t="n">
        <f aca="false">K965-M965</f>
        <v>10400</v>
      </c>
    </row>
    <row r="966" customFormat="false" ht="12.8" hidden="false" customHeight="false" outlineLevel="0" collapsed="false">
      <c r="A966" s="10" t="n">
        <f aca="false">A965+1</f>
        <v>965</v>
      </c>
      <c r="B966" s="11" t="n">
        <f aca="false">B965+1</f>
        <v>45891</v>
      </c>
      <c r="C966" s="10" t="n">
        <f aca="false">YEAR(B966)</f>
        <v>2025</v>
      </c>
      <c r="D966" s="10" t="n">
        <f aca="false">INT((MONTH(B966)-1)/3)+1</f>
        <v>3</v>
      </c>
      <c r="E966" s="10" t="n">
        <f aca="false">MONTH(B966)</f>
        <v>8</v>
      </c>
      <c r="F966" s="10" t="str">
        <f aca="false">CHOOSE(MOD(A966-1,5)+1,"Центр","Юг","Север","Запад","Восток")</f>
        <v>Восток</v>
      </c>
      <c r="G966" s="10" t="str">
        <f aca="false">"Округ_"&amp;(MOD(A966-1,5)+1)&amp;"_"&amp;(MOD(INT((A966-1)/5),5)+1)</f>
        <v>Округ_5_3</v>
      </c>
      <c r="H966" s="10" t="str">
        <f aca="false">"Город_"&amp;(MOD(A966-1,5)+1)&amp;"_"&amp;(MOD(INT((A966-1)/5),5)+1)&amp;"_"&amp;(MOD(INT((A966-1)/25),10)+1)</f>
        <v>Город_5_3_9</v>
      </c>
      <c r="I966" s="10" t="str">
        <f aca="false">CHOOSE(MOD(A966-1,4)+1,"Электроника","Одежда","Продукты","Мебель")</f>
        <v>Электроника</v>
      </c>
      <c r="J966" s="10" t="str">
        <f aca="false">CHOOSE(MOD(INT((A966-1)/4),4)+1,CHOOSE(MOD(A966-1,4)+1,"Смартфоны","Ноутбуки","Аксессуары","Аудио"),CHOOSE(MOD(A966-1,4)+1,"Верхняя одежда","Спортивная","Повседневная","Обувь"),CHOOSE(MOD(A966-1,4)+1,"Молочные","Мясные","Бакалея","Напитки"),CHOOSE(MOD(A966-1,4)+1,"Мягкая мебель","Корпусная","Офисная","Кухонная"))</f>
        <v>Верхняя одежда</v>
      </c>
      <c r="K966" s="12" t="n">
        <f aca="false">1000+MOD(A966*317+A966*A966*7,49001)</f>
        <v>14341</v>
      </c>
      <c r="L966" s="12" t="n">
        <f aca="false">1+MOD(A966*131,100)</f>
        <v>16</v>
      </c>
      <c r="M966" s="12" t="n">
        <f aca="false">INT(K966*(0.6+MOD(A966*43,21)/100))</f>
        <v>11472</v>
      </c>
      <c r="N966" s="12" t="n">
        <f aca="false">K966-M966</f>
        <v>2869</v>
      </c>
    </row>
    <row r="967" customFormat="false" ht="12.8" hidden="false" customHeight="false" outlineLevel="0" collapsed="false">
      <c r="A967" s="10" t="n">
        <f aca="false">A966+1</f>
        <v>966</v>
      </c>
      <c r="B967" s="11" t="n">
        <f aca="false">B966+1</f>
        <v>45892</v>
      </c>
      <c r="C967" s="10" t="n">
        <f aca="false">YEAR(B967)</f>
        <v>2025</v>
      </c>
      <c r="D967" s="10" t="n">
        <f aca="false">INT((MONTH(B967)-1)/3)+1</f>
        <v>3</v>
      </c>
      <c r="E967" s="10" t="n">
        <f aca="false">MONTH(B967)</f>
        <v>8</v>
      </c>
      <c r="F967" s="10" t="str">
        <f aca="false">CHOOSE(MOD(A967-1,5)+1,"Центр","Юг","Север","Запад","Восток")</f>
        <v>Центр</v>
      </c>
      <c r="G967" s="10" t="str">
        <f aca="false">"Округ_"&amp;(MOD(A967-1,5)+1)&amp;"_"&amp;(MOD(INT((A967-1)/5),5)+1)</f>
        <v>Округ_1_4</v>
      </c>
      <c r="H967" s="10" t="str">
        <f aca="false">"Город_"&amp;(MOD(A967-1,5)+1)&amp;"_"&amp;(MOD(INT((A967-1)/5),5)+1)&amp;"_"&amp;(MOD(INT((A967-1)/25),10)+1)</f>
        <v>Город_1_4_9</v>
      </c>
      <c r="I967" s="10" t="str">
        <f aca="false">CHOOSE(MOD(A967-1,4)+1,"Электроника","Одежда","Продукты","Мебель")</f>
        <v>Одежда</v>
      </c>
      <c r="J967" s="10" t="str">
        <f aca="false">CHOOSE(MOD(INT((A967-1)/4),4)+1,CHOOSE(MOD(A967-1,4)+1,"Смартфоны","Ноутбуки","Аксессуары","Аудио"),CHOOSE(MOD(A967-1,4)+1,"Верхняя одежда","Спортивная","Повседневная","Обувь"),CHOOSE(MOD(A967-1,4)+1,"Молочные","Мясные","Бакалея","Напитки"),CHOOSE(MOD(A967-1,4)+1,"Мягкая мебель","Корпусная","Офисная","Кухонная"))</f>
        <v>Спортивная</v>
      </c>
      <c r="K967" s="12" t="n">
        <f aca="false">1000+MOD(A967*317+A967*A967*7,49001)</f>
        <v>28175</v>
      </c>
      <c r="L967" s="12" t="n">
        <f aca="false">1+MOD(A967*131,100)</f>
        <v>47</v>
      </c>
      <c r="M967" s="12" t="n">
        <f aca="false">INT(K967*(0.6+MOD(A967*43,21)/100))</f>
        <v>16905</v>
      </c>
      <c r="N967" s="12" t="n">
        <f aca="false">K967-M967</f>
        <v>11270</v>
      </c>
    </row>
    <row r="968" customFormat="false" ht="12.8" hidden="false" customHeight="false" outlineLevel="0" collapsed="false">
      <c r="A968" s="10" t="n">
        <f aca="false">A967+1</f>
        <v>967</v>
      </c>
      <c r="B968" s="11" t="n">
        <f aca="false">B967+1</f>
        <v>45893</v>
      </c>
      <c r="C968" s="10" t="n">
        <f aca="false">YEAR(B968)</f>
        <v>2025</v>
      </c>
      <c r="D968" s="10" t="n">
        <f aca="false">INT((MONTH(B968)-1)/3)+1</f>
        <v>3</v>
      </c>
      <c r="E968" s="10" t="n">
        <f aca="false">MONTH(B968)</f>
        <v>8</v>
      </c>
      <c r="F968" s="10" t="str">
        <f aca="false">CHOOSE(MOD(A968-1,5)+1,"Центр","Юг","Север","Запад","Восток")</f>
        <v>Юг</v>
      </c>
      <c r="G968" s="10" t="str">
        <f aca="false">"Округ_"&amp;(MOD(A968-1,5)+1)&amp;"_"&amp;(MOD(INT((A968-1)/5),5)+1)</f>
        <v>Округ_2_4</v>
      </c>
      <c r="H968" s="10" t="str">
        <f aca="false">"Город_"&amp;(MOD(A968-1,5)+1)&amp;"_"&amp;(MOD(INT((A968-1)/5),5)+1)&amp;"_"&amp;(MOD(INT((A968-1)/25),10)+1)</f>
        <v>Город_2_4_9</v>
      </c>
      <c r="I968" s="10" t="str">
        <f aca="false">CHOOSE(MOD(A968-1,4)+1,"Электроника","Одежда","Продукты","Мебель")</f>
        <v>Продукты</v>
      </c>
      <c r="J968" s="10" t="str">
        <f aca="false">CHOOSE(MOD(INT((A968-1)/4),4)+1,CHOOSE(MOD(A968-1,4)+1,"Смартфоны","Ноутбуки","Аксессуары","Аудио"),CHOOSE(MOD(A968-1,4)+1,"Верхняя одежда","Спортивная","Повседневная","Обувь"),CHOOSE(MOD(A968-1,4)+1,"Молочные","Мясные","Бакалея","Напитки"),CHOOSE(MOD(A968-1,4)+1,"Мягкая мебель","Корпусная","Офисная","Кухонная"))</f>
        <v>Повседневная</v>
      </c>
      <c r="K968" s="12" t="n">
        <f aca="false">1000+MOD(A968*317+A968*A968*7,49001)</f>
        <v>42023</v>
      </c>
      <c r="L968" s="12" t="n">
        <f aca="false">1+MOD(A968*131,100)</f>
        <v>78</v>
      </c>
      <c r="M968" s="12" t="n">
        <f aca="false">INT(K968*(0.6+MOD(A968*43,21)/100))</f>
        <v>25634</v>
      </c>
      <c r="N968" s="12" t="n">
        <f aca="false">K968-M968</f>
        <v>16389</v>
      </c>
    </row>
    <row r="969" customFormat="false" ht="12.8" hidden="false" customHeight="false" outlineLevel="0" collapsed="false">
      <c r="A969" s="10" t="n">
        <f aca="false">A968+1</f>
        <v>968</v>
      </c>
      <c r="B969" s="11" t="n">
        <f aca="false">B968+1</f>
        <v>45894</v>
      </c>
      <c r="C969" s="10" t="n">
        <f aca="false">YEAR(B969)</f>
        <v>2025</v>
      </c>
      <c r="D969" s="10" t="n">
        <f aca="false">INT((MONTH(B969)-1)/3)+1</f>
        <v>3</v>
      </c>
      <c r="E969" s="10" t="n">
        <f aca="false">MONTH(B969)</f>
        <v>8</v>
      </c>
      <c r="F969" s="10" t="str">
        <f aca="false">CHOOSE(MOD(A969-1,5)+1,"Центр","Юг","Север","Запад","Восток")</f>
        <v>Север</v>
      </c>
      <c r="G969" s="10" t="str">
        <f aca="false">"Округ_"&amp;(MOD(A969-1,5)+1)&amp;"_"&amp;(MOD(INT((A969-1)/5),5)+1)</f>
        <v>Округ_3_4</v>
      </c>
      <c r="H969" s="10" t="str">
        <f aca="false">"Город_"&amp;(MOD(A969-1,5)+1)&amp;"_"&amp;(MOD(INT((A969-1)/5),5)+1)&amp;"_"&amp;(MOD(INT((A969-1)/25),10)+1)</f>
        <v>Город_3_4_9</v>
      </c>
      <c r="I969" s="10" t="str">
        <f aca="false">CHOOSE(MOD(A969-1,4)+1,"Электроника","Одежда","Продукты","Мебель")</f>
        <v>Мебель</v>
      </c>
      <c r="J969" s="10" t="str">
        <f aca="false">CHOOSE(MOD(INT((A969-1)/4),4)+1,CHOOSE(MOD(A969-1,4)+1,"Смартфоны","Ноутбуки","Аксессуары","Аудио"),CHOOSE(MOD(A969-1,4)+1,"Верхняя одежда","Спортивная","Повседневная","Обувь"),CHOOSE(MOD(A969-1,4)+1,"Молочные","Мясные","Бакалея","Напитки"),CHOOSE(MOD(A969-1,4)+1,"Мягкая мебель","Корпусная","Офисная","Кухонная"))</f>
        <v>Обувь</v>
      </c>
      <c r="K969" s="12" t="n">
        <f aca="false">1000+MOD(A969*317+A969*A969*7,49001)</f>
        <v>6884</v>
      </c>
      <c r="L969" s="12" t="n">
        <f aca="false">1+MOD(A969*131,100)</f>
        <v>9</v>
      </c>
      <c r="M969" s="12" t="n">
        <f aca="false">INT(K969*(0.6+MOD(A969*43,21)/100))</f>
        <v>4268</v>
      </c>
      <c r="N969" s="12" t="n">
        <f aca="false">K969-M969</f>
        <v>2616</v>
      </c>
    </row>
    <row r="970" customFormat="false" ht="12.8" hidden="false" customHeight="false" outlineLevel="0" collapsed="false">
      <c r="A970" s="10" t="n">
        <f aca="false">A969+1</f>
        <v>969</v>
      </c>
      <c r="B970" s="11" t="n">
        <f aca="false">B969+1</f>
        <v>45895</v>
      </c>
      <c r="C970" s="10" t="n">
        <f aca="false">YEAR(B970)</f>
        <v>2025</v>
      </c>
      <c r="D970" s="10" t="n">
        <f aca="false">INT((MONTH(B970)-1)/3)+1</f>
        <v>3</v>
      </c>
      <c r="E970" s="10" t="n">
        <f aca="false">MONTH(B970)</f>
        <v>8</v>
      </c>
      <c r="F970" s="10" t="str">
        <f aca="false">CHOOSE(MOD(A970-1,5)+1,"Центр","Юг","Север","Запад","Восток")</f>
        <v>Запад</v>
      </c>
      <c r="G970" s="10" t="str">
        <f aca="false">"Округ_"&amp;(MOD(A970-1,5)+1)&amp;"_"&amp;(MOD(INT((A970-1)/5),5)+1)</f>
        <v>Округ_4_4</v>
      </c>
      <c r="H970" s="10" t="str">
        <f aca="false">"Город_"&amp;(MOD(A970-1,5)+1)&amp;"_"&amp;(MOD(INT((A970-1)/5),5)+1)&amp;"_"&amp;(MOD(INT((A970-1)/25),10)+1)</f>
        <v>Город_4_4_9</v>
      </c>
      <c r="I970" s="10" t="str">
        <f aca="false">CHOOSE(MOD(A970-1,4)+1,"Электроника","Одежда","Продукты","Мебель")</f>
        <v>Электроника</v>
      </c>
      <c r="J970" s="10" t="str">
        <f aca="false">CHOOSE(MOD(INT((A970-1)/4),4)+1,CHOOSE(MOD(A970-1,4)+1,"Смартфоны","Ноутбуки","Аксессуары","Аудио"),CHOOSE(MOD(A970-1,4)+1,"Верхняя одежда","Спортивная","Повседневная","Обувь"),CHOOSE(MOD(A970-1,4)+1,"Молочные","Мясные","Бакалея","Напитки"),CHOOSE(MOD(A970-1,4)+1,"Мягкая мебель","Корпусная","Офисная","Кухонная"))</f>
        <v>Молочные</v>
      </c>
      <c r="K970" s="12" t="n">
        <f aca="false">1000+MOD(A970*317+A970*A970*7,49001)</f>
        <v>20760</v>
      </c>
      <c r="L970" s="12" t="n">
        <f aca="false">1+MOD(A970*131,100)</f>
        <v>40</v>
      </c>
      <c r="M970" s="12" t="n">
        <f aca="false">INT(K970*(0.6+MOD(A970*43,21)/100))</f>
        <v>13078</v>
      </c>
      <c r="N970" s="12" t="n">
        <f aca="false">K970-M970</f>
        <v>7682</v>
      </c>
    </row>
    <row r="971" customFormat="false" ht="12.8" hidden="false" customHeight="false" outlineLevel="0" collapsed="false">
      <c r="A971" s="10" t="n">
        <f aca="false">A970+1</f>
        <v>970</v>
      </c>
      <c r="B971" s="11" t="n">
        <f aca="false">B970+1</f>
        <v>45896</v>
      </c>
      <c r="C971" s="10" t="n">
        <f aca="false">YEAR(B971)</f>
        <v>2025</v>
      </c>
      <c r="D971" s="10" t="n">
        <f aca="false">INT((MONTH(B971)-1)/3)+1</f>
        <v>3</v>
      </c>
      <c r="E971" s="10" t="n">
        <f aca="false">MONTH(B971)</f>
        <v>8</v>
      </c>
      <c r="F971" s="10" t="str">
        <f aca="false">CHOOSE(MOD(A971-1,5)+1,"Центр","Юг","Север","Запад","Восток")</f>
        <v>Восток</v>
      </c>
      <c r="G971" s="10" t="str">
        <f aca="false">"Округ_"&amp;(MOD(A971-1,5)+1)&amp;"_"&amp;(MOD(INT((A971-1)/5),5)+1)</f>
        <v>Округ_5_4</v>
      </c>
      <c r="H971" s="10" t="str">
        <f aca="false">"Город_"&amp;(MOD(A971-1,5)+1)&amp;"_"&amp;(MOD(INT((A971-1)/5),5)+1)&amp;"_"&amp;(MOD(INT((A971-1)/25),10)+1)</f>
        <v>Город_5_4_9</v>
      </c>
      <c r="I971" s="10" t="str">
        <f aca="false">CHOOSE(MOD(A971-1,4)+1,"Электроника","Одежда","Продукты","Мебель")</f>
        <v>Одежда</v>
      </c>
      <c r="J971" s="10" t="str">
        <f aca="false">CHOOSE(MOD(INT((A971-1)/4),4)+1,CHOOSE(MOD(A971-1,4)+1,"Смартфоны","Ноутбуки","Аксессуары","Аудио"),CHOOSE(MOD(A971-1,4)+1,"Верхняя одежда","Спортивная","Повседневная","Обувь"),CHOOSE(MOD(A971-1,4)+1,"Молочные","Мясные","Бакалея","Напитки"),CHOOSE(MOD(A971-1,4)+1,"Мягкая мебель","Корпусная","Офисная","Кухонная"))</f>
        <v>Мясные</v>
      </c>
      <c r="K971" s="12" t="n">
        <f aca="false">1000+MOD(A971*317+A971*A971*7,49001)</f>
        <v>34650</v>
      </c>
      <c r="L971" s="12" t="n">
        <f aca="false">1+MOD(A971*131,100)</f>
        <v>71</v>
      </c>
      <c r="M971" s="12" t="n">
        <f aca="false">INT(K971*(0.6+MOD(A971*43,21)/100))</f>
        <v>22176</v>
      </c>
      <c r="N971" s="12" t="n">
        <f aca="false">K971-M971</f>
        <v>12474</v>
      </c>
    </row>
    <row r="972" customFormat="false" ht="12.8" hidden="false" customHeight="false" outlineLevel="0" collapsed="false">
      <c r="A972" s="10" t="n">
        <f aca="false">A971+1</f>
        <v>971</v>
      </c>
      <c r="B972" s="11" t="n">
        <f aca="false">B971+1</f>
        <v>45897</v>
      </c>
      <c r="C972" s="10" t="n">
        <f aca="false">YEAR(B972)</f>
        <v>2025</v>
      </c>
      <c r="D972" s="10" t="n">
        <f aca="false">INT((MONTH(B972)-1)/3)+1</f>
        <v>3</v>
      </c>
      <c r="E972" s="10" t="n">
        <f aca="false">MONTH(B972)</f>
        <v>8</v>
      </c>
      <c r="F972" s="10" t="str">
        <f aca="false">CHOOSE(MOD(A972-1,5)+1,"Центр","Юг","Север","Запад","Восток")</f>
        <v>Центр</v>
      </c>
      <c r="G972" s="10" t="str">
        <f aca="false">"Округ_"&amp;(MOD(A972-1,5)+1)&amp;"_"&amp;(MOD(INT((A972-1)/5),5)+1)</f>
        <v>Округ_1_5</v>
      </c>
      <c r="H972" s="10" t="str">
        <f aca="false">"Город_"&amp;(MOD(A972-1,5)+1)&amp;"_"&amp;(MOD(INT((A972-1)/5),5)+1)&amp;"_"&amp;(MOD(INT((A972-1)/25),10)+1)</f>
        <v>Город_1_5_9</v>
      </c>
      <c r="I972" s="10" t="str">
        <f aca="false">CHOOSE(MOD(A972-1,4)+1,"Электроника","Одежда","Продукты","Мебель")</f>
        <v>Продукты</v>
      </c>
      <c r="J972" s="10" t="str">
        <f aca="false">CHOOSE(MOD(INT((A972-1)/4),4)+1,CHOOSE(MOD(A972-1,4)+1,"Смартфоны","Ноутбуки","Аксессуары","Аудио"),CHOOSE(MOD(A972-1,4)+1,"Верхняя одежда","Спортивная","Повседневная","Обувь"),CHOOSE(MOD(A972-1,4)+1,"Молочные","Мясные","Бакалея","Напитки"),CHOOSE(MOD(A972-1,4)+1,"Мягкая мебель","Корпусная","Офисная","Кухонная"))</f>
        <v>Бакалея</v>
      </c>
      <c r="K972" s="12" t="n">
        <f aca="false">1000+MOD(A972*317+A972*A972*7,49001)</f>
        <v>48554</v>
      </c>
      <c r="L972" s="12" t="n">
        <f aca="false">1+MOD(A972*131,100)</f>
        <v>2</v>
      </c>
      <c r="M972" s="12" t="n">
        <f aca="false">INT(K972*(0.6+MOD(A972*43,21)/100))</f>
        <v>31560</v>
      </c>
      <c r="N972" s="12" t="n">
        <f aca="false">K972-M972</f>
        <v>16994</v>
      </c>
    </row>
    <row r="973" customFormat="false" ht="12.8" hidden="false" customHeight="false" outlineLevel="0" collapsed="false">
      <c r="A973" s="10" t="n">
        <f aca="false">A972+1</f>
        <v>972</v>
      </c>
      <c r="B973" s="11" t="n">
        <f aca="false">B972+1</f>
        <v>45898</v>
      </c>
      <c r="C973" s="10" t="n">
        <f aca="false">YEAR(B973)</f>
        <v>2025</v>
      </c>
      <c r="D973" s="10" t="n">
        <f aca="false">INT((MONTH(B973)-1)/3)+1</f>
        <v>3</v>
      </c>
      <c r="E973" s="10" t="n">
        <f aca="false">MONTH(B973)</f>
        <v>8</v>
      </c>
      <c r="F973" s="10" t="str">
        <f aca="false">CHOOSE(MOD(A973-1,5)+1,"Центр","Юг","Север","Запад","Восток")</f>
        <v>Юг</v>
      </c>
      <c r="G973" s="10" t="str">
        <f aca="false">"Округ_"&amp;(MOD(A973-1,5)+1)&amp;"_"&amp;(MOD(INT((A973-1)/5),5)+1)</f>
        <v>Округ_2_5</v>
      </c>
      <c r="H973" s="10" t="str">
        <f aca="false">"Город_"&amp;(MOD(A973-1,5)+1)&amp;"_"&amp;(MOD(INT((A973-1)/5),5)+1)&amp;"_"&amp;(MOD(INT((A973-1)/25),10)+1)</f>
        <v>Город_2_5_9</v>
      </c>
      <c r="I973" s="10" t="str">
        <f aca="false">CHOOSE(MOD(A973-1,4)+1,"Электроника","Одежда","Продукты","Мебель")</f>
        <v>Мебель</v>
      </c>
      <c r="J973" s="10" t="str">
        <f aca="false">CHOOSE(MOD(INT((A973-1)/4),4)+1,CHOOSE(MOD(A973-1,4)+1,"Смартфоны","Ноутбуки","Аксессуары","Аудио"),CHOOSE(MOD(A973-1,4)+1,"Верхняя одежда","Спортивная","Повседневная","Обувь"),CHOOSE(MOD(A973-1,4)+1,"Молочные","Мясные","Бакалея","Напитки"),CHOOSE(MOD(A973-1,4)+1,"Мягкая мебель","Корпусная","Офисная","Кухонная"))</f>
        <v>Напитки</v>
      </c>
      <c r="K973" s="12" t="n">
        <f aca="false">1000+MOD(A973*317+A973*A973*7,49001)</f>
        <v>13471</v>
      </c>
      <c r="L973" s="12" t="n">
        <f aca="false">1+MOD(A973*131,100)</f>
        <v>33</v>
      </c>
      <c r="M973" s="12" t="n">
        <f aca="false">INT(K973*(0.6+MOD(A973*43,21)/100))</f>
        <v>8890</v>
      </c>
      <c r="N973" s="12" t="n">
        <f aca="false">K973-M973</f>
        <v>4581</v>
      </c>
    </row>
    <row r="974" customFormat="false" ht="12.8" hidden="false" customHeight="false" outlineLevel="0" collapsed="false">
      <c r="A974" s="10" t="n">
        <f aca="false">A973+1</f>
        <v>973</v>
      </c>
      <c r="B974" s="11" t="n">
        <f aca="false">B973+1</f>
        <v>45899</v>
      </c>
      <c r="C974" s="10" t="n">
        <f aca="false">YEAR(B974)</f>
        <v>2025</v>
      </c>
      <c r="D974" s="10" t="n">
        <f aca="false">INT((MONTH(B974)-1)/3)+1</f>
        <v>3</v>
      </c>
      <c r="E974" s="10" t="n">
        <f aca="false">MONTH(B974)</f>
        <v>8</v>
      </c>
      <c r="F974" s="10" t="str">
        <f aca="false">CHOOSE(MOD(A974-1,5)+1,"Центр","Юг","Север","Запад","Восток")</f>
        <v>Север</v>
      </c>
      <c r="G974" s="10" t="str">
        <f aca="false">"Округ_"&amp;(MOD(A974-1,5)+1)&amp;"_"&amp;(MOD(INT((A974-1)/5),5)+1)</f>
        <v>Округ_3_5</v>
      </c>
      <c r="H974" s="10" t="str">
        <f aca="false">"Город_"&amp;(MOD(A974-1,5)+1)&amp;"_"&amp;(MOD(INT((A974-1)/5),5)+1)&amp;"_"&amp;(MOD(INT((A974-1)/25),10)+1)</f>
        <v>Город_3_5_9</v>
      </c>
      <c r="I974" s="10" t="str">
        <f aca="false">CHOOSE(MOD(A974-1,4)+1,"Электроника","Одежда","Продукты","Мебель")</f>
        <v>Электроника</v>
      </c>
      <c r="J974" s="10" t="str">
        <f aca="false">CHOOSE(MOD(INT((A974-1)/4),4)+1,CHOOSE(MOD(A974-1,4)+1,"Смартфоны","Ноутбуки","Аксессуары","Аудио"),CHOOSE(MOD(A974-1,4)+1,"Верхняя одежда","Спортивная","Повседневная","Обувь"),CHOOSE(MOD(A974-1,4)+1,"Молочные","Мясные","Бакалея","Напитки"),CHOOSE(MOD(A974-1,4)+1,"Мягкая мебель","Корпусная","Офисная","Кухонная"))</f>
        <v>Мягкая мебель</v>
      </c>
      <c r="K974" s="12" t="n">
        <f aca="false">1000+MOD(A974*317+A974*A974*7,49001)</f>
        <v>27403</v>
      </c>
      <c r="L974" s="12" t="n">
        <f aca="false">1+MOD(A974*131,100)</f>
        <v>64</v>
      </c>
      <c r="M974" s="12" t="n">
        <f aca="false">INT(K974*(0.6+MOD(A974*43,21)/100))</f>
        <v>18360</v>
      </c>
      <c r="N974" s="12" t="n">
        <f aca="false">K974-M974</f>
        <v>9043</v>
      </c>
    </row>
    <row r="975" customFormat="false" ht="12.8" hidden="false" customHeight="false" outlineLevel="0" collapsed="false">
      <c r="A975" s="10" t="n">
        <f aca="false">A974+1</f>
        <v>974</v>
      </c>
      <c r="B975" s="11" t="n">
        <f aca="false">B974+1</f>
        <v>45900</v>
      </c>
      <c r="C975" s="10" t="n">
        <f aca="false">YEAR(B975)</f>
        <v>2025</v>
      </c>
      <c r="D975" s="10" t="n">
        <f aca="false">INT((MONTH(B975)-1)/3)+1</f>
        <v>3</v>
      </c>
      <c r="E975" s="10" t="n">
        <f aca="false">MONTH(B975)</f>
        <v>8</v>
      </c>
      <c r="F975" s="10" t="str">
        <f aca="false">CHOOSE(MOD(A975-1,5)+1,"Центр","Юг","Север","Запад","Восток")</f>
        <v>Запад</v>
      </c>
      <c r="G975" s="10" t="str">
        <f aca="false">"Округ_"&amp;(MOD(A975-1,5)+1)&amp;"_"&amp;(MOD(INT((A975-1)/5),5)+1)</f>
        <v>Округ_4_5</v>
      </c>
      <c r="H975" s="10" t="str">
        <f aca="false">"Город_"&amp;(MOD(A975-1,5)+1)&amp;"_"&amp;(MOD(INT((A975-1)/5),5)+1)&amp;"_"&amp;(MOD(INT((A975-1)/25),10)+1)</f>
        <v>Город_4_5_9</v>
      </c>
      <c r="I975" s="10" t="str">
        <f aca="false">CHOOSE(MOD(A975-1,4)+1,"Электроника","Одежда","Продукты","Мебель")</f>
        <v>Одежда</v>
      </c>
      <c r="J975" s="10" t="str">
        <f aca="false">CHOOSE(MOD(INT((A975-1)/4),4)+1,CHOOSE(MOD(A975-1,4)+1,"Смартфоны","Ноутбуки","Аксессуары","Аудио"),CHOOSE(MOD(A975-1,4)+1,"Верхняя одежда","Спортивная","Повседневная","Обувь"),CHOOSE(MOD(A975-1,4)+1,"Молочные","Мясные","Бакалея","Напитки"),CHOOSE(MOD(A975-1,4)+1,"Мягкая мебель","Корпусная","Офисная","Кухонная"))</f>
        <v>Корпусная</v>
      </c>
      <c r="K975" s="12" t="n">
        <f aca="false">1000+MOD(A975*317+A975*A975*7,49001)</f>
        <v>41349</v>
      </c>
      <c r="L975" s="12" t="n">
        <f aca="false">1+MOD(A975*131,100)</f>
        <v>95</v>
      </c>
      <c r="M975" s="12" t="n">
        <f aca="false">INT(K975*(0.6+MOD(A975*43,21)/100))</f>
        <v>28117</v>
      </c>
      <c r="N975" s="12" t="n">
        <f aca="false">K975-M975</f>
        <v>13232</v>
      </c>
    </row>
    <row r="976" customFormat="false" ht="12.8" hidden="false" customHeight="false" outlineLevel="0" collapsed="false">
      <c r="A976" s="10" t="n">
        <f aca="false">A975+1</f>
        <v>975</v>
      </c>
      <c r="B976" s="11" t="n">
        <f aca="false">B975+1</f>
        <v>45901</v>
      </c>
      <c r="C976" s="10" t="n">
        <f aca="false">YEAR(B976)</f>
        <v>2025</v>
      </c>
      <c r="D976" s="10" t="n">
        <f aca="false">INT((MONTH(B976)-1)/3)+1</f>
        <v>3</v>
      </c>
      <c r="E976" s="10" t="n">
        <f aca="false">MONTH(B976)</f>
        <v>9</v>
      </c>
      <c r="F976" s="10" t="str">
        <f aca="false">CHOOSE(MOD(A976-1,5)+1,"Центр","Юг","Север","Запад","Восток")</f>
        <v>Восток</v>
      </c>
      <c r="G976" s="10" t="str">
        <f aca="false">"Округ_"&amp;(MOD(A976-1,5)+1)&amp;"_"&amp;(MOD(INT((A976-1)/5),5)+1)</f>
        <v>Округ_5_5</v>
      </c>
      <c r="H976" s="10" t="str">
        <f aca="false">"Город_"&amp;(MOD(A976-1,5)+1)&amp;"_"&amp;(MOD(INT((A976-1)/5),5)+1)&amp;"_"&amp;(MOD(INT((A976-1)/25),10)+1)</f>
        <v>Город_5_5_9</v>
      </c>
      <c r="I976" s="10" t="str">
        <f aca="false">CHOOSE(MOD(A976-1,4)+1,"Электроника","Одежда","Продукты","Мебель")</f>
        <v>Продукты</v>
      </c>
      <c r="J976" s="10" t="str">
        <f aca="false">CHOOSE(MOD(INT((A976-1)/4),4)+1,CHOOSE(MOD(A976-1,4)+1,"Смартфоны","Ноутбуки","Аксессуары","Аудио"),CHOOSE(MOD(A976-1,4)+1,"Верхняя одежда","Спортивная","Повседневная","Обувь"),CHOOSE(MOD(A976-1,4)+1,"Молочные","Мясные","Бакалея","Напитки"),CHOOSE(MOD(A976-1,4)+1,"Мягкая мебель","Корпусная","Офисная","Кухонная"))</f>
        <v>Офисная</v>
      </c>
      <c r="K976" s="12" t="n">
        <f aca="false">1000+MOD(A976*317+A976*A976*7,49001)</f>
        <v>6308</v>
      </c>
      <c r="L976" s="12" t="n">
        <f aca="false">1+MOD(A976*131,100)</f>
        <v>26</v>
      </c>
      <c r="M976" s="12" t="n">
        <f aca="false">INT(K976*(0.6+MOD(A976*43,21)/100))</f>
        <v>4352</v>
      </c>
      <c r="N976" s="12" t="n">
        <f aca="false">K976-M976</f>
        <v>1956</v>
      </c>
    </row>
    <row r="977" customFormat="false" ht="12.8" hidden="false" customHeight="false" outlineLevel="0" collapsed="false">
      <c r="A977" s="10" t="n">
        <f aca="false">A976+1</f>
        <v>976</v>
      </c>
      <c r="B977" s="11" t="n">
        <f aca="false">B976+1</f>
        <v>45902</v>
      </c>
      <c r="C977" s="10" t="n">
        <f aca="false">YEAR(B977)</f>
        <v>2025</v>
      </c>
      <c r="D977" s="10" t="n">
        <f aca="false">INT((MONTH(B977)-1)/3)+1</f>
        <v>3</v>
      </c>
      <c r="E977" s="10" t="n">
        <f aca="false">MONTH(B977)</f>
        <v>9</v>
      </c>
      <c r="F977" s="10" t="str">
        <f aca="false">CHOOSE(MOD(A977-1,5)+1,"Центр","Юг","Север","Запад","Восток")</f>
        <v>Центр</v>
      </c>
      <c r="G977" s="10" t="str">
        <f aca="false">"Округ_"&amp;(MOD(A977-1,5)+1)&amp;"_"&amp;(MOD(INT((A977-1)/5),5)+1)</f>
        <v>Округ_1_1</v>
      </c>
      <c r="H977" s="10" t="str">
        <f aca="false">"Город_"&amp;(MOD(A977-1,5)+1)&amp;"_"&amp;(MOD(INT((A977-1)/5),5)+1)&amp;"_"&amp;(MOD(INT((A977-1)/25),10)+1)</f>
        <v>Город_1_1_10</v>
      </c>
      <c r="I977" s="10" t="str">
        <f aca="false">CHOOSE(MOD(A977-1,4)+1,"Электроника","Одежда","Продукты","Мебель")</f>
        <v>Мебель</v>
      </c>
      <c r="J977" s="10" t="str">
        <f aca="false">CHOOSE(MOD(INT((A977-1)/4),4)+1,CHOOSE(MOD(A977-1,4)+1,"Смартфоны","Ноутбуки","Аксессуары","Аудио"),CHOOSE(MOD(A977-1,4)+1,"Верхняя одежда","Спортивная","Повседневная","Обувь"),CHOOSE(MOD(A977-1,4)+1,"Молочные","Мясные","Бакалея","Напитки"),CHOOSE(MOD(A977-1,4)+1,"Мягкая мебель","Корпусная","Офисная","Кухонная"))</f>
        <v>Кухонная</v>
      </c>
      <c r="K977" s="12" t="n">
        <f aca="false">1000+MOD(A977*317+A977*A977*7,49001)</f>
        <v>20282</v>
      </c>
      <c r="L977" s="12" t="n">
        <f aca="false">1+MOD(A977*131,100)</f>
        <v>57</v>
      </c>
      <c r="M977" s="12" t="n">
        <f aca="false">INT(K977*(0.6+MOD(A977*43,21)/100))</f>
        <v>14197</v>
      </c>
      <c r="N977" s="12" t="n">
        <f aca="false">K977-M977</f>
        <v>6085</v>
      </c>
    </row>
    <row r="978" customFormat="false" ht="12.8" hidden="false" customHeight="false" outlineLevel="0" collapsed="false">
      <c r="A978" s="10" t="n">
        <f aca="false">A977+1</f>
        <v>977</v>
      </c>
      <c r="B978" s="11" t="n">
        <f aca="false">B977+1</f>
        <v>45903</v>
      </c>
      <c r="C978" s="10" t="n">
        <f aca="false">YEAR(B978)</f>
        <v>2025</v>
      </c>
      <c r="D978" s="10" t="n">
        <f aca="false">INT((MONTH(B978)-1)/3)+1</f>
        <v>3</v>
      </c>
      <c r="E978" s="10" t="n">
        <f aca="false">MONTH(B978)</f>
        <v>9</v>
      </c>
      <c r="F978" s="10" t="str">
        <f aca="false">CHOOSE(MOD(A978-1,5)+1,"Центр","Юг","Север","Запад","Восток")</f>
        <v>Юг</v>
      </c>
      <c r="G978" s="10" t="str">
        <f aca="false">"Округ_"&amp;(MOD(A978-1,5)+1)&amp;"_"&amp;(MOD(INT((A978-1)/5),5)+1)</f>
        <v>Округ_2_1</v>
      </c>
      <c r="H978" s="10" t="str">
        <f aca="false">"Город_"&amp;(MOD(A978-1,5)+1)&amp;"_"&amp;(MOD(INT((A978-1)/5),5)+1)&amp;"_"&amp;(MOD(INT((A978-1)/25),10)+1)</f>
        <v>Город_2_1_10</v>
      </c>
      <c r="I978" s="10" t="str">
        <f aca="false">CHOOSE(MOD(A978-1,4)+1,"Электроника","Одежда","Продукты","Мебель")</f>
        <v>Электроника</v>
      </c>
      <c r="J978" s="10" t="str">
        <f aca="false">CHOOSE(MOD(INT((A978-1)/4),4)+1,CHOOSE(MOD(A978-1,4)+1,"Смартфоны","Ноутбуки","Аксессуары","Аудио"),CHOOSE(MOD(A978-1,4)+1,"Верхняя одежда","Спортивная","Повседневная","Обувь"),CHOOSE(MOD(A978-1,4)+1,"Молочные","Мясные","Бакалея","Напитки"),CHOOSE(MOD(A978-1,4)+1,"Мягкая мебель","Корпусная","Офисная","Кухонная"))</f>
        <v>Смартфоны</v>
      </c>
      <c r="K978" s="12" t="n">
        <f aca="false">1000+MOD(A978*317+A978*A978*7,49001)</f>
        <v>34270</v>
      </c>
      <c r="L978" s="12" t="n">
        <f aca="false">1+MOD(A978*131,100)</f>
        <v>88</v>
      </c>
      <c r="M978" s="12" t="n">
        <f aca="false">INT(K978*(0.6+MOD(A978*43,21)/100))</f>
        <v>24331</v>
      </c>
      <c r="N978" s="12" t="n">
        <f aca="false">K978-M978</f>
        <v>9939</v>
      </c>
    </row>
    <row r="979" customFormat="false" ht="12.8" hidden="false" customHeight="false" outlineLevel="0" collapsed="false">
      <c r="A979" s="10" t="n">
        <f aca="false">A978+1</f>
        <v>978</v>
      </c>
      <c r="B979" s="11" t="n">
        <f aca="false">B978+1</f>
        <v>45904</v>
      </c>
      <c r="C979" s="10" t="n">
        <f aca="false">YEAR(B979)</f>
        <v>2025</v>
      </c>
      <c r="D979" s="10" t="n">
        <f aca="false">INT((MONTH(B979)-1)/3)+1</f>
        <v>3</v>
      </c>
      <c r="E979" s="10" t="n">
        <f aca="false">MONTH(B979)</f>
        <v>9</v>
      </c>
      <c r="F979" s="10" t="str">
        <f aca="false">CHOOSE(MOD(A979-1,5)+1,"Центр","Юг","Север","Запад","Восток")</f>
        <v>Север</v>
      </c>
      <c r="G979" s="10" t="str">
        <f aca="false">"Округ_"&amp;(MOD(A979-1,5)+1)&amp;"_"&amp;(MOD(INT((A979-1)/5),5)+1)</f>
        <v>Округ_3_1</v>
      </c>
      <c r="H979" s="10" t="str">
        <f aca="false">"Город_"&amp;(MOD(A979-1,5)+1)&amp;"_"&amp;(MOD(INT((A979-1)/5),5)+1)&amp;"_"&amp;(MOD(INT((A979-1)/25),10)+1)</f>
        <v>Город_3_1_10</v>
      </c>
      <c r="I979" s="10" t="str">
        <f aca="false">CHOOSE(MOD(A979-1,4)+1,"Электроника","Одежда","Продукты","Мебель")</f>
        <v>Одежда</v>
      </c>
      <c r="J979" s="10" t="str">
        <f aca="false">CHOOSE(MOD(INT((A979-1)/4),4)+1,CHOOSE(MOD(A979-1,4)+1,"Смартфоны","Ноутбуки","Аксессуары","Аудио"),CHOOSE(MOD(A979-1,4)+1,"Верхняя одежда","Спортивная","Повседневная","Обувь"),CHOOSE(MOD(A979-1,4)+1,"Молочные","Мясные","Бакалея","Напитки"),CHOOSE(MOD(A979-1,4)+1,"Мягкая мебель","Корпусная","Офисная","Кухонная"))</f>
        <v>Ноутбуки</v>
      </c>
      <c r="K979" s="12" t="n">
        <f aca="false">1000+MOD(A979*317+A979*A979*7,49001)</f>
        <v>48272</v>
      </c>
      <c r="L979" s="12" t="n">
        <f aca="false">1+MOD(A979*131,100)</f>
        <v>19</v>
      </c>
      <c r="M979" s="12" t="n">
        <f aca="false">INT(K979*(0.6+MOD(A979*43,21)/100))</f>
        <v>34755</v>
      </c>
      <c r="N979" s="12" t="n">
        <f aca="false">K979-M979</f>
        <v>13517</v>
      </c>
    </row>
    <row r="980" customFormat="false" ht="12.8" hidden="false" customHeight="false" outlineLevel="0" collapsed="false">
      <c r="A980" s="10" t="n">
        <f aca="false">A979+1</f>
        <v>979</v>
      </c>
      <c r="B980" s="11" t="n">
        <f aca="false">B979+1</f>
        <v>45905</v>
      </c>
      <c r="C980" s="10" t="n">
        <f aca="false">YEAR(B980)</f>
        <v>2025</v>
      </c>
      <c r="D980" s="10" t="n">
        <f aca="false">INT((MONTH(B980)-1)/3)+1</f>
        <v>3</v>
      </c>
      <c r="E980" s="10" t="n">
        <f aca="false">MONTH(B980)</f>
        <v>9</v>
      </c>
      <c r="F980" s="10" t="str">
        <f aca="false">CHOOSE(MOD(A980-1,5)+1,"Центр","Юг","Север","Запад","Восток")</f>
        <v>Запад</v>
      </c>
      <c r="G980" s="10" t="str">
        <f aca="false">"Округ_"&amp;(MOD(A980-1,5)+1)&amp;"_"&amp;(MOD(INT((A980-1)/5),5)+1)</f>
        <v>Округ_4_1</v>
      </c>
      <c r="H980" s="10" t="str">
        <f aca="false">"Город_"&amp;(MOD(A980-1,5)+1)&amp;"_"&amp;(MOD(INT((A980-1)/5),5)+1)&amp;"_"&amp;(MOD(INT((A980-1)/25),10)+1)</f>
        <v>Город_4_1_10</v>
      </c>
      <c r="I980" s="10" t="str">
        <f aca="false">CHOOSE(MOD(A980-1,4)+1,"Электроника","Одежда","Продукты","Мебель")</f>
        <v>Продукты</v>
      </c>
      <c r="J980" s="10" t="str">
        <f aca="false">CHOOSE(MOD(INT((A980-1)/4),4)+1,CHOOSE(MOD(A980-1,4)+1,"Смартфоны","Ноутбуки","Аксессуары","Аудио"),CHOOSE(MOD(A980-1,4)+1,"Верхняя одежда","Спортивная","Повседневная","Обувь"),CHOOSE(MOD(A980-1,4)+1,"Молочные","Мясные","Бакалея","Напитки"),CHOOSE(MOD(A980-1,4)+1,"Мягкая мебель","Корпусная","Офисная","Кухонная"))</f>
        <v>Аксессуары</v>
      </c>
      <c r="K980" s="12" t="n">
        <f aca="false">1000+MOD(A980*317+A980*A980*7,49001)</f>
        <v>13287</v>
      </c>
      <c r="L980" s="12" t="n">
        <f aca="false">1+MOD(A980*131,100)</f>
        <v>50</v>
      </c>
      <c r="M980" s="12" t="n">
        <f aca="false">INT(K980*(0.6+MOD(A980*43,21)/100))</f>
        <v>9699</v>
      </c>
      <c r="N980" s="12" t="n">
        <f aca="false">K980-M980</f>
        <v>3588</v>
      </c>
    </row>
    <row r="981" customFormat="false" ht="12.8" hidden="false" customHeight="false" outlineLevel="0" collapsed="false">
      <c r="A981" s="10" t="n">
        <f aca="false">A980+1</f>
        <v>980</v>
      </c>
      <c r="B981" s="11" t="n">
        <f aca="false">B980+1</f>
        <v>45906</v>
      </c>
      <c r="C981" s="10" t="n">
        <f aca="false">YEAR(B981)</f>
        <v>2025</v>
      </c>
      <c r="D981" s="10" t="n">
        <f aca="false">INT((MONTH(B981)-1)/3)+1</f>
        <v>3</v>
      </c>
      <c r="E981" s="10" t="n">
        <f aca="false">MONTH(B981)</f>
        <v>9</v>
      </c>
      <c r="F981" s="10" t="str">
        <f aca="false">CHOOSE(MOD(A981-1,5)+1,"Центр","Юг","Север","Запад","Восток")</f>
        <v>Восток</v>
      </c>
      <c r="G981" s="10" t="str">
        <f aca="false">"Округ_"&amp;(MOD(A981-1,5)+1)&amp;"_"&amp;(MOD(INT((A981-1)/5),5)+1)</f>
        <v>Округ_5_1</v>
      </c>
      <c r="H981" s="10" t="str">
        <f aca="false">"Город_"&amp;(MOD(A981-1,5)+1)&amp;"_"&amp;(MOD(INT((A981-1)/5),5)+1)&amp;"_"&amp;(MOD(INT((A981-1)/25),10)+1)</f>
        <v>Город_5_1_10</v>
      </c>
      <c r="I981" s="10" t="str">
        <f aca="false">CHOOSE(MOD(A981-1,4)+1,"Электроника","Одежда","Продукты","Мебель")</f>
        <v>Мебель</v>
      </c>
      <c r="J981" s="10" t="str">
        <f aca="false">CHOOSE(MOD(INT((A981-1)/4),4)+1,CHOOSE(MOD(A981-1,4)+1,"Смартфоны","Ноутбуки","Аксессуары","Аудио"),CHOOSE(MOD(A981-1,4)+1,"Верхняя одежда","Спортивная","Повседневная","Обувь"),CHOOSE(MOD(A981-1,4)+1,"Молочные","Мясные","Бакалея","Напитки"),CHOOSE(MOD(A981-1,4)+1,"Мягкая мебель","Корпусная","Офисная","Кухонная"))</f>
        <v>Аудио</v>
      </c>
      <c r="K981" s="12" t="n">
        <f aca="false">1000+MOD(A981*317+A981*A981*7,49001)</f>
        <v>27317</v>
      </c>
      <c r="L981" s="12" t="n">
        <f aca="false">1+MOD(A981*131,100)</f>
        <v>81</v>
      </c>
      <c r="M981" s="12" t="n">
        <f aca="false">INT(K981*(0.6+MOD(A981*43,21)/100))</f>
        <v>20214</v>
      </c>
      <c r="N981" s="12" t="n">
        <f aca="false">K981-M981</f>
        <v>7103</v>
      </c>
    </row>
    <row r="982" customFormat="false" ht="12.8" hidden="false" customHeight="false" outlineLevel="0" collapsed="false">
      <c r="A982" s="10" t="n">
        <f aca="false">A981+1</f>
        <v>981</v>
      </c>
      <c r="B982" s="11" t="n">
        <f aca="false">B981+1</f>
        <v>45907</v>
      </c>
      <c r="C982" s="10" t="n">
        <f aca="false">YEAR(B982)</f>
        <v>2025</v>
      </c>
      <c r="D982" s="10" t="n">
        <f aca="false">INT((MONTH(B982)-1)/3)+1</f>
        <v>3</v>
      </c>
      <c r="E982" s="10" t="n">
        <f aca="false">MONTH(B982)</f>
        <v>9</v>
      </c>
      <c r="F982" s="10" t="str">
        <f aca="false">CHOOSE(MOD(A982-1,5)+1,"Центр","Юг","Север","Запад","Восток")</f>
        <v>Центр</v>
      </c>
      <c r="G982" s="10" t="str">
        <f aca="false">"Округ_"&amp;(MOD(A982-1,5)+1)&amp;"_"&amp;(MOD(INT((A982-1)/5),5)+1)</f>
        <v>Округ_1_2</v>
      </c>
      <c r="H982" s="10" t="str">
        <f aca="false">"Город_"&amp;(MOD(A982-1,5)+1)&amp;"_"&amp;(MOD(INT((A982-1)/5),5)+1)&amp;"_"&amp;(MOD(INT((A982-1)/25),10)+1)</f>
        <v>Город_1_2_10</v>
      </c>
      <c r="I982" s="10" t="str">
        <f aca="false">CHOOSE(MOD(A982-1,4)+1,"Электроника","Одежда","Продукты","Мебель")</f>
        <v>Электроника</v>
      </c>
      <c r="J982" s="10" t="str">
        <f aca="false">CHOOSE(MOD(INT((A982-1)/4),4)+1,CHOOSE(MOD(A982-1,4)+1,"Смартфоны","Ноутбуки","Аксессуары","Аудио"),CHOOSE(MOD(A982-1,4)+1,"Верхняя одежда","Спортивная","Повседневная","Обувь"),CHOOSE(MOD(A982-1,4)+1,"Молочные","Мясные","Бакалея","Напитки"),CHOOSE(MOD(A982-1,4)+1,"Мягкая мебель","Корпусная","Офисная","Кухонная"))</f>
        <v>Верхняя одежда</v>
      </c>
      <c r="K982" s="12" t="n">
        <f aca="false">1000+MOD(A982*317+A982*A982*7,49001)</f>
        <v>41361</v>
      </c>
      <c r="L982" s="12" t="n">
        <f aca="false">1+MOD(A982*131,100)</f>
        <v>12</v>
      </c>
      <c r="M982" s="12" t="n">
        <f aca="false">INT(K982*(0.6+MOD(A982*43,21)/100))</f>
        <v>31020</v>
      </c>
      <c r="N982" s="12" t="n">
        <f aca="false">K982-M982</f>
        <v>10341</v>
      </c>
    </row>
    <row r="983" customFormat="false" ht="12.8" hidden="false" customHeight="false" outlineLevel="0" collapsed="false">
      <c r="A983" s="10" t="n">
        <f aca="false">A982+1</f>
        <v>982</v>
      </c>
      <c r="B983" s="11" t="n">
        <f aca="false">B982+1</f>
        <v>45908</v>
      </c>
      <c r="C983" s="10" t="n">
        <f aca="false">YEAR(B983)</f>
        <v>2025</v>
      </c>
      <c r="D983" s="10" t="n">
        <f aca="false">INT((MONTH(B983)-1)/3)+1</f>
        <v>3</v>
      </c>
      <c r="E983" s="10" t="n">
        <f aca="false">MONTH(B983)</f>
        <v>9</v>
      </c>
      <c r="F983" s="10" t="str">
        <f aca="false">CHOOSE(MOD(A983-1,5)+1,"Центр","Юг","Север","Запад","Восток")</f>
        <v>Юг</v>
      </c>
      <c r="G983" s="10" t="str">
        <f aca="false">"Округ_"&amp;(MOD(A983-1,5)+1)&amp;"_"&amp;(MOD(INT((A983-1)/5),5)+1)</f>
        <v>Округ_2_2</v>
      </c>
      <c r="H983" s="10" t="str">
        <f aca="false">"Город_"&amp;(MOD(A983-1,5)+1)&amp;"_"&amp;(MOD(INT((A983-1)/5),5)+1)&amp;"_"&amp;(MOD(INT((A983-1)/25),10)+1)</f>
        <v>Город_2_2_10</v>
      </c>
      <c r="I983" s="10" t="str">
        <f aca="false">CHOOSE(MOD(A983-1,4)+1,"Электроника","Одежда","Продукты","Мебель")</f>
        <v>Одежда</v>
      </c>
      <c r="J983" s="10" t="str">
        <f aca="false">CHOOSE(MOD(INT((A983-1)/4),4)+1,CHOOSE(MOD(A983-1,4)+1,"Смартфоны","Ноутбуки","Аксессуары","Аудио"),CHOOSE(MOD(A983-1,4)+1,"Верхняя одежда","Спортивная","Повседневная","Обувь"),CHOOSE(MOD(A983-1,4)+1,"Молочные","Мясные","Бакалея","Напитки"),CHOOSE(MOD(A983-1,4)+1,"Мягкая мебель","Корпусная","Офисная","Кухонная"))</f>
        <v>Спортивная</v>
      </c>
      <c r="K983" s="12" t="n">
        <f aca="false">1000+MOD(A983*317+A983*A983*7,49001)</f>
        <v>6418</v>
      </c>
      <c r="L983" s="12" t="n">
        <f aca="false">1+MOD(A983*131,100)</f>
        <v>43</v>
      </c>
      <c r="M983" s="12" t="n">
        <f aca="false">INT(K983*(0.6+MOD(A983*43,21)/100))</f>
        <v>4877</v>
      </c>
      <c r="N983" s="12" t="n">
        <f aca="false">K983-M983</f>
        <v>1541</v>
      </c>
    </row>
    <row r="984" customFormat="false" ht="12.8" hidden="false" customHeight="false" outlineLevel="0" collapsed="false">
      <c r="A984" s="10" t="n">
        <f aca="false">A983+1</f>
        <v>983</v>
      </c>
      <c r="B984" s="11" t="n">
        <f aca="false">B983+1</f>
        <v>45909</v>
      </c>
      <c r="C984" s="10" t="n">
        <f aca="false">YEAR(B984)</f>
        <v>2025</v>
      </c>
      <c r="D984" s="10" t="n">
        <f aca="false">INT((MONTH(B984)-1)/3)+1</f>
        <v>3</v>
      </c>
      <c r="E984" s="10" t="n">
        <f aca="false">MONTH(B984)</f>
        <v>9</v>
      </c>
      <c r="F984" s="10" t="str">
        <f aca="false">CHOOSE(MOD(A984-1,5)+1,"Центр","Юг","Север","Запад","Восток")</f>
        <v>Север</v>
      </c>
      <c r="G984" s="10" t="str">
        <f aca="false">"Округ_"&amp;(MOD(A984-1,5)+1)&amp;"_"&amp;(MOD(INT((A984-1)/5),5)+1)</f>
        <v>Округ_3_2</v>
      </c>
      <c r="H984" s="10" t="str">
        <f aca="false">"Город_"&amp;(MOD(A984-1,5)+1)&amp;"_"&amp;(MOD(INT((A984-1)/5),5)+1)&amp;"_"&amp;(MOD(INT((A984-1)/25),10)+1)</f>
        <v>Город_3_2_10</v>
      </c>
      <c r="I984" s="10" t="str">
        <f aca="false">CHOOSE(MOD(A984-1,4)+1,"Электроника","Одежда","Продукты","Мебель")</f>
        <v>Продукты</v>
      </c>
      <c r="J984" s="10" t="str">
        <f aca="false">CHOOSE(MOD(INT((A984-1)/4),4)+1,CHOOSE(MOD(A984-1,4)+1,"Смартфоны","Ноутбуки","Аксессуары","Аудио"),CHOOSE(MOD(A984-1,4)+1,"Верхняя одежда","Спортивная","Повседневная","Обувь"),CHOOSE(MOD(A984-1,4)+1,"Молочные","Мясные","Бакалея","Напитки"),CHOOSE(MOD(A984-1,4)+1,"Мягкая мебель","Корпусная","Офисная","Кухонная"))</f>
        <v>Повседневная</v>
      </c>
      <c r="K984" s="12" t="n">
        <f aca="false">1000+MOD(A984*317+A984*A984*7,49001)</f>
        <v>20490</v>
      </c>
      <c r="L984" s="12" t="n">
        <f aca="false">1+MOD(A984*131,100)</f>
        <v>74</v>
      </c>
      <c r="M984" s="12" t="n">
        <f aca="false">INT(K984*(0.6+MOD(A984*43,21)/100))</f>
        <v>15777</v>
      </c>
      <c r="N984" s="12" t="n">
        <f aca="false">K984-M984</f>
        <v>4713</v>
      </c>
    </row>
    <row r="985" customFormat="false" ht="12.8" hidden="false" customHeight="false" outlineLevel="0" collapsed="false">
      <c r="A985" s="10" t="n">
        <f aca="false">A984+1</f>
        <v>984</v>
      </c>
      <c r="B985" s="11" t="n">
        <f aca="false">B984+1</f>
        <v>45910</v>
      </c>
      <c r="C985" s="10" t="n">
        <f aca="false">YEAR(B985)</f>
        <v>2025</v>
      </c>
      <c r="D985" s="10" t="n">
        <f aca="false">INT((MONTH(B985)-1)/3)+1</f>
        <v>3</v>
      </c>
      <c r="E985" s="10" t="n">
        <f aca="false">MONTH(B985)</f>
        <v>9</v>
      </c>
      <c r="F985" s="10" t="str">
        <f aca="false">CHOOSE(MOD(A985-1,5)+1,"Центр","Юг","Север","Запад","Восток")</f>
        <v>Запад</v>
      </c>
      <c r="G985" s="10" t="str">
        <f aca="false">"Округ_"&amp;(MOD(A985-1,5)+1)&amp;"_"&amp;(MOD(INT((A985-1)/5),5)+1)</f>
        <v>Округ_4_2</v>
      </c>
      <c r="H985" s="10" t="str">
        <f aca="false">"Город_"&amp;(MOD(A985-1,5)+1)&amp;"_"&amp;(MOD(INT((A985-1)/5),5)+1)&amp;"_"&amp;(MOD(INT((A985-1)/25),10)+1)</f>
        <v>Город_4_2_10</v>
      </c>
      <c r="I985" s="10" t="str">
        <f aca="false">CHOOSE(MOD(A985-1,4)+1,"Электроника","Одежда","Продукты","Мебель")</f>
        <v>Мебель</v>
      </c>
      <c r="J985" s="10" t="str">
        <f aca="false">CHOOSE(MOD(INT((A985-1)/4),4)+1,CHOOSE(MOD(A985-1,4)+1,"Смартфоны","Ноутбуки","Аксессуары","Аудио"),CHOOSE(MOD(A985-1,4)+1,"Верхняя одежда","Спортивная","Повседневная","Обувь"),CHOOSE(MOD(A985-1,4)+1,"Молочные","Мясные","Бакалея","Напитки"),CHOOSE(MOD(A985-1,4)+1,"Мягкая мебель","Корпусная","Офисная","Кухонная"))</f>
        <v>Обувь</v>
      </c>
      <c r="K985" s="12" t="n">
        <f aca="false">1000+MOD(A985*317+A985*A985*7,49001)</f>
        <v>34576</v>
      </c>
      <c r="L985" s="12" t="n">
        <f aca="false">1+MOD(A985*131,100)</f>
        <v>5</v>
      </c>
      <c r="M985" s="12" t="n">
        <f aca="false">INT(K985*(0.6+MOD(A985*43,21)/100))</f>
        <v>26969</v>
      </c>
      <c r="N985" s="12" t="n">
        <f aca="false">K985-M985</f>
        <v>7607</v>
      </c>
    </row>
    <row r="986" customFormat="false" ht="12.8" hidden="false" customHeight="false" outlineLevel="0" collapsed="false">
      <c r="A986" s="10" t="n">
        <f aca="false">A985+1</f>
        <v>985</v>
      </c>
      <c r="B986" s="11" t="n">
        <f aca="false">B985+1</f>
        <v>45911</v>
      </c>
      <c r="C986" s="10" t="n">
        <f aca="false">YEAR(B986)</f>
        <v>2025</v>
      </c>
      <c r="D986" s="10" t="n">
        <f aca="false">INT((MONTH(B986)-1)/3)+1</f>
        <v>3</v>
      </c>
      <c r="E986" s="10" t="n">
        <f aca="false">MONTH(B986)</f>
        <v>9</v>
      </c>
      <c r="F986" s="10" t="str">
        <f aca="false">CHOOSE(MOD(A986-1,5)+1,"Центр","Юг","Север","Запад","Восток")</f>
        <v>Восток</v>
      </c>
      <c r="G986" s="10" t="str">
        <f aca="false">"Округ_"&amp;(MOD(A986-1,5)+1)&amp;"_"&amp;(MOD(INT((A986-1)/5),5)+1)</f>
        <v>Округ_5_2</v>
      </c>
      <c r="H986" s="10" t="str">
        <f aca="false">"Город_"&amp;(MOD(A986-1,5)+1)&amp;"_"&amp;(MOD(INT((A986-1)/5),5)+1)&amp;"_"&amp;(MOD(INT((A986-1)/25),10)+1)</f>
        <v>Город_5_2_10</v>
      </c>
      <c r="I986" s="10" t="str">
        <f aca="false">CHOOSE(MOD(A986-1,4)+1,"Электроника","Одежда","Продукты","Мебель")</f>
        <v>Электроника</v>
      </c>
      <c r="J986" s="10" t="str">
        <f aca="false">CHOOSE(MOD(INT((A986-1)/4),4)+1,CHOOSE(MOD(A986-1,4)+1,"Смартфоны","Ноутбуки","Аксессуары","Аудио"),CHOOSE(MOD(A986-1,4)+1,"Верхняя одежда","Спортивная","Повседневная","Обувь"),CHOOSE(MOD(A986-1,4)+1,"Молочные","Мясные","Бакалея","Напитки"),CHOOSE(MOD(A986-1,4)+1,"Мягкая мебель","Корпусная","Офисная","Кухонная"))</f>
        <v>Молочные</v>
      </c>
      <c r="K986" s="12" t="n">
        <f aca="false">1000+MOD(A986*317+A986*A986*7,49001)</f>
        <v>48676</v>
      </c>
      <c r="L986" s="12" t="n">
        <f aca="false">1+MOD(A986*131,100)</f>
        <v>36</v>
      </c>
      <c r="M986" s="12" t="n">
        <f aca="false">INT(K986*(0.6+MOD(A986*43,21)/100))</f>
        <v>38454</v>
      </c>
      <c r="N986" s="12" t="n">
        <f aca="false">K986-M986</f>
        <v>10222</v>
      </c>
    </row>
    <row r="987" customFormat="false" ht="12.8" hidden="false" customHeight="false" outlineLevel="0" collapsed="false">
      <c r="A987" s="10" t="n">
        <f aca="false">A986+1</f>
        <v>986</v>
      </c>
      <c r="B987" s="11" t="n">
        <f aca="false">B986+1</f>
        <v>45912</v>
      </c>
      <c r="C987" s="10" t="n">
        <f aca="false">YEAR(B987)</f>
        <v>2025</v>
      </c>
      <c r="D987" s="10" t="n">
        <f aca="false">INT((MONTH(B987)-1)/3)+1</f>
        <v>3</v>
      </c>
      <c r="E987" s="10" t="n">
        <f aca="false">MONTH(B987)</f>
        <v>9</v>
      </c>
      <c r="F987" s="10" t="str">
        <f aca="false">CHOOSE(MOD(A987-1,5)+1,"Центр","Юг","Север","Запад","Восток")</f>
        <v>Центр</v>
      </c>
      <c r="G987" s="10" t="str">
        <f aca="false">"Округ_"&amp;(MOD(A987-1,5)+1)&amp;"_"&amp;(MOD(INT((A987-1)/5),5)+1)</f>
        <v>Округ_1_3</v>
      </c>
      <c r="H987" s="10" t="str">
        <f aca="false">"Город_"&amp;(MOD(A987-1,5)+1)&amp;"_"&amp;(MOD(INT((A987-1)/5),5)+1)&amp;"_"&amp;(MOD(INT((A987-1)/25),10)+1)</f>
        <v>Город_1_3_10</v>
      </c>
      <c r="I987" s="10" t="str">
        <f aca="false">CHOOSE(MOD(A987-1,4)+1,"Электроника","Одежда","Продукты","Мебель")</f>
        <v>Одежда</v>
      </c>
      <c r="J987" s="10" t="str">
        <f aca="false">CHOOSE(MOD(INT((A987-1)/4),4)+1,CHOOSE(MOD(A987-1,4)+1,"Смартфоны","Ноутбуки","Аксессуары","Аудио"),CHOOSE(MOD(A987-1,4)+1,"Верхняя одежда","Спортивная","Повседневная","Обувь"),CHOOSE(MOD(A987-1,4)+1,"Молочные","Мясные","Бакалея","Напитки"),CHOOSE(MOD(A987-1,4)+1,"Мягкая мебель","Корпусная","Офисная","Кухонная"))</f>
        <v>Мясные</v>
      </c>
      <c r="K987" s="12" t="n">
        <f aca="false">1000+MOD(A987*317+A987*A987*7,49001)</f>
        <v>13789</v>
      </c>
      <c r="L987" s="12" t="n">
        <f aca="false">1+MOD(A987*131,100)</f>
        <v>67</v>
      </c>
      <c r="M987" s="12" t="n">
        <f aca="false">INT(K987*(0.6+MOD(A987*43,21)/100))</f>
        <v>11031</v>
      </c>
      <c r="N987" s="12" t="n">
        <f aca="false">K987-M987</f>
        <v>2758</v>
      </c>
    </row>
    <row r="988" customFormat="false" ht="12.8" hidden="false" customHeight="false" outlineLevel="0" collapsed="false">
      <c r="A988" s="10" t="n">
        <f aca="false">A987+1</f>
        <v>987</v>
      </c>
      <c r="B988" s="11" t="n">
        <f aca="false">B987+1</f>
        <v>45913</v>
      </c>
      <c r="C988" s="10" t="n">
        <f aca="false">YEAR(B988)</f>
        <v>2025</v>
      </c>
      <c r="D988" s="10" t="n">
        <f aca="false">INT((MONTH(B988)-1)/3)+1</f>
        <v>3</v>
      </c>
      <c r="E988" s="10" t="n">
        <f aca="false">MONTH(B988)</f>
        <v>9</v>
      </c>
      <c r="F988" s="10" t="str">
        <f aca="false">CHOOSE(MOD(A988-1,5)+1,"Центр","Юг","Север","Запад","Восток")</f>
        <v>Юг</v>
      </c>
      <c r="G988" s="10" t="str">
        <f aca="false">"Округ_"&amp;(MOD(A988-1,5)+1)&amp;"_"&amp;(MOD(INT((A988-1)/5),5)+1)</f>
        <v>Округ_2_3</v>
      </c>
      <c r="H988" s="10" t="str">
        <f aca="false">"Город_"&amp;(MOD(A988-1,5)+1)&amp;"_"&amp;(MOD(INT((A988-1)/5),5)+1)&amp;"_"&amp;(MOD(INT((A988-1)/25),10)+1)</f>
        <v>Город_2_3_10</v>
      </c>
      <c r="I988" s="10" t="str">
        <f aca="false">CHOOSE(MOD(A988-1,4)+1,"Электроника","Одежда","Продукты","Мебель")</f>
        <v>Продукты</v>
      </c>
      <c r="J988" s="10" t="str">
        <f aca="false">CHOOSE(MOD(INT((A988-1)/4),4)+1,CHOOSE(MOD(A988-1,4)+1,"Смартфоны","Ноутбуки","Аксессуары","Аудио"),CHOOSE(MOD(A988-1,4)+1,"Верхняя одежда","Спортивная","Повседневная","Обувь"),CHOOSE(MOD(A988-1,4)+1,"Молочные","Мясные","Бакалея","Напитки"),CHOOSE(MOD(A988-1,4)+1,"Мягкая мебель","Корпусная","Офисная","Кухонная"))</f>
        <v>Бакалея</v>
      </c>
      <c r="K988" s="12" t="n">
        <f aca="false">1000+MOD(A988*317+A988*A988*7,49001)</f>
        <v>27917</v>
      </c>
      <c r="L988" s="12" t="n">
        <f aca="false">1+MOD(A988*131,100)</f>
        <v>98</v>
      </c>
      <c r="M988" s="12" t="n">
        <f aca="false">INT(K988*(0.6+MOD(A988*43,21)/100))</f>
        <v>16750</v>
      </c>
      <c r="N988" s="12" t="n">
        <f aca="false">K988-M988</f>
        <v>11167</v>
      </c>
    </row>
    <row r="989" customFormat="false" ht="12.8" hidden="false" customHeight="false" outlineLevel="0" collapsed="false">
      <c r="A989" s="10" t="n">
        <f aca="false">A988+1</f>
        <v>988</v>
      </c>
      <c r="B989" s="11" t="n">
        <f aca="false">B988+1</f>
        <v>45914</v>
      </c>
      <c r="C989" s="10" t="n">
        <f aca="false">YEAR(B989)</f>
        <v>2025</v>
      </c>
      <c r="D989" s="10" t="n">
        <f aca="false">INT((MONTH(B989)-1)/3)+1</f>
        <v>3</v>
      </c>
      <c r="E989" s="10" t="n">
        <f aca="false">MONTH(B989)</f>
        <v>9</v>
      </c>
      <c r="F989" s="10" t="str">
        <f aca="false">CHOOSE(MOD(A989-1,5)+1,"Центр","Юг","Север","Запад","Восток")</f>
        <v>Север</v>
      </c>
      <c r="G989" s="10" t="str">
        <f aca="false">"Округ_"&amp;(MOD(A989-1,5)+1)&amp;"_"&amp;(MOD(INT((A989-1)/5),5)+1)</f>
        <v>Округ_3_3</v>
      </c>
      <c r="H989" s="10" t="str">
        <f aca="false">"Город_"&amp;(MOD(A989-1,5)+1)&amp;"_"&amp;(MOD(INT((A989-1)/5),5)+1)&amp;"_"&amp;(MOD(INT((A989-1)/25),10)+1)</f>
        <v>Город_3_3_10</v>
      </c>
      <c r="I989" s="10" t="str">
        <f aca="false">CHOOSE(MOD(A989-1,4)+1,"Электроника","Одежда","Продукты","Мебель")</f>
        <v>Мебель</v>
      </c>
      <c r="J989" s="10" t="str">
        <f aca="false">CHOOSE(MOD(INT((A989-1)/4),4)+1,CHOOSE(MOD(A989-1,4)+1,"Смартфоны","Ноутбуки","Аксессуары","Аудио"),CHOOSE(MOD(A989-1,4)+1,"Верхняя одежда","Спортивная","Повседневная","Обувь"),CHOOSE(MOD(A989-1,4)+1,"Молочные","Мясные","Бакалея","Напитки"),CHOOSE(MOD(A989-1,4)+1,"Мягкая мебель","Корпусная","Офисная","Кухонная"))</f>
        <v>Напитки</v>
      </c>
      <c r="K989" s="12" t="n">
        <f aca="false">1000+MOD(A989*317+A989*A989*7,49001)</f>
        <v>42059</v>
      </c>
      <c r="L989" s="12" t="n">
        <f aca="false">1+MOD(A989*131,100)</f>
        <v>29</v>
      </c>
      <c r="M989" s="12" t="n">
        <f aca="false">INT(K989*(0.6+MOD(A989*43,21)/100))</f>
        <v>25655</v>
      </c>
      <c r="N989" s="12" t="n">
        <f aca="false">K989-M989</f>
        <v>16404</v>
      </c>
    </row>
    <row r="990" customFormat="false" ht="12.8" hidden="false" customHeight="false" outlineLevel="0" collapsed="false">
      <c r="A990" s="10" t="n">
        <f aca="false">A989+1</f>
        <v>989</v>
      </c>
      <c r="B990" s="11" t="n">
        <f aca="false">B989+1</f>
        <v>45915</v>
      </c>
      <c r="C990" s="10" t="n">
        <f aca="false">YEAR(B990)</f>
        <v>2025</v>
      </c>
      <c r="D990" s="10" t="n">
        <f aca="false">INT((MONTH(B990)-1)/3)+1</f>
        <v>3</v>
      </c>
      <c r="E990" s="10" t="n">
        <f aca="false">MONTH(B990)</f>
        <v>9</v>
      </c>
      <c r="F990" s="10" t="str">
        <f aca="false">CHOOSE(MOD(A990-1,5)+1,"Центр","Юг","Север","Запад","Восток")</f>
        <v>Запад</v>
      </c>
      <c r="G990" s="10" t="str">
        <f aca="false">"Округ_"&amp;(MOD(A990-1,5)+1)&amp;"_"&amp;(MOD(INT((A990-1)/5),5)+1)</f>
        <v>Округ_4_3</v>
      </c>
      <c r="H990" s="10" t="str">
        <f aca="false">"Город_"&amp;(MOD(A990-1,5)+1)&amp;"_"&amp;(MOD(INT((A990-1)/5),5)+1)&amp;"_"&amp;(MOD(INT((A990-1)/25),10)+1)</f>
        <v>Город_4_3_10</v>
      </c>
      <c r="I990" s="10" t="str">
        <f aca="false">CHOOSE(MOD(A990-1,4)+1,"Электроника","Одежда","Продукты","Мебель")</f>
        <v>Электроника</v>
      </c>
      <c r="J990" s="10" t="str">
        <f aca="false">CHOOSE(MOD(INT((A990-1)/4),4)+1,CHOOSE(MOD(A990-1,4)+1,"Смартфоны","Ноутбуки","Аксессуары","Аудио"),CHOOSE(MOD(A990-1,4)+1,"Верхняя одежда","Спортивная","Повседневная","Обувь"),CHOOSE(MOD(A990-1,4)+1,"Молочные","Мясные","Бакалея","Напитки"),CHOOSE(MOD(A990-1,4)+1,"Мягкая мебель","Корпусная","Офисная","Кухонная"))</f>
        <v>Мягкая мебель</v>
      </c>
      <c r="K990" s="12" t="n">
        <f aca="false">1000+MOD(A990*317+A990*A990*7,49001)</f>
        <v>7214</v>
      </c>
      <c r="L990" s="12" t="n">
        <f aca="false">1+MOD(A990*131,100)</f>
        <v>60</v>
      </c>
      <c r="M990" s="12" t="n">
        <f aca="false">INT(K990*(0.6+MOD(A990*43,21)/100))</f>
        <v>4472</v>
      </c>
      <c r="N990" s="12" t="n">
        <f aca="false">K990-M990</f>
        <v>2742</v>
      </c>
    </row>
    <row r="991" customFormat="false" ht="12.8" hidden="false" customHeight="false" outlineLevel="0" collapsed="false">
      <c r="A991" s="10" t="n">
        <f aca="false">A990+1</f>
        <v>990</v>
      </c>
      <c r="B991" s="11" t="n">
        <f aca="false">B990+1</f>
        <v>45916</v>
      </c>
      <c r="C991" s="10" t="n">
        <f aca="false">YEAR(B991)</f>
        <v>2025</v>
      </c>
      <c r="D991" s="10" t="n">
        <f aca="false">INT((MONTH(B991)-1)/3)+1</f>
        <v>3</v>
      </c>
      <c r="E991" s="10" t="n">
        <f aca="false">MONTH(B991)</f>
        <v>9</v>
      </c>
      <c r="F991" s="10" t="str">
        <f aca="false">CHOOSE(MOD(A991-1,5)+1,"Центр","Юг","Север","Запад","Восток")</f>
        <v>Восток</v>
      </c>
      <c r="G991" s="10" t="str">
        <f aca="false">"Округ_"&amp;(MOD(A991-1,5)+1)&amp;"_"&amp;(MOD(INT((A991-1)/5),5)+1)</f>
        <v>Округ_5_3</v>
      </c>
      <c r="H991" s="10" t="str">
        <f aca="false">"Город_"&amp;(MOD(A991-1,5)+1)&amp;"_"&amp;(MOD(INT((A991-1)/5),5)+1)&amp;"_"&amp;(MOD(INT((A991-1)/25),10)+1)</f>
        <v>Город_5_3_10</v>
      </c>
      <c r="I991" s="10" t="str">
        <f aca="false">CHOOSE(MOD(A991-1,4)+1,"Электроника","Одежда","Продукты","Мебель")</f>
        <v>Одежда</v>
      </c>
      <c r="J991" s="10" t="str">
        <f aca="false">CHOOSE(MOD(INT((A991-1)/4),4)+1,CHOOSE(MOD(A991-1,4)+1,"Смартфоны","Ноутбуки","Аксессуары","Аудио"),CHOOSE(MOD(A991-1,4)+1,"Верхняя одежда","Спортивная","Повседневная","Обувь"),CHOOSE(MOD(A991-1,4)+1,"Молочные","Мясные","Бакалея","Напитки"),CHOOSE(MOD(A991-1,4)+1,"Мягкая мебель","Корпусная","Офисная","Кухонная"))</f>
        <v>Корпусная</v>
      </c>
      <c r="K991" s="12" t="n">
        <f aca="false">1000+MOD(A991*317+A991*A991*7,49001)</f>
        <v>21384</v>
      </c>
      <c r="L991" s="12" t="n">
        <f aca="false">1+MOD(A991*131,100)</f>
        <v>91</v>
      </c>
      <c r="M991" s="12" t="n">
        <f aca="false">INT(K991*(0.6+MOD(A991*43,21)/100))</f>
        <v>13471</v>
      </c>
      <c r="N991" s="12" t="n">
        <f aca="false">K991-M991</f>
        <v>7913</v>
      </c>
    </row>
    <row r="992" customFormat="false" ht="12.8" hidden="false" customHeight="false" outlineLevel="0" collapsed="false">
      <c r="A992" s="10" t="n">
        <f aca="false">A991+1</f>
        <v>991</v>
      </c>
      <c r="B992" s="11" t="n">
        <f aca="false">B991+1</f>
        <v>45917</v>
      </c>
      <c r="C992" s="10" t="n">
        <f aca="false">YEAR(B992)</f>
        <v>2025</v>
      </c>
      <c r="D992" s="10" t="n">
        <f aca="false">INT((MONTH(B992)-1)/3)+1</f>
        <v>3</v>
      </c>
      <c r="E992" s="10" t="n">
        <f aca="false">MONTH(B992)</f>
        <v>9</v>
      </c>
      <c r="F992" s="10" t="str">
        <f aca="false">CHOOSE(MOD(A992-1,5)+1,"Центр","Юг","Север","Запад","Восток")</f>
        <v>Центр</v>
      </c>
      <c r="G992" s="10" t="str">
        <f aca="false">"Округ_"&amp;(MOD(A992-1,5)+1)&amp;"_"&amp;(MOD(INT((A992-1)/5),5)+1)</f>
        <v>Округ_1_4</v>
      </c>
      <c r="H992" s="10" t="str">
        <f aca="false">"Город_"&amp;(MOD(A992-1,5)+1)&amp;"_"&amp;(MOD(INT((A992-1)/5),5)+1)&amp;"_"&amp;(MOD(INT((A992-1)/25),10)+1)</f>
        <v>Город_1_4_10</v>
      </c>
      <c r="I992" s="10" t="str">
        <f aca="false">CHOOSE(MOD(A992-1,4)+1,"Электроника","Одежда","Продукты","Мебель")</f>
        <v>Продукты</v>
      </c>
      <c r="J992" s="10" t="str">
        <f aca="false">CHOOSE(MOD(INT((A992-1)/4),4)+1,CHOOSE(MOD(A992-1,4)+1,"Смартфоны","Ноутбуки","Аксессуары","Аудио"),CHOOSE(MOD(A992-1,4)+1,"Верхняя одежда","Спортивная","Повседневная","Обувь"),CHOOSE(MOD(A992-1,4)+1,"Молочные","Мясные","Бакалея","Напитки"),CHOOSE(MOD(A992-1,4)+1,"Мягкая мебель","Корпусная","Офисная","Кухонная"))</f>
        <v>Офисная</v>
      </c>
      <c r="K992" s="12" t="n">
        <f aca="false">1000+MOD(A992*317+A992*A992*7,49001)</f>
        <v>35568</v>
      </c>
      <c r="L992" s="12" t="n">
        <f aca="false">1+MOD(A992*131,100)</f>
        <v>22</v>
      </c>
      <c r="M992" s="12" t="n">
        <f aca="false">INT(K992*(0.6+MOD(A992*43,21)/100))</f>
        <v>22763</v>
      </c>
      <c r="N992" s="12" t="n">
        <f aca="false">K992-M992</f>
        <v>12805</v>
      </c>
    </row>
    <row r="993" customFormat="false" ht="12.8" hidden="false" customHeight="false" outlineLevel="0" collapsed="false">
      <c r="A993" s="10" t="n">
        <f aca="false">A992+1</f>
        <v>992</v>
      </c>
      <c r="B993" s="11" t="n">
        <f aca="false">B992+1</f>
        <v>45918</v>
      </c>
      <c r="C993" s="10" t="n">
        <f aca="false">YEAR(B993)</f>
        <v>2025</v>
      </c>
      <c r="D993" s="10" t="n">
        <f aca="false">INT((MONTH(B993)-1)/3)+1</f>
        <v>3</v>
      </c>
      <c r="E993" s="10" t="n">
        <f aca="false">MONTH(B993)</f>
        <v>9</v>
      </c>
      <c r="F993" s="10" t="str">
        <f aca="false">CHOOSE(MOD(A993-1,5)+1,"Центр","Юг","Север","Запад","Восток")</f>
        <v>Юг</v>
      </c>
      <c r="G993" s="10" t="str">
        <f aca="false">"Округ_"&amp;(MOD(A993-1,5)+1)&amp;"_"&amp;(MOD(INT((A993-1)/5),5)+1)</f>
        <v>Округ_2_4</v>
      </c>
      <c r="H993" s="10" t="str">
        <f aca="false">"Город_"&amp;(MOD(A993-1,5)+1)&amp;"_"&amp;(MOD(INT((A993-1)/5),5)+1)&amp;"_"&amp;(MOD(INT((A993-1)/25),10)+1)</f>
        <v>Город_2_4_10</v>
      </c>
      <c r="I993" s="10" t="str">
        <f aca="false">CHOOSE(MOD(A993-1,4)+1,"Электроника","Одежда","Продукты","Мебель")</f>
        <v>Мебель</v>
      </c>
      <c r="J993" s="10" t="str">
        <f aca="false">CHOOSE(MOD(INT((A993-1)/4),4)+1,CHOOSE(MOD(A993-1,4)+1,"Смартфоны","Ноутбуки","Аксессуары","Аудио"),CHOOSE(MOD(A993-1,4)+1,"Верхняя одежда","Спортивная","Повседневная","Обувь"),CHOOSE(MOD(A993-1,4)+1,"Молочные","Мясные","Бакалея","Напитки"),CHOOSE(MOD(A993-1,4)+1,"Мягкая мебель","Корпусная","Офисная","Кухонная"))</f>
        <v>Кухонная</v>
      </c>
      <c r="K993" s="12" t="n">
        <f aca="false">1000+MOD(A993*317+A993*A993*7,49001)</f>
        <v>49766</v>
      </c>
      <c r="L993" s="12" t="n">
        <f aca="false">1+MOD(A993*131,100)</f>
        <v>53</v>
      </c>
      <c r="M993" s="12" t="n">
        <f aca="false">INT(K993*(0.6+MOD(A993*43,21)/100))</f>
        <v>32347</v>
      </c>
      <c r="N993" s="12" t="n">
        <f aca="false">K993-M993</f>
        <v>17419</v>
      </c>
    </row>
    <row r="994" customFormat="false" ht="12.8" hidden="false" customHeight="false" outlineLevel="0" collapsed="false">
      <c r="A994" s="10" t="n">
        <f aca="false">A993+1</f>
        <v>993</v>
      </c>
      <c r="B994" s="11" t="n">
        <f aca="false">B993+1</f>
        <v>45919</v>
      </c>
      <c r="C994" s="10" t="n">
        <f aca="false">YEAR(B994)</f>
        <v>2025</v>
      </c>
      <c r="D994" s="10" t="n">
        <f aca="false">INT((MONTH(B994)-1)/3)+1</f>
        <v>3</v>
      </c>
      <c r="E994" s="10" t="n">
        <f aca="false">MONTH(B994)</f>
        <v>9</v>
      </c>
      <c r="F994" s="10" t="str">
        <f aca="false">CHOOSE(MOD(A994-1,5)+1,"Центр","Юг","Север","Запад","Восток")</f>
        <v>Север</v>
      </c>
      <c r="G994" s="10" t="str">
        <f aca="false">"Округ_"&amp;(MOD(A994-1,5)+1)&amp;"_"&amp;(MOD(INT((A994-1)/5),5)+1)</f>
        <v>Округ_3_4</v>
      </c>
      <c r="H994" s="10" t="str">
        <f aca="false">"Город_"&amp;(MOD(A994-1,5)+1)&amp;"_"&amp;(MOD(INT((A994-1)/5),5)+1)&amp;"_"&amp;(MOD(INT((A994-1)/25),10)+1)</f>
        <v>Город_3_4_10</v>
      </c>
      <c r="I994" s="10" t="str">
        <f aca="false">CHOOSE(MOD(A994-1,4)+1,"Электроника","Одежда","Продукты","Мебель")</f>
        <v>Электроника</v>
      </c>
      <c r="J994" s="10" t="str">
        <f aca="false">CHOOSE(MOD(INT((A994-1)/4),4)+1,CHOOSE(MOD(A994-1,4)+1,"Смартфоны","Ноутбуки","Аксессуары","Аудио"),CHOOSE(MOD(A994-1,4)+1,"Верхняя одежда","Спортивная","Повседневная","Обувь"),CHOOSE(MOD(A994-1,4)+1,"Молочные","Мясные","Бакалея","Напитки"),CHOOSE(MOD(A994-1,4)+1,"Мягкая мебель","Корпусная","Офисная","Кухонная"))</f>
        <v>Смартфоны</v>
      </c>
      <c r="K994" s="12" t="n">
        <f aca="false">1000+MOD(A994*317+A994*A994*7,49001)</f>
        <v>14977</v>
      </c>
      <c r="L994" s="12" t="n">
        <f aca="false">1+MOD(A994*131,100)</f>
        <v>84</v>
      </c>
      <c r="M994" s="12" t="n">
        <f aca="false">INT(K994*(0.6+MOD(A994*43,21)/100))</f>
        <v>9884</v>
      </c>
      <c r="N994" s="12" t="n">
        <f aca="false">K994-M994</f>
        <v>5093</v>
      </c>
    </row>
    <row r="995" customFormat="false" ht="12.8" hidden="false" customHeight="false" outlineLevel="0" collapsed="false">
      <c r="A995" s="10" t="n">
        <f aca="false">A994+1</f>
        <v>994</v>
      </c>
      <c r="B995" s="11" t="n">
        <f aca="false">B994+1</f>
        <v>45920</v>
      </c>
      <c r="C995" s="10" t="n">
        <f aca="false">YEAR(B995)</f>
        <v>2025</v>
      </c>
      <c r="D995" s="10" t="n">
        <f aca="false">INT((MONTH(B995)-1)/3)+1</f>
        <v>3</v>
      </c>
      <c r="E995" s="10" t="n">
        <f aca="false">MONTH(B995)</f>
        <v>9</v>
      </c>
      <c r="F995" s="10" t="str">
        <f aca="false">CHOOSE(MOD(A995-1,5)+1,"Центр","Юг","Север","Запад","Восток")</f>
        <v>Запад</v>
      </c>
      <c r="G995" s="10" t="str">
        <f aca="false">"Округ_"&amp;(MOD(A995-1,5)+1)&amp;"_"&amp;(MOD(INT((A995-1)/5),5)+1)</f>
        <v>Округ_4_4</v>
      </c>
      <c r="H995" s="10" t="str">
        <f aca="false">"Город_"&amp;(MOD(A995-1,5)+1)&amp;"_"&amp;(MOD(INT((A995-1)/5),5)+1)&amp;"_"&amp;(MOD(INT((A995-1)/25),10)+1)</f>
        <v>Город_4_4_10</v>
      </c>
      <c r="I995" s="10" t="str">
        <f aca="false">CHOOSE(MOD(A995-1,4)+1,"Электроника","Одежда","Продукты","Мебель")</f>
        <v>Одежда</v>
      </c>
      <c r="J995" s="10" t="str">
        <f aca="false">CHOOSE(MOD(INT((A995-1)/4),4)+1,CHOOSE(MOD(A995-1,4)+1,"Смартфоны","Ноутбуки","Аксессуары","Аудио"),CHOOSE(MOD(A995-1,4)+1,"Верхняя одежда","Спортивная","Повседневная","Обувь"),CHOOSE(MOD(A995-1,4)+1,"Молочные","Мясные","Бакалея","Напитки"),CHOOSE(MOD(A995-1,4)+1,"Мягкая мебель","Корпусная","Офисная","Кухонная"))</f>
        <v>Ноутбуки</v>
      </c>
      <c r="K995" s="12" t="n">
        <f aca="false">1000+MOD(A995*317+A995*A995*7,49001)</f>
        <v>29203</v>
      </c>
      <c r="L995" s="12" t="n">
        <f aca="false">1+MOD(A995*131,100)</f>
        <v>15</v>
      </c>
      <c r="M995" s="12" t="n">
        <f aca="false">INT(K995*(0.6+MOD(A995*43,21)/100))</f>
        <v>19566</v>
      </c>
      <c r="N995" s="12" t="n">
        <f aca="false">K995-M995</f>
        <v>9637</v>
      </c>
    </row>
    <row r="996" customFormat="false" ht="12.8" hidden="false" customHeight="false" outlineLevel="0" collapsed="false">
      <c r="A996" s="10" t="n">
        <f aca="false">A995+1</f>
        <v>995</v>
      </c>
      <c r="B996" s="11" t="n">
        <f aca="false">B995+1</f>
        <v>45921</v>
      </c>
      <c r="C996" s="10" t="n">
        <f aca="false">YEAR(B996)</f>
        <v>2025</v>
      </c>
      <c r="D996" s="10" t="n">
        <f aca="false">INT((MONTH(B996)-1)/3)+1</f>
        <v>3</v>
      </c>
      <c r="E996" s="10" t="n">
        <f aca="false">MONTH(B996)</f>
        <v>9</v>
      </c>
      <c r="F996" s="10" t="str">
        <f aca="false">CHOOSE(MOD(A996-1,5)+1,"Центр","Юг","Север","Запад","Восток")</f>
        <v>Восток</v>
      </c>
      <c r="G996" s="10" t="str">
        <f aca="false">"Округ_"&amp;(MOD(A996-1,5)+1)&amp;"_"&amp;(MOD(INT((A996-1)/5),5)+1)</f>
        <v>Округ_5_4</v>
      </c>
      <c r="H996" s="10" t="str">
        <f aca="false">"Город_"&amp;(MOD(A996-1,5)+1)&amp;"_"&amp;(MOD(INT((A996-1)/5),5)+1)&amp;"_"&amp;(MOD(INT((A996-1)/25),10)+1)</f>
        <v>Город_5_4_10</v>
      </c>
      <c r="I996" s="10" t="str">
        <f aca="false">CHOOSE(MOD(A996-1,4)+1,"Электроника","Одежда","Продукты","Мебель")</f>
        <v>Продукты</v>
      </c>
      <c r="J996" s="10" t="str">
        <f aca="false">CHOOSE(MOD(INT((A996-1)/4),4)+1,CHOOSE(MOD(A996-1,4)+1,"Смартфоны","Ноутбуки","Аксессуары","Аудио"),CHOOSE(MOD(A996-1,4)+1,"Верхняя одежда","Спортивная","Повседневная","Обувь"),CHOOSE(MOD(A996-1,4)+1,"Молочные","Мясные","Бакалея","Напитки"),CHOOSE(MOD(A996-1,4)+1,"Мягкая мебель","Корпусная","Офисная","Кухонная"))</f>
        <v>Аксессуары</v>
      </c>
      <c r="K996" s="12" t="n">
        <f aca="false">1000+MOD(A996*317+A996*A996*7,49001)</f>
        <v>43443</v>
      </c>
      <c r="L996" s="12" t="n">
        <f aca="false">1+MOD(A996*131,100)</f>
        <v>46</v>
      </c>
      <c r="M996" s="12" t="n">
        <f aca="false">INT(K996*(0.6+MOD(A996*43,21)/100))</f>
        <v>29541</v>
      </c>
      <c r="N996" s="12" t="n">
        <f aca="false">K996-M996</f>
        <v>13902</v>
      </c>
    </row>
    <row r="997" customFormat="false" ht="12.8" hidden="false" customHeight="false" outlineLevel="0" collapsed="false">
      <c r="A997" s="10" t="n">
        <f aca="false">A996+1</f>
        <v>996</v>
      </c>
      <c r="B997" s="11" t="n">
        <f aca="false">B996+1</f>
        <v>45922</v>
      </c>
      <c r="C997" s="10" t="n">
        <f aca="false">YEAR(B997)</f>
        <v>2025</v>
      </c>
      <c r="D997" s="10" t="n">
        <f aca="false">INT((MONTH(B997)-1)/3)+1</f>
        <v>3</v>
      </c>
      <c r="E997" s="10" t="n">
        <f aca="false">MONTH(B997)</f>
        <v>9</v>
      </c>
      <c r="F997" s="10" t="str">
        <f aca="false">CHOOSE(MOD(A997-1,5)+1,"Центр","Юг","Север","Запад","Восток")</f>
        <v>Центр</v>
      </c>
      <c r="G997" s="10" t="str">
        <f aca="false">"Округ_"&amp;(MOD(A997-1,5)+1)&amp;"_"&amp;(MOD(INT((A997-1)/5),5)+1)</f>
        <v>Округ_1_5</v>
      </c>
      <c r="H997" s="10" t="str">
        <f aca="false">"Город_"&amp;(MOD(A997-1,5)+1)&amp;"_"&amp;(MOD(INT((A997-1)/5),5)+1)&amp;"_"&amp;(MOD(INT((A997-1)/25),10)+1)</f>
        <v>Город_1_5_10</v>
      </c>
      <c r="I997" s="10" t="str">
        <f aca="false">CHOOSE(MOD(A997-1,4)+1,"Электроника","Одежда","Продукты","Мебель")</f>
        <v>Мебель</v>
      </c>
      <c r="J997" s="10" t="str">
        <f aca="false">CHOOSE(MOD(INT((A997-1)/4),4)+1,CHOOSE(MOD(A997-1,4)+1,"Смартфоны","Ноутбуки","Аксессуары","Аудио"),CHOOSE(MOD(A997-1,4)+1,"Верхняя одежда","Спортивная","Повседневная","Обувь"),CHOOSE(MOD(A997-1,4)+1,"Молочные","Мясные","Бакалея","Напитки"),CHOOSE(MOD(A997-1,4)+1,"Мягкая мебель","Корпусная","Офисная","Кухонная"))</f>
        <v>Аудио</v>
      </c>
      <c r="K997" s="12" t="n">
        <f aca="false">1000+MOD(A997*317+A997*A997*7,49001)</f>
        <v>8696</v>
      </c>
      <c r="L997" s="12" t="n">
        <f aca="false">1+MOD(A997*131,100)</f>
        <v>77</v>
      </c>
      <c r="M997" s="12" t="n">
        <f aca="false">INT(K997*(0.6+MOD(A997*43,21)/100))</f>
        <v>6000</v>
      </c>
      <c r="N997" s="12" t="n">
        <f aca="false">K997-M997</f>
        <v>2696</v>
      </c>
    </row>
    <row r="998" customFormat="false" ht="12.8" hidden="false" customHeight="false" outlineLevel="0" collapsed="false">
      <c r="A998" s="10" t="n">
        <f aca="false">A997+1</f>
        <v>997</v>
      </c>
      <c r="B998" s="11" t="n">
        <f aca="false">B997+1</f>
        <v>45923</v>
      </c>
      <c r="C998" s="10" t="n">
        <f aca="false">YEAR(B998)</f>
        <v>2025</v>
      </c>
      <c r="D998" s="10" t="n">
        <f aca="false">INT((MONTH(B998)-1)/3)+1</f>
        <v>3</v>
      </c>
      <c r="E998" s="10" t="n">
        <f aca="false">MONTH(B998)</f>
        <v>9</v>
      </c>
      <c r="F998" s="10" t="str">
        <f aca="false">CHOOSE(MOD(A998-1,5)+1,"Центр","Юг","Север","Запад","Восток")</f>
        <v>Юг</v>
      </c>
      <c r="G998" s="10" t="str">
        <f aca="false">"Округ_"&amp;(MOD(A998-1,5)+1)&amp;"_"&amp;(MOD(INT((A998-1)/5),5)+1)</f>
        <v>Округ_2_5</v>
      </c>
      <c r="H998" s="10" t="str">
        <f aca="false">"Город_"&amp;(MOD(A998-1,5)+1)&amp;"_"&amp;(MOD(INT((A998-1)/5),5)+1)&amp;"_"&amp;(MOD(INT((A998-1)/25),10)+1)</f>
        <v>Город_2_5_10</v>
      </c>
      <c r="I998" s="10" t="str">
        <f aca="false">CHOOSE(MOD(A998-1,4)+1,"Электроника","Одежда","Продукты","Мебель")</f>
        <v>Электроника</v>
      </c>
      <c r="J998" s="10" t="str">
        <f aca="false">CHOOSE(MOD(INT((A998-1)/4),4)+1,CHOOSE(MOD(A998-1,4)+1,"Смартфоны","Ноутбуки","Аксессуары","Аудио"),CHOOSE(MOD(A998-1,4)+1,"Верхняя одежда","Спортивная","Повседневная","Обувь"),CHOOSE(MOD(A998-1,4)+1,"Молочные","Мясные","Бакалея","Напитки"),CHOOSE(MOD(A998-1,4)+1,"Мягкая мебель","Корпусная","Офисная","Кухонная"))</f>
        <v>Верхняя одежда</v>
      </c>
      <c r="K998" s="12" t="n">
        <f aca="false">1000+MOD(A998*317+A998*A998*7,49001)</f>
        <v>22964</v>
      </c>
      <c r="L998" s="12" t="n">
        <f aca="false">1+MOD(A998*131,100)</f>
        <v>8</v>
      </c>
      <c r="M998" s="12" t="n">
        <f aca="false">INT(K998*(0.6+MOD(A998*43,21)/100))</f>
        <v>16074</v>
      </c>
      <c r="N998" s="12" t="n">
        <f aca="false">K998-M998</f>
        <v>6890</v>
      </c>
    </row>
    <row r="999" customFormat="false" ht="12.8" hidden="false" customHeight="false" outlineLevel="0" collapsed="false">
      <c r="A999" s="10" t="n">
        <f aca="false">A998+1</f>
        <v>998</v>
      </c>
      <c r="B999" s="11" t="n">
        <f aca="false">B998+1</f>
        <v>45924</v>
      </c>
      <c r="C999" s="10" t="n">
        <f aca="false">YEAR(B999)</f>
        <v>2025</v>
      </c>
      <c r="D999" s="10" t="n">
        <f aca="false">INT((MONTH(B999)-1)/3)+1</f>
        <v>3</v>
      </c>
      <c r="E999" s="10" t="n">
        <f aca="false">MONTH(B999)</f>
        <v>9</v>
      </c>
      <c r="F999" s="10" t="str">
        <f aca="false">CHOOSE(MOD(A999-1,5)+1,"Центр","Юг","Север","Запад","Восток")</f>
        <v>Север</v>
      </c>
      <c r="G999" s="10" t="str">
        <f aca="false">"Округ_"&amp;(MOD(A999-1,5)+1)&amp;"_"&amp;(MOD(INT((A999-1)/5),5)+1)</f>
        <v>Округ_3_5</v>
      </c>
      <c r="H999" s="10" t="str">
        <f aca="false">"Город_"&amp;(MOD(A999-1,5)+1)&amp;"_"&amp;(MOD(INT((A999-1)/5),5)+1)&amp;"_"&amp;(MOD(INT((A999-1)/25),10)+1)</f>
        <v>Город_3_5_10</v>
      </c>
      <c r="I999" s="10" t="str">
        <f aca="false">CHOOSE(MOD(A999-1,4)+1,"Электроника","Одежда","Продукты","Мебель")</f>
        <v>Одежда</v>
      </c>
      <c r="J999" s="10" t="str">
        <f aca="false">CHOOSE(MOD(INT((A999-1)/4),4)+1,CHOOSE(MOD(A999-1,4)+1,"Смартфоны","Ноутбуки","Аксессуары","Аудио"),CHOOSE(MOD(A999-1,4)+1,"Верхняя одежда","Спортивная","Повседневная","Обувь"),CHOOSE(MOD(A999-1,4)+1,"Молочные","Мясные","Бакалея","Напитки"),CHOOSE(MOD(A999-1,4)+1,"Мягкая мебель","Корпусная","Офисная","Кухонная"))</f>
        <v>Спортивная</v>
      </c>
      <c r="K999" s="12" t="n">
        <f aca="false">1000+MOD(A999*317+A999*A999*7,49001)</f>
        <v>37246</v>
      </c>
      <c r="L999" s="12" t="n">
        <f aca="false">1+MOD(A999*131,100)</f>
        <v>39</v>
      </c>
      <c r="M999" s="12" t="n">
        <f aca="false">INT(K999*(0.6+MOD(A999*43,21)/100))</f>
        <v>26444</v>
      </c>
      <c r="N999" s="12" t="n">
        <f aca="false">K999-M999</f>
        <v>10802</v>
      </c>
    </row>
    <row r="1000" customFormat="false" ht="12.8" hidden="false" customHeight="false" outlineLevel="0" collapsed="false">
      <c r="A1000" s="10" t="n">
        <f aca="false">A999+1</f>
        <v>999</v>
      </c>
      <c r="B1000" s="11" t="n">
        <f aca="false">B999+1</f>
        <v>45925</v>
      </c>
      <c r="C1000" s="10" t="n">
        <f aca="false">YEAR(B1000)</f>
        <v>2025</v>
      </c>
      <c r="D1000" s="10" t="n">
        <f aca="false">INT((MONTH(B1000)-1)/3)+1</f>
        <v>3</v>
      </c>
      <c r="E1000" s="10" t="n">
        <f aca="false">MONTH(B1000)</f>
        <v>9</v>
      </c>
      <c r="F1000" s="10" t="str">
        <f aca="false">CHOOSE(MOD(A1000-1,5)+1,"Центр","Юг","Север","Запад","Восток")</f>
        <v>Запад</v>
      </c>
      <c r="G1000" s="10" t="str">
        <f aca="false">"Округ_"&amp;(MOD(A1000-1,5)+1)&amp;"_"&amp;(MOD(INT((A1000-1)/5),5)+1)</f>
        <v>Округ_4_5</v>
      </c>
      <c r="H1000" s="10" t="str">
        <f aca="false">"Город_"&amp;(MOD(A1000-1,5)+1)&amp;"_"&amp;(MOD(INT((A1000-1)/5),5)+1)&amp;"_"&amp;(MOD(INT((A1000-1)/25),10)+1)</f>
        <v>Город_4_5_10</v>
      </c>
      <c r="I1000" s="10" t="str">
        <f aca="false">CHOOSE(MOD(A1000-1,4)+1,"Электроника","Одежда","Продукты","Мебель")</f>
        <v>Продукты</v>
      </c>
      <c r="J1000" s="10" t="str">
        <f aca="false">CHOOSE(MOD(INT((A1000-1)/4),4)+1,CHOOSE(MOD(A1000-1,4)+1,"Смартфоны","Ноутбуки","Аксессуары","Аудио"),CHOOSE(MOD(A1000-1,4)+1,"Верхняя одежда","Спортивная","Повседневная","Обувь"),CHOOSE(MOD(A1000-1,4)+1,"Молочные","Мясные","Бакалея","Напитки"),CHOOSE(MOD(A1000-1,4)+1,"Мягкая мебель","Корпусная","Офисная","Кухонная"))</f>
        <v>Повседневная</v>
      </c>
      <c r="K1000" s="12" t="n">
        <f aca="false">1000+MOD(A1000*317+A1000*A1000*7,49001)</f>
        <v>2541</v>
      </c>
      <c r="L1000" s="12" t="n">
        <f aca="false">1+MOD(A1000*131,100)</f>
        <v>70</v>
      </c>
      <c r="M1000" s="12" t="n">
        <f aca="false">INT(K1000*(0.6+MOD(A1000*43,21)/100))</f>
        <v>1829</v>
      </c>
      <c r="N1000" s="12" t="n">
        <f aca="false">K1000-M1000</f>
        <v>712</v>
      </c>
    </row>
    <row r="1001" customFormat="false" ht="12.8" hidden="false" customHeight="false" outlineLevel="0" collapsed="false">
      <c r="A1001" s="10" t="n">
        <f aca="false">A1000+1</f>
        <v>1000</v>
      </c>
      <c r="B1001" s="11" t="n">
        <f aca="false">B1000+1</f>
        <v>45926</v>
      </c>
      <c r="C1001" s="10" t="n">
        <f aca="false">YEAR(B1001)</f>
        <v>2025</v>
      </c>
      <c r="D1001" s="10" t="n">
        <f aca="false">INT((MONTH(B1001)-1)/3)+1</f>
        <v>3</v>
      </c>
      <c r="E1001" s="10" t="n">
        <f aca="false">MONTH(B1001)</f>
        <v>9</v>
      </c>
      <c r="F1001" s="10" t="str">
        <f aca="false">CHOOSE(MOD(A1001-1,5)+1,"Центр","Юг","Север","Запад","Восток")</f>
        <v>Восток</v>
      </c>
      <c r="G1001" s="10" t="str">
        <f aca="false">"Округ_"&amp;(MOD(A1001-1,5)+1)&amp;"_"&amp;(MOD(INT((A1001-1)/5),5)+1)</f>
        <v>Округ_5_5</v>
      </c>
      <c r="H1001" s="10" t="str">
        <f aca="false">"Город_"&amp;(MOD(A1001-1,5)+1)&amp;"_"&amp;(MOD(INT((A1001-1)/5),5)+1)&amp;"_"&amp;(MOD(INT((A1001-1)/25),10)+1)</f>
        <v>Город_5_5_10</v>
      </c>
      <c r="I1001" s="10" t="str">
        <f aca="false">CHOOSE(MOD(A1001-1,4)+1,"Электроника","Одежда","Продукты","Мебель")</f>
        <v>Мебель</v>
      </c>
      <c r="J1001" s="10" t="str">
        <f aca="false">CHOOSE(MOD(INT((A1001-1)/4),4)+1,CHOOSE(MOD(A1001-1,4)+1,"Смартфоны","Ноутбуки","Аксессуары","Аудио"),CHOOSE(MOD(A1001-1,4)+1,"Верхняя одежда","Спортивная","Повседневная","Обувь"),CHOOSE(MOD(A1001-1,4)+1,"Молочные","Мясные","Бакалея","Напитки"),CHOOSE(MOD(A1001-1,4)+1,"Мягкая мебель","Корпусная","Офисная","Кухонная"))</f>
        <v>Обувь</v>
      </c>
      <c r="K1001" s="12" t="n">
        <f aca="false">1000+MOD(A1001*317+A1001*A1001*7,49001)</f>
        <v>16851</v>
      </c>
      <c r="L1001" s="12" t="n">
        <f aca="false">1+MOD(A1001*131,100)</f>
        <v>1</v>
      </c>
      <c r="M1001" s="12" t="n">
        <f aca="false">INT(K1001*(0.6+MOD(A1001*43,21)/100))</f>
        <v>12301</v>
      </c>
      <c r="N1001" s="12" t="n">
        <f aca="false">K1001-M1001</f>
        <v>4550</v>
      </c>
    </row>
    <row r="1002" customFormat="false" ht="12.8" hidden="false" customHeight="false" outlineLevel="0" collapsed="false">
      <c r="A1002" s="10" t="n">
        <f aca="false">A1001+1</f>
        <v>1001</v>
      </c>
      <c r="B1002" s="11" t="n">
        <f aca="false">B1001+1</f>
        <v>45927</v>
      </c>
      <c r="C1002" s="10" t="n">
        <f aca="false">YEAR(B1002)</f>
        <v>2025</v>
      </c>
      <c r="D1002" s="10" t="n">
        <f aca="false">INT((MONTH(B1002)-1)/3)+1</f>
        <v>3</v>
      </c>
      <c r="E1002" s="10" t="n">
        <f aca="false">MONTH(B1002)</f>
        <v>9</v>
      </c>
      <c r="F1002" s="10" t="str">
        <f aca="false">CHOOSE(MOD(A1002-1,5)+1,"Центр","Юг","Север","Запад","Восток")</f>
        <v>Центр</v>
      </c>
      <c r="G1002" s="10" t="str">
        <f aca="false">"Округ_"&amp;(MOD(A1002-1,5)+1)&amp;"_"&amp;(MOD(INT((A1002-1)/5),5)+1)</f>
        <v>Округ_1_1</v>
      </c>
      <c r="H1002" s="10" t="str">
        <f aca="false">"Город_"&amp;(MOD(A1002-1,5)+1)&amp;"_"&amp;(MOD(INT((A1002-1)/5),5)+1)&amp;"_"&amp;(MOD(INT((A1002-1)/25),10)+1)</f>
        <v>Город_1_1_1</v>
      </c>
      <c r="I1002" s="10" t="str">
        <f aca="false">CHOOSE(MOD(A1002-1,4)+1,"Электроника","Одежда","Продукты","Мебель")</f>
        <v>Электроника</v>
      </c>
      <c r="J1002" s="10" t="str">
        <f aca="false">CHOOSE(MOD(INT((A1002-1)/4),4)+1,CHOOSE(MOD(A1002-1,4)+1,"Смартфоны","Ноутбуки","Аксессуары","Аудио"),CHOOSE(MOD(A1002-1,4)+1,"Верхняя одежда","Спортивная","Повседневная","Обувь"),CHOOSE(MOD(A1002-1,4)+1,"Молочные","Мясные","Бакалея","Напитки"),CHOOSE(MOD(A1002-1,4)+1,"Мягкая мебель","Корпусная","Офисная","Кухонная"))</f>
        <v>Молочные</v>
      </c>
      <c r="K1002" s="12" t="n">
        <f aca="false">1000+MOD(A1002*317+A1002*A1002*7,49001)</f>
        <v>31175</v>
      </c>
      <c r="L1002" s="12" t="n">
        <f aca="false">1+MOD(A1002*131,100)</f>
        <v>32</v>
      </c>
      <c r="M1002" s="12" t="n">
        <f aca="false">INT(K1002*(0.6+MOD(A1002*43,21)/100))</f>
        <v>23069</v>
      </c>
      <c r="N1002" s="12" t="n">
        <f aca="false">K1002-M1002</f>
        <v>8106</v>
      </c>
    </row>
    <row r="1003" customFormat="false" ht="12.8" hidden="false" customHeight="false" outlineLevel="0" collapsed="false">
      <c r="A1003" s="10" t="n">
        <f aca="false">A1002+1</f>
        <v>1002</v>
      </c>
      <c r="B1003" s="11" t="n">
        <f aca="false">B1002+1</f>
        <v>45928</v>
      </c>
      <c r="C1003" s="10" t="n">
        <f aca="false">YEAR(B1003)</f>
        <v>2025</v>
      </c>
      <c r="D1003" s="10" t="n">
        <f aca="false">INT((MONTH(B1003)-1)/3)+1</f>
        <v>3</v>
      </c>
      <c r="E1003" s="10" t="n">
        <f aca="false">MONTH(B1003)</f>
        <v>9</v>
      </c>
      <c r="F1003" s="10" t="str">
        <f aca="false">CHOOSE(MOD(A1003-1,5)+1,"Центр","Юг","Север","Запад","Восток")</f>
        <v>Юг</v>
      </c>
      <c r="G1003" s="10" t="str">
        <f aca="false">"Округ_"&amp;(MOD(A1003-1,5)+1)&amp;"_"&amp;(MOD(INT((A1003-1)/5),5)+1)</f>
        <v>Округ_2_1</v>
      </c>
      <c r="H1003" s="10" t="str">
        <f aca="false">"Город_"&amp;(MOD(A1003-1,5)+1)&amp;"_"&amp;(MOD(INT((A1003-1)/5),5)+1)&amp;"_"&amp;(MOD(INT((A1003-1)/25),10)+1)</f>
        <v>Город_2_1_1</v>
      </c>
      <c r="I1003" s="10" t="str">
        <f aca="false">CHOOSE(MOD(A1003-1,4)+1,"Электроника","Одежда","Продукты","Мебель")</f>
        <v>Одежда</v>
      </c>
      <c r="J1003" s="10" t="str">
        <f aca="false">CHOOSE(MOD(INT((A1003-1)/4),4)+1,CHOOSE(MOD(A1003-1,4)+1,"Смартфоны","Ноутбуки","Аксессуары","Аудио"),CHOOSE(MOD(A1003-1,4)+1,"Верхняя одежда","Спортивная","Повседневная","Обувь"),CHOOSE(MOD(A1003-1,4)+1,"Молочные","Мясные","Бакалея","Напитки"),CHOOSE(MOD(A1003-1,4)+1,"Мягкая мебель","Корпусная","Офисная","Кухонная"))</f>
        <v>Мясные</v>
      </c>
      <c r="K1003" s="12" t="n">
        <f aca="false">1000+MOD(A1003*317+A1003*A1003*7,49001)</f>
        <v>45513</v>
      </c>
      <c r="L1003" s="12" t="n">
        <f aca="false">1+MOD(A1003*131,100)</f>
        <v>63</v>
      </c>
      <c r="M1003" s="12" t="n">
        <f aca="false">INT(K1003*(0.6+MOD(A1003*43,21)/100))</f>
        <v>34134</v>
      </c>
      <c r="N1003" s="12" t="n">
        <f aca="false">K1003-M1003</f>
        <v>11379</v>
      </c>
    </row>
    <row r="1004" customFormat="false" ht="12.8" hidden="false" customHeight="false" outlineLevel="0" collapsed="false">
      <c r="A1004" s="10" t="n">
        <f aca="false">A1003+1</f>
        <v>1003</v>
      </c>
      <c r="B1004" s="11" t="n">
        <f aca="false">B1003+1</f>
        <v>45929</v>
      </c>
      <c r="C1004" s="10" t="n">
        <f aca="false">YEAR(B1004)</f>
        <v>2025</v>
      </c>
      <c r="D1004" s="10" t="n">
        <f aca="false">INT((MONTH(B1004)-1)/3)+1</f>
        <v>3</v>
      </c>
      <c r="E1004" s="10" t="n">
        <f aca="false">MONTH(B1004)</f>
        <v>9</v>
      </c>
      <c r="F1004" s="10" t="str">
        <f aca="false">CHOOSE(MOD(A1004-1,5)+1,"Центр","Юг","Север","Запад","Восток")</f>
        <v>Север</v>
      </c>
      <c r="G1004" s="10" t="str">
        <f aca="false">"Округ_"&amp;(MOD(A1004-1,5)+1)&amp;"_"&amp;(MOD(INT((A1004-1)/5),5)+1)</f>
        <v>Округ_3_1</v>
      </c>
      <c r="H1004" s="10" t="str">
        <f aca="false">"Город_"&amp;(MOD(A1004-1,5)+1)&amp;"_"&amp;(MOD(INT((A1004-1)/5),5)+1)&amp;"_"&amp;(MOD(INT((A1004-1)/25),10)+1)</f>
        <v>Город_3_1_1</v>
      </c>
      <c r="I1004" s="10" t="str">
        <f aca="false">CHOOSE(MOD(A1004-1,4)+1,"Электроника","Одежда","Продукты","Мебель")</f>
        <v>Продукты</v>
      </c>
      <c r="J1004" s="10" t="str">
        <f aca="false">CHOOSE(MOD(INT((A1004-1)/4),4)+1,CHOOSE(MOD(A1004-1,4)+1,"Смартфоны","Ноутбуки","Аксессуары","Аудио"),CHOOSE(MOD(A1004-1,4)+1,"Верхняя одежда","Спортивная","Повседневная","Обувь"),CHOOSE(MOD(A1004-1,4)+1,"Молочные","Мясные","Бакалея","Напитки"),CHOOSE(MOD(A1004-1,4)+1,"Мягкая мебель","Корпусная","Офисная","Кухонная"))</f>
        <v>Бакалея</v>
      </c>
      <c r="K1004" s="12" t="n">
        <f aca="false">1000+MOD(A1004*317+A1004*A1004*7,49001)</f>
        <v>10864</v>
      </c>
      <c r="L1004" s="12" t="n">
        <f aca="false">1+MOD(A1004*131,100)</f>
        <v>94</v>
      </c>
      <c r="M1004" s="12" t="n">
        <f aca="false">INT(K1004*(0.6+MOD(A1004*43,21)/100))</f>
        <v>8256</v>
      </c>
      <c r="N1004" s="12" t="n">
        <f aca="false">K1004-M1004</f>
        <v>2608</v>
      </c>
    </row>
    <row r="1005" customFormat="false" ht="12.8" hidden="false" customHeight="false" outlineLevel="0" collapsed="false">
      <c r="A1005" s="10" t="n">
        <f aca="false">A1004+1</f>
        <v>1004</v>
      </c>
      <c r="B1005" s="11" t="n">
        <f aca="false">B1004+1</f>
        <v>45930</v>
      </c>
      <c r="C1005" s="10" t="n">
        <f aca="false">YEAR(B1005)</f>
        <v>2025</v>
      </c>
      <c r="D1005" s="10" t="n">
        <f aca="false">INT((MONTH(B1005)-1)/3)+1</f>
        <v>3</v>
      </c>
      <c r="E1005" s="10" t="n">
        <f aca="false">MONTH(B1005)</f>
        <v>9</v>
      </c>
      <c r="F1005" s="10" t="str">
        <f aca="false">CHOOSE(MOD(A1005-1,5)+1,"Центр","Юг","Север","Запад","Восток")</f>
        <v>Запад</v>
      </c>
      <c r="G1005" s="10" t="str">
        <f aca="false">"Округ_"&amp;(MOD(A1005-1,5)+1)&amp;"_"&amp;(MOD(INT((A1005-1)/5),5)+1)</f>
        <v>Округ_4_1</v>
      </c>
      <c r="H1005" s="10" t="str">
        <f aca="false">"Город_"&amp;(MOD(A1005-1,5)+1)&amp;"_"&amp;(MOD(INT((A1005-1)/5),5)+1)&amp;"_"&amp;(MOD(INT((A1005-1)/25),10)+1)</f>
        <v>Город_4_1_1</v>
      </c>
      <c r="I1005" s="10" t="str">
        <f aca="false">CHOOSE(MOD(A1005-1,4)+1,"Электроника","Одежда","Продукты","Мебель")</f>
        <v>Мебель</v>
      </c>
      <c r="J1005" s="10" t="str">
        <f aca="false">CHOOSE(MOD(INT((A1005-1)/4),4)+1,CHOOSE(MOD(A1005-1,4)+1,"Смартфоны","Ноутбуки","Аксессуары","Аудио"),CHOOSE(MOD(A1005-1,4)+1,"Верхняя одежда","Спортивная","Повседневная","Обувь"),CHOOSE(MOD(A1005-1,4)+1,"Молочные","Мясные","Бакалея","Напитки"),CHOOSE(MOD(A1005-1,4)+1,"Мягкая мебель","Корпусная","Офисная","Кухонная"))</f>
        <v>Напитки</v>
      </c>
      <c r="K1005" s="12" t="n">
        <f aca="false">1000+MOD(A1005*317+A1005*A1005*7,49001)</f>
        <v>25230</v>
      </c>
      <c r="L1005" s="12" t="n">
        <f aca="false">1+MOD(A1005*131,100)</f>
        <v>25</v>
      </c>
      <c r="M1005" s="12" t="n">
        <f aca="false">INT(K1005*(0.6+MOD(A1005*43,21)/100))</f>
        <v>19427</v>
      </c>
      <c r="N1005" s="12" t="n">
        <f aca="false">K1005-M1005</f>
        <v>5803</v>
      </c>
    </row>
    <row r="1006" customFormat="false" ht="12.8" hidden="false" customHeight="false" outlineLevel="0" collapsed="false">
      <c r="A1006" s="10" t="n">
        <f aca="false">A1005+1</f>
        <v>1005</v>
      </c>
      <c r="B1006" s="11" t="n">
        <f aca="false">B1005+1</f>
        <v>45931</v>
      </c>
      <c r="C1006" s="10" t="n">
        <f aca="false">YEAR(B1006)</f>
        <v>2025</v>
      </c>
      <c r="D1006" s="10" t="n">
        <f aca="false">INT((MONTH(B1006)-1)/3)+1</f>
        <v>4</v>
      </c>
      <c r="E1006" s="10" t="n">
        <f aca="false">MONTH(B1006)</f>
        <v>10</v>
      </c>
      <c r="F1006" s="10" t="str">
        <f aca="false">CHOOSE(MOD(A1006-1,5)+1,"Центр","Юг","Север","Запад","Восток")</f>
        <v>Восток</v>
      </c>
      <c r="G1006" s="10" t="str">
        <f aca="false">"Округ_"&amp;(MOD(A1006-1,5)+1)&amp;"_"&amp;(MOD(INT((A1006-1)/5),5)+1)</f>
        <v>Округ_5_1</v>
      </c>
      <c r="H1006" s="10" t="str">
        <f aca="false">"Город_"&amp;(MOD(A1006-1,5)+1)&amp;"_"&amp;(MOD(INT((A1006-1)/5),5)+1)&amp;"_"&amp;(MOD(INT((A1006-1)/25),10)+1)</f>
        <v>Город_5_1_1</v>
      </c>
      <c r="I1006" s="10" t="str">
        <f aca="false">CHOOSE(MOD(A1006-1,4)+1,"Электроника","Одежда","Продукты","Мебель")</f>
        <v>Электроника</v>
      </c>
      <c r="J1006" s="10" t="str">
        <f aca="false">CHOOSE(MOD(INT((A1006-1)/4),4)+1,CHOOSE(MOD(A1006-1,4)+1,"Смартфоны","Ноутбуки","Аксессуары","Аудио"),CHOOSE(MOD(A1006-1,4)+1,"Верхняя одежда","Спортивная","Повседневная","Обувь"),CHOOSE(MOD(A1006-1,4)+1,"Молочные","Мясные","Бакалея","Напитки"),CHOOSE(MOD(A1006-1,4)+1,"Мягкая мебель","Корпусная","Офисная","Кухонная"))</f>
        <v>Мягкая мебель</v>
      </c>
      <c r="K1006" s="12" t="n">
        <f aca="false">1000+MOD(A1006*317+A1006*A1006*7,49001)</f>
        <v>39610</v>
      </c>
      <c r="L1006" s="12" t="n">
        <f aca="false">1+MOD(A1006*131,100)</f>
        <v>56</v>
      </c>
      <c r="M1006" s="12" t="n">
        <f aca="false">INT(K1006*(0.6+MOD(A1006*43,21)/100))</f>
        <v>30895</v>
      </c>
      <c r="N1006" s="12" t="n">
        <f aca="false">K1006-M1006</f>
        <v>8715</v>
      </c>
    </row>
    <row r="1007" customFormat="false" ht="12.8" hidden="false" customHeight="false" outlineLevel="0" collapsed="false">
      <c r="A1007" s="10" t="n">
        <f aca="false">A1006+1</f>
        <v>1006</v>
      </c>
      <c r="B1007" s="11" t="n">
        <f aca="false">B1006+1</f>
        <v>45932</v>
      </c>
      <c r="C1007" s="10" t="n">
        <f aca="false">YEAR(B1007)</f>
        <v>2025</v>
      </c>
      <c r="D1007" s="10" t="n">
        <f aca="false">INT((MONTH(B1007)-1)/3)+1</f>
        <v>4</v>
      </c>
      <c r="E1007" s="10" t="n">
        <f aca="false">MONTH(B1007)</f>
        <v>10</v>
      </c>
      <c r="F1007" s="10" t="str">
        <f aca="false">CHOOSE(MOD(A1007-1,5)+1,"Центр","Юг","Север","Запад","Восток")</f>
        <v>Центр</v>
      </c>
      <c r="G1007" s="10" t="str">
        <f aca="false">"Округ_"&amp;(MOD(A1007-1,5)+1)&amp;"_"&amp;(MOD(INT((A1007-1)/5),5)+1)</f>
        <v>Округ_1_2</v>
      </c>
      <c r="H1007" s="10" t="str">
        <f aca="false">"Город_"&amp;(MOD(A1007-1,5)+1)&amp;"_"&amp;(MOD(INT((A1007-1)/5),5)+1)&amp;"_"&amp;(MOD(INT((A1007-1)/25),10)+1)</f>
        <v>Город_1_2_1</v>
      </c>
      <c r="I1007" s="10" t="str">
        <f aca="false">CHOOSE(MOD(A1007-1,4)+1,"Электроника","Одежда","Продукты","Мебель")</f>
        <v>Одежда</v>
      </c>
      <c r="J1007" s="10" t="str">
        <f aca="false">CHOOSE(MOD(INT((A1007-1)/4),4)+1,CHOOSE(MOD(A1007-1,4)+1,"Смартфоны","Ноутбуки","Аксессуары","Аудио"),CHOOSE(MOD(A1007-1,4)+1,"Верхняя одежда","Спортивная","Повседневная","Обувь"),CHOOSE(MOD(A1007-1,4)+1,"Молочные","Мясные","Бакалея","Напитки"),CHOOSE(MOD(A1007-1,4)+1,"Мягкая мебель","Корпусная","Офисная","Кухонная"))</f>
        <v>Корпусная</v>
      </c>
      <c r="K1007" s="12" t="n">
        <f aca="false">1000+MOD(A1007*317+A1007*A1007*7,49001)</f>
        <v>5003</v>
      </c>
      <c r="L1007" s="12" t="n">
        <f aca="false">1+MOD(A1007*131,100)</f>
        <v>87</v>
      </c>
      <c r="M1007" s="12" t="n">
        <f aca="false">INT(K1007*(0.6+MOD(A1007*43,21)/100))</f>
        <v>3952</v>
      </c>
      <c r="N1007" s="12" t="n">
        <f aca="false">K1007-M1007</f>
        <v>1051</v>
      </c>
    </row>
    <row r="1008" customFormat="false" ht="12.8" hidden="false" customHeight="false" outlineLevel="0" collapsed="false">
      <c r="A1008" s="10" t="n">
        <f aca="false">A1007+1</f>
        <v>1007</v>
      </c>
      <c r="B1008" s="11" t="n">
        <f aca="false">B1007+1</f>
        <v>45933</v>
      </c>
      <c r="C1008" s="10" t="n">
        <f aca="false">YEAR(B1008)</f>
        <v>2025</v>
      </c>
      <c r="D1008" s="10" t="n">
        <f aca="false">INT((MONTH(B1008)-1)/3)+1</f>
        <v>4</v>
      </c>
      <c r="E1008" s="10" t="n">
        <f aca="false">MONTH(B1008)</f>
        <v>10</v>
      </c>
      <c r="F1008" s="10" t="str">
        <f aca="false">CHOOSE(MOD(A1008-1,5)+1,"Центр","Юг","Север","Запад","Восток")</f>
        <v>Юг</v>
      </c>
      <c r="G1008" s="10" t="str">
        <f aca="false">"Округ_"&amp;(MOD(A1008-1,5)+1)&amp;"_"&amp;(MOD(INT((A1008-1)/5),5)+1)</f>
        <v>Округ_2_2</v>
      </c>
      <c r="H1008" s="10" t="str">
        <f aca="false">"Город_"&amp;(MOD(A1008-1,5)+1)&amp;"_"&amp;(MOD(INT((A1008-1)/5),5)+1)&amp;"_"&amp;(MOD(INT((A1008-1)/25),10)+1)</f>
        <v>Город_2_2_1</v>
      </c>
      <c r="I1008" s="10" t="str">
        <f aca="false">CHOOSE(MOD(A1008-1,4)+1,"Электроника","Одежда","Продукты","Мебель")</f>
        <v>Продукты</v>
      </c>
      <c r="J1008" s="10" t="str">
        <f aca="false">CHOOSE(MOD(INT((A1008-1)/4),4)+1,CHOOSE(MOD(A1008-1,4)+1,"Смартфоны","Ноутбуки","Аксессуары","Аудио"),CHOOSE(MOD(A1008-1,4)+1,"Верхняя одежда","Спортивная","Повседневная","Обувь"),CHOOSE(MOD(A1008-1,4)+1,"Молочные","Мясные","Бакалея","Напитки"),CHOOSE(MOD(A1008-1,4)+1,"Мягкая мебель","Корпусная","Офисная","Кухонная"))</f>
        <v>Офисная</v>
      </c>
      <c r="K1008" s="12" t="n">
        <f aca="false">1000+MOD(A1008*317+A1008*A1008*7,49001)</f>
        <v>19411</v>
      </c>
      <c r="L1008" s="12" t="n">
        <f aca="false">1+MOD(A1008*131,100)</f>
        <v>18</v>
      </c>
      <c r="M1008" s="12" t="n">
        <f aca="false">INT(K1008*(0.6+MOD(A1008*43,21)/100))</f>
        <v>15528</v>
      </c>
      <c r="N1008" s="12" t="n">
        <f aca="false">K1008-M1008</f>
        <v>3883</v>
      </c>
    </row>
    <row r="1009" customFormat="false" ht="12.8" hidden="false" customHeight="false" outlineLevel="0" collapsed="false">
      <c r="A1009" s="10" t="n">
        <f aca="false">A1008+1</f>
        <v>1008</v>
      </c>
      <c r="B1009" s="11" t="n">
        <f aca="false">B1008+1</f>
        <v>45934</v>
      </c>
      <c r="C1009" s="10" t="n">
        <f aca="false">YEAR(B1009)</f>
        <v>2025</v>
      </c>
      <c r="D1009" s="10" t="n">
        <f aca="false">INT((MONTH(B1009)-1)/3)+1</f>
        <v>4</v>
      </c>
      <c r="E1009" s="10" t="n">
        <f aca="false">MONTH(B1009)</f>
        <v>10</v>
      </c>
      <c r="F1009" s="10" t="str">
        <f aca="false">CHOOSE(MOD(A1009-1,5)+1,"Центр","Юг","Север","Запад","Восток")</f>
        <v>Север</v>
      </c>
      <c r="G1009" s="10" t="str">
        <f aca="false">"Округ_"&amp;(MOD(A1009-1,5)+1)&amp;"_"&amp;(MOD(INT((A1009-1)/5),5)+1)</f>
        <v>Округ_3_2</v>
      </c>
      <c r="H1009" s="10" t="str">
        <f aca="false">"Город_"&amp;(MOD(A1009-1,5)+1)&amp;"_"&amp;(MOD(INT((A1009-1)/5),5)+1)&amp;"_"&amp;(MOD(INT((A1009-1)/25),10)+1)</f>
        <v>Город_3_2_1</v>
      </c>
      <c r="I1009" s="10" t="str">
        <f aca="false">CHOOSE(MOD(A1009-1,4)+1,"Электроника","Одежда","Продукты","Мебель")</f>
        <v>Мебель</v>
      </c>
      <c r="J1009" s="10" t="str">
        <f aca="false">CHOOSE(MOD(INT((A1009-1)/4),4)+1,CHOOSE(MOD(A1009-1,4)+1,"Смартфоны","Ноутбуки","Аксессуары","Аудио"),CHOOSE(MOD(A1009-1,4)+1,"Верхняя одежда","Спортивная","Повседневная","Обувь"),CHOOSE(MOD(A1009-1,4)+1,"Молочные","Мясные","Бакалея","Напитки"),CHOOSE(MOD(A1009-1,4)+1,"Мягкая мебель","Корпусная","Офисная","Кухонная"))</f>
        <v>Кухонная</v>
      </c>
      <c r="K1009" s="12" t="n">
        <f aca="false">1000+MOD(A1009*317+A1009*A1009*7,49001)</f>
        <v>33833</v>
      </c>
      <c r="L1009" s="12" t="n">
        <f aca="false">1+MOD(A1009*131,100)</f>
        <v>49</v>
      </c>
      <c r="M1009" s="12" t="n">
        <f aca="false">INT(K1009*(0.6+MOD(A1009*43,21)/100))</f>
        <v>20299</v>
      </c>
      <c r="N1009" s="12" t="n">
        <f aca="false">K1009-M1009</f>
        <v>13534</v>
      </c>
    </row>
    <row r="1010" customFormat="false" ht="12.8" hidden="false" customHeight="false" outlineLevel="0" collapsed="false">
      <c r="A1010" s="10" t="n">
        <f aca="false">A1009+1</f>
        <v>1009</v>
      </c>
      <c r="B1010" s="11" t="n">
        <f aca="false">B1009+1</f>
        <v>45935</v>
      </c>
      <c r="C1010" s="10" t="n">
        <f aca="false">YEAR(B1010)</f>
        <v>2025</v>
      </c>
      <c r="D1010" s="10" t="n">
        <f aca="false">INT((MONTH(B1010)-1)/3)+1</f>
        <v>4</v>
      </c>
      <c r="E1010" s="10" t="n">
        <f aca="false">MONTH(B1010)</f>
        <v>10</v>
      </c>
      <c r="F1010" s="10" t="str">
        <f aca="false">CHOOSE(MOD(A1010-1,5)+1,"Центр","Юг","Север","Запад","Восток")</f>
        <v>Запад</v>
      </c>
      <c r="G1010" s="10" t="str">
        <f aca="false">"Округ_"&amp;(MOD(A1010-1,5)+1)&amp;"_"&amp;(MOD(INT((A1010-1)/5),5)+1)</f>
        <v>Округ_4_2</v>
      </c>
      <c r="H1010" s="10" t="str">
        <f aca="false">"Город_"&amp;(MOD(A1010-1,5)+1)&amp;"_"&amp;(MOD(INT((A1010-1)/5),5)+1)&amp;"_"&amp;(MOD(INT((A1010-1)/25),10)+1)</f>
        <v>Город_4_2_1</v>
      </c>
      <c r="I1010" s="10" t="str">
        <f aca="false">CHOOSE(MOD(A1010-1,4)+1,"Электроника","Одежда","Продукты","Мебель")</f>
        <v>Электроника</v>
      </c>
      <c r="J1010" s="10" t="str">
        <f aca="false">CHOOSE(MOD(INT((A1010-1)/4),4)+1,CHOOSE(MOD(A1010-1,4)+1,"Смартфоны","Ноутбуки","Аксессуары","Аудио"),CHOOSE(MOD(A1010-1,4)+1,"Верхняя одежда","Спортивная","Повседневная","Обувь"),CHOOSE(MOD(A1010-1,4)+1,"Молочные","Мясные","Бакалея","Напитки"),CHOOSE(MOD(A1010-1,4)+1,"Мягкая мебель","Корпусная","Офисная","Кухонная"))</f>
        <v>Смартфоны</v>
      </c>
      <c r="K1010" s="12" t="n">
        <f aca="false">1000+MOD(A1010*317+A1010*A1010*7,49001)</f>
        <v>48269</v>
      </c>
      <c r="L1010" s="12" t="n">
        <f aca="false">1+MOD(A1010*131,100)</f>
        <v>80</v>
      </c>
      <c r="M1010" s="12" t="n">
        <f aca="false">INT(K1010*(0.6+MOD(A1010*43,21)/100))</f>
        <v>29444</v>
      </c>
      <c r="N1010" s="12" t="n">
        <f aca="false">K1010-M1010</f>
        <v>18825</v>
      </c>
    </row>
    <row r="1011" customFormat="false" ht="12.8" hidden="false" customHeight="false" outlineLevel="0" collapsed="false">
      <c r="A1011" s="10" t="n">
        <f aca="false">A1010+1</f>
        <v>1010</v>
      </c>
      <c r="B1011" s="11" t="n">
        <f aca="false">B1010+1</f>
        <v>45936</v>
      </c>
      <c r="C1011" s="10" t="n">
        <f aca="false">YEAR(B1011)</f>
        <v>2025</v>
      </c>
      <c r="D1011" s="10" t="n">
        <f aca="false">INT((MONTH(B1011)-1)/3)+1</f>
        <v>4</v>
      </c>
      <c r="E1011" s="10" t="n">
        <f aca="false">MONTH(B1011)</f>
        <v>10</v>
      </c>
      <c r="F1011" s="10" t="str">
        <f aca="false">CHOOSE(MOD(A1011-1,5)+1,"Центр","Юг","Север","Запад","Восток")</f>
        <v>Восток</v>
      </c>
      <c r="G1011" s="10" t="str">
        <f aca="false">"Округ_"&amp;(MOD(A1011-1,5)+1)&amp;"_"&amp;(MOD(INT((A1011-1)/5),5)+1)</f>
        <v>Округ_5_2</v>
      </c>
      <c r="H1011" s="10" t="str">
        <f aca="false">"Город_"&amp;(MOD(A1011-1,5)+1)&amp;"_"&amp;(MOD(INT((A1011-1)/5),5)+1)&amp;"_"&amp;(MOD(INT((A1011-1)/25),10)+1)</f>
        <v>Город_5_2_1</v>
      </c>
      <c r="I1011" s="10" t="str">
        <f aca="false">CHOOSE(MOD(A1011-1,4)+1,"Электроника","Одежда","Продукты","Мебель")</f>
        <v>Одежда</v>
      </c>
      <c r="J1011" s="10" t="str">
        <f aca="false">CHOOSE(MOD(INT((A1011-1)/4),4)+1,CHOOSE(MOD(A1011-1,4)+1,"Смартфоны","Ноутбуки","Аксессуары","Аудио"),CHOOSE(MOD(A1011-1,4)+1,"Верхняя одежда","Спортивная","Повседневная","Обувь"),CHOOSE(MOD(A1011-1,4)+1,"Молочные","Мясные","Бакалея","Напитки"),CHOOSE(MOD(A1011-1,4)+1,"Мягкая мебель","Корпусная","Офисная","Кухонная"))</f>
        <v>Ноутбуки</v>
      </c>
      <c r="K1011" s="12" t="n">
        <f aca="false">1000+MOD(A1011*317+A1011*A1011*7,49001)</f>
        <v>13718</v>
      </c>
      <c r="L1011" s="12" t="n">
        <f aca="false">1+MOD(A1011*131,100)</f>
        <v>11</v>
      </c>
      <c r="M1011" s="12" t="n">
        <f aca="false">INT(K1011*(0.6+MOD(A1011*43,21)/100))</f>
        <v>8505</v>
      </c>
      <c r="N1011" s="12" t="n">
        <f aca="false">K1011-M1011</f>
        <v>5213</v>
      </c>
    </row>
    <row r="1012" customFormat="false" ht="12.8" hidden="false" customHeight="false" outlineLevel="0" collapsed="false">
      <c r="A1012" s="10" t="n">
        <f aca="false">A1011+1</f>
        <v>1011</v>
      </c>
      <c r="B1012" s="11" t="n">
        <f aca="false">B1011+1</f>
        <v>45937</v>
      </c>
      <c r="C1012" s="10" t="n">
        <f aca="false">YEAR(B1012)</f>
        <v>2025</v>
      </c>
      <c r="D1012" s="10" t="n">
        <f aca="false">INT((MONTH(B1012)-1)/3)+1</f>
        <v>4</v>
      </c>
      <c r="E1012" s="10" t="n">
        <f aca="false">MONTH(B1012)</f>
        <v>10</v>
      </c>
      <c r="F1012" s="10" t="str">
        <f aca="false">CHOOSE(MOD(A1012-1,5)+1,"Центр","Юг","Север","Запад","Восток")</f>
        <v>Центр</v>
      </c>
      <c r="G1012" s="10" t="str">
        <f aca="false">"Округ_"&amp;(MOD(A1012-1,5)+1)&amp;"_"&amp;(MOD(INT((A1012-1)/5),5)+1)</f>
        <v>Округ_1_3</v>
      </c>
      <c r="H1012" s="10" t="str">
        <f aca="false">"Город_"&amp;(MOD(A1012-1,5)+1)&amp;"_"&amp;(MOD(INT((A1012-1)/5),5)+1)&amp;"_"&amp;(MOD(INT((A1012-1)/25),10)+1)</f>
        <v>Город_1_3_1</v>
      </c>
      <c r="I1012" s="10" t="str">
        <f aca="false">CHOOSE(MOD(A1012-1,4)+1,"Электроника","Одежда","Продукты","Мебель")</f>
        <v>Продукты</v>
      </c>
      <c r="J1012" s="10" t="str">
        <f aca="false">CHOOSE(MOD(INT((A1012-1)/4),4)+1,CHOOSE(MOD(A1012-1,4)+1,"Смартфоны","Ноутбуки","Аксессуары","Аудио"),CHOOSE(MOD(A1012-1,4)+1,"Верхняя одежда","Спортивная","Повседневная","Обувь"),CHOOSE(MOD(A1012-1,4)+1,"Молочные","Мясные","Бакалея","Напитки"),CHOOSE(MOD(A1012-1,4)+1,"Мягкая мебель","Корпусная","Офисная","Кухонная"))</f>
        <v>Аксессуары</v>
      </c>
      <c r="K1012" s="12" t="n">
        <f aca="false">1000+MOD(A1012*317+A1012*A1012*7,49001)</f>
        <v>28182</v>
      </c>
      <c r="L1012" s="12" t="n">
        <f aca="false">1+MOD(A1012*131,100)</f>
        <v>42</v>
      </c>
      <c r="M1012" s="12" t="n">
        <f aca="false">INT(K1012*(0.6+MOD(A1012*43,21)/100))</f>
        <v>17754</v>
      </c>
      <c r="N1012" s="12" t="n">
        <f aca="false">K1012-M1012</f>
        <v>10428</v>
      </c>
    </row>
    <row r="1013" customFormat="false" ht="12.8" hidden="false" customHeight="false" outlineLevel="0" collapsed="false">
      <c r="A1013" s="10" t="n">
        <f aca="false">A1012+1</f>
        <v>1012</v>
      </c>
      <c r="B1013" s="11" t="n">
        <f aca="false">B1012+1</f>
        <v>45938</v>
      </c>
      <c r="C1013" s="10" t="n">
        <f aca="false">YEAR(B1013)</f>
        <v>2025</v>
      </c>
      <c r="D1013" s="10" t="n">
        <f aca="false">INT((MONTH(B1013)-1)/3)+1</f>
        <v>4</v>
      </c>
      <c r="E1013" s="10" t="n">
        <f aca="false">MONTH(B1013)</f>
        <v>10</v>
      </c>
      <c r="F1013" s="10" t="str">
        <f aca="false">CHOOSE(MOD(A1013-1,5)+1,"Центр","Юг","Север","Запад","Восток")</f>
        <v>Юг</v>
      </c>
      <c r="G1013" s="10" t="str">
        <f aca="false">"Округ_"&amp;(MOD(A1013-1,5)+1)&amp;"_"&amp;(MOD(INT((A1013-1)/5),5)+1)</f>
        <v>Округ_2_3</v>
      </c>
      <c r="H1013" s="10" t="str">
        <f aca="false">"Город_"&amp;(MOD(A1013-1,5)+1)&amp;"_"&amp;(MOD(INT((A1013-1)/5),5)+1)&amp;"_"&amp;(MOD(INT((A1013-1)/25),10)+1)</f>
        <v>Город_2_3_1</v>
      </c>
      <c r="I1013" s="10" t="str">
        <f aca="false">CHOOSE(MOD(A1013-1,4)+1,"Электроника","Одежда","Продукты","Мебель")</f>
        <v>Мебель</v>
      </c>
      <c r="J1013" s="10" t="str">
        <f aca="false">CHOOSE(MOD(INT((A1013-1)/4),4)+1,CHOOSE(MOD(A1013-1,4)+1,"Смартфоны","Ноутбуки","Аксессуары","Аудио"),CHOOSE(MOD(A1013-1,4)+1,"Верхняя одежда","Спортивная","Повседневная","Обувь"),CHOOSE(MOD(A1013-1,4)+1,"Молочные","Мясные","Бакалея","Напитки"),CHOOSE(MOD(A1013-1,4)+1,"Мягкая мебель","Корпусная","Офисная","Кухонная"))</f>
        <v>Аудио</v>
      </c>
      <c r="K1013" s="12" t="n">
        <f aca="false">1000+MOD(A1013*317+A1013*A1013*7,49001)</f>
        <v>42660</v>
      </c>
      <c r="L1013" s="12" t="n">
        <f aca="false">1+MOD(A1013*131,100)</f>
        <v>73</v>
      </c>
      <c r="M1013" s="12" t="n">
        <f aca="false">INT(K1013*(0.6+MOD(A1013*43,21)/100))</f>
        <v>27302</v>
      </c>
      <c r="N1013" s="12" t="n">
        <f aca="false">K1013-M1013</f>
        <v>15358</v>
      </c>
    </row>
    <row r="1014" customFormat="false" ht="12.8" hidden="false" customHeight="false" outlineLevel="0" collapsed="false">
      <c r="A1014" s="10" t="n">
        <f aca="false">A1013+1</f>
        <v>1013</v>
      </c>
      <c r="B1014" s="11" t="n">
        <f aca="false">B1013+1</f>
        <v>45939</v>
      </c>
      <c r="C1014" s="10" t="n">
        <f aca="false">YEAR(B1014)</f>
        <v>2025</v>
      </c>
      <c r="D1014" s="10" t="n">
        <f aca="false">INT((MONTH(B1014)-1)/3)+1</f>
        <v>4</v>
      </c>
      <c r="E1014" s="10" t="n">
        <f aca="false">MONTH(B1014)</f>
        <v>10</v>
      </c>
      <c r="F1014" s="10" t="str">
        <f aca="false">CHOOSE(MOD(A1014-1,5)+1,"Центр","Юг","Север","Запад","Восток")</f>
        <v>Север</v>
      </c>
      <c r="G1014" s="10" t="str">
        <f aca="false">"Округ_"&amp;(MOD(A1014-1,5)+1)&amp;"_"&amp;(MOD(INT((A1014-1)/5),5)+1)</f>
        <v>Округ_3_3</v>
      </c>
      <c r="H1014" s="10" t="str">
        <f aca="false">"Город_"&amp;(MOD(A1014-1,5)+1)&amp;"_"&amp;(MOD(INT((A1014-1)/5),5)+1)&amp;"_"&amp;(MOD(INT((A1014-1)/25),10)+1)</f>
        <v>Город_3_3_1</v>
      </c>
      <c r="I1014" s="10" t="str">
        <f aca="false">CHOOSE(MOD(A1014-1,4)+1,"Электроника","Одежда","Продукты","Мебель")</f>
        <v>Электроника</v>
      </c>
      <c r="J1014" s="10" t="str">
        <f aca="false">CHOOSE(MOD(INT((A1014-1)/4),4)+1,CHOOSE(MOD(A1014-1,4)+1,"Смартфоны","Ноутбуки","Аксессуары","Аудио"),CHOOSE(MOD(A1014-1,4)+1,"Верхняя одежда","Спортивная","Повседневная","Обувь"),CHOOSE(MOD(A1014-1,4)+1,"Молочные","Мясные","Бакалея","Напитки"),CHOOSE(MOD(A1014-1,4)+1,"Мягкая мебель","Корпусная","Офисная","Кухонная"))</f>
        <v>Верхняя одежда</v>
      </c>
      <c r="K1014" s="12" t="n">
        <f aca="false">1000+MOD(A1014*317+A1014*A1014*7,49001)</f>
        <v>8151</v>
      </c>
      <c r="L1014" s="12" t="n">
        <f aca="false">1+MOD(A1014*131,100)</f>
        <v>4</v>
      </c>
      <c r="M1014" s="12" t="n">
        <f aca="false">INT(K1014*(0.6+MOD(A1014*43,21)/100))</f>
        <v>5298</v>
      </c>
      <c r="N1014" s="12" t="n">
        <f aca="false">K1014-M1014</f>
        <v>2853</v>
      </c>
    </row>
    <row r="1015" customFormat="false" ht="12.8" hidden="false" customHeight="false" outlineLevel="0" collapsed="false">
      <c r="A1015" s="10" t="n">
        <f aca="false">A1014+1</f>
        <v>1014</v>
      </c>
      <c r="B1015" s="11" t="n">
        <f aca="false">B1014+1</f>
        <v>45940</v>
      </c>
      <c r="C1015" s="10" t="n">
        <f aca="false">YEAR(B1015)</f>
        <v>2025</v>
      </c>
      <c r="D1015" s="10" t="n">
        <f aca="false">INT((MONTH(B1015)-1)/3)+1</f>
        <v>4</v>
      </c>
      <c r="E1015" s="10" t="n">
        <f aca="false">MONTH(B1015)</f>
        <v>10</v>
      </c>
      <c r="F1015" s="10" t="str">
        <f aca="false">CHOOSE(MOD(A1015-1,5)+1,"Центр","Юг","Север","Запад","Восток")</f>
        <v>Запад</v>
      </c>
      <c r="G1015" s="10" t="str">
        <f aca="false">"Округ_"&amp;(MOD(A1015-1,5)+1)&amp;"_"&amp;(MOD(INT((A1015-1)/5),5)+1)</f>
        <v>Округ_4_3</v>
      </c>
      <c r="H1015" s="10" t="str">
        <f aca="false">"Город_"&amp;(MOD(A1015-1,5)+1)&amp;"_"&amp;(MOD(INT((A1015-1)/5),5)+1)&amp;"_"&amp;(MOD(INT((A1015-1)/25),10)+1)</f>
        <v>Город_4_3_1</v>
      </c>
      <c r="I1015" s="10" t="str">
        <f aca="false">CHOOSE(MOD(A1015-1,4)+1,"Электроника","Одежда","Продукты","Мебель")</f>
        <v>Одежда</v>
      </c>
      <c r="J1015" s="10" t="str">
        <f aca="false">CHOOSE(MOD(INT((A1015-1)/4),4)+1,CHOOSE(MOD(A1015-1,4)+1,"Смартфоны","Ноутбуки","Аксессуары","Аудио"),CHOOSE(MOD(A1015-1,4)+1,"Верхняя одежда","Спортивная","Повседневная","Обувь"),CHOOSE(MOD(A1015-1,4)+1,"Молочные","Мясные","Бакалея","Напитки"),CHOOSE(MOD(A1015-1,4)+1,"Мягкая мебель","Корпусная","Офисная","Кухонная"))</f>
        <v>Спортивная</v>
      </c>
      <c r="K1015" s="12" t="n">
        <f aca="false">1000+MOD(A1015*317+A1015*A1015*7,49001)</f>
        <v>22657</v>
      </c>
      <c r="L1015" s="12" t="n">
        <f aca="false">1+MOD(A1015*131,100)</f>
        <v>35</v>
      </c>
      <c r="M1015" s="12" t="n">
        <f aca="false">INT(K1015*(0.6+MOD(A1015*43,21)/100))</f>
        <v>14953</v>
      </c>
      <c r="N1015" s="12" t="n">
        <f aca="false">K1015-M1015</f>
        <v>7704</v>
      </c>
    </row>
    <row r="1016" customFormat="false" ht="12.8" hidden="false" customHeight="false" outlineLevel="0" collapsed="false">
      <c r="A1016" s="10" t="n">
        <f aca="false">A1015+1</f>
        <v>1015</v>
      </c>
      <c r="B1016" s="11" t="n">
        <f aca="false">B1015+1</f>
        <v>45941</v>
      </c>
      <c r="C1016" s="10" t="n">
        <f aca="false">YEAR(B1016)</f>
        <v>2025</v>
      </c>
      <c r="D1016" s="10" t="n">
        <f aca="false">INT((MONTH(B1016)-1)/3)+1</f>
        <v>4</v>
      </c>
      <c r="E1016" s="10" t="n">
        <f aca="false">MONTH(B1016)</f>
        <v>10</v>
      </c>
      <c r="F1016" s="10" t="str">
        <f aca="false">CHOOSE(MOD(A1016-1,5)+1,"Центр","Юг","Север","Запад","Восток")</f>
        <v>Восток</v>
      </c>
      <c r="G1016" s="10" t="str">
        <f aca="false">"Округ_"&amp;(MOD(A1016-1,5)+1)&amp;"_"&amp;(MOD(INT((A1016-1)/5),5)+1)</f>
        <v>Округ_5_3</v>
      </c>
      <c r="H1016" s="10" t="str">
        <f aca="false">"Город_"&amp;(MOD(A1016-1,5)+1)&amp;"_"&amp;(MOD(INT((A1016-1)/5),5)+1)&amp;"_"&amp;(MOD(INT((A1016-1)/25),10)+1)</f>
        <v>Город_5_3_1</v>
      </c>
      <c r="I1016" s="10" t="str">
        <f aca="false">CHOOSE(MOD(A1016-1,4)+1,"Электроника","Одежда","Продукты","Мебель")</f>
        <v>Продукты</v>
      </c>
      <c r="J1016" s="10" t="str">
        <f aca="false">CHOOSE(MOD(INT((A1016-1)/4),4)+1,CHOOSE(MOD(A1016-1,4)+1,"Смартфоны","Ноутбуки","Аксессуары","Аудио"),CHOOSE(MOD(A1016-1,4)+1,"Верхняя одежда","Спортивная","Повседневная","Обувь"),CHOOSE(MOD(A1016-1,4)+1,"Молочные","Мясные","Бакалея","Напитки"),CHOOSE(MOD(A1016-1,4)+1,"Мягкая мебель","Корпусная","Офисная","Кухонная"))</f>
        <v>Повседневная</v>
      </c>
      <c r="K1016" s="12" t="n">
        <f aca="false">1000+MOD(A1016*317+A1016*A1016*7,49001)</f>
        <v>37177</v>
      </c>
      <c r="L1016" s="12" t="n">
        <f aca="false">1+MOD(A1016*131,100)</f>
        <v>66</v>
      </c>
      <c r="M1016" s="12" t="n">
        <f aca="false">INT(K1016*(0.6+MOD(A1016*43,21)/100))</f>
        <v>24908</v>
      </c>
      <c r="N1016" s="12" t="n">
        <f aca="false">K1016-M1016</f>
        <v>12269</v>
      </c>
    </row>
    <row r="1017" customFormat="false" ht="12.8" hidden="false" customHeight="false" outlineLevel="0" collapsed="false">
      <c r="A1017" s="10" t="n">
        <f aca="false">A1016+1</f>
        <v>1016</v>
      </c>
      <c r="B1017" s="11" t="n">
        <f aca="false">B1016+1</f>
        <v>45942</v>
      </c>
      <c r="C1017" s="10" t="n">
        <f aca="false">YEAR(B1017)</f>
        <v>2025</v>
      </c>
      <c r="D1017" s="10" t="n">
        <f aca="false">INT((MONTH(B1017)-1)/3)+1</f>
        <v>4</v>
      </c>
      <c r="E1017" s="10" t="n">
        <f aca="false">MONTH(B1017)</f>
        <v>10</v>
      </c>
      <c r="F1017" s="10" t="str">
        <f aca="false">CHOOSE(MOD(A1017-1,5)+1,"Центр","Юг","Север","Запад","Восток")</f>
        <v>Центр</v>
      </c>
      <c r="G1017" s="10" t="str">
        <f aca="false">"Округ_"&amp;(MOD(A1017-1,5)+1)&amp;"_"&amp;(MOD(INT((A1017-1)/5),5)+1)</f>
        <v>Округ_1_4</v>
      </c>
      <c r="H1017" s="10" t="str">
        <f aca="false">"Город_"&amp;(MOD(A1017-1,5)+1)&amp;"_"&amp;(MOD(INT((A1017-1)/5),5)+1)&amp;"_"&amp;(MOD(INT((A1017-1)/25),10)+1)</f>
        <v>Город_1_4_1</v>
      </c>
      <c r="I1017" s="10" t="str">
        <f aca="false">CHOOSE(MOD(A1017-1,4)+1,"Электроника","Одежда","Продукты","Мебель")</f>
        <v>Мебель</v>
      </c>
      <c r="J1017" s="10" t="str">
        <f aca="false">CHOOSE(MOD(INT((A1017-1)/4),4)+1,CHOOSE(MOD(A1017-1,4)+1,"Смартфоны","Ноутбуки","Аксессуары","Аудио"),CHOOSE(MOD(A1017-1,4)+1,"Верхняя одежда","Спортивная","Повседневная","Обувь"),CHOOSE(MOD(A1017-1,4)+1,"Молочные","Мясные","Бакалея","Напитки"),CHOOSE(MOD(A1017-1,4)+1,"Мягкая мебель","Корпусная","Офисная","Кухонная"))</f>
        <v>Обувь</v>
      </c>
      <c r="K1017" s="12" t="n">
        <f aca="false">1000+MOD(A1017*317+A1017*A1017*7,49001)</f>
        <v>2710</v>
      </c>
      <c r="L1017" s="12" t="n">
        <f aca="false">1+MOD(A1017*131,100)</f>
        <v>97</v>
      </c>
      <c r="M1017" s="12" t="n">
        <f aca="false">INT(K1017*(0.6+MOD(A1017*43,21)/100))</f>
        <v>1842</v>
      </c>
      <c r="N1017" s="12" t="n">
        <f aca="false">K1017-M1017</f>
        <v>868</v>
      </c>
    </row>
    <row r="1018" customFormat="false" ht="12.8" hidden="false" customHeight="false" outlineLevel="0" collapsed="false">
      <c r="A1018" s="10" t="n">
        <f aca="false">A1017+1</f>
        <v>1017</v>
      </c>
      <c r="B1018" s="11" t="n">
        <f aca="false">B1017+1</f>
        <v>45943</v>
      </c>
      <c r="C1018" s="10" t="n">
        <f aca="false">YEAR(B1018)</f>
        <v>2025</v>
      </c>
      <c r="D1018" s="10" t="n">
        <f aca="false">INT((MONTH(B1018)-1)/3)+1</f>
        <v>4</v>
      </c>
      <c r="E1018" s="10" t="n">
        <f aca="false">MONTH(B1018)</f>
        <v>10</v>
      </c>
      <c r="F1018" s="10" t="str">
        <f aca="false">CHOOSE(MOD(A1018-1,5)+1,"Центр","Юг","Север","Запад","Восток")</f>
        <v>Юг</v>
      </c>
      <c r="G1018" s="10" t="str">
        <f aca="false">"Округ_"&amp;(MOD(A1018-1,5)+1)&amp;"_"&amp;(MOD(INT((A1018-1)/5),5)+1)</f>
        <v>Округ_2_4</v>
      </c>
      <c r="H1018" s="10" t="str">
        <f aca="false">"Город_"&amp;(MOD(A1018-1,5)+1)&amp;"_"&amp;(MOD(INT((A1018-1)/5),5)+1)&amp;"_"&amp;(MOD(INT((A1018-1)/25),10)+1)</f>
        <v>Город_2_4_1</v>
      </c>
      <c r="I1018" s="10" t="str">
        <f aca="false">CHOOSE(MOD(A1018-1,4)+1,"Электроника","Одежда","Продукты","Мебель")</f>
        <v>Электроника</v>
      </c>
      <c r="J1018" s="10" t="str">
        <f aca="false">CHOOSE(MOD(INT((A1018-1)/4),4)+1,CHOOSE(MOD(A1018-1,4)+1,"Смартфоны","Ноутбуки","Аксессуары","Аудио"),CHOOSE(MOD(A1018-1,4)+1,"Верхняя одежда","Спортивная","Повседневная","Обувь"),CHOOSE(MOD(A1018-1,4)+1,"Молочные","Мясные","Бакалея","Напитки"),CHOOSE(MOD(A1018-1,4)+1,"Мягкая мебель","Корпусная","Офисная","Кухонная"))</f>
        <v>Молочные</v>
      </c>
      <c r="K1018" s="12" t="n">
        <f aca="false">1000+MOD(A1018*317+A1018*A1018*7,49001)</f>
        <v>17258</v>
      </c>
      <c r="L1018" s="12" t="n">
        <f aca="false">1+MOD(A1018*131,100)</f>
        <v>28</v>
      </c>
      <c r="M1018" s="12" t="n">
        <f aca="false">INT(K1018*(0.6+MOD(A1018*43,21)/100))</f>
        <v>11908</v>
      </c>
      <c r="N1018" s="12" t="n">
        <f aca="false">K1018-M1018</f>
        <v>5350</v>
      </c>
    </row>
    <row r="1019" customFormat="false" ht="12.8" hidden="false" customHeight="false" outlineLevel="0" collapsed="false">
      <c r="A1019" s="10" t="n">
        <f aca="false">A1018+1</f>
        <v>1018</v>
      </c>
      <c r="B1019" s="11" t="n">
        <f aca="false">B1018+1</f>
        <v>45944</v>
      </c>
      <c r="C1019" s="10" t="n">
        <f aca="false">YEAR(B1019)</f>
        <v>2025</v>
      </c>
      <c r="D1019" s="10" t="n">
        <f aca="false">INT((MONTH(B1019)-1)/3)+1</f>
        <v>4</v>
      </c>
      <c r="E1019" s="10" t="n">
        <f aca="false">MONTH(B1019)</f>
        <v>10</v>
      </c>
      <c r="F1019" s="10" t="str">
        <f aca="false">CHOOSE(MOD(A1019-1,5)+1,"Центр","Юг","Север","Запад","Восток")</f>
        <v>Север</v>
      </c>
      <c r="G1019" s="10" t="str">
        <f aca="false">"Округ_"&amp;(MOD(A1019-1,5)+1)&amp;"_"&amp;(MOD(INT((A1019-1)/5),5)+1)</f>
        <v>Округ_3_4</v>
      </c>
      <c r="H1019" s="10" t="str">
        <f aca="false">"Город_"&amp;(MOD(A1019-1,5)+1)&amp;"_"&amp;(MOD(INT((A1019-1)/5),5)+1)&amp;"_"&amp;(MOD(INT((A1019-1)/25),10)+1)</f>
        <v>Город_3_4_1</v>
      </c>
      <c r="I1019" s="10" t="str">
        <f aca="false">CHOOSE(MOD(A1019-1,4)+1,"Электроника","Одежда","Продукты","Мебель")</f>
        <v>Одежда</v>
      </c>
      <c r="J1019" s="10" t="str">
        <f aca="false">CHOOSE(MOD(INT((A1019-1)/4),4)+1,CHOOSE(MOD(A1019-1,4)+1,"Смартфоны","Ноутбуки","Аксессуары","Аудио"),CHOOSE(MOD(A1019-1,4)+1,"Верхняя одежда","Спортивная","Повседневная","Обувь"),CHOOSE(MOD(A1019-1,4)+1,"Молочные","Мясные","Бакалея","Напитки"),CHOOSE(MOD(A1019-1,4)+1,"Мягкая мебель","Корпусная","Офисная","Кухонная"))</f>
        <v>Мясные</v>
      </c>
      <c r="K1019" s="12" t="n">
        <f aca="false">1000+MOD(A1019*317+A1019*A1019*7,49001)</f>
        <v>31820</v>
      </c>
      <c r="L1019" s="12" t="n">
        <f aca="false">1+MOD(A1019*131,100)</f>
        <v>59</v>
      </c>
      <c r="M1019" s="12" t="n">
        <f aca="false">INT(K1019*(0.6+MOD(A1019*43,21)/100))</f>
        <v>22274</v>
      </c>
      <c r="N1019" s="12" t="n">
        <f aca="false">K1019-M1019</f>
        <v>9546</v>
      </c>
    </row>
    <row r="1020" customFormat="false" ht="12.8" hidden="false" customHeight="false" outlineLevel="0" collapsed="false">
      <c r="A1020" s="10" t="n">
        <f aca="false">A1019+1</f>
        <v>1019</v>
      </c>
      <c r="B1020" s="11" t="n">
        <f aca="false">B1019+1</f>
        <v>45945</v>
      </c>
      <c r="C1020" s="10" t="n">
        <f aca="false">YEAR(B1020)</f>
        <v>2025</v>
      </c>
      <c r="D1020" s="10" t="n">
        <f aca="false">INT((MONTH(B1020)-1)/3)+1</f>
        <v>4</v>
      </c>
      <c r="E1020" s="10" t="n">
        <f aca="false">MONTH(B1020)</f>
        <v>10</v>
      </c>
      <c r="F1020" s="10" t="str">
        <f aca="false">CHOOSE(MOD(A1020-1,5)+1,"Центр","Юг","Север","Запад","Восток")</f>
        <v>Запад</v>
      </c>
      <c r="G1020" s="10" t="str">
        <f aca="false">"Округ_"&amp;(MOD(A1020-1,5)+1)&amp;"_"&amp;(MOD(INT((A1020-1)/5),5)+1)</f>
        <v>Округ_4_4</v>
      </c>
      <c r="H1020" s="10" t="str">
        <f aca="false">"Город_"&amp;(MOD(A1020-1,5)+1)&amp;"_"&amp;(MOD(INT((A1020-1)/5),5)+1)&amp;"_"&amp;(MOD(INT((A1020-1)/25),10)+1)</f>
        <v>Город_4_4_1</v>
      </c>
      <c r="I1020" s="10" t="str">
        <f aca="false">CHOOSE(MOD(A1020-1,4)+1,"Электроника","Одежда","Продукты","Мебель")</f>
        <v>Продукты</v>
      </c>
      <c r="J1020" s="10" t="str">
        <f aca="false">CHOOSE(MOD(INT((A1020-1)/4),4)+1,CHOOSE(MOD(A1020-1,4)+1,"Смартфоны","Ноутбуки","Аксессуары","Аудио"),CHOOSE(MOD(A1020-1,4)+1,"Верхняя одежда","Спортивная","Повседневная","Обувь"),CHOOSE(MOD(A1020-1,4)+1,"Молочные","Мясные","Бакалея","Напитки"),CHOOSE(MOD(A1020-1,4)+1,"Мягкая мебель","Корпусная","Офисная","Кухонная"))</f>
        <v>Бакалея</v>
      </c>
      <c r="K1020" s="12" t="n">
        <f aca="false">1000+MOD(A1020*317+A1020*A1020*7,49001)</f>
        <v>46396</v>
      </c>
      <c r="L1020" s="12" t="n">
        <f aca="false">1+MOD(A1020*131,100)</f>
        <v>90</v>
      </c>
      <c r="M1020" s="12" t="n">
        <f aca="false">INT(K1020*(0.6+MOD(A1020*43,21)/100))</f>
        <v>32941</v>
      </c>
      <c r="N1020" s="12" t="n">
        <f aca="false">K1020-M1020</f>
        <v>13455</v>
      </c>
    </row>
    <row r="1021" customFormat="false" ht="12.8" hidden="false" customHeight="false" outlineLevel="0" collapsed="false">
      <c r="A1021" s="10" t="n">
        <f aca="false">A1020+1</f>
        <v>1020</v>
      </c>
      <c r="B1021" s="11" t="n">
        <f aca="false">B1020+1</f>
        <v>45946</v>
      </c>
      <c r="C1021" s="10" t="n">
        <f aca="false">YEAR(B1021)</f>
        <v>2025</v>
      </c>
      <c r="D1021" s="10" t="n">
        <f aca="false">INT((MONTH(B1021)-1)/3)+1</f>
        <v>4</v>
      </c>
      <c r="E1021" s="10" t="n">
        <f aca="false">MONTH(B1021)</f>
        <v>10</v>
      </c>
      <c r="F1021" s="10" t="str">
        <f aca="false">CHOOSE(MOD(A1021-1,5)+1,"Центр","Юг","Север","Запад","Восток")</f>
        <v>Восток</v>
      </c>
      <c r="G1021" s="10" t="str">
        <f aca="false">"Округ_"&amp;(MOD(A1021-1,5)+1)&amp;"_"&amp;(MOD(INT((A1021-1)/5),5)+1)</f>
        <v>Округ_5_4</v>
      </c>
      <c r="H1021" s="10" t="str">
        <f aca="false">"Город_"&amp;(MOD(A1021-1,5)+1)&amp;"_"&amp;(MOD(INT((A1021-1)/5),5)+1)&amp;"_"&amp;(MOD(INT((A1021-1)/25),10)+1)</f>
        <v>Город_5_4_1</v>
      </c>
      <c r="I1021" s="10" t="str">
        <f aca="false">CHOOSE(MOD(A1021-1,4)+1,"Электроника","Одежда","Продукты","Мебель")</f>
        <v>Мебель</v>
      </c>
      <c r="J1021" s="10" t="str">
        <f aca="false">CHOOSE(MOD(INT((A1021-1)/4),4)+1,CHOOSE(MOD(A1021-1,4)+1,"Смартфоны","Ноутбуки","Аксессуары","Аудио"),CHOOSE(MOD(A1021-1,4)+1,"Верхняя одежда","Спортивная","Повседневная","Обувь"),CHOOSE(MOD(A1021-1,4)+1,"Молочные","Мясные","Бакалея","Напитки"),CHOOSE(MOD(A1021-1,4)+1,"Мягкая мебель","Корпусная","Офисная","Кухонная"))</f>
        <v>Напитки</v>
      </c>
      <c r="K1021" s="12" t="n">
        <f aca="false">1000+MOD(A1021*317+A1021*A1021*7,49001)</f>
        <v>11985</v>
      </c>
      <c r="L1021" s="12" t="n">
        <f aca="false">1+MOD(A1021*131,100)</f>
        <v>21</v>
      </c>
      <c r="M1021" s="12" t="n">
        <f aca="false">INT(K1021*(0.6+MOD(A1021*43,21)/100))</f>
        <v>8629</v>
      </c>
      <c r="N1021" s="12" t="n">
        <f aca="false">K1021-M1021</f>
        <v>3356</v>
      </c>
    </row>
    <row r="1022" customFormat="false" ht="12.8" hidden="false" customHeight="false" outlineLevel="0" collapsed="false">
      <c r="A1022" s="10" t="n">
        <f aca="false">A1021+1</f>
        <v>1021</v>
      </c>
      <c r="B1022" s="11" t="n">
        <f aca="false">B1021+1</f>
        <v>45947</v>
      </c>
      <c r="C1022" s="10" t="n">
        <f aca="false">YEAR(B1022)</f>
        <v>2025</v>
      </c>
      <c r="D1022" s="10" t="n">
        <f aca="false">INT((MONTH(B1022)-1)/3)+1</f>
        <v>4</v>
      </c>
      <c r="E1022" s="10" t="n">
        <f aca="false">MONTH(B1022)</f>
        <v>10</v>
      </c>
      <c r="F1022" s="10" t="str">
        <f aca="false">CHOOSE(MOD(A1022-1,5)+1,"Центр","Юг","Север","Запад","Восток")</f>
        <v>Центр</v>
      </c>
      <c r="G1022" s="10" t="str">
        <f aca="false">"Округ_"&amp;(MOD(A1022-1,5)+1)&amp;"_"&amp;(MOD(INT((A1022-1)/5),5)+1)</f>
        <v>Округ_1_5</v>
      </c>
      <c r="H1022" s="10" t="str">
        <f aca="false">"Город_"&amp;(MOD(A1022-1,5)+1)&amp;"_"&amp;(MOD(INT((A1022-1)/5),5)+1)&amp;"_"&amp;(MOD(INT((A1022-1)/25),10)+1)</f>
        <v>Город_1_5_1</v>
      </c>
      <c r="I1022" s="10" t="str">
        <f aca="false">CHOOSE(MOD(A1022-1,4)+1,"Электроника","Одежда","Продукты","Мебель")</f>
        <v>Электроника</v>
      </c>
      <c r="J1022" s="10" t="str">
        <f aca="false">CHOOSE(MOD(INT((A1022-1)/4),4)+1,CHOOSE(MOD(A1022-1,4)+1,"Смартфоны","Ноутбуки","Аксессуары","Аудио"),CHOOSE(MOD(A1022-1,4)+1,"Верхняя одежда","Спортивная","Повседневная","Обувь"),CHOOSE(MOD(A1022-1,4)+1,"Молочные","Мясные","Бакалея","Напитки"),CHOOSE(MOD(A1022-1,4)+1,"Мягкая мебель","Корпусная","Офисная","Кухонная"))</f>
        <v>Мягкая мебель</v>
      </c>
      <c r="K1022" s="12" t="n">
        <f aca="false">1000+MOD(A1022*317+A1022*A1022*7,49001)</f>
        <v>26589</v>
      </c>
      <c r="L1022" s="12" t="n">
        <f aca="false">1+MOD(A1022*131,100)</f>
        <v>52</v>
      </c>
      <c r="M1022" s="12" t="n">
        <f aca="false">INT(K1022*(0.6+MOD(A1022*43,21)/100))</f>
        <v>19409</v>
      </c>
      <c r="N1022" s="12" t="n">
        <f aca="false">K1022-M1022</f>
        <v>7180</v>
      </c>
    </row>
    <row r="1023" customFormat="false" ht="12.8" hidden="false" customHeight="false" outlineLevel="0" collapsed="false">
      <c r="A1023" s="10" t="n">
        <f aca="false">A1022+1</f>
        <v>1022</v>
      </c>
      <c r="B1023" s="11" t="n">
        <f aca="false">B1022+1</f>
        <v>45948</v>
      </c>
      <c r="C1023" s="10" t="n">
        <f aca="false">YEAR(B1023)</f>
        <v>2025</v>
      </c>
      <c r="D1023" s="10" t="n">
        <f aca="false">INT((MONTH(B1023)-1)/3)+1</f>
        <v>4</v>
      </c>
      <c r="E1023" s="10" t="n">
        <f aca="false">MONTH(B1023)</f>
        <v>10</v>
      </c>
      <c r="F1023" s="10" t="str">
        <f aca="false">CHOOSE(MOD(A1023-1,5)+1,"Центр","Юг","Север","Запад","Восток")</f>
        <v>Юг</v>
      </c>
      <c r="G1023" s="10" t="str">
        <f aca="false">"Округ_"&amp;(MOD(A1023-1,5)+1)&amp;"_"&amp;(MOD(INT((A1023-1)/5),5)+1)</f>
        <v>Округ_2_5</v>
      </c>
      <c r="H1023" s="10" t="str">
        <f aca="false">"Город_"&amp;(MOD(A1023-1,5)+1)&amp;"_"&amp;(MOD(INT((A1023-1)/5),5)+1)&amp;"_"&amp;(MOD(INT((A1023-1)/25),10)+1)</f>
        <v>Город_2_5_1</v>
      </c>
      <c r="I1023" s="10" t="str">
        <f aca="false">CHOOSE(MOD(A1023-1,4)+1,"Электроника","Одежда","Продукты","Мебель")</f>
        <v>Одежда</v>
      </c>
      <c r="J1023" s="10" t="str">
        <f aca="false">CHOOSE(MOD(INT((A1023-1)/4),4)+1,CHOOSE(MOD(A1023-1,4)+1,"Смартфоны","Ноутбуки","Аксессуары","Аудио"),CHOOSE(MOD(A1023-1,4)+1,"Верхняя одежда","Спортивная","Повседневная","Обувь"),CHOOSE(MOD(A1023-1,4)+1,"Молочные","Мясные","Бакалея","Напитки"),CHOOSE(MOD(A1023-1,4)+1,"Мягкая мебель","Корпусная","Офисная","Кухонная"))</f>
        <v>Корпусная</v>
      </c>
      <c r="K1023" s="12" t="n">
        <f aca="false">1000+MOD(A1023*317+A1023*A1023*7,49001)</f>
        <v>41207</v>
      </c>
      <c r="L1023" s="12" t="n">
        <f aca="false">1+MOD(A1023*131,100)</f>
        <v>83</v>
      </c>
      <c r="M1023" s="12" t="n">
        <f aca="false">INT(K1023*(0.6+MOD(A1023*43,21)/100))</f>
        <v>30493</v>
      </c>
      <c r="N1023" s="12" t="n">
        <f aca="false">K1023-M1023</f>
        <v>10714</v>
      </c>
    </row>
    <row r="1024" customFormat="false" ht="12.8" hidden="false" customHeight="false" outlineLevel="0" collapsed="false">
      <c r="A1024" s="10" t="n">
        <f aca="false">A1023+1</f>
        <v>1023</v>
      </c>
      <c r="B1024" s="11" t="n">
        <f aca="false">B1023+1</f>
        <v>45949</v>
      </c>
      <c r="C1024" s="10" t="n">
        <f aca="false">YEAR(B1024)</f>
        <v>2025</v>
      </c>
      <c r="D1024" s="10" t="n">
        <f aca="false">INT((MONTH(B1024)-1)/3)+1</f>
        <v>4</v>
      </c>
      <c r="E1024" s="10" t="n">
        <f aca="false">MONTH(B1024)</f>
        <v>10</v>
      </c>
      <c r="F1024" s="10" t="str">
        <f aca="false">CHOOSE(MOD(A1024-1,5)+1,"Центр","Юг","Север","Запад","Восток")</f>
        <v>Север</v>
      </c>
      <c r="G1024" s="10" t="str">
        <f aca="false">"Округ_"&amp;(MOD(A1024-1,5)+1)&amp;"_"&amp;(MOD(INT((A1024-1)/5),5)+1)</f>
        <v>Округ_3_5</v>
      </c>
      <c r="H1024" s="10" t="str">
        <f aca="false">"Город_"&amp;(MOD(A1024-1,5)+1)&amp;"_"&amp;(MOD(INT((A1024-1)/5),5)+1)&amp;"_"&amp;(MOD(INT((A1024-1)/25),10)+1)</f>
        <v>Город_3_5_1</v>
      </c>
      <c r="I1024" s="10" t="str">
        <f aca="false">CHOOSE(MOD(A1024-1,4)+1,"Электроника","Одежда","Продукты","Мебель")</f>
        <v>Продукты</v>
      </c>
      <c r="J1024" s="10" t="str">
        <f aca="false">CHOOSE(MOD(INT((A1024-1)/4),4)+1,CHOOSE(MOD(A1024-1,4)+1,"Смартфоны","Ноутбуки","Аксессуары","Аудио"),CHOOSE(MOD(A1024-1,4)+1,"Верхняя одежда","Спортивная","Повседневная","Обувь"),CHOOSE(MOD(A1024-1,4)+1,"Молочные","Мясные","Бакалея","Напитки"),CHOOSE(MOD(A1024-1,4)+1,"Мягкая мебель","Корпусная","Офисная","Кухонная"))</f>
        <v>Офисная</v>
      </c>
      <c r="K1024" s="12" t="n">
        <f aca="false">1000+MOD(A1024*317+A1024*A1024*7,49001)</f>
        <v>6838</v>
      </c>
      <c r="L1024" s="12" t="n">
        <f aca="false">1+MOD(A1024*131,100)</f>
        <v>14</v>
      </c>
      <c r="M1024" s="12" t="n">
        <f aca="false">INT(K1024*(0.6+MOD(A1024*43,21)/100))</f>
        <v>5128</v>
      </c>
      <c r="N1024" s="12" t="n">
        <f aca="false">K1024-M1024</f>
        <v>1710</v>
      </c>
    </row>
    <row r="1025" customFormat="false" ht="12.8" hidden="false" customHeight="false" outlineLevel="0" collapsed="false">
      <c r="A1025" s="10" t="n">
        <f aca="false">A1024+1</f>
        <v>1024</v>
      </c>
      <c r="B1025" s="11" t="n">
        <f aca="false">B1024+1</f>
        <v>45950</v>
      </c>
      <c r="C1025" s="10" t="n">
        <f aca="false">YEAR(B1025)</f>
        <v>2025</v>
      </c>
      <c r="D1025" s="10" t="n">
        <f aca="false">INT((MONTH(B1025)-1)/3)+1</f>
        <v>4</v>
      </c>
      <c r="E1025" s="10" t="n">
        <f aca="false">MONTH(B1025)</f>
        <v>10</v>
      </c>
      <c r="F1025" s="10" t="str">
        <f aca="false">CHOOSE(MOD(A1025-1,5)+1,"Центр","Юг","Север","Запад","Восток")</f>
        <v>Запад</v>
      </c>
      <c r="G1025" s="10" t="str">
        <f aca="false">"Округ_"&amp;(MOD(A1025-1,5)+1)&amp;"_"&amp;(MOD(INT((A1025-1)/5),5)+1)</f>
        <v>Округ_4_5</v>
      </c>
      <c r="H1025" s="10" t="str">
        <f aca="false">"Город_"&amp;(MOD(A1025-1,5)+1)&amp;"_"&amp;(MOD(INT((A1025-1)/5),5)+1)&amp;"_"&amp;(MOD(INT((A1025-1)/25),10)+1)</f>
        <v>Город_4_5_1</v>
      </c>
      <c r="I1025" s="10" t="str">
        <f aca="false">CHOOSE(MOD(A1025-1,4)+1,"Электроника","Одежда","Продукты","Мебель")</f>
        <v>Мебель</v>
      </c>
      <c r="J1025" s="10" t="str">
        <f aca="false">CHOOSE(MOD(INT((A1025-1)/4),4)+1,CHOOSE(MOD(A1025-1,4)+1,"Смартфоны","Ноутбуки","Аксессуары","Аудио"),CHOOSE(MOD(A1025-1,4)+1,"Верхняя одежда","Спортивная","Повседневная","Обувь"),CHOOSE(MOD(A1025-1,4)+1,"Молочные","Мясные","Бакалея","Напитки"),CHOOSE(MOD(A1025-1,4)+1,"Мягкая мебель","Корпусная","Офисная","Кухонная"))</f>
        <v>Кухонная</v>
      </c>
      <c r="K1025" s="12" t="n">
        <f aca="false">1000+MOD(A1025*317+A1025*A1025*7,49001)</f>
        <v>21484</v>
      </c>
      <c r="L1025" s="12" t="n">
        <f aca="false">1+MOD(A1025*131,100)</f>
        <v>45</v>
      </c>
      <c r="M1025" s="12" t="n">
        <f aca="false">INT(K1025*(0.6+MOD(A1025*43,21)/100))</f>
        <v>16327</v>
      </c>
      <c r="N1025" s="12" t="n">
        <f aca="false">K1025-M1025</f>
        <v>5157</v>
      </c>
    </row>
    <row r="1026" customFormat="false" ht="12.8" hidden="false" customHeight="false" outlineLevel="0" collapsed="false">
      <c r="A1026" s="10" t="n">
        <f aca="false">A1025+1</f>
        <v>1025</v>
      </c>
      <c r="B1026" s="11" t="n">
        <f aca="false">B1025+1</f>
        <v>45951</v>
      </c>
      <c r="C1026" s="10" t="n">
        <f aca="false">YEAR(B1026)</f>
        <v>2025</v>
      </c>
      <c r="D1026" s="10" t="n">
        <f aca="false">INT((MONTH(B1026)-1)/3)+1</f>
        <v>4</v>
      </c>
      <c r="E1026" s="10" t="n">
        <f aca="false">MONTH(B1026)</f>
        <v>10</v>
      </c>
      <c r="F1026" s="10" t="str">
        <f aca="false">CHOOSE(MOD(A1026-1,5)+1,"Центр","Юг","Север","Запад","Восток")</f>
        <v>Восток</v>
      </c>
      <c r="G1026" s="10" t="str">
        <f aca="false">"Округ_"&amp;(MOD(A1026-1,5)+1)&amp;"_"&amp;(MOD(INT((A1026-1)/5),5)+1)</f>
        <v>Округ_5_5</v>
      </c>
      <c r="H1026" s="10" t="str">
        <f aca="false">"Город_"&amp;(MOD(A1026-1,5)+1)&amp;"_"&amp;(MOD(INT((A1026-1)/5),5)+1)&amp;"_"&amp;(MOD(INT((A1026-1)/25),10)+1)</f>
        <v>Город_5_5_1</v>
      </c>
      <c r="I1026" s="10" t="str">
        <f aca="false">CHOOSE(MOD(A1026-1,4)+1,"Электроника","Одежда","Продукты","Мебель")</f>
        <v>Электроника</v>
      </c>
      <c r="J1026" s="10" t="str">
        <f aca="false">CHOOSE(MOD(INT((A1026-1)/4),4)+1,CHOOSE(MOD(A1026-1,4)+1,"Смартфоны","Ноутбуки","Аксессуары","Аудио"),CHOOSE(MOD(A1026-1,4)+1,"Верхняя одежда","Спортивная","Повседневная","Обувь"),CHOOSE(MOD(A1026-1,4)+1,"Молочные","Мясные","Бакалея","Напитки"),CHOOSE(MOD(A1026-1,4)+1,"Мягкая мебель","Корпусная","Офисная","Кухонная"))</f>
        <v>Смартфоны</v>
      </c>
      <c r="K1026" s="12" t="n">
        <f aca="false">1000+MOD(A1026*317+A1026*A1026*7,49001)</f>
        <v>36144</v>
      </c>
      <c r="L1026" s="12" t="n">
        <f aca="false">1+MOD(A1026*131,100)</f>
        <v>76</v>
      </c>
      <c r="M1026" s="12" t="n">
        <f aca="false">INT(K1026*(0.6+MOD(A1026*43,21)/100))</f>
        <v>27830</v>
      </c>
      <c r="N1026" s="12" t="n">
        <f aca="false">K1026-M1026</f>
        <v>8314</v>
      </c>
    </row>
    <row r="1027" customFormat="false" ht="12.8" hidden="false" customHeight="false" outlineLevel="0" collapsed="false">
      <c r="A1027" s="10" t="n">
        <f aca="false">A1026+1</f>
        <v>1026</v>
      </c>
      <c r="B1027" s="11" t="n">
        <f aca="false">B1026+1</f>
        <v>45952</v>
      </c>
      <c r="C1027" s="10" t="n">
        <f aca="false">YEAR(B1027)</f>
        <v>2025</v>
      </c>
      <c r="D1027" s="10" t="n">
        <f aca="false">INT((MONTH(B1027)-1)/3)+1</f>
        <v>4</v>
      </c>
      <c r="E1027" s="10" t="n">
        <f aca="false">MONTH(B1027)</f>
        <v>10</v>
      </c>
      <c r="F1027" s="10" t="str">
        <f aca="false">CHOOSE(MOD(A1027-1,5)+1,"Центр","Юг","Север","Запад","Восток")</f>
        <v>Центр</v>
      </c>
      <c r="G1027" s="10" t="str">
        <f aca="false">"Округ_"&amp;(MOD(A1027-1,5)+1)&amp;"_"&amp;(MOD(INT((A1027-1)/5),5)+1)</f>
        <v>Округ_1_1</v>
      </c>
      <c r="H1027" s="10" t="str">
        <f aca="false">"Город_"&amp;(MOD(A1027-1,5)+1)&amp;"_"&amp;(MOD(INT((A1027-1)/5),5)+1)&amp;"_"&amp;(MOD(INT((A1027-1)/25),10)+1)</f>
        <v>Город_1_1_2</v>
      </c>
      <c r="I1027" s="10" t="str">
        <f aca="false">CHOOSE(MOD(A1027-1,4)+1,"Электроника","Одежда","Продукты","Мебель")</f>
        <v>Одежда</v>
      </c>
      <c r="J1027" s="10" t="str">
        <f aca="false">CHOOSE(MOD(INT((A1027-1)/4),4)+1,CHOOSE(MOD(A1027-1,4)+1,"Смартфоны","Ноутбуки","Аксессуары","Аудио"),CHOOSE(MOD(A1027-1,4)+1,"Верхняя одежда","Спортивная","Повседневная","Обувь"),CHOOSE(MOD(A1027-1,4)+1,"Молочные","Мясные","Бакалея","Напитки"),CHOOSE(MOD(A1027-1,4)+1,"Мягкая мебель","Корпусная","Офисная","Кухонная"))</f>
        <v>Ноутбуки</v>
      </c>
      <c r="K1027" s="12" t="n">
        <f aca="false">1000+MOD(A1027*317+A1027*A1027*7,49001)</f>
        <v>1817</v>
      </c>
      <c r="L1027" s="12" t="n">
        <f aca="false">1+MOD(A1027*131,100)</f>
        <v>7</v>
      </c>
      <c r="M1027" s="12" t="n">
        <f aca="false">INT(K1027*(0.6+MOD(A1027*43,21)/100))</f>
        <v>1417</v>
      </c>
      <c r="N1027" s="12" t="n">
        <f aca="false">K1027-M1027</f>
        <v>400</v>
      </c>
    </row>
    <row r="1028" customFormat="false" ht="12.8" hidden="false" customHeight="false" outlineLevel="0" collapsed="false">
      <c r="A1028" s="10" t="n">
        <f aca="false">A1027+1</f>
        <v>1027</v>
      </c>
      <c r="B1028" s="11" t="n">
        <f aca="false">B1027+1</f>
        <v>45953</v>
      </c>
      <c r="C1028" s="10" t="n">
        <f aca="false">YEAR(B1028)</f>
        <v>2025</v>
      </c>
      <c r="D1028" s="10" t="n">
        <f aca="false">INT((MONTH(B1028)-1)/3)+1</f>
        <v>4</v>
      </c>
      <c r="E1028" s="10" t="n">
        <f aca="false">MONTH(B1028)</f>
        <v>10</v>
      </c>
      <c r="F1028" s="10" t="str">
        <f aca="false">CHOOSE(MOD(A1028-1,5)+1,"Центр","Юг","Север","Запад","Восток")</f>
        <v>Юг</v>
      </c>
      <c r="G1028" s="10" t="str">
        <f aca="false">"Округ_"&amp;(MOD(A1028-1,5)+1)&amp;"_"&amp;(MOD(INT((A1028-1)/5),5)+1)</f>
        <v>Округ_2_1</v>
      </c>
      <c r="H1028" s="10" t="str">
        <f aca="false">"Город_"&amp;(MOD(A1028-1,5)+1)&amp;"_"&amp;(MOD(INT((A1028-1)/5),5)+1)&amp;"_"&amp;(MOD(INT((A1028-1)/25),10)+1)</f>
        <v>Город_2_1_2</v>
      </c>
      <c r="I1028" s="10" t="str">
        <f aca="false">CHOOSE(MOD(A1028-1,4)+1,"Электроника","Одежда","Продукты","Мебель")</f>
        <v>Продукты</v>
      </c>
      <c r="J1028" s="10" t="str">
        <f aca="false">CHOOSE(MOD(INT((A1028-1)/4),4)+1,CHOOSE(MOD(A1028-1,4)+1,"Смартфоны","Ноутбуки","Аксессуары","Аудио"),CHOOSE(MOD(A1028-1,4)+1,"Верхняя одежда","Спортивная","Повседневная","Обувь"),CHOOSE(MOD(A1028-1,4)+1,"Молочные","Мясные","Бакалея","Напитки"),CHOOSE(MOD(A1028-1,4)+1,"Мягкая мебель","Корпусная","Офисная","Кухонная"))</f>
        <v>Аксессуары</v>
      </c>
      <c r="K1028" s="12" t="n">
        <f aca="false">1000+MOD(A1028*317+A1028*A1028*7,49001)</f>
        <v>16505</v>
      </c>
      <c r="L1028" s="12" t="n">
        <f aca="false">1+MOD(A1028*131,100)</f>
        <v>38</v>
      </c>
      <c r="M1028" s="12" t="n">
        <f aca="false">INT(K1028*(0.6+MOD(A1028*43,21)/100))</f>
        <v>13038</v>
      </c>
      <c r="N1028" s="12" t="n">
        <f aca="false">K1028-M1028</f>
        <v>3467</v>
      </c>
    </row>
    <row r="1029" customFormat="false" ht="12.8" hidden="false" customHeight="false" outlineLevel="0" collapsed="false">
      <c r="A1029" s="10" t="n">
        <f aca="false">A1028+1</f>
        <v>1028</v>
      </c>
      <c r="B1029" s="11" t="n">
        <f aca="false">B1028+1</f>
        <v>45954</v>
      </c>
      <c r="C1029" s="10" t="n">
        <f aca="false">YEAR(B1029)</f>
        <v>2025</v>
      </c>
      <c r="D1029" s="10" t="n">
        <f aca="false">INT((MONTH(B1029)-1)/3)+1</f>
        <v>4</v>
      </c>
      <c r="E1029" s="10" t="n">
        <f aca="false">MONTH(B1029)</f>
        <v>10</v>
      </c>
      <c r="F1029" s="10" t="str">
        <f aca="false">CHOOSE(MOD(A1029-1,5)+1,"Центр","Юг","Север","Запад","Восток")</f>
        <v>Север</v>
      </c>
      <c r="G1029" s="10" t="str">
        <f aca="false">"Округ_"&amp;(MOD(A1029-1,5)+1)&amp;"_"&amp;(MOD(INT((A1029-1)/5),5)+1)</f>
        <v>Округ_3_1</v>
      </c>
      <c r="H1029" s="10" t="str">
        <f aca="false">"Город_"&amp;(MOD(A1029-1,5)+1)&amp;"_"&amp;(MOD(INT((A1029-1)/5),5)+1)&amp;"_"&amp;(MOD(INT((A1029-1)/25),10)+1)</f>
        <v>Город_3_1_2</v>
      </c>
      <c r="I1029" s="10" t="str">
        <f aca="false">CHOOSE(MOD(A1029-1,4)+1,"Электроника","Одежда","Продукты","Мебель")</f>
        <v>Мебель</v>
      </c>
      <c r="J1029" s="10" t="str">
        <f aca="false">CHOOSE(MOD(INT((A1029-1)/4),4)+1,CHOOSE(MOD(A1029-1,4)+1,"Смартфоны","Ноутбуки","Аксессуары","Аудио"),CHOOSE(MOD(A1029-1,4)+1,"Верхняя одежда","Спортивная","Повседневная","Обувь"),CHOOSE(MOD(A1029-1,4)+1,"Молочные","Мясные","Бакалея","Напитки"),CHOOSE(MOD(A1029-1,4)+1,"Мягкая мебель","Корпусная","Офисная","Кухонная"))</f>
        <v>Аудио</v>
      </c>
      <c r="K1029" s="12" t="n">
        <f aca="false">1000+MOD(A1029*317+A1029*A1029*7,49001)</f>
        <v>31207</v>
      </c>
      <c r="L1029" s="12" t="n">
        <f aca="false">1+MOD(A1029*131,100)</f>
        <v>69</v>
      </c>
      <c r="M1029" s="12" t="n">
        <f aca="false">INT(K1029*(0.6+MOD(A1029*43,21)/100))</f>
        <v>24965</v>
      </c>
      <c r="N1029" s="12" t="n">
        <f aca="false">K1029-M1029</f>
        <v>6242</v>
      </c>
    </row>
    <row r="1030" customFormat="false" ht="12.8" hidden="false" customHeight="false" outlineLevel="0" collapsed="false">
      <c r="A1030" s="10" t="n">
        <f aca="false">A1029+1</f>
        <v>1029</v>
      </c>
      <c r="B1030" s="11" t="n">
        <f aca="false">B1029+1</f>
        <v>45955</v>
      </c>
      <c r="C1030" s="10" t="n">
        <f aca="false">YEAR(B1030)</f>
        <v>2025</v>
      </c>
      <c r="D1030" s="10" t="n">
        <f aca="false">INT((MONTH(B1030)-1)/3)+1</f>
        <v>4</v>
      </c>
      <c r="E1030" s="10" t="n">
        <f aca="false">MONTH(B1030)</f>
        <v>10</v>
      </c>
      <c r="F1030" s="10" t="str">
        <f aca="false">CHOOSE(MOD(A1030-1,5)+1,"Центр","Юг","Север","Запад","Восток")</f>
        <v>Запад</v>
      </c>
      <c r="G1030" s="10" t="str">
        <f aca="false">"Округ_"&amp;(MOD(A1030-1,5)+1)&amp;"_"&amp;(MOD(INT((A1030-1)/5),5)+1)</f>
        <v>Округ_4_1</v>
      </c>
      <c r="H1030" s="10" t="str">
        <f aca="false">"Город_"&amp;(MOD(A1030-1,5)+1)&amp;"_"&amp;(MOD(INT((A1030-1)/5),5)+1)&amp;"_"&amp;(MOD(INT((A1030-1)/25),10)+1)</f>
        <v>Город_4_1_2</v>
      </c>
      <c r="I1030" s="10" t="str">
        <f aca="false">CHOOSE(MOD(A1030-1,4)+1,"Электроника","Одежда","Продукты","Мебель")</f>
        <v>Электроника</v>
      </c>
      <c r="J1030" s="10" t="str">
        <f aca="false">CHOOSE(MOD(INT((A1030-1)/4),4)+1,CHOOSE(MOD(A1030-1,4)+1,"Смартфоны","Ноутбуки","Аксессуары","Аудио"),CHOOSE(MOD(A1030-1,4)+1,"Верхняя одежда","Спортивная","Повседневная","Обувь"),CHOOSE(MOD(A1030-1,4)+1,"Молочные","Мясные","Бакалея","Напитки"),CHOOSE(MOD(A1030-1,4)+1,"Мягкая мебель","Корпусная","Офисная","Кухонная"))</f>
        <v>Верхняя одежда</v>
      </c>
      <c r="K1030" s="12" t="n">
        <f aca="false">1000+MOD(A1030*317+A1030*A1030*7,49001)</f>
        <v>45923</v>
      </c>
      <c r="L1030" s="12" t="n">
        <f aca="false">1+MOD(A1030*131,100)</f>
        <v>100</v>
      </c>
      <c r="M1030" s="12" t="n">
        <f aca="false">INT(K1030*(0.6+MOD(A1030*43,21)/100))</f>
        <v>27553</v>
      </c>
      <c r="N1030" s="12" t="n">
        <f aca="false">K1030-M1030</f>
        <v>18370</v>
      </c>
    </row>
    <row r="1031" customFormat="false" ht="12.8" hidden="false" customHeight="false" outlineLevel="0" collapsed="false">
      <c r="A1031" s="10" t="n">
        <f aca="false">A1030+1</f>
        <v>1030</v>
      </c>
      <c r="B1031" s="11" t="n">
        <f aca="false">B1030+1</f>
        <v>45956</v>
      </c>
      <c r="C1031" s="10" t="n">
        <f aca="false">YEAR(B1031)</f>
        <v>2025</v>
      </c>
      <c r="D1031" s="10" t="n">
        <f aca="false">INT((MONTH(B1031)-1)/3)+1</f>
        <v>4</v>
      </c>
      <c r="E1031" s="10" t="n">
        <f aca="false">MONTH(B1031)</f>
        <v>10</v>
      </c>
      <c r="F1031" s="10" t="str">
        <f aca="false">CHOOSE(MOD(A1031-1,5)+1,"Центр","Юг","Север","Запад","Восток")</f>
        <v>Восток</v>
      </c>
      <c r="G1031" s="10" t="str">
        <f aca="false">"Округ_"&amp;(MOD(A1031-1,5)+1)&amp;"_"&amp;(MOD(INT((A1031-1)/5),5)+1)</f>
        <v>Округ_5_1</v>
      </c>
      <c r="H1031" s="10" t="str">
        <f aca="false">"Город_"&amp;(MOD(A1031-1,5)+1)&amp;"_"&amp;(MOD(INT((A1031-1)/5),5)+1)&amp;"_"&amp;(MOD(INT((A1031-1)/25),10)+1)</f>
        <v>Город_5_1_2</v>
      </c>
      <c r="I1031" s="10" t="str">
        <f aca="false">CHOOSE(MOD(A1031-1,4)+1,"Электроника","Одежда","Продукты","Мебель")</f>
        <v>Одежда</v>
      </c>
      <c r="J1031" s="10" t="str">
        <f aca="false">CHOOSE(MOD(INT((A1031-1)/4),4)+1,CHOOSE(MOD(A1031-1,4)+1,"Смартфоны","Ноутбуки","Аксессуары","Аудио"),CHOOSE(MOD(A1031-1,4)+1,"Верхняя одежда","Спортивная","Повседневная","Обувь"),CHOOSE(MOD(A1031-1,4)+1,"Молочные","Мясные","Бакалея","Напитки"),CHOOSE(MOD(A1031-1,4)+1,"Мягкая мебель","Корпусная","Офисная","Кухонная"))</f>
        <v>Спортивная</v>
      </c>
      <c r="K1031" s="12" t="n">
        <f aca="false">1000+MOD(A1031*317+A1031*A1031*7,49001)</f>
        <v>11652</v>
      </c>
      <c r="L1031" s="12" t="n">
        <f aca="false">1+MOD(A1031*131,100)</f>
        <v>31</v>
      </c>
      <c r="M1031" s="12" t="n">
        <f aca="false">INT(K1031*(0.6+MOD(A1031*43,21)/100))</f>
        <v>7107</v>
      </c>
      <c r="N1031" s="12" t="n">
        <f aca="false">K1031-M1031</f>
        <v>4545</v>
      </c>
    </row>
    <row r="1032" customFormat="false" ht="12.8" hidden="false" customHeight="false" outlineLevel="0" collapsed="false">
      <c r="A1032" s="10" t="n">
        <f aca="false">A1031+1</f>
        <v>1031</v>
      </c>
      <c r="B1032" s="11" t="n">
        <f aca="false">B1031+1</f>
        <v>45957</v>
      </c>
      <c r="C1032" s="10" t="n">
        <f aca="false">YEAR(B1032)</f>
        <v>2025</v>
      </c>
      <c r="D1032" s="10" t="n">
        <f aca="false">INT((MONTH(B1032)-1)/3)+1</f>
        <v>4</v>
      </c>
      <c r="E1032" s="10" t="n">
        <f aca="false">MONTH(B1032)</f>
        <v>10</v>
      </c>
      <c r="F1032" s="10" t="str">
        <f aca="false">CHOOSE(MOD(A1032-1,5)+1,"Центр","Юг","Север","Запад","Восток")</f>
        <v>Центр</v>
      </c>
      <c r="G1032" s="10" t="str">
        <f aca="false">"Округ_"&amp;(MOD(A1032-1,5)+1)&amp;"_"&amp;(MOD(INT((A1032-1)/5),5)+1)</f>
        <v>Округ_1_2</v>
      </c>
      <c r="H1032" s="10" t="str">
        <f aca="false">"Город_"&amp;(MOD(A1032-1,5)+1)&amp;"_"&amp;(MOD(INT((A1032-1)/5),5)+1)&amp;"_"&amp;(MOD(INT((A1032-1)/25),10)+1)</f>
        <v>Город_1_2_2</v>
      </c>
      <c r="I1032" s="10" t="str">
        <f aca="false">CHOOSE(MOD(A1032-1,4)+1,"Электроника","Одежда","Продукты","Мебель")</f>
        <v>Продукты</v>
      </c>
      <c r="J1032" s="10" t="str">
        <f aca="false">CHOOSE(MOD(INT((A1032-1)/4),4)+1,CHOOSE(MOD(A1032-1,4)+1,"Смартфоны","Ноутбуки","Аксессуары","Аудио"),CHOOSE(MOD(A1032-1,4)+1,"Верхняя одежда","Спортивная","Повседневная","Обувь"),CHOOSE(MOD(A1032-1,4)+1,"Молочные","Мясные","Бакалея","Напитки"),CHOOSE(MOD(A1032-1,4)+1,"Мягкая мебель","Корпусная","Офисная","Кухонная"))</f>
        <v>Повседневная</v>
      </c>
      <c r="K1032" s="12" t="n">
        <f aca="false">1000+MOD(A1032*317+A1032*A1032*7,49001)</f>
        <v>26396</v>
      </c>
      <c r="L1032" s="12" t="n">
        <f aca="false">1+MOD(A1032*131,100)</f>
        <v>62</v>
      </c>
      <c r="M1032" s="12" t="n">
        <f aca="false">INT(K1032*(0.6+MOD(A1032*43,21)/100))</f>
        <v>16365</v>
      </c>
      <c r="N1032" s="12" t="n">
        <f aca="false">K1032-M1032</f>
        <v>10031</v>
      </c>
    </row>
    <row r="1033" customFormat="false" ht="12.8" hidden="false" customHeight="false" outlineLevel="0" collapsed="false">
      <c r="A1033" s="10" t="n">
        <f aca="false">A1032+1</f>
        <v>1032</v>
      </c>
      <c r="B1033" s="11" t="n">
        <f aca="false">B1032+1</f>
        <v>45958</v>
      </c>
      <c r="C1033" s="10" t="n">
        <f aca="false">YEAR(B1033)</f>
        <v>2025</v>
      </c>
      <c r="D1033" s="10" t="n">
        <f aca="false">INT((MONTH(B1033)-1)/3)+1</f>
        <v>4</v>
      </c>
      <c r="E1033" s="10" t="n">
        <f aca="false">MONTH(B1033)</f>
        <v>10</v>
      </c>
      <c r="F1033" s="10" t="str">
        <f aca="false">CHOOSE(MOD(A1033-1,5)+1,"Центр","Юг","Север","Запад","Восток")</f>
        <v>Юг</v>
      </c>
      <c r="G1033" s="10" t="str">
        <f aca="false">"Округ_"&amp;(MOD(A1033-1,5)+1)&amp;"_"&amp;(MOD(INT((A1033-1)/5),5)+1)</f>
        <v>Округ_2_2</v>
      </c>
      <c r="H1033" s="10" t="str">
        <f aca="false">"Город_"&amp;(MOD(A1033-1,5)+1)&amp;"_"&amp;(MOD(INT((A1033-1)/5),5)+1)&amp;"_"&amp;(MOD(INT((A1033-1)/25),10)+1)</f>
        <v>Город_2_2_2</v>
      </c>
      <c r="I1033" s="10" t="str">
        <f aca="false">CHOOSE(MOD(A1033-1,4)+1,"Электроника","Одежда","Продукты","Мебель")</f>
        <v>Мебель</v>
      </c>
      <c r="J1033" s="10" t="str">
        <f aca="false">CHOOSE(MOD(INT((A1033-1)/4),4)+1,CHOOSE(MOD(A1033-1,4)+1,"Смартфоны","Ноутбуки","Аксессуары","Аудио"),CHOOSE(MOD(A1033-1,4)+1,"Верхняя одежда","Спортивная","Повседневная","Обувь"),CHOOSE(MOD(A1033-1,4)+1,"Молочные","Мясные","Бакалея","Напитки"),CHOOSE(MOD(A1033-1,4)+1,"Мягкая мебель","Корпусная","Офисная","Кухонная"))</f>
        <v>Обувь</v>
      </c>
      <c r="K1033" s="12" t="n">
        <f aca="false">1000+MOD(A1033*317+A1033*A1033*7,49001)</f>
        <v>41154</v>
      </c>
      <c r="L1033" s="12" t="n">
        <f aca="false">1+MOD(A1033*131,100)</f>
        <v>93</v>
      </c>
      <c r="M1033" s="12" t="n">
        <f aca="false">INT(K1033*(0.6+MOD(A1033*43,21)/100))</f>
        <v>25927</v>
      </c>
      <c r="N1033" s="12" t="n">
        <f aca="false">K1033-M1033</f>
        <v>15227</v>
      </c>
    </row>
    <row r="1034" customFormat="false" ht="12.8" hidden="false" customHeight="false" outlineLevel="0" collapsed="false">
      <c r="A1034" s="10" t="n">
        <f aca="false">A1033+1</f>
        <v>1033</v>
      </c>
      <c r="B1034" s="11" t="n">
        <f aca="false">B1033+1</f>
        <v>45959</v>
      </c>
      <c r="C1034" s="10" t="n">
        <f aca="false">YEAR(B1034)</f>
        <v>2025</v>
      </c>
      <c r="D1034" s="10" t="n">
        <f aca="false">INT((MONTH(B1034)-1)/3)+1</f>
        <v>4</v>
      </c>
      <c r="E1034" s="10" t="n">
        <f aca="false">MONTH(B1034)</f>
        <v>10</v>
      </c>
      <c r="F1034" s="10" t="str">
        <f aca="false">CHOOSE(MOD(A1034-1,5)+1,"Центр","Юг","Север","Запад","Восток")</f>
        <v>Север</v>
      </c>
      <c r="G1034" s="10" t="str">
        <f aca="false">"Округ_"&amp;(MOD(A1034-1,5)+1)&amp;"_"&amp;(MOD(INT((A1034-1)/5),5)+1)</f>
        <v>Округ_3_2</v>
      </c>
      <c r="H1034" s="10" t="str">
        <f aca="false">"Город_"&amp;(MOD(A1034-1,5)+1)&amp;"_"&amp;(MOD(INT((A1034-1)/5),5)+1)&amp;"_"&amp;(MOD(INT((A1034-1)/25),10)+1)</f>
        <v>Город_3_2_2</v>
      </c>
      <c r="I1034" s="10" t="str">
        <f aca="false">CHOOSE(MOD(A1034-1,4)+1,"Электроника","Одежда","Продукты","Мебель")</f>
        <v>Электроника</v>
      </c>
      <c r="J1034" s="10" t="str">
        <f aca="false">CHOOSE(MOD(INT((A1034-1)/4),4)+1,CHOOSE(MOD(A1034-1,4)+1,"Смартфоны","Ноутбуки","Аксессуары","Аудио"),CHOOSE(MOD(A1034-1,4)+1,"Верхняя одежда","Спортивная","Повседневная","Обувь"),CHOOSE(MOD(A1034-1,4)+1,"Молочные","Мясные","Бакалея","Напитки"),CHOOSE(MOD(A1034-1,4)+1,"Мягкая мебель","Корпусная","Офисная","Кухонная"))</f>
        <v>Молочные</v>
      </c>
      <c r="K1034" s="12" t="n">
        <f aca="false">1000+MOD(A1034*317+A1034*A1034*7,49001)</f>
        <v>6925</v>
      </c>
      <c r="L1034" s="12" t="n">
        <f aca="false">1+MOD(A1034*131,100)</f>
        <v>24</v>
      </c>
      <c r="M1034" s="12" t="n">
        <f aca="false">INT(K1034*(0.6+MOD(A1034*43,21)/100))</f>
        <v>4432</v>
      </c>
      <c r="N1034" s="12" t="n">
        <f aca="false">K1034-M1034</f>
        <v>2493</v>
      </c>
    </row>
    <row r="1035" customFormat="false" ht="12.8" hidden="false" customHeight="false" outlineLevel="0" collapsed="false">
      <c r="A1035" s="10" t="n">
        <f aca="false">A1034+1</f>
        <v>1034</v>
      </c>
      <c r="B1035" s="11" t="n">
        <f aca="false">B1034+1</f>
        <v>45960</v>
      </c>
      <c r="C1035" s="10" t="n">
        <f aca="false">YEAR(B1035)</f>
        <v>2025</v>
      </c>
      <c r="D1035" s="10" t="n">
        <f aca="false">INT((MONTH(B1035)-1)/3)+1</f>
        <v>4</v>
      </c>
      <c r="E1035" s="10" t="n">
        <f aca="false">MONTH(B1035)</f>
        <v>10</v>
      </c>
      <c r="F1035" s="10" t="str">
        <f aca="false">CHOOSE(MOD(A1035-1,5)+1,"Центр","Юг","Север","Запад","Восток")</f>
        <v>Запад</v>
      </c>
      <c r="G1035" s="10" t="str">
        <f aca="false">"Округ_"&amp;(MOD(A1035-1,5)+1)&amp;"_"&amp;(MOD(INT((A1035-1)/5),5)+1)</f>
        <v>Округ_4_2</v>
      </c>
      <c r="H1035" s="10" t="str">
        <f aca="false">"Город_"&amp;(MOD(A1035-1,5)+1)&amp;"_"&amp;(MOD(INT((A1035-1)/5),5)+1)&amp;"_"&amp;(MOD(INT((A1035-1)/25),10)+1)</f>
        <v>Город_4_2_2</v>
      </c>
      <c r="I1035" s="10" t="str">
        <f aca="false">CHOOSE(MOD(A1035-1,4)+1,"Электроника","Одежда","Продукты","Мебель")</f>
        <v>Одежда</v>
      </c>
      <c r="J1035" s="10" t="str">
        <f aca="false">CHOOSE(MOD(INT((A1035-1)/4),4)+1,CHOOSE(MOD(A1035-1,4)+1,"Смартфоны","Ноутбуки","Аксессуары","Аудио"),CHOOSE(MOD(A1035-1,4)+1,"Верхняя одежда","Спортивная","Повседневная","Обувь"),CHOOSE(MOD(A1035-1,4)+1,"Молочные","Мясные","Бакалея","Напитки"),CHOOSE(MOD(A1035-1,4)+1,"Мягкая мебель","Корпусная","Офисная","Кухонная"))</f>
        <v>Мясные</v>
      </c>
      <c r="K1035" s="12" t="n">
        <f aca="false">1000+MOD(A1035*317+A1035*A1035*7,49001)</f>
        <v>21711</v>
      </c>
      <c r="L1035" s="12" t="n">
        <f aca="false">1+MOD(A1035*131,100)</f>
        <v>55</v>
      </c>
      <c r="M1035" s="12" t="n">
        <f aca="false">INT(K1035*(0.6+MOD(A1035*43,21)/100))</f>
        <v>14112</v>
      </c>
      <c r="N1035" s="12" t="n">
        <f aca="false">K1035-M1035</f>
        <v>7599</v>
      </c>
    </row>
    <row r="1036" customFormat="false" ht="12.8" hidden="false" customHeight="false" outlineLevel="0" collapsed="false">
      <c r="A1036" s="10" t="n">
        <f aca="false">A1035+1</f>
        <v>1035</v>
      </c>
      <c r="B1036" s="11" t="n">
        <f aca="false">B1035+1</f>
        <v>45961</v>
      </c>
      <c r="C1036" s="10" t="n">
        <f aca="false">YEAR(B1036)</f>
        <v>2025</v>
      </c>
      <c r="D1036" s="10" t="n">
        <f aca="false">INT((MONTH(B1036)-1)/3)+1</f>
        <v>4</v>
      </c>
      <c r="E1036" s="10" t="n">
        <f aca="false">MONTH(B1036)</f>
        <v>10</v>
      </c>
      <c r="F1036" s="10" t="str">
        <f aca="false">CHOOSE(MOD(A1036-1,5)+1,"Центр","Юг","Север","Запад","Восток")</f>
        <v>Восток</v>
      </c>
      <c r="G1036" s="10" t="str">
        <f aca="false">"Округ_"&amp;(MOD(A1036-1,5)+1)&amp;"_"&amp;(MOD(INT((A1036-1)/5),5)+1)</f>
        <v>Округ_5_2</v>
      </c>
      <c r="H1036" s="10" t="str">
        <f aca="false">"Город_"&amp;(MOD(A1036-1,5)+1)&amp;"_"&amp;(MOD(INT((A1036-1)/5),5)+1)&amp;"_"&amp;(MOD(INT((A1036-1)/25),10)+1)</f>
        <v>Город_5_2_2</v>
      </c>
      <c r="I1036" s="10" t="str">
        <f aca="false">CHOOSE(MOD(A1036-1,4)+1,"Электроника","Одежда","Продукты","Мебель")</f>
        <v>Продукты</v>
      </c>
      <c r="J1036" s="10" t="str">
        <f aca="false">CHOOSE(MOD(INT((A1036-1)/4),4)+1,CHOOSE(MOD(A1036-1,4)+1,"Смартфоны","Ноутбуки","Аксессуары","Аудио"),CHOOSE(MOD(A1036-1,4)+1,"Верхняя одежда","Спортивная","Повседневная","Обувь"),CHOOSE(MOD(A1036-1,4)+1,"Молочные","Мясные","Бакалея","Напитки"),CHOOSE(MOD(A1036-1,4)+1,"Мягкая мебель","Корпусная","Офисная","Кухонная"))</f>
        <v>Бакалея</v>
      </c>
      <c r="K1036" s="12" t="n">
        <f aca="false">1000+MOD(A1036*317+A1036*A1036*7,49001)</f>
        <v>36511</v>
      </c>
      <c r="L1036" s="12" t="n">
        <f aca="false">1+MOD(A1036*131,100)</f>
        <v>86</v>
      </c>
      <c r="M1036" s="12" t="n">
        <f aca="false">INT(K1036*(0.6+MOD(A1036*43,21)/100))</f>
        <v>24097</v>
      </c>
      <c r="N1036" s="12" t="n">
        <f aca="false">K1036-M1036</f>
        <v>12414</v>
      </c>
    </row>
    <row r="1037" customFormat="false" ht="12.8" hidden="false" customHeight="false" outlineLevel="0" collapsed="false">
      <c r="A1037" s="10" t="n">
        <f aca="false">A1036+1</f>
        <v>1036</v>
      </c>
      <c r="B1037" s="11" t="n">
        <f aca="false">B1036+1</f>
        <v>45962</v>
      </c>
      <c r="C1037" s="10" t="n">
        <f aca="false">YEAR(B1037)</f>
        <v>2025</v>
      </c>
      <c r="D1037" s="10" t="n">
        <f aca="false">INT((MONTH(B1037)-1)/3)+1</f>
        <v>4</v>
      </c>
      <c r="E1037" s="10" t="n">
        <f aca="false">MONTH(B1037)</f>
        <v>11</v>
      </c>
      <c r="F1037" s="10" t="str">
        <f aca="false">CHOOSE(MOD(A1037-1,5)+1,"Центр","Юг","Север","Запад","Восток")</f>
        <v>Центр</v>
      </c>
      <c r="G1037" s="10" t="str">
        <f aca="false">"Округ_"&amp;(MOD(A1037-1,5)+1)&amp;"_"&amp;(MOD(INT((A1037-1)/5),5)+1)</f>
        <v>Округ_1_3</v>
      </c>
      <c r="H1037" s="10" t="str">
        <f aca="false">"Город_"&amp;(MOD(A1037-1,5)+1)&amp;"_"&amp;(MOD(INT((A1037-1)/5),5)+1)&amp;"_"&amp;(MOD(INT((A1037-1)/25),10)+1)</f>
        <v>Город_1_3_2</v>
      </c>
      <c r="I1037" s="10" t="str">
        <f aca="false">CHOOSE(MOD(A1037-1,4)+1,"Электроника","Одежда","Продукты","Мебель")</f>
        <v>Мебель</v>
      </c>
      <c r="J1037" s="10" t="str">
        <f aca="false">CHOOSE(MOD(INT((A1037-1)/4),4)+1,CHOOSE(MOD(A1037-1,4)+1,"Смартфоны","Ноутбуки","Аксессуары","Аудио"),CHOOSE(MOD(A1037-1,4)+1,"Верхняя одежда","Спортивная","Повседневная","Обувь"),CHOOSE(MOD(A1037-1,4)+1,"Молочные","Мясные","Бакалея","Напитки"),CHOOSE(MOD(A1037-1,4)+1,"Мягкая мебель","Корпусная","Офисная","Кухонная"))</f>
        <v>Напитки</v>
      </c>
      <c r="K1037" s="12" t="n">
        <f aca="false">1000+MOD(A1037*317+A1037*A1037*7,49001)</f>
        <v>2324</v>
      </c>
      <c r="L1037" s="12" t="n">
        <f aca="false">1+MOD(A1037*131,100)</f>
        <v>17</v>
      </c>
      <c r="M1037" s="12" t="n">
        <f aca="false">INT(K1037*(0.6+MOD(A1037*43,21)/100))</f>
        <v>1557</v>
      </c>
      <c r="N1037" s="12" t="n">
        <f aca="false">K1037-M1037</f>
        <v>767</v>
      </c>
    </row>
    <row r="1038" customFormat="false" ht="12.8" hidden="false" customHeight="false" outlineLevel="0" collapsed="false">
      <c r="A1038" s="10" t="n">
        <f aca="false">A1037+1</f>
        <v>1037</v>
      </c>
      <c r="B1038" s="11" t="n">
        <f aca="false">B1037+1</f>
        <v>45963</v>
      </c>
      <c r="C1038" s="10" t="n">
        <f aca="false">YEAR(B1038)</f>
        <v>2025</v>
      </c>
      <c r="D1038" s="10" t="n">
        <f aca="false">INT((MONTH(B1038)-1)/3)+1</f>
        <v>4</v>
      </c>
      <c r="E1038" s="10" t="n">
        <f aca="false">MONTH(B1038)</f>
        <v>11</v>
      </c>
      <c r="F1038" s="10" t="str">
        <f aca="false">CHOOSE(MOD(A1038-1,5)+1,"Центр","Юг","Север","Запад","Восток")</f>
        <v>Юг</v>
      </c>
      <c r="G1038" s="10" t="str">
        <f aca="false">"Округ_"&amp;(MOD(A1038-1,5)+1)&amp;"_"&amp;(MOD(INT((A1038-1)/5),5)+1)</f>
        <v>Округ_2_3</v>
      </c>
      <c r="H1038" s="10" t="str">
        <f aca="false">"Город_"&amp;(MOD(A1038-1,5)+1)&amp;"_"&amp;(MOD(INT((A1038-1)/5),5)+1)&amp;"_"&amp;(MOD(INT((A1038-1)/25),10)+1)</f>
        <v>Город_2_3_2</v>
      </c>
      <c r="I1038" s="10" t="str">
        <f aca="false">CHOOSE(MOD(A1038-1,4)+1,"Электроника","Одежда","Продукты","Мебель")</f>
        <v>Электроника</v>
      </c>
      <c r="J1038" s="10" t="str">
        <f aca="false">CHOOSE(MOD(INT((A1038-1)/4),4)+1,CHOOSE(MOD(A1038-1,4)+1,"Смартфоны","Ноутбуки","Аксессуары","Аудио"),CHOOSE(MOD(A1038-1,4)+1,"Верхняя одежда","Спортивная","Повседневная","Обувь"),CHOOSE(MOD(A1038-1,4)+1,"Молочные","Мясные","Бакалея","Напитки"),CHOOSE(MOD(A1038-1,4)+1,"Мягкая мебель","Корпусная","Офисная","Кухонная"))</f>
        <v>Мягкая мебель</v>
      </c>
      <c r="K1038" s="12" t="n">
        <f aca="false">1000+MOD(A1038*317+A1038*A1038*7,49001)</f>
        <v>17152</v>
      </c>
      <c r="L1038" s="12" t="n">
        <f aca="false">1+MOD(A1038*131,100)</f>
        <v>48</v>
      </c>
      <c r="M1038" s="12" t="n">
        <f aca="false">INT(K1038*(0.6+MOD(A1038*43,21)/100))</f>
        <v>11663</v>
      </c>
      <c r="N1038" s="12" t="n">
        <f aca="false">K1038-M1038</f>
        <v>5489</v>
      </c>
    </row>
    <row r="1039" customFormat="false" ht="12.8" hidden="false" customHeight="false" outlineLevel="0" collapsed="false">
      <c r="A1039" s="10" t="n">
        <f aca="false">A1038+1</f>
        <v>1038</v>
      </c>
      <c r="B1039" s="11" t="n">
        <f aca="false">B1038+1</f>
        <v>45964</v>
      </c>
      <c r="C1039" s="10" t="n">
        <f aca="false">YEAR(B1039)</f>
        <v>2025</v>
      </c>
      <c r="D1039" s="10" t="n">
        <f aca="false">INT((MONTH(B1039)-1)/3)+1</f>
        <v>4</v>
      </c>
      <c r="E1039" s="10" t="n">
        <f aca="false">MONTH(B1039)</f>
        <v>11</v>
      </c>
      <c r="F1039" s="10" t="str">
        <f aca="false">CHOOSE(MOD(A1039-1,5)+1,"Центр","Юг","Север","Запад","Восток")</f>
        <v>Север</v>
      </c>
      <c r="G1039" s="10" t="str">
        <f aca="false">"Округ_"&amp;(MOD(A1039-1,5)+1)&amp;"_"&amp;(MOD(INT((A1039-1)/5),5)+1)</f>
        <v>Округ_3_3</v>
      </c>
      <c r="H1039" s="10" t="str">
        <f aca="false">"Город_"&amp;(MOD(A1039-1,5)+1)&amp;"_"&amp;(MOD(INT((A1039-1)/5),5)+1)&amp;"_"&amp;(MOD(INT((A1039-1)/25),10)+1)</f>
        <v>Город_3_3_2</v>
      </c>
      <c r="I1039" s="10" t="str">
        <f aca="false">CHOOSE(MOD(A1039-1,4)+1,"Электроника","Одежда","Продукты","Мебель")</f>
        <v>Одежда</v>
      </c>
      <c r="J1039" s="10" t="str">
        <f aca="false">CHOOSE(MOD(INT((A1039-1)/4),4)+1,CHOOSE(MOD(A1039-1,4)+1,"Смартфоны","Ноутбуки","Аксессуары","Аудио"),CHOOSE(MOD(A1039-1,4)+1,"Верхняя одежда","Спортивная","Повседневная","Обувь"),CHOOSE(MOD(A1039-1,4)+1,"Молочные","Мясные","Бакалея","Напитки"),CHOOSE(MOD(A1039-1,4)+1,"Мягкая мебель","Корпусная","Офисная","Кухонная"))</f>
        <v>Корпусная</v>
      </c>
      <c r="K1039" s="12" t="n">
        <f aca="false">1000+MOD(A1039*317+A1039*A1039*7,49001)</f>
        <v>31994</v>
      </c>
      <c r="L1039" s="12" t="n">
        <f aca="false">1+MOD(A1039*131,100)</f>
        <v>79</v>
      </c>
      <c r="M1039" s="12" t="n">
        <f aca="false">INT(K1039*(0.6+MOD(A1039*43,21)/100))</f>
        <v>22075</v>
      </c>
      <c r="N1039" s="12" t="n">
        <f aca="false">K1039-M1039</f>
        <v>9919</v>
      </c>
    </row>
    <row r="1040" customFormat="false" ht="12.8" hidden="false" customHeight="false" outlineLevel="0" collapsed="false">
      <c r="A1040" s="10" t="n">
        <f aca="false">A1039+1</f>
        <v>1039</v>
      </c>
      <c r="B1040" s="11" t="n">
        <f aca="false">B1039+1</f>
        <v>45965</v>
      </c>
      <c r="C1040" s="10" t="n">
        <f aca="false">YEAR(B1040)</f>
        <v>2025</v>
      </c>
      <c r="D1040" s="10" t="n">
        <f aca="false">INT((MONTH(B1040)-1)/3)+1</f>
        <v>4</v>
      </c>
      <c r="E1040" s="10" t="n">
        <f aca="false">MONTH(B1040)</f>
        <v>11</v>
      </c>
      <c r="F1040" s="10" t="str">
        <f aca="false">CHOOSE(MOD(A1040-1,5)+1,"Центр","Юг","Север","Запад","Восток")</f>
        <v>Запад</v>
      </c>
      <c r="G1040" s="10" t="str">
        <f aca="false">"Округ_"&amp;(MOD(A1040-1,5)+1)&amp;"_"&amp;(MOD(INT((A1040-1)/5),5)+1)</f>
        <v>Округ_4_3</v>
      </c>
      <c r="H1040" s="10" t="str">
        <f aca="false">"Город_"&amp;(MOD(A1040-1,5)+1)&amp;"_"&amp;(MOD(INT((A1040-1)/5),5)+1)&amp;"_"&amp;(MOD(INT((A1040-1)/25),10)+1)</f>
        <v>Город_4_3_2</v>
      </c>
      <c r="I1040" s="10" t="str">
        <f aca="false">CHOOSE(MOD(A1040-1,4)+1,"Электроника","Одежда","Продукты","Мебель")</f>
        <v>Продукты</v>
      </c>
      <c r="J1040" s="10" t="str">
        <f aca="false">CHOOSE(MOD(INT((A1040-1)/4),4)+1,CHOOSE(MOD(A1040-1,4)+1,"Смартфоны","Ноутбуки","Аксессуары","Аудио"),CHOOSE(MOD(A1040-1,4)+1,"Верхняя одежда","Спортивная","Повседневная","Обувь"),CHOOSE(MOD(A1040-1,4)+1,"Молочные","Мясные","Бакалея","Напитки"),CHOOSE(MOD(A1040-1,4)+1,"Мягкая мебель","Корпусная","Офисная","Кухонная"))</f>
        <v>Офисная</v>
      </c>
      <c r="K1040" s="12" t="n">
        <f aca="false">1000+MOD(A1040*317+A1040*A1040*7,49001)</f>
        <v>46850</v>
      </c>
      <c r="L1040" s="12" t="n">
        <f aca="false">1+MOD(A1040*131,100)</f>
        <v>10</v>
      </c>
      <c r="M1040" s="12" t="n">
        <f aca="false">INT(K1040*(0.6+MOD(A1040*43,21)/100))</f>
        <v>32795</v>
      </c>
      <c r="N1040" s="12" t="n">
        <f aca="false">K1040-M1040</f>
        <v>14055</v>
      </c>
    </row>
    <row r="1041" customFormat="false" ht="12.8" hidden="false" customHeight="false" outlineLevel="0" collapsed="false">
      <c r="A1041" s="10" t="n">
        <f aca="false">A1040+1</f>
        <v>1040</v>
      </c>
      <c r="B1041" s="11" t="n">
        <f aca="false">B1040+1</f>
        <v>45966</v>
      </c>
      <c r="C1041" s="10" t="n">
        <f aca="false">YEAR(B1041)</f>
        <v>2025</v>
      </c>
      <c r="D1041" s="10" t="n">
        <f aca="false">INT((MONTH(B1041)-1)/3)+1</f>
        <v>4</v>
      </c>
      <c r="E1041" s="10" t="n">
        <f aca="false">MONTH(B1041)</f>
        <v>11</v>
      </c>
      <c r="F1041" s="10" t="str">
        <f aca="false">CHOOSE(MOD(A1041-1,5)+1,"Центр","Юг","Север","Запад","Восток")</f>
        <v>Восток</v>
      </c>
      <c r="G1041" s="10" t="str">
        <f aca="false">"Округ_"&amp;(MOD(A1041-1,5)+1)&amp;"_"&amp;(MOD(INT((A1041-1)/5),5)+1)</f>
        <v>Округ_5_3</v>
      </c>
      <c r="H1041" s="10" t="str">
        <f aca="false">"Город_"&amp;(MOD(A1041-1,5)+1)&amp;"_"&amp;(MOD(INT((A1041-1)/5),5)+1)&amp;"_"&amp;(MOD(INT((A1041-1)/25),10)+1)</f>
        <v>Город_5_3_2</v>
      </c>
      <c r="I1041" s="10" t="str">
        <f aca="false">CHOOSE(MOD(A1041-1,4)+1,"Электроника","Одежда","Продукты","Мебель")</f>
        <v>Мебель</v>
      </c>
      <c r="J1041" s="10" t="str">
        <f aca="false">CHOOSE(MOD(INT((A1041-1)/4),4)+1,CHOOSE(MOD(A1041-1,4)+1,"Смартфоны","Ноутбуки","Аксессуары","Аудио"),CHOOSE(MOD(A1041-1,4)+1,"Верхняя одежда","Спортивная","Повседневная","Обувь"),CHOOSE(MOD(A1041-1,4)+1,"Молочные","Мясные","Бакалея","Напитки"),CHOOSE(MOD(A1041-1,4)+1,"Мягкая мебель","Корпусная","Офисная","Кухонная"))</f>
        <v>Кухонная</v>
      </c>
      <c r="K1041" s="12" t="n">
        <f aca="false">1000+MOD(A1041*317+A1041*A1041*7,49001)</f>
        <v>12719</v>
      </c>
      <c r="L1041" s="12" t="n">
        <f aca="false">1+MOD(A1041*131,100)</f>
        <v>41</v>
      </c>
      <c r="M1041" s="12" t="n">
        <f aca="false">INT(K1041*(0.6+MOD(A1041*43,21)/100))</f>
        <v>9030</v>
      </c>
      <c r="N1041" s="12" t="n">
        <f aca="false">K1041-M1041</f>
        <v>3689</v>
      </c>
    </row>
    <row r="1042" customFormat="false" ht="12.8" hidden="false" customHeight="false" outlineLevel="0" collapsed="false">
      <c r="A1042" s="10" t="n">
        <f aca="false">A1041+1</f>
        <v>1041</v>
      </c>
      <c r="B1042" s="11" t="n">
        <f aca="false">B1041+1</f>
        <v>45967</v>
      </c>
      <c r="C1042" s="10" t="n">
        <f aca="false">YEAR(B1042)</f>
        <v>2025</v>
      </c>
      <c r="D1042" s="10" t="n">
        <f aca="false">INT((MONTH(B1042)-1)/3)+1</f>
        <v>4</v>
      </c>
      <c r="E1042" s="10" t="n">
        <f aca="false">MONTH(B1042)</f>
        <v>11</v>
      </c>
      <c r="F1042" s="10" t="str">
        <f aca="false">CHOOSE(MOD(A1042-1,5)+1,"Центр","Юг","Север","Запад","Восток")</f>
        <v>Центр</v>
      </c>
      <c r="G1042" s="10" t="str">
        <f aca="false">"Округ_"&amp;(MOD(A1042-1,5)+1)&amp;"_"&amp;(MOD(INT((A1042-1)/5),5)+1)</f>
        <v>Округ_1_4</v>
      </c>
      <c r="H1042" s="10" t="str">
        <f aca="false">"Город_"&amp;(MOD(A1042-1,5)+1)&amp;"_"&amp;(MOD(INT((A1042-1)/5),5)+1)&amp;"_"&amp;(MOD(INT((A1042-1)/25),10)+1)</f>
        <v>Город_1_4_2</v>
      </c>
      <c r="I1042" s="10" t="str">
        <f aca="false">CHOOSE(MOD(A1042-1,4)+1,"Электроника","Одежда","Продукты","Мебель")</f>
        <v>Электроника</v>
      </c>
      <c r="J1042" s="10" t="str">
        <f aca="false">CHOOSE(MOD(INT((A1042-1)/4),4)+1,CHOOSE(MOD(A1042-1,4)+1,"Смартфоны","Ноутбуки","Аксессуары","Аудио"),CHOOSE(MOD(A1042-1,4)+1,"Верхняя одежда","Спортивная","Повседневная","Обувь"),CHOOSE(MOD(A1042-1,4)+1,"Молочные","Мясные","Бакалея","Напитки"),CHOOSE(MOD(A1042-1,4)+1,"Мягкая мебель","Корпусная","Офисная","Кухонная"))</f>
        <v>Смартфоны</v>
      </c>
      <c r="K1042" s="12" t="n">
        <f aca="false">1000+MOD(A1042*317+A1042*A1042*7,49001)</f>
        <v>27603</v>
      </c>
      <c r="L1042" s="12" t="n">
        <f aca="false">1+MOD(A1042*131,100)</f>
        <v>72</v>
      </c>
      <c r="M1042" s="12" t="n">
        <f aca="false">INT(K1042*(0.6+MOD(A1042*43,21)/100))</f>
        <v>19874</v>
      </c>
      <c r="N1042" s="12" t="n">
        <f aca="false">K1042-M1042</f>
        <v>7729</v>
      </c>
    </row>
    <row r="1043" customFormat="false" ht="12.8" hidden="false" customHeight="false" outlineLevel="0" collapsed="false">
      <c r="A1043" s="10" t="n">
        <f aca="false">A1042+1</f>
        <v>1042</v>
      </c>
      <c r="B1043" s="11" t="n">
        <f aca="false">B1042+1</f>
        <v>45968</v>
      </c>
      <c r="C1043" s="10" t="n">
        <f aca="false">YEAR(B1043)</f>
        <v>2025</v>
      </c>
      <c r="D1043" s="10" t="n">
        <f aca="false">INT((MONTH(B1043)-1)/3)+1</f>
        <v>4</v>
      </c>
      <c r="E1043" s="10" t="n">
        <f aca="false">MONTH(B1043)</f>
        <v>11</v>
      </c>
      <c r="F1043" s="10" t="str">
        <f aca="false">CHOOSE(MOD(A1043-1,5)+1,"Центр","Юг","Север","Запад","Восток")</f>
        <v>Юг</v>
      </c>
      <c r="G1043" s="10" t="str">
        <f aca="false">"Округ_"&amp;(MOD(A1043-1,5)+1)&amp;"_"&amp;(MOD(INT((A1043-1)/5),5)+1)</f>
        <v>Округ_2_4</v>
      </c>
      <c r="H1043" s="10" t="str">
        <f aca="false">"Город_"&amp;(MOD(A1043-1,5)+1)&amp;"_"&amp;(MOD(INT((A1043-1)/5),5)+1)&amp;"_"&amp;(MOD(INT((A1043-1)/25),10)+1)</f>
        <v>Город_2_4_2</v>
      </c>
      <c r="I1043" s="10" t="str">
        <f aca="false">CHOOSE(MOD(A1043-1,4)+1,"Электроника","Одежда","Продукты","Мебель")</f>
        <v>Одежда</v>
      </c>
      <c r="J1043" s="10" t="str">
        <f aca="false">CHOOSE(MOD(INT((A1043-1)/4),4)+1,CHOOSE(MOD(A1043-1,4)+1,"Смартфоны","Ноутбуки","Аксессуары","Аудио"),CHOOSE(MOD(A1043-1,4)+1,"Верхняя одежда","Спортивная","Повседневная","Обувь"),CHOOSE(MOD(A1043-1,4)+1,"Молочные","Мясные","Бакалея","Напитки"),CHOOSE(MOD(A1043-1,4)+1,"Мягкая мебель","Корпусная","Офисная","Кухонная"))</f>
        <v>Ноутбуки</v>
      </c>
      <c r="K1043" s="12" t="n">
        <f aca="false">1000+MOD(A1043*317+A1043*A1043*7,49001)</f>
        <v>42501</v>
      </c>
      <c r="L1043" s="12" t="n">
        <f aca="false">1+MOD(A1043*131,100)</f>
        <v>3</v>
      </c>
      <c r="M1043" s="12" t="n">
        <f aca="false">INT(K1043*(0.6+MOD(A1043*43,21)/100))</f>
        <v>31025</v>
      </c>
      <c r="N1043" s="12" t="n">
        <f aca="false">K1043-M1043</f>
        <v>11476</v>
      </c>
    </row>
    <row r="1044" customFormat="false" ht="12.8" hidden="false" customHeight="false" outlineLevel="0" collapsed="false">
      <c r="A1044" s="10" t="n">
        <f aca="false">A1043+1</f>
        <v>1043</v>
      </c>
      <c r="B1044" s="11" t="n">
        <f aca="false">B1043+1</f>
        <v>45969</v>
      </c>
      <c r="C1044" s="10" t="n">
        <f aca="false">YEAR(B1044)</f>
        <v>2025</v>
      </c>
      <c r="D1044" s="10" t="n">
        <f aca="false">INT((MONTH(B1044)-1)/3)+1</f>
        <v>4</v>
      </c>
      <c r="E1044" s="10" t="n">
        <f aca="false">MONTH(B1044)</f>
        <v>11</v>
      </c>
      <c r="F1044" s="10" t="str">
        <f aca="false">CHOOSE(MOD(A1044-1,5)+1,"Центр","Юг","Север","Запад","Восток")</f>
        <v>Север</v>
      </c>
      <c r="G1044" s="10" t="str">
        <f aca="false">"Округ_"&amp;(MOD(A1044-1,5)+1)&amp;"_"&amp;(MOD(INT((A1044-1)/5),5)+1)</f>
        <v>Округ_3_4</v>
      </c>
      <c r="H1044" s="10" t="str">
        <f aca="false">"Город_"&amp;(MOD(A1044-1,5)+1)&amp;"_"&amp;(MOD(INT((A1044-1)/5),5)+1)&amp;"_"&amp;(MOD(INT((A1044-1)/25),10)+1)</f>
        <v>Город_3_4_2</v>
      </c>
      <c r="I1044" s="10" t="str">
        <f aca="false">CHOOSE(MOD(A1044-1,4)+1,"Электроника","Одежда","Продукты","Мебель")</f>
        <v>Продукты</v>
      </c>
      <c r="J1044" s="10" t="str">
        <f aca="false">CHOOSE(MOD(INT((A1044-1)/4),4)+1,CHOOSE(MOD(A1044-1,4)+1,"Смартфоны","Ноутбуки","Аксессуары","Аудио"),CHOOSE(MOD(A1044-1,4)+1,"Верхняя одежда","Спортивная","Повседневная","Обувь"),CHOOSE(MOD(A1044-1,4)+1,"Молочные","Мясные","Бакалея","Напитки"),CHOOSE(MOD(A1044-1,4)+1,"Мягкая мебель","Корпусная","Офисная","Кухонная"))</f>
        <v>Аксессуары</v>
      </c>
      <c r="K1044" s="12" t="n">
        <f aca="false">1000+MOD(A1044*317+A1044*A1044*7,49001)</f>
        <v>8412</v>
      </c>
      <c r="L1044" s="12" t="n">
        <f aca="false">1+MOD(A1044*131,100)</f>
        <v>34</v>
      </c>
      <c r="M1044" s="12" t="n">
        <f aca="false">INT(K1044*(0.6+MOD(A1044*43,21)/100))</f>
        <v>6224</v>
      </c>
      <c r="N1044" s="12" t="n">
        <f aca="false">K1044-M1044</f>
        <v>2188</v>
      </c>
    </row>
    <row r="1045" customFormat="false" ht="12.8" hidden="false" customHeight="false" outlineLevel="0" collapsed="false">
      <c r="A1045" s="10" t="n">
        <f aca="false">A1044+1</f>
        <v>1044</v>
      </c>
      <c r="B1045" s="11" t="n">
        <f aca="false">B1044+1</f>
        <v>45970</v>
      </c>
      <c r="C1045" s="10" t="n">
        <f aca="false">YEAR(B1045)</f>
        <v>2025</v>
      </c>
      <c r="D1045" s="10" t="n">
        <f aca="false">INT((MONTH(B1045)-1)/3)+1</f>
        <v>4</v>
      </c>
      <c r="E1045" s="10" t="n">
        <f aca="false">MONTH(B1045)</f>
        <v>11</v>
      </c>
      <c r="F1045" s="10" t="str">
        <f aca="false">CHOOSE(MOD(A1045-1,5)+1,"Центр","Юг","Север","Запад","Восток")</f>
        <v>Запад</v>
      </c>
      <c r="G1045" s="10" t="str">
        <f aca="false">"Округ_"&amp;(MOD(A1045-1,5)+1)&amp;"_"&amp;(MOD(INT((A1045-1)/5),5)+1)</f>
        <v>Округ_4_4</v>
      </c>
      <c r="H1045" s="10" t="str">
        <f aca="false">"Город_"&amp;(MOD(A1045-1,5)+1)&amp;"_"&amp;(MOD(INT((A1045-1)/5),5)+1)&amp;"_"&amp;(MOD(INT((A1045-1)/25),10)+1)</f>
        <v>Город_4_4_2</v>
      </c>
      <c r="I1045" s="10" t="str">
        <f aca="false">CHOOSE(MOD(A1045-1,4)+1,"Электроника","Одежда","Продукты","Мебель")</f>
        <v>Мебель</v>
      </c>
      <c r="J1045" s="10" t="str">
        <f aca="false">CHOOSE(MOD(INT((A1045-1)/4),4)+1,CHOOSE(MOD(A1045-1,4)+1,"Смартфоны","Ноутбуки","Аксессуары","Аудио"),CHOOSE(MOD(A1045-1,4)+1,"Верхняя одежда","Спортивная","Повседневная","Обувь"),CHOOSE(MOD(A1045-1,4)+1,"Молочные","Мясные","Бакалея","Напитки"),CHOOSE(MOD(A1045-1,4)+1,"Мягкая мебель","Корпусная","Офисная","Кухонная"))</f>
        <v>Аудио</v>
      </c>
      <c r="K1045" s="12" t="n">
        <f aca="false">1000+MOD(A1045*317+A1045*A1045*7,49001)</f>
        <v>23338</v>
      </c>
      <c r="L1045" s="12" t="n">
        <f aca="false">1+MOD(A1045*131,100)</f>
        <v>65</v>
      </c>
      <c r="M1045" s="12" t="n">
        <f aca="false">INT(K1045*(0.6+MOD(A1045*43,21)/100))</f>
        <v>17503</v>
      </c>
      <c r="N1045" s="12" t="n">
        <f aca="false">K1045-M1045</f>
        <v>5835</v>
      </c>
    </row>
    <row r="1046" customFormat="false" ht="12.8" hidden="false" customHeight="false" outlineLevel="0" collapsed="false">
      <c r="A1046" s="10" t="n">
        <f aca="false">A1045+1</f>
        <v>1045</v>
      </c>
      <c r="B1046" s="11" t="n">
        <f aca="false">B1045+1</f>
        <v>45971</v>
      </c>
      <c r="C1046" s="10" t="n">
        <f aca="false">YEAR(B1046)</f>
        <v>2025</v>
      </c>
      <c r="D1046" s="10" t="n">
        <f aca="false">INT((MONTH(B1046)-1)/3)+1</f>
        <v>4</v>
      </c>
      <c r="E1046" s="10" t="n">
        <f aca="false">MONTH(B1046)</f>
        <v>11</v>
      </c>
      <c r="F1046" s="10" t="str">
        <f aca="false">CHOOSE(MOD(A1046-1,5)+1,"Центр","Юг","Север","Запад","Восток")</f>
        <v>Восток</v>
      </c>
      <c r="G1046" s="10" t="str">
        <f aca="false">"Округ_"&amp;(MOD(A1046-1,5)+1)&amp;"_"&amp;(MOD(INT((A1046-1)/5),5)+1)</f>
        <v>Округ_5_4</v>
      </c>
      <c r="H1046" s="10" t="str">
        <f aca="false">"Город_"&amp;(MOD(A1046-1,5)+1)&amp;"_"&amp;(MOD(INT((A1046-1)/5),5)+1)&amp;"_"&amp;(MOD(INT((A1046-1)/25),10)+1)</f>
        <v>Город_5_4_2</v>
      </c>
      <c r="I1046" s="10" t="str">
        <f aca="false">CHOOSE(MOD(A1046-1,4)+1,"Электроника","Одежда","Продукты","Мебель")</f>
        <v>Электроника</v>
      </c>
      <c r="J1046" s="10" t="str">
        <f aca="false">CHOOSE(MOD(INT((A1046-1)/4),4)+1,CHOOSE(MOD(A1046-1,4)+1,"Смартфоны","Ноутбуки","Аксессуары","Аудио"),CHOOSE(MOD(A1046-1,4)+1,"Верхняя одежда","Спортивная","Повседневная","Обувь"),CHOOSE(MOD(A1046-1,4)+1,"Молочные","Мясные","Бакалея","Напитки"),CHOOSE(MOD(A1046-1,4)+1,"Мягкая мебель","Корпусная","Офисная","Кухонная"))</f>
        <v>Верхняя одежда</v>
      </c>
      <c r="K1046" s="12" t="n">
        <f aca="false">1000+MOD(A1046*317+A1046*A1046*7,49001)</f>
        <v>38278</v>
      </c>
      <c r="L1046" s="12" t="n">
        <f aca="false">1+MOD(A1046*131,100)</f>
        <v>96</v>
      </c>
      <c r="M1046" s="12" t="n">
        <f aca="false">INT(K1046*(0.6+MOD(A1046*43,21)/100))</f>
        <v>29091</v>
      </c>
      <c r="N1046" s="12" t="n">
        <f aca="false">K1046-M1046</f>
        <v>9187</v>
      </c>
    </row>
    <row r="1047" customFormat="false" ht="12.8" hidden="false" customHeight="false" outlineLevel="0" collapsed="false">
      <c r="A1047" s="10" t="n">
        <f aca="false">A1046+1</f>
        <v>1046</v>
      </c>
      <c r="B1047" s="11" t="n">
        <f aca="false">B1046+1</f>
        <v>45972</v>
      </c>
      <c r="C1047" s="10" t="n">
        <f aca="false">YEAR(B1047)</f>
        <v>2025</v>
      </c>
      <c r="D1047" s="10" t="n">
        <f aca="false">INT((MONTH(B1047)-1)/3)+1</f>
        <v>4</v>
      </c>
      <c r="E1047" s="10" t="n">
        <f aca="false">MONTH(B1047)</f>
        <v>11</v>
      </c>
      <c r="F1047" s="10" t="str">
        <f aca="false">CHOOSE(MOD(A1047-1,5)+1,"Центр","Юг","Север","Запад","Восток")</f>
        <v>Центр</v>
      </c>
      <c r="G1047" s="10" t="str">
        <f aca="false">"Округ_"&amp;(MOD(A1047-1,5)+1)&amp;"_"&amp;(MOD(INT((A1047-1)/5),5)+1)</f>
        <v>Округ_1_5</v>
      </c>
      <c r="H1047" s="10" t="str">
        <f aca="false">"Город_"&amp;(MOD(A1047-1,5)+1)&amp;"_"&amp;(MOD(INT((A1047-1)/5),5)+1)&amp;"_"&amp;(MOD(INT((A1047-1)/25),10)+1)</f>
        <v>Город_1_5_2</v>
      </c>
      <c r="I1047" s="10" t="str">
        <f aca="false">CHOOSE(MOD(A1047-1,4)+1,"Электроника","Одежда","Продукты","Мебель")</f>
        <v>Одежда</v>
      </c>
      <c r="J1047" s="10" t="str">
        <f aca="false">CHOOSE(MOD(INT((A1047-1)/4),4)+1,CHOOSE(MOD(A1047-1,4)+1,"Смартфоны","Ноутбуки","Аксессуары","Аудио"),CHOOSE(MOD(A1047-1,4)+1,"Верхняя одежда","Спортивная","Повседневная","Обувь"),CHOOSE(MOD(A1047-1,4)+1,"Молочные","Мясные","Бакалея","Напитки"),CHOOSE(MOD(A1047-1,4)+1,"Мягкая мебель","Корпусная","Офисная","Кухонная"))</f>
        <v>Спортивная</v>
      </c>
      <c r="K1047" s="12" t="n">
        <f aca="false">1000+MOD(A1047*317+A1047*A1047*7,49001)</f>
        <v>4231</v>
      </c>
      <c r="L1047" s="12" t="n">
        <f aca="false">1+MOD(A1047*131,100)</f>
        <v>27</v>
      </c>
      <c r="M1047" s="12" t="n">
        <f aca="false">INT(K1047*(0.6+MOD(A1047*43,21)/100))</f>
        <v>3257</v>
      </c>
      <c r="N1047" s="12" t="n">
        <f aca="false">K1047-M1047</f>
        <v>974</v>
      </c>
    </row>
    <row r="1048" customFormat="false" ht="12.8" hidden="false" customHeight="false" outlineLevel="0" collapsed="false">
      <c r="A1048" s="10" t="n">
        <f aca="false">A1047+1</f>
        <v>1047</v>
      </c>
      <c r="B1048" s="11" t="n">
        <f aca="false">B1047+1</f>
        <v>45973</v>
      </c>
      <c r="C1048" s="10" t="n">
        <f aca="false">YEAR(B1048)</f>
        <v>2025</v>
      </c>
      <c r="D1048" s="10" t="n">
        <f aca="false">INT((MONTH(B1048)-1)/3)+1</f>
        <v>4</v>
      </c>
      <c r="E1048" s="10" t="n">
        <f aca="false">MONTH(B1048)</f>
        <v>11</v>
      </c>
      <c r="F1048" s="10" t="str">
        <f aca="false">CHOOSE(MOD(A1048-1,5)+1,"Центр","Юг","Север","Запад","Восток")</f>
        <v>Юг</v>
      </c>
      <c r="G1048" s="10" t="str">
        <f aca="false">"Округ_"&amp;(MOD(A1048-1,5)+1)&amp;"_"&amp;(MOD(INT((A1048-1)/5),5)+1)</f>
        <v>Округ_2_5</v>
      </c>
      <c r="H1048" s="10" t="str">
        <f aca="false">"Город_"&amp;(MOD(A1048-1,5)+1)&amp;"_"&amp;(MOD(INT((A1048-1)/5),5)+1)&amp;"_"&amp;(MOD(INT((A1048-1)/25),10)+1)</f>
        <v>Город_2_5_2</v>
      </c>
      <c r="I1048" s="10" t="str">
        <f aca="false">CHOOSE(MOD(A1048-1,4)+1,"Электроника","Одежда","Продукты","Мебель")</f>
        <v>Продукты</v>
      </c>
      <c r="J1048" s="10" t="str">
        <f aca="false">CHOOSE(MOD(INT((A1048-1)/4),4)+1,CHOOSE(MOD(A1048-1,4)+1,"Смартфоны","Ноутбуки","Аксессуары","Аудио"),CHOOSE(MOD(A1048-1,4)+1,"Верхняя одежда","Спортивная","Повседневная","Обувь"),CHOOSE(MOD(A1048-1,4)+1,"Молочные","Мясные","Бакалея","Напитки"),CHOOSE(MOD(A1048-1,4)+1,"Мягкая мебель","Корпусная","Офисная","Кухонная"))</f>
        <v>Повседневная</v>
      </c>
      <c r="K1048" s="12" t="n">
        <f aca="false">1000+MOD(A1048*317+A1048*A1048*7,49001)</f>
        <v>19199</v>
      </c>
      <c r="L1048" s="12" t="n">
        <f aca="false">1+MOD(A1048*131,100)</f>
        <v>58</v>
      </c>
      <c r="M1048" s="12" t="n">
        <f aca="false">INT(K1048*(0.6+MOD(A1048*43,21)/100))</f>
        <v>14975</v>
      </c>
      <c r="N1048" s="12" t="n">
        <f aca="false">K1048-M1048</f>
        <v>4224</v>
      </c>
    </row>
    <row r="1049" customFormat="false" ht="12.8" hidden="false" customHeight="false" outlineLevel="0" collapsed="false">
      <c r="A1049" s="10" t="n">
        <f aca="false">A1048+1</f>
        <v>1048</v>
      </c>
      <c r="B1049" s="11" t="n">
        <f aca="false">B1048+1</f>
        <v>45974</v>
      </c>
      <c r="C1049" s="10" t="n">
        <f aca="false">YEAR(B1049)</f>
        <v>2025</v>
      </c>
      <c r="D1049" s="10" t="n">
        <f aca="false">INT((MONTH(B1049)-1)/3)+1</f>
        <v>4</v>
      </c>
      <c r="E1049" s="10" t="n">
        <f aca="false">MONTH(B1049)</f>
        <v>11</v>
      </c>
      <c r="F1049" s="10" t="str">
        <f aca="false">CHOOSE(MOD(A1049-1,5)+1,"Центр","Юг","Север","Запад","Восток")</f>
        <v>Север</v>
      </c>
      <c r="G1049" s="10" t="str">
        <f aca="false">"Округ_"&amp;(MOD(A1049-1,5)+1)&amp;"_"&amp;(MOD(INT((A1049-1)/5),5)+1)</f>
        <v>Округ_3_5</v>
      </c>
      <c r="H1049" s="10" t="str">
        <f aca="false">"Город_"&amp;(MOD(A1049-1,5)+1)&amp;"_"&amp;(MOD(INT((A1049-1)/5),5)+1)&amp;"_"&amp;(MOD(INT((A1049-1)/25),10)+1)</f>
        <v>Город_3_5_2</v>
      </c>
      <c r="I1049" s="10" t="str">
        <f aca="false">CHOOSE(MOD(A1049-1,4)+1,"Электроника","Одежда","Продукты","Мебель")</f>
        <v>Мебель</v>
      </c>
      <c r="J1049" s="10" t="str">
        <f aca="false">CHOOSE(MOD(INT((A1049-1)/4),4)+1,CHOOSE(MOD(A1049-1,4)+1,"Смартфоны","Ноутбуки","Аксессуары","Аудио"),CHOOSE(MOD(A1049-1,4)+1,"Верхняя одежда","Спортивная","Повседневная","Обувь"),CHOOSE(MOD(A1049-1,4)+1,"Молочные","Мясные","Бакалея","Напитки"),CHOOSE(MOD(A1049-1,4)+1,"Мягкая мебель","Корпусная","Офисная","Кухонная"))</f>
        <v>Обувь</v>
      </c>
      <c r="K1049" s="12" t="n">
        <f aca="false">1000+MOD(A1049*317+A1049*A1049*7,49001)</f>
        <v>34181</v>
      </c>
      <c r="L1049" s="12" t="n">
        <f aca="false">1+MOD(A1049*131,100)</f>
        <v>89</v>
      </c>
      <c r="M1049" s="12" t="n">
        <f aca="false">INT(K1049*(0.6+MOD(A1049*43,21)/100))</f>
        <v>27002</v>
      </c>
      <c r="N1049" s="12" t="n">
        <f aca="false">K1049-M1049</f>
        <v>7179</v>
      </c>
    </row>
    <row r="1050" customFormat="false" ht="12.8" hidden="false" customHeight="false" outlineLevel="0" collapsed="false">
      <c r="A1050" s="10" t="n">
        <f aca="false">A1049+1</f>
        <v>1049</v>
      </c>
      <c r="B1050" s="11" t="n">
        <f aca="false">B1049+1</f>
        <v>45975</v>
      </c>
      <c r="C1050" s="10" t="n">
        <f aca="false">YEAR(B1050)</f>
        <v>2025</v>
      </c>
      <c r="D1050" s="10" t="n">
        <f aca="false">INT((MONTH(B1050)-1)/3)+1</f>
        <v>4</v>
      </c>
      <c r="E1050" s="10" t="n">
        <f aca="false">MONTH(B1050)</f>
        <v>11</v>
      </c>
      <c r="F1050" s="10" t="str">
        <f aca="false">CHOOSE(MOD(A1050-1,5)+1,"Центр","Юг","Север","Запад","Восток")</f>
        <v>Запад</v>
      </c>
      <c r="G1050" s="10" t="str">
        <f aca="false">"Округ_"&amp;(MOD(A1050-1,5)+1)&amp;"_"&amp;(MOD(INT((A1050-1)/5),5)+1)</f>
        <v>Округ_4_5</v>
      </c>
      <c r="H1050" s="10" t="str">
        <f aca="false">"Город_"&amp;(MOD(A1050-1,5)+1)&amp;"_"&amp;(MOD(INT((A1050-1)/5),5)+1)&amp;"_"&amp;(MOD(INT((A1050-1)/25),10)+1)</f>
        <v>Город_4_5_2</v>
      </c>
      <c r="I1050" s="10" t="str">
        <f aca="false">CHOOSE(MOD(A1050-1,4)+1,"Электроника","Одежда","Продукты","Мебель")</f>
        <v>Электроника</v>
      </c>
      <c r="J1050" s="10" t="str">
        <f aca="false">CHOOSE(MOD(INT((A1050-1)/4),4)+1,CHOOSE(MOD(A1050-1,4)+1,"Смартфоны","Ноутбуки","Аксессуары","Аудио"),CHOOSE(MOD(A1050-1,4)+1,"Верхняя одежда","Спортивная","Повседневная","Обувь"),CHOOSE(MOD(A1050-1,4)+1,"Молочные","Мясные","Бакалея","Напитки"),CHOOSE(MOD(A1050-1,4)+1,"Мягкая мебель","Корпусная","Офисная","Кухонная"))</f>
        <v>Молочные</v>
      </c>
      <c r="K1050" s="12" t="n">
        <f aca="false">1000+MOD(A1050*317+A1050*A1050*7,49001)</f>
        <v>49177</v>
      </c>
      <c r="L1050" s="12" t="n">
        <f aca="false">1+MOD(A1050*131,100)</f>
        <v>20</v>
      </c>
      <c r="M1050" s="12" t="n">
        <f aca="false">INT(K1050*(0.6+MOD(A1050*43,21)/100))</f>
        <v>39341</v>
      </c>
      <c r="N1050" s="12" t="n">
        <f aca="false">K1050-M1050</f>
        <v>9836</v>
      </c>
    </row>
    <row r="1051" customFormat="false" ht="12.8" hidden="false" customHeight="false" outlineLevel="0" collapsed="false">
      <c r="A1051" s="10" t="n">
        <f aca="false">A1050+1</f>
        <v>1050</v>
      </c>
      <c r="B1051" s="11" t="n">
        <f aca="false">B1050+1</f>
        <v>45976</v>
      </c>
      <c r="C1051" s="10" t="n">
        <f aca="false">YEAR(B1051)</f>
        <v>2025</v>
      </c>
      <c r="D1051" s="10" t="n">
        <f aca="false">INT((MONTH(B1051)-1)/3)+1</f>
        <v>4</v>
      </c>
      <c r="E1051" s="10" t="n">
        <f aca="false">MONTH(B1051)</f>
        <v>11</v>
      </c>
      <c r="F1051" s="10" t="str">
        <f aca="false">CHOOSE(MOD(A1051-1,5)+1,"Центр","Юг","Север","Запад","Восток")</f>
        <v>Восток</v>
      </c>
      <c r="G1051" s="10" t="str">
        <f aca="false">"Округ_"&amp;(MOD(A1051-1,5)+1)&amp;"_"&amp;(MOD(INT((A1051-1)/5),5)+1)</f>
        <v>Округ_5_5</v>
      </c>
      <c r="H1051" s="10" t="str">
        <f aca="false">"Город_"&amp;(MOD(A1051-1,5)+1)&amp;"_"&amp;(MOD(INT((A1051-1)/5),5)+1)&amp;"_"&amp;(MOD(INT((A1051-1)/25),10)+1)</f>
        <v>Город_5_5_2</v>
      </c>
      <c r="I1051" s="10" t="str">
        <f aca="false">CHOOSE(MOD(A1051-1,4)+1,"Электроника","Одежда","Продукты","Мебель")</f>
        <v>Одежда</v>
      </c>
      <c r="J1051" s="10" t="str">
        <f aca="false">CHOOSE(MOD(INT((A1051-1)/4),4)+1,CHOOSE(MOD(A1051-1,4)+1,"Смартфоны","Ноутбуки","Аксессуары","Аудио"),CHOOSE(MOD(A1051-1,4)+1,"Верхняя одежда","Спортивная","Повседневная","Обувь"),CHOOSE(MOD(A1051-1,4)+1,"Молочные","Мясные","Бакалея","Напитки"),CHOOSE(MOD(A1051-1,4)+1,"Мягкая мебель","Корпусная","Офисная","Кухонная"))</f>
        <v>Мясные</v>
      </c>
      <c r="K1051" s="12" t="n">
        <f aca="false">1000+MOD(A1051*317+A1051*A1051*7,49001)</f>
        <v>15186</v>
      </c>
      <c r="L1051" s="12" t="n">
        <f aca="false">1+MOD(A1051*131,100)</f>
        <v>51</v>
      </c>
      <c r="M1051" s="12" t="n">
        <f aca="false">INT(K1051*(0.6+MOD(A1051*43,21)/100))</f>
        <v>9111</v>
      </c>
      <c r="N1051" s="12" t="n">
        <f aca="false">K1051-M1051</f>
        <v>6075</v>
      </c>
    </row>
    <row r="1052" customFormat="false" ht="12.8" hidden="false" customHeight="false" outlineLevel="0" collapsed="false">
      <c r="A1052" s="10" t="n">
        <f aca="false">A1051+1</f>
        <v>1051</v>
      </c>
      <c r="B1052" s="11" t="n">
        <f aca="false">B1051+1</f>
        <v>45977</v>
      </c>
      <c r="C1052" s="10" t="n">
        <f aca="false">YEAR(B1052)</f>
        <v>2025</v>
      </c>
      <c r="D1052" s="10" t="n">
        <f aca="false">INT((MONTH(B1052)-1)/3)+1</f>
        <v>4</v>
      </c>
      <c r="E1052" s="10" t="n">
        <f aca="false">MONTH(B1052)</f>
        <v>11</v>
      </c>
      <c r="F1052" s="10" t="str">
        <f aca="false">CHOOSE(MOD(A1052-1,5)+1,"Центр","Юг","Север","Запад","Восток")</f>
        <v>Центр</v>
      </c>
      <c r="G1052" s="10" t="str">
        <f aca="false">"Округ_"&amp;(MOD(A1052-1,5)+1)&amp;"_"&amp;(MOD(INT((A1052-1)/5),5)+1)</f>
        <v>Округ_1_1</v>
      </c>
      <c r="H1052" s="10" t="str">
        <f aca="false">"Город_"&amp;(MOD(A1052-1,5)+1)&amp;"_"&amp;(MOD(INT((A1052-1)/5),5)+1)&amp;"_"&amp;(MOD(INT((A1052-1)/25),10)+1)</f>
        <v>Город_1_1_3</v>
      </c>
      <c r="I1052" s="10" t="str">
        <f aca="false">CHOOSE(MOD(A1052-1,4)+1,"Электроника","Одежда","Продукты","Мебель")</f>
        <v>Продукты</v>
      </c>
      <c r="J1052" s="10" t="str">
        <f aca="false">CHOOSE(MOD(INT((A1052-1)/4),4)+1,CHOOSE(MOD(A1052-1,4)+1,"Смартфоны","Ноутбуки","Аксессуары","Аудио"),CHOOSE(MOD(A1052-1,4)+1,"Верхняя одежда","Спортивная","Повседневная","Обувь"),CHOOSE(MOD(A1052-1,4)+1,"Молочные","Мясные","Бакалея","Напитки"),CHOOSE(MOD(A1052-1,4)+1,"Мягкая мебель","Корпусная","Офисная","Кухонная"))</f>
        <v>Бакалея</v>
      </c>
      <c r="K1052" s="12" t="n">
        <f aca="false">1000+MOD(A1052*317+A1052*A1052*7,49001)</f>
        <v>30210</v>
      </c>
      <c r="L1052" s="12" t="n">
        <f aca="false">1+MOD(A1052*131,100)</f>
        <v>82</v>
      </c>
      <c r="M1052" s="12" t="n">
        <f aca="false">INT(K1052*(0.6+MOD(A1052*43,21)/100))</f>
        <v>18428</v>
      </c>
      <c r="N1052" s="12" t="n">
        <f aca="false">K1052-M1052</f>
        <v>11782</v>
      </c>
    </row>
    <row r="1053" customFormat="false" ht="12.8" hidden="false" customHeight="false" outlineLevel="0" collapsed="false">
      <c r="A1053" s="10" t="n">
        <f aca="false">A1052+1</f>
        <v>1052</v>
      </c>
      <c r="B1053" s="11" t="n">
        <f aca="false">B1052+1</f>
        <v>45978</v>
      </c>
      <c r="C1053" s="10" t="n">
        <f aca="false">YEAR(B1053)</f>
        <v>2025</v>
      </c>
      <c r="D1053" s="10" t="n">
        <f aca="false">INT((MONTH(B1053)-1)/3)+1</f>
        <v>4</v>
      </c>
      <c r="E1053" s="10" t="n">
        <f aca="false">MONTH(B1053)</f>
        <v>11</v>
      </c>
      <c r="F1053" s="10" t="str">
        <f aca="false">CHOOSE(MOD(A1053-1,5)+1,"Центр","Юг","Север","Запад","Восток")</f>
        <v>Юг</v>
      </c>
      <c r="G1053" s="10" t="str">
        <f aca="false">"Округ_"&amp;(MOD(A1053-1,5)+1)&amp;"_"&amp;(MOD(INT((A1053-1)/5),5)+1)</f>
        <v>Округ_2_1</v>
      </c>
      <c r="H1053" s="10" t="str">
        <f aca="false">"Город_"&amp;(MOD(A1053-1,5)+1)&amp;"_"&amp;(MOD(INT((A1053-1)/5),5)+1)&amp;"_"&amp;(MOD(INT((A1053-1)/25),10)+1)</f>
        <v>Город_2_1_3</v>
      </c>
      <c r="I1053" s="10" t="str">
        <f aca="false">CHOOSE(MOD(A1053-1,4)+1,"Электроника","Одежда","Продукты","Мебель")</f>
        <v>Мебель</v>
      </c>
      <c r="J1053" s="10" t="str">
        <f aca="false">CHOOSE(MOD(INT((A1053-1)/4),4)+1,CHOOSE(MOD(A1053-1,4)+1,"Смартфоны","Ноутбуки","Аксессуары","Аудио"),CHOOSE(MOD(A1053-1,4)+1,"Верхняя одежда","Спортивная","Повседневная","Обувь"),CHOOSE(MOD(A1053-1,4)+1,"Молочные","Мясные","Бакалея","Напитки"),CHOOSE(MOD(A1053-1,4)+1,"Мягкая мебель","Корпусная","Офисная","Кухонная"))</f>
        <v>Напитки</v>
      </c>
      <c r="K1053" s="12" t="n">
        <f aca="false">1000+MOD(A1053*317+A1053*A1053*7,49001)</f>
        <v>45248</v>
      </c>
      <c r="L1053" s="12" t="n">
        <f aca="false">1+MOD(A1053*131,100)</f>
        <v>13</v>
      </c>
      <c r="M1053" s="12" t="n">
        <f aca="false">INT(K1053*(0.6+MOD(A1053*43,21)/100))</f>
        <v>28053</v>
      </c>
      <c r="N1053" s="12" t="n">
        <f aca="false">K1053-M1053</f>
        <v>17195</v>
      </c>
    </row>
    <row r="1054" customFormat="false" ht="12.8" hidden="false" customHeight="false" outlineLevel="0" collapsed="false">
      <c r="A1054" s="10" t="n">
        <f aca="false">A1053+1</f>
        <v>1053</v>
      </c>
      <c r="B1054" s="11" t="n">
        <f aca="false">B1053+1</f>
        <v>45979</v>
      </c>
      <c r="C1054" s="10" t="n">
        <f aca="false">YEAR(B1054)</f>
        <v>2025</v>
      </c>
      <c r="D1054" s="10" t="n">
        <f aca="false">INT((MONTH(B1054)-1)/3)+1</f>
        <v>4</v>
      </c>
      <c r="E1054" s="10" t="n">
        <f aca="false">MONTH(B1054)</f>
        <v>11</v>
      </c>
      <c r="F1054" s="10" t="str">
        <f aca="false">CHOOSE(MOD(A1054-1,5)+1,"Центр","Юг","Север","Запад","Восток")</f>
        <v>Север</v>
      </c>
      <c r="G1054" s="10" t="str">
        <f aca="false">"Округ_"&amp;(MOD(A1054-1,5)+1)&amp;"_"&amp;(MOD(INT((A1054-1)/5),5)+1)</f>
        <v>Округ_3_1</v>
      </c>
      <c r="H1054" s="10" t="str">
        <f aca="false">"Город_"&amp;(MOD(A1054-1,5)+1)&amp;"_"&amp;(MOD(INT((A1054-1)/5),5)+1)&amp;"_"&amp;(MOD(INT((A1054-1)/25),10)+1)</f>
        <v>Город_3_1_3</v>
      </c>
      <c r="I1054" s="10" t="str">
        <f aca="false">CHOOSE(MOD(A1054-1,4)+1,"Электроника","Одежда","Продукты","Мебель")</f>
        <v>Электроника</v>
      </c>
      <c r="J1054" s="10" t="str">
        <f aca="false">CHOOSE(MOD(INT((A1054-1)/4),4)+1,CHOOSE(MOD(A1054-1,4)+1,"Смартфоны","Ноутбуки","Аксессуары","Аудио"),CHOOSE(MOD(A1054-1,4)+1,"Верхняя одежда","Спортивная","Повседневная","Обувь"),CHOOSE(MOD(A1054-1,4)+1,"Молочные","Мясные","Бакалея","Напитки"),CHOOSE(MOD(A1054-1,4)+1,"Мягкая мебель","Корпусная","Офисная","Кухонная"))</f>
        <v>Мягкая мебель</v>
      </c>
      <c r="K1054" s="12" t="n">
        <f aca="false">1000+MOD(A1054*317+A1054*A1054*7,49001)</f>
        <v>11299</v>
      </c>
      <c r="L1054" s="12" t="n">
        <f aca="false">1+MOD(A1054*131,100)</f>
        <v>44</v>
      </c>
      <c r="M1054" s="12" t="n">
        <f aca="false">INT(K1054*(0.6+MOD(A1054*43,21)/100))</f>
        <v>7118</v>
      </c>
      <c r="N1054" s="12" t="n">
        <f aca="false">K1054-M1054</f>
        <v>4181</v>
      </c>
    </row>
    <row r="1055" customFormat="false" ht="12.8" hidden="false" customHeight="false" outlineLevel="0" collapsed="false">
      <c r="A1055" s="10" t="n">
        <f aca="false">A1054+1</f>
        <v>1054</v>
      </c>
      <c r="B1055" s="11" t="n">
        <f aca="false">B1054+1</f>
        <v>45980</v>
      </c>
      <c r="C1055" s="10" t="n">
        <f aca="false">YEAR(B1055)</f>
        <v>2025</v>
      </c>
      <c r="D1055" s="10" t="n">
        <f aca="false">INT((MONTH(B1055)-1)/3)+1</f>
        <v>4</v>
      </c>
      <c r="E1055" s="10" t="n">
        <f aca="false">MONTH(B1055)</f>
        <v>11</v>
      </c>
      <c r="F1055" s="10" t="str">
        <f aca="false">CHOOSE(MOD(A1055-1,5)+1,"Центр","Юг","Север","Запад","Восток")</f>
        <v>Запад</v>
      </c>
      <c r="G1055" s="10" t="str">
        <f aca="false">"Округ_"&amp;(MOD(A1055-1,5)+1)&amp;"_"&amp;(MOD(INT((A1055-1)/5),5)+1)</f>
        <v>Округ_4_1</v>
      </c>
      <c r="H1055" s="10" t="str">
        <f aca="false">"Город_"&amp;(MOD(A1055-1,5)+1)&amp;"_"&amp;(MOD(INT((A1055-1)/5),5)+1)&amp;"_"&amp;(MOD(INT((A1055-1)/25),10)+1)</f>
        <v>Город_4_1_3</v>
      </c>
      <c r="I1055" s="10" t="str">
        <f aca="false">CHOOSE(MOD(A1055-1,4)+1,"Электроника","Одежда","Продукты","Мебель")</f>
        <v>Одежда</v>
      </c>
      <c r="J1055" s="10" t="str">
        <f aca="false">CHOOSE(MOD(INT((A1055-1)/4),4)+1,CHOOSE(MOD(A1055-1,4)+1,"Смартфоны","Ноутбуки","Аксессуары","Аудио"),CHOOSE(MOD(A1055-1,4)+1,"Верхняя одежда","Спортивная","Повседневная","Обувь"),CHOOSE(MOD(A1055-1,4)+1,"Молочные","Мясные","Бакалея","Напитки"),CHOOSE(MOD(A1055-1,4)+1,"Мягкая мебель","Корпусная","Офисная","Кухонная"))</f>
        <v>Корпусная</v>
      </c>
      <c r="K1055" s="12" t="n">
        <f aca="false">1000+MOD(A1055*317+A1055*A1055*7,49001)</f>
        <v>26365</v>
      </c>
      <c r="L1055" s="12" t="n">
        <f aca="false">1+MOD(A1055*131,100)</f>
        <v>75</v>
      </c>
      <c r="M1055" s="12" t="n">
        <f aca="false">INT(K1055*(0.6+MOD(A1055*43,21)/100))</f>
        <v>16873</v>
      </c>
      <c r="N1055" s="12" t="n">
        <f aca="false">K1055-M1055</f>
        <v>9492</v>
      </c>
    </row>
    <row r="1056" customFormat="false" ht="12.8" hidden="false" customHeight="false" outlineLevel="0" collapsed="false">
      <c r="A1056" s="10" t="n">
        <f aca="false">A1055+1</f>
        <v>1055</v>
      </c>
      <c r="B1056" s="11" t="n">
        <f aca="false">B1055+1</f>
        <v>45981</v>
      </c>
      <c r="C1056" s="10" t="n">
        <f aca="false">YEAR(B1056)</f>
        <v>2025</v>
      </c>
      <c r="D1056" s="10" t="n">
        <f aca="false">INT((MONTH(B1056)-1)/3)+1</f>
        <v>4</v>
      </c>
      <c r="E1056" s="10" t="n">
        <f aca="false">MONTH(B1056)</f>
        <v>11</v>
      </c>
      <c r="F1056" s="10" t="str">
        <f aca="false">CHOOSE(MOD(A1056-1,5)+1,"Центр","Юг","Север","Запад","Восток")</f>
        <v>Восток</v>
      </c>
      <c r="G1056" s="10" t="str">
        <f aca="false">"Округ_"&amp;(MOD(A1056-1,5)+1)&amp;"_"&amp;(MOD(INT((A1056-1)/5),5)+1)</f>
        <v>Округ_5_1</v>
      </c>
      <c r="H1056" s="10" t="str">
        <f aca="false">"Город_"&amp;(MOD(A1056-1,5)+1)&amp;"_"&amp;(MOD(INT((A1056-1)/5),5)+1)&amp;"_"&amp;(MOD(INT((A1056-1)/25),10)+1)</f>
        <v>Город_5_1_3</v>
      </c>
      <c r="I1056" s="10" t="str">
        <f aca="false">CHOOSE(MOD(A1056-1,4)+1,"Электроника","Одежда","Продукты","Мебель")</f>
        <v>Продукты</v>
      </c>
      <c r="J1056" s="10" t="str">
        <f aca="false">CHOOSE(MOD(INT((A1056-1)/4),4)+1,CHOOSE(MOD(A1056-1,4)+1,"Смартфоны","Ноутбуки","Аксессуары","Аудио"),CHOOSE(MOD(A1056-1,4)+1,"Верхняя одежда","Спортивная","Повседневная","Обувь"),CHOOSE(MOD(A1056-1,4)+1,"Молочные","Мясные","Бакалея","Напитки"),CHOOSE(MOD(A1056-1,4)+1,"Мягкая мебель","Корпусная","Офисная","Кухонная"))</f>
        <v>Офисная</v>
      </c>
      <c r="K1056" s="12" t="n">
        <f aca="false">1000+MOD(A1056*317+A1056*A1056*7,49001)</f>
        <v>41445</v>
      </c>
      <c r="L1056" s="12" t="n">
        <f aca="false">1+MOD(A1056*131,100)</f>
        <v>6</v>
      </c>
      <c r="M1056" s="12" t="n">
        <f aca="false">INT(K1056*(0.6+MOD(A1056*43,21)/100))</f>
        <v>26939</v>
      </c>
      <c r="N1056" s="12" t="n">
        <f aca="false">K1056-M1056</f>
        <v>14506</v>
      </c>
    </row>
    <row r="1057" customFormat="false" ht="12.8" hidden="false" customHeight="false" outlineLevel="0" collapsed="false">
      <c r="A1057" s="10" t="n">
        <f aca="false">A1056+1</f>
        <v>1056</v>
      </c>
      <c r="B1057" s="11" t="n">
        <f aca="false">B1056+1</f>
        <v>45982</v>
      </c>
      <c r="C1057" s="10" t="n">
        <f aca="false">YEAR(B1057)</f>
        <v>2025</v>
      </c>
      <c r="D1057" s="10" t="n">
        <f aca="false">INT((MONTH(B1057)-1)/3)+1</f>
        <v>4</v>
      </c>
      <c r="E1057" s="10" t="n">
        <f aca="false">MONTH(B1057)</f>
        <v>11</v>
      </c>
      <c r="F1057" s="10" t="str">
        <f aca="false">CHOOSE(MOD(A1057-1,5)+1,"Центр","Юг","Север","Запад","Восток")</f>
        <v>Центр</v>
      </c>
      <c r="G1057" s="10" t="str">
        <f aca="false">"Округ_"&amp;(MOD(A1057-1,5)+1)&amp;"_"&amp;(MOD(INT((A1057-1)/5),5)+1)</f>
        <v>Округ_1_2</v>
      </c>
      <c r="H1057" s="10" t="str">
        <f aca="false">"Город_"&amp;(MOD(A1057-1,5)+1)&amp;"_"&amp;(MOD(INT((A1057-1)/5),5)+1)&amp;"_"&amp;(MOD(INT((A1057-1)/25),10)+1)</f>
        <v>Город_1_2_3</v>
      </c>
      <c r="I1057" s="10" t="str">
        <f aca="false">CHOOSE(MOD(A1057-1,4)+1,"Электроника","Одежда","Продукты","Мебель")</f>
        <v>Мебель</v>
      </c>
      <c r="J1057" s="10" t="str">
        <f aca="false">CHOOSE(MOD(INT((A1057-1)/4),4)+1,CHOOSE(MOD(A1057-1,4)+1,"Смартфоны","Ноутбуки","Аксессуары","Аудио"),CHOOSE(MOD(A1057-1,4)+1,"Верхняя одежда","Спортивная","Повседневная","Обувь"),CHOOSE(MOD(A1057-1,4)+1,"Молочные","Мясные","Бакалея","Напитки"),CHOOSE(MOD(A1057-1,4)+1,"Мягкая мебель","Корпусная","Офисная","Кухонная"))</f>
        <v>Кухонная</v>
      </c>
      <c r="K1057" s="12" t="n">
        <f aca="false">1000+MOD(A1057*317+A1057*A1057*7,49001)</f>
        <v>7538</v>
      </c>
      <c r="L1057" s="12" t="n">
        <f aca="false">1+MOD(A1057*131,100)</f>
        <v>37</v>
      </c>
      <c r="M1057" s="12" t="n">
        <f aca="false">INT(K1057*(0.6+MOD(A1057*43,21)/100))</f>
        <v>4975</v>
      </c>
      <c r="N1057" s="12" t="n">
        <f aca="false">K1057-M1057</f>
        <v>2563</v>
      </c>
    </row>
    <row r="1058" customFormat="false" ht="12.8" hidden="false" customHeight="false" outlineLevel="0" collapsed="false">
      <c r="A1058" s="10" t="n">
        <f aca="false">A1057+1</f>
        <v>1057</v>
      </c>
      <c r="B1058" s="11" t="n">
        <f aca="false">B1057+1</f>
        <v>45983</v>
      </c>
      <c r="C1058" s="10" t="n">
        <f aca="false">YEAR(B1058)</f>
        <v>2025</v>
      </c>
      <c r="D1058" s="10" t="n">
        <f aca="false">INT((MONTH(B1058)-1)/3)+1</f>
        <v>4</v>
      </c>
      <c r="E1058" s="10" t="n">
        <f aca="false">MONTH(B1058)</f>
        <v>11</v>
      </c>
      <c r="F1058" s="10" t="str">
        <f aca="false">CHOOSE(MOD(A1058-1,5)+1,"Центр","Юг","Север","Запад","Восток")</f>
        <v>Юг</v>
      </c>
      <c r="G1058" s="10" t="str">
        <f aca="false">"Округ_"&amp;(MOD(A1058-1,5)+1)&amp;"_"&amp;(MOD(INT((A1058-1)/5),5)+1)</f>
        <v>Округ_2_2</v>
      </c>
      <c r="H1058" s="10" t="str">
        <f aca="false">"Город_"&amp;(MOD(A1058-1,5)+1)&amp;"_"&amp;(MOD(INT((A1058-1)/5),5)+1)&amp;"_"&amp;(MOD(INT((A1058-1)/25),10)+1)</f>
        <v>Город_2_2_3</v>
      </c>
      <c r="I1058" s="10" t="str">
        <f aca="false">CHOOSE(MOD(A1058-1,4)+1,"Электроника","Одежда","Продукты","Мебель")</f>
        <v>Электроника</v>
      </c>
      <c r="J1058" s="10" t="str">
        <f aca="false">CHOOSE(MOD(INT((A1058-1)/4),4)+1,CHOOSE(MOD(A1058-1,4)+1,"Смартфоны","Ноутбуки","Аксессуары","Аудио"),CHOOSE(MOD(A1058-1,4)+1,"Верхняя одежда","Спортивная","Повседневная","Обувь"),CHOOSE(MOD(A1058-1,4)+1,"Молочные","Мясные","Бакалея","Напитки"),CHOOSE(MOD(A1058-1,4)+1,"Мягкая мебель","Корпусная","Офисная","Кухонная"))</f>
        <v>Смартфоны</v>
      </c>
      <c r="K1058" s="12" t="n">
        <f aca="false">1000+MOD(A1058*317+A1058*A1058*7,49001)</f>
        <v>22646</v>
      </c>
      <c r="L1058" s="12" t="n">
        <f aca="false">1+MOD(A1058*131,100)</f>
        <v>68</v>
      </c>
      <c r="M1058" s="12" t="n">
        <f aca="false">INT(K1058*(0.6+MOD(A1058*43,21)/100))</f>
        <v>15172</v>
      </c>
      <c r="N1058" s="12" t="n">
        <f aca="false">K1058-M1058</f>
        <v>7474</v>
      </c>
    </row>
    <row r="1059" customFormat="false" ht="12.8" hidden="false" customHeight="false" outlineLevel="0" collapsed="false">
      <c r="A1059" s="10" t="n">
        <f aca="false">A1058+1</f>
        <v>1058</v>
      </c>
      <c r="B1059" s="11" t="n">
        <f aca="false">B1058+1</f>
        <v>45984</v>
      </c>
      <c r="C1059" s="10" t="n">
        <f aca="false">YEAR(B1059)</f>
        <v>2025</v>
      </c>
      <c r="D1059" s="10" t="n">
        <f aca="false">INT((MONTH(B1059)-1)/3)+1</f>
        <v>4</v>
      </c>
      <c r="E1059" s="10" t="n">
        <f aca="false">MONTH(B1059)</f>
        <v>11</v>
      </c>
      <c r="F1059" s="10" t="str">
        <f aca="false">CHOOSE(MOD(A1059-1,5)+1,"Центр","Юг","Север","Запад","Восток")</f>
        <v>Север</v>
      </c>
      <c r="G1059" s="10" t="str">
        <f aca="false">"Округ_"&amp;(MOD(A1059-1,5)+1)&amp;"_"&amp;(MOD(INT((A1059-1)/5),5)+1)</f>
        <v>Округ_3_2</v>
      </c>
      <c r="H1059" s="10" t="str">
        <f aca="false">"Город_"&amp;(MOD(A1059-1,5)+1)&amp;"_"&amp;(MOD(INT((A1059-1)/5),5)+1)&amp;"_"&amp;(MOD(INT((A1059-1)/25),10)+1)</f>
        <v>Город_3_2_3</v>
      </c>
      <c r="I1059" s="10" t="str">
        <f aca="false">CHOOSE(MOD(A1059-1,4)+1,"Электроника","Одежда","Продукты","Мебель")</f>
        <v>Одежда</v>
      </c>
      <c r="J1059" s="10" t="str">
        <f aca="false">CHOOSE(MOD(INT((A1059-1)/4),4)+1,CHOOSE(MOD(A1059-1,4)+1,"Смартфоны","Ноутбуки","Аксессуары","Аудио"),CHOOSE(MOD(A1059-1,4)+1,"Верхняя одежда","Спортивная","Повседневная","Обувь"),CHOOSE(MOD(A1059-1,4)+1,"Молочные","Мясные","Бакалея","Напитки"),CHOOSE(MOD(A1059-1,4)+1,"Мягкая мебель","Корпусная","Офисная","Кухонная"))</f>
        <v>Ноутбуки</v>
      </c>
      <c r="K1059" s="12" t="n">
        <f aca="false">1000+MOD(A1059*317+A1059*A1059*7,49001)</f>
        <v>37768</v>
      </c>
      <c r="L1059" s="12" t="n">
        <f aca="false">1+MOD(A1059*131,100)</f>
        <v>99</v>
      </c>
      <c r="M1059" s="12" t="n">
        <f aca="false">INT(K1059*(0.6+MOD(A1059*43,21)/100))</f>
        <v>25682</v>
      </c>
      <c r="N1059" s="12" t="n">
        <f aca="false">K1059-M1059</f>
        <v>12086</v>
      </c>
    </row>
    <row r="1060" customFormat="false" ht="12.8" hidden="false" customHeight="false" outlineLevel="0" collapsed="false">
      <c r="A1060" s="10" t="n">
        <f aca="false">A1059+1</f>
        <v>1059</v>
      </c>
      <c r="B1060" s="11" t="n">
        <f aca="false">B1059+1</f>
        <v>45985</v>
      </c>
      <c r="C1060" s="10" t="n">
        <f aca="false">YEAR(B1060)</f>
        <v>2025</v>
      </c>
      <c r="D1060" s="10" t="n">
        <f aca="false">INT((MONTH(B1060)-1)/3)+1</f>
        <v>4</v>
      </c>
      <c r="E1060" s="10" t="n">
        <f aca="false">MONTH(B1060)</f>
        <v>11</v>
      </c>
      <c r="F1060" s="10" t="str">
        <f aca="false">CHOOSE(MOD(A1060-1,5)+1,"Центр","Юг","Север","Запад","Восток")</f>
        <v>Запад</v>
      </c>
      <c r="G1060" s="10" t="str">
        <f aca="false">"Округ_"&amp;(MOD(A1060-1,5)+1)&amp;"_"&amp;(MOD(INT((A1060-1)/5),5)+1)</f>
        <v>Округ_4_2</v>
      </c>
      <c r="H1060" s="10" t="str">
        <f aca="false">"Город_"&amp;(MOD(A1060-1,5)+1)&amp;"_"&amp;(MOD(INT((A1060-1)/5),5)+1)&amp;"_"&amp;(MOD(INT((A1060-1)/25),10)+1)</f>
        <v>Город_4_2_3</v>
      </c>
      <c r="I1060" s="10" t="str">
        <f aca="false">CHOOSE(MOD(A1060-1,4)+1,"Электроника","Одежда","Продукты","Мебель")</f>
        <v>Продукты</v>
      </c>
      <c r="J1060" s="10" t="str">
        <f aca="false">CHOOSE(MOD(INT((A1060-1)/4),4)+1,CHOOSE(MOD(A1060-1,4)+1,"Смартфоны","Ноутбуки","Аксессуары","Аудио"),CHOOSE(MOD(A1060-1,4)+1,"Верхняя одежда","Спортивная","Повседневная","Обувь"),CHOOSE(MOD(A1060-1,4)+1,"Молочные","Мясные","Бакалея","Напитки"),CHOOSE(MOD(A1060-1,4)+1,"Мягкая мебель","Корпусная","Офисная","Кухонная"))</f>
        <v>Аксессуары</v>
      </c>
      <c r="K1060" s="12" t="n">
        <f aca="false">1000+MOD(A1060*317+A1060*A1060*7,49001)</f>
        <v>3903</v>
      </c>
      <c r="L1060" s="12" t="n">
        <f aca="false">1+MOD(A1060*131,100)</f>
        <v>30</v>
      </c>
      <c r="M1060" s="12" t="n">
        <f aca="false">INT(K1060*(0.6+MOD(A1060*43,21)/100))</f>
        <v>2693</v>
      </c>
      <c r="N1060" s="12" t="n">
        <f aca="false">K1060-M1060</f>
        <v>1210</v>
      </c>
    </row>
    <row r="1061" customFormat="false" ht="12.8" hidden="false" customHeight="false" outlineLevel="0" collapsed="false">
      <c r="A1061" s="10" t="n">
        <f aca="false">A1060+1</f>
        <v>1060</v>
      </c>
      <c r="B1061" s="11" t="n">
        <f aca="false">B1060+1</f>
        <v>45986</v>
      </c>
      <c r="C1061" s="10" t="n">
        <f aca="false">YEAR(B1061)</f>
        <v>2025</v>
      </c>
      <c r="D1061" s="10" t="n">
        <f aca="false">INT((MONTH(B1061)-1)/3)+1</f>
        <v>4</v>
      </c>
      <c r="E1061" s="10" t="n">
        <f aca="false">MONTH(B1061)</f>
        <v>11</v>
      </c>
      <c r="F1061" s="10" t="str">
        <f aca="false">CHOOSE(MOD(A1061-1,5)+1,"Центр","Юг","Север","Запад","Восток")</f>
        <v>Восток</v>
      </c>
      <c r="G1061" s="10" t="str">
        <f aca="false">"Округ_"&amp;(MOD(A1061-1,5)+1)&amp;"_"&amp;(MOD(INT((A1061-1)/5),5)+1)</f>
        <v>Округ_5_2</v>
      </c>
      <c r="H1061" s="10" t="str">
        <f aca="false">"Город_"&amp;(MOD(A1061-1,5)+1)&amp;"_"&amp;(MOD(INT((A1061-1)/5),5)+1)&amp;"_"&amp;(MOD(INT((A1061-1)/25),10)+1)</f>
        <v>Город_5_2_3</v>
      </c>
      <c r="I1061" s="10" t="str">
        <f aca="false">CHOOSE(MOD(A1061-1,4)+1,"Электроника","Одежда","Продукты","Мебель")</f>
        <v>Мебель</v>
      </c>
      <c r="J1061" s="10" t="str">
        <f aca="false">CHOOSE(MOD(INT((A1061-1)/4),4)+1,CHOOSE(MOD(A1061-1,4)+1,"Смартфоны","Ноутбуки","Аксессуары","Аудио"),CHOOSE(MOD(A1061-1,4)+1,"Верхняя одежда","Спортивная","Повседневная","Обувь"),CHOOSE(MOD(A1061-1,4)+1,"Молочные","Мясные","Бакалея","Напитки"),CHOOSE(MOD(A1061-1,4)+1,"Мягкая мебель","Корпусная","Офисная","Кухонная"))</f>
        <v>Аудио</v>
      </c>
      <c r="K1061" s="12" t="n">
        <f aca="false">1000+MOD(A1061*317+A1061*A1061*7,49001)</f>
        <v>19053</v>
      </c>
      <c r="L1061" s="12" t="n">
        <f aca="false">1+MOD(A1061*131,100)</f>
        <v>61</v>
      </c>
      <c r="M1061" s="12" t="n">
        <f aca="false">INT(K1061*(0.6+MOD(A1061*43,21)/100))</f>
        <v>13337</v>
      </c>
      <c r="N1061" s="12" t="n">
        <f aca="false">K1061-M1061</f>
        <v>5716</v>
      </c>
    </row>
    <row r="1062" customFormat="false" ht="12.8" hidden="false" customHeight="false" outlineLevel="0" collapsed="false">
      <c r="A1062" s="10" t="n">
        <f aca="false">A1061+1</f>
        <v>1061</v>
      </c>
      <c r="B1062" s="11" t="n">
        <f aca="false">B1061+1</f>
        <v>45987</v>
      </c>
      <c r="C1062" s="10" t="n">
        <f aca="false">YEAR(B1062)</f>
        <v>2025</v>
      </c>
      <c r="D1062" s="10" t="n">
        <f aca="false">INT((MONTH(B1062)-1)/3)+1</f>
        <v>4</v>
      </c>
      <c r="E1062" s="10" t="n">
        <f aca="false">MONTH(B1062)</f>
        <v>11</v>
      </c>
      <c r="F1062" s="10" t="str">
        <f aca="false">CHOOSE(MOD(A1062-1,5)+1,"Центр","Юг","Север","Запад","Восток")</f>
        <v>Центр</v>
      </c>
      <c r="G1062" s="10" t="str">
        <f aca="false">"Округ_"&amp;(MOD(A1062-1,5)+1)&amp;"_"&amp;(MOD(INT((A1062-1)/5),5)+1)</f>
        <v>Округ_1_3</v>
      </c>
      <c r="H1062" s="10" t="str">
        <f aca="false">"Город_"&amp;(MOD(A1062-1,5)+1)&amp;"_"&amp;(MOD(INT((A1062-1)/5),5)+1)&amp;"_"&amp;(MOD(INT((A1062-1)/25),10)+1)</f>
        <v>Город_1_3_3</v>
      </c>
      <c r="I1062" s="10" t="str">
        <f aca="false">CHOOSE(MOD(A1062-1,4)+1,"Электроника","Одежда","Продукты","Мебель")</f>
        <v>Электроника</v>
      </c>
      <c r="J1062" s="10" t="str">
        <f aca="false">CHOOSE(MOD(INT((A1062-1)/4),4)+1,CHOOSE(MOD(A1062-1,4)+1,"Смартфоны","Ноутбуки","Аксессуары","Аудио"),CHOOSE(MOD(A1062-1,4)+1,"Верхняя одежда","Спортивная","Повседневная","Обувь"),CHOOSE(MOD(A1062-1,4)+1,"Молочные","Мясные","Бакалея","Напитки"),CHOOSE(MOD(A1062-1,4)+1,"Мягкая мебель","Корпусная","Офисная","Кухонная"))</f>
        <v>Верхняя одежда</v>
      </c>
      <c r="K1062" s="12" t="n">
        <f aca="false">1000+MOD(A1062*317+A1062*A1062*7,49001)</f>
        <v>34217</v>
      </c>
      <c r="L1062" s="12" t="n">
        <f aca="false">1+MOD(A1062*131,100)</f>
        <v>92</v>
      </c>
      <c r="M1062" s="12" t="n">
        <f aca="false">INT(K1062*(0.6+MOD(A1062*43,21)/100))</f>
        <v>24294</v>
      </c>
      <c r="N1062" s="12" t="n">
        <f aca="false">K1062-M1062</f>
        <v>9923</v>
      </c>
    </row>
    <row r="1063" customFormat="false" ht="12.8" hidden="false" customHeight="false" outlineLevel="0" collapsed="false">
      <c r="A1063" s="10" t="n">
        <f aca="false">A1062+1</f>
        <v>1062</v>
      </c>
      <c r="B1063" s="11" t="n">
        <f aca="false">B1062+1</f>
        <v>45988</v>
      </c>
      <c r="C1063" s="10" t="n">
        <f aca="false">YEAR(B1063)</f>
        <v>2025</v>
      </c>
      <c r="D1063" s="10" t="n">
        <f aca="false">INT((MONTH(B1063)-1)/3)+1</f>
        <v>4</v>
      </c>
      <c r="E1063" s="10" t="n">
        <f aca="false">MONTH(B1063)</f>
        <v>11</v>
      </c>
      <c r="F1063" s="10" t="str">
        <f aca="false">CHOOSE(MOD(A1063-1,5)+1,"Центр","Юг","Север","Запад","Восток")</f>
        <v>Юг</v>
      </c>
      <c r="G1063" s="10" t="str">
        <f aca="false">"Округ_"&amp;(MOD(A1063-1,5)+1)&amp;"_"&amp;(MOD(INT((A1063-1)/5),5)+1)</f>
        <v>Округ_2_3</v>
      </c>
      <c r="H1063" s="10" t="str">
        <f aca="false">"Город_"&amp;(MOD(A1063-1,5)+1)&amp;"_"&amp;(MOD(INT((A1063-1)/5),5)+1)&amp;"_"&amp;(MOD(INT((A1063-1)/25),10)+1)</f>
        <v>Город_2_3_3</v>
      </c>
      <c r="I1063" s="10" t="str">
        <f aca="false">CHOOSE(MOD(A1063-1,4)+1,"Электроника","Одежда","Продукты","Мебель")</f>
        <v>Одежда</v>
      </c>
      <c r="J1063" s="10" t="str">
        <f aca="false">CHOOSE(MOD(INT((A1063-1)/4),4)+1,CHOOSE(MOD(A1063-1,4)+1,"Смартфоны","Ноутбуки","Аксессуары","Аудио"),CHOOSE(MOD(A1063-1,4)+1,"Верхняя одежда","Спортивная","Повседневная","Обувь"),CHOOSE(MOD(A1063-1,4)+1,"Молочные","Мясные","Бакалея","Напитки"),CHOOSE(MOD(A1063-1,4)+1,"Мягкая мебель","Корпусная","Офисная","Кухонная"))</f>
        <v>Спортивная</v>
      </c>
      <c r="K1063" s="12" t="n">
        <f aca="false">1000+MOD(A1063*317+A1063*A1063*7,49001)</f>
        <v>49395</v>
      </c>
      <c r="L1063" s="12" t="n">
        <f aca="false">1+MOD(A1063*131,100)</f>
        <v>23</v>
      </c>
      <c r="M1063" s="12" t="n">
        <f aca="false">INT(K1063*(0.6+MOD(A1063*43,21)/100))</f>
        <v>35564</v>
      </c>
      <c r="N1063" s="12" t="n">
        <f aca="false">K1063-M1063</f>
        <v>13831</v>
      </c>
    </row>
    <row r="1064" customFormat="false" ht="12.8" hidden="false" customHeight="false" outlineLevel="0" collapsed="false">
      <c r="A1064" s="10" t="n">
        <f aca="false">A1063+1</f>
        <v>1063</v>
      </c>
      <c r="B1064" s="11" t="n">
        <f aca="false">B1063+1</f>
        <v>45989</v>
      </c>
      <c r="C1064" s="10" t="n">
        <f aca="false">YEAR(B1064)</f>
        <v>2025</v>
      </c>
      <c r="D1064" s="10" t="n">
        <f aca="false">INT((MONTH(B1064)-1)/3)+1</f>
        <v>4</v>
      </c>
      <c r="E1064" s="10" t="n">
        <f aca="false">MONTH(B1064)</f>
        <v>11</v>
      </c>
      <c r="F1064" s="10" t="str">
        <f aca="false">CHOOSE(MOD(A1064-1,5)+1,"Центр","Юг","Север","Запад","Восток")</f>
        <v>Север</v>
      </c>
      <c r="G1064" s="10" t="str">
        <f aca="false">"Округ_"&amp;(MOD(A1064-1,5)+1)&amp;"_"&amp;(MOD(INT((A1064-1)/5),5)+1)</f>
        <v>Округ_3_3</v>
      </c>
      <c r="H1064" s="10" t="str">
        <f aca="false">"Город_"&amp;(MOD(A1064-1,5)+1)&amp;"_"&amp;(MOD(INT((A1064-1)/5),5)+1)&amp;"_"&amp;(MOD(INT((A1064-1)/25),10)+1)</f>
        <v>Город_3_3_3</v>
      </c>
      <c r="I1064" s="10" t="str">
        <f aca="false">CHOOSE(MOD(A1064-1,4)+1,"Электроника","Одежда","Продукты","Мебель")</f>
        <v>Продукты</v>
      </c>
      <c r="J1064" s="10" t="str">
        <f aca="false">CHOOSE(MOD(INT((A1064-1)/4),4)+1,CHOOSE(MOD(A1064-1,4)+1,"Смартфоны","Ноутбуки","Аксессуары","Аудио"),CHOOSE(MOD(A1064-1,4)+1,"Верхняя одежда","Спортивная","Повседневная","Обувь"),CHOOSE(MOD(A1064-1,4)+1,"Молочные","Мясные","Бакалея","Напитки"),CHOOSE(MOD(A1064-1,4)+1,"Мягкая мебель","Корпусная","Офисная","Кухонная"))</f>
        <v>Повседневная</v>
      </c>
      <c r="K1064" s="12" t="n">
        <f aca="false">1000+MOD(A1064*317+A1064*A1064*7,49001)</f>
        <v>15586</v>
      </c>
      <c r="L1064" s="12" t="n">
        <f aca="false">1+MOD(A1064*131,100)</f>
        <v>54</v>
      </c>
      <c r="M1064" s="12" t="n">
        <f aca="false">INT(K1064*(0.6+MOD(A1064*43,21)/100))</f>
        <v>11377</v>
      </c>
      <c r="N1064" s="12" t="n">
        <f aca="false">K1064-M1064</f>
        <v>4209</v>
      </c>
    </row>
    <row r="1065" customFormat="false" ht="12.8" hidden="false" customHeight="false" outlineLevel="0" collapsed="false">
      <c r="A1065" s="10" t="n">
        <f aca="false">A1064+1</f>
        <v>1064</v>
      </c>
      <c r="B1065" s="11" t="n">
        <f aca="false">B1064+1</f>
        <v>45990</v>
      </c>
      <c r="C1065" s="10" t="n">
        <f aca="false">YEAR(B1065)</f>
        <v>2025</v>
      </c>
      <c r="D1065" s="10" t="n">
        <f aca="false">INT((MONTH(B1065)-1)/3)+1</f>
        <v>4</v>
      </c>
      <c r="E1065" s="10" t="n">
        <f aca="false">MONTH(B1065)</f>
        <v>11</v>
      </c>
      <c r="F1065" s="10" t="str">
        <f aca="false">CHOOSE(MOD(A1065-1,5)+1,"Центр","Юг","Север","Запад","Восток")</f>
        <v>Запад</v>
      </c>
      <c r="G1065" s="10" t="str">
        <f aca="false">"Округ_"&amp;(MOD(A1065-1,5)+1)&amp;"_"&amp;(MOD(INT((A1065-1)/5),5)+1)</f>
        <v>Округ_4_3</v>
      </c>
      <c r="H1065" s="10" t="str">
        <f aca="false">"Город_"&amp;(MOD(A1065-1,5)+1)&amp;"_"&amp;(MOD(INT((A1065-1)/5),5)+1)&amp;"_"&amp;(MOD(INT((A1065-1)/25),10)+1)</f>
        <v>Город_4_3_3</v>
      </c>
      <c r="I1065" s="10" t="str">
        <f aca="false">CHOOSE(MOD(A1065-1,4)+1,"Электроника","Одежда","Продукты","Мебель")</f>
        <v>Мебель</v>
      </c>
      <c r="J1065" s="10" t="str">
        <f aca="false">CHOOSE(MOD(INT((A1065-1)/4),4)+1,CHOOSE(MOD(A1065-1,4)+1,"Смартфоны","Ноутбуки","Аксессуары","Аудио"),CHOOSE(MOD(A1065-1,4)+1,"Верхняя одежда","Спортивная","Повседневная","Обувь"),CHOOSE(MOD(A1065-1,4)+1,"Молочные","Мясные","Бакалея","Напитки"),CHOOSE(MOD(A1065-1,4)+1,"Мягкая мебель","Корпусная","Офисная","Кухонная"))</f>
        <v>Обувь</v>
      </c>
      <c r="K1065" s="12" t="n">
        <f aca="false">1000+MOD(A1065*317+A1065*A1065*7,49001)</f>
        <v>30792</v>
      </c>
      <c r="L1065" s="12" t="n">
        <f aca="false">1+MOD(A1065*131,100)</f>
        <v>85</v>
      </c>
      <c r="M1065" s="12" t="n">
        <f aca="false">INT(K1065*(0.6+MOD(A1065*43,21)/100))</f>
        <v>22786</v>
      </c>
      <c r="N1065" s="12" t="n">
        <f aca="false">K1065-M1065</f>
        <v>8006</v>
      </c>
    </row>
    <row r="1066" customFormat="false" ht="12.8" hidden="false" customHeight="false" outlineLevel="0" collapsed="false">
      <c r="A1066" s="10" t="n">
        <f aca="false">A1065+1</f>
        <v>1065</v>
      </c>
      <c r="B1066" s="11" t="n">
        <f aca="false">B1065+1</f>
        <v>45991</v>
      </c>
      <c r="C1066" s="10" t="n">
        <f aca="false">YEAR(B1066)</f>
        <v>2025</v>
      </c>
      <c r="D1066" s="10" t="n">
        <f aca="false">INT((MONTH(B1066)-1)/3)+1</f>
        <v>4</v>
      </c>
      <c r="E1066" s="10" t="n">
        <f aca="false">MONTH(B1066)</f>
        <v>11</v>
      </c>
      <c r="F1066" s="10" t="str">
        <f aca="false">CHOOSE(MOD(A1066-1,5)+1,"Центр","Юг","Север","Запад","Восток")</f>
        <v>Восток</v>
      </c>
      <c r="G1066" s="10" t="str">
        <f aca="false">"Округ_"&amp;(MOD(A1066-1,5)+1)&amp;"_"&amp;(MOD(INT((A1066-1)/5),5)+1)</f>
        <v>Округ_5_3</v>
      </c>
      <c r="H1066" s="10" t="str">
        <f aca="false">"Город_"&amp;(MOD(A1066-1,5)+1)&amp;"_"&amp;(MOD(INT((A1066-1)/5),5)+1)&amp;"_"&amp;(MOD(INT((A1066-1)/25),10)+1)</f>
        <v>Город_5_3_3</v>
      </c>
      <c r="I1066" s="10" t="str">
        <f aca="false">CHOOSE(MOD(A1066-1,4)+1,"Электроника","Одежда","Продукты","Мебель")</f>
        <v>Электроника</v>
      </c>
      <c r="J1066" s="10" t="str">
        <f aca="false">CHOOSE(MOD(INT((A1066-1)/4),4)+1,CHOOSE(MOD(A1066-1,4)+1,"Смартфоны","Ноутбуки","Аксессуары","Аудио"),CHOOSE(MOD(A1066-1,4)+1,"Верхняя одежда","Спортивная","Повседневная","Обувь"),CHOOSE(MOD(A1066-1,4)+1,"Молочные","Мясные","Бакалея","Напитки"),CHOOSE(MOD(A1066-1,4)+1,"Мягкая мебель","Корпусная","Офисная","Кухонная"))</f>
        <v>Молочные</v>
      </c>
      <c r="K1066" s="12" t="n">
        <f aca="false">1000+MOD(A1066*317+A1066*A1066*7,49001)</f>
        <v>46012</v>
      </c>
      <c r="L1066" s="12" t="n">
        <f aca="false">1+MOD(A1066*131,100)</f>
        <v>16</v>
      </c>
      <c r="M1066" s="12" t="n">
        <f aca="false">INT(K1066*(0.6+MOD(A1066*43,21)/100))</f>
        <v>34509</v>
      </c>
      <c r="N1066" s="12" t="n">
        <f aca="false">K1066-M1066</f>
        <v>11503</v>
      </c>
    </row>
    <row r="1067" customFormat="false" ht="12.8" hidden="false" customHeight="false" outlineLevel="0" collapsed="false">
      <c r="A1067" s="10" t="n">
        <f aca="false">A1066+1</f>
        <v>1066</v>
      </c>
      <c r="B1067" s="11" t="n">
        <f aca="false">B1066+1</f>
        <v>45992</v>
      </c>
      <c r="C1067" s="10" t="n">
        <f aca="false">YEAR(B1067)</f>
        <v>2025</v>
      </c>
      <c r="D1067" s="10" t="n">
        <f aca="false">INT((MONTH(B1067)-1)/3)+1</f>
        <v>4</v>
      </c>
      <c r="E1067" s="10" t="n">
        <f aca="false">MONTH(B1067)</f>
        <v>12</v>
      </c>
      <c r="F1067" s="10" t="str">
        <f aca="false">CHOOSE(MOD(A1067-1,5)+1,"Центр","Юг","Север","Запад","Восток")</f>
        <v>Центр</v>
      </c>
      <c r="G1067" s="10" t="str">
        <f aca="false">"Округ_"&amp;(MOD(A1067-1,5)+1)&amp;"_"&amp;(MOD(INT((A1067-1)/5),5)+1)</f>
        <v>Округ_1_4</v>
      </c>
      <c r="H1067" s="10" t="str">
        <f aca="false">"Город_"&amp;(MOD(A1067-1,5)+1)&amp;"_"&amp;(MOD(INT((A1067-1)/5),5)+1)&amp;"_"&amp;(MOD(INT((A1067-1)/25),10)+1)</f>
        <v>Город_1_4_3</v>
      </c>
      <c r="I1067" s="10" t="str">
        <f aca="false">CHOOSE(MOD(A1067-1,4)+1,"Электроника","Одежда","Продукты","Мебель")</f>
        <v>Одежда</v>
      </c>
      <c r="J1067" s="10" t="str">
        <f aca="false">CHOOSE(MOD(INT((A1067-1)/4),4)+1,CHOOSE(MOD(A1067-1,4)+1,"Смартфоны","Ноутбуки","Аксессуары","Аудио"),CHOOSE(MOD(A1067-1,4)+1,"Верхняя одежда","Спортивная","Повседневная","Обувь"),CHOOSE(MOD(A1067-1,4)+1,"Молочные","Мясные","Бакалея","Напитки"),CHOOSE(MOD(A1067-1,4)+1,"Мягкая мебель","Корпусная","Офисная","Кухонная"))</f>
        <v>Мясные</v>
      </c>
      <c r="K1067" s="12" t="n">
        <f aca="false">1000+MOD(A1067*317+A1067*A1067*7,49001)</f>
        <v>12245</v>
      </c>
      <c r="L1067" s="12" t="n">
        <f aca="false">1+MOD(A1067*131,100)</f>
        <v>47</v>
      </c>
      <c r="M1067" s="12" t="n">
        <f aca="false">INT(K1067*(0.6+MOD(A1067*43,21)/100))</f>
        <v>9306</v>
      </c>
      <c r="N1067" s="12" t="n">
        <f aca="false">K1067-M1067</f>
        <v>2939</v>
      </c>
    </row>
    <row r="1068" customFormat="false" ht="12.8" hidden="false" customHeight="false" outlineLevel="0" collapsed="false">
      <c r="A1068" s="10" t="n">
        <f aca="false">A1067+1</f>
        <v>1067</v>
      </c>
      <c r="B1068" s="11" t="n">
        <f aca="false">B1067+1</f>
        <v>45993</v>
      </c>
      <c r="C1068" s="10" t="n">
        <f aca="false">YEAR(B1068)</f>
        <v>2025</v>
      </c>
      <c r="D1068" s="10" t="n">
        <f aca="false">INT((MONTH(B1068)-1)/3)+1</f>
        <v>4</v>
      </c>
      <c r="E1068" s="10" t="n">
        <f aca="false">MONTH(B1068)</f>
        <v>12</v>
      </c>
      <c r="F1068" s="10" t="str">
        <f aca="false">CHOOSE(MOD(A1068-1,5)+1,"Центр","Юг","Север","Запад","Восток")</f>
        <v>Юг</v>
      </c>
      <c r="G1068" s="10" t="str">
        <f aca="false">"Округ_"&amp;(MOD(A1068-1,5)+1)&amp;"_"&amp;(MOD(INT((A1068-1)/5),5)+1)</f>
        <v>Округ_2_4</v>
      </c>
      <c r="H1068" s="10" t="str">
        <f aca="false">"Город_"&amp;(MOD(A1068-1,5)+1)&amp;"_"&amp;(MOD(INT((A1068-1)/5),5)+1)&amp;"_"&amp;(MOD(INT((A1068-1)/25),10)+1)</f>
        <v>Город_2_4_3</v>
      </c>
      <c r="I1068" s="10" t="str">
        <f aca="false">CHOOSE(MOD(A1068-1,4)+1,"Электроника","Одежда","Продукты","Мебель")</f>
        <v>Продукты</v>
      </c>
      <c r="J1068" s="10" t="str">
        <f aca="false">CHOOSE(MOD(INT((A1068-1)/4),4)+1,CHOOSE(MOD(A1068-1,4)+1,"Смартфоны","Ноутбуки","Аксессуары","Аудио"),CHOOSE(MOD(A1068-1,4)+1,"Верхняя одежда","Спортивная","Повседневная","Обувь"),CHOOSE(MOD(A1068-1,4)+1,"Молочные","Мясные","Бакалея","Напитки"),CHOOSE(MOD(A1068-1,4)+1,"Мягкая мебель","Корпусная","Офисная","Кухонная"))</f>
        <v>Бакалея</v>
      </c>
      <c r="K1068" s="12" t="n">
        <f aca="false">1000+MOD(A1068*317+A1068*A1068*7,49001)</f>
        <v>27493</v>
      </c>
      <c r="L1068" s="12" t="n">
        <f aca="false">1+MOD(A1068*131,100)</f>
        <v>78</v>
      </c>
      <c r="M1068" s="12" t="n">
        <f aca="false">INT(K1068*(0.6+MOD(A1068*43,21)/100))</f>
        <v>21169</v>
      </c>
      <c r="N1068" s="12" t="n">
        <f aca="false">K1068-M1068</f>
        <v>6324</v>
      </c>
    </row>
    <row r="1069" customFormat="false" ht="12.8" hidden="false" customHeight="false" outlineLevel="0" collapsed="false">
      <c r="A1069" s="10" t="n">
        <f aca="false">A1068+1</f>
        <v>1068</v>
      </c>
      <c r="B1069" s="11" t="n">
        <f aca="false">B1068+1</f>
        <v>45994</v>
      </c>
      <c r="C1069" s="10" t="n">
        <f aca="false">YEAR(B1069)</f>
        <v>2025</v>
      </c>
      <c r="D1069" s="10" t="n">
        <f aca="false">INT((MONTH(B1069)-1)/3)+1</f>
        <v>4</v>
      </c>
      <c r="E1069" s="10" t="n">
        <f aca="false">MONTH(B1069)</f>
        <v>12</v>
      </c>
      <c r="F1069" s="10" t="str">
        <f aca="false">CHOOSE(MOD(A1069-1,5)+1,"Центр","Юг","Север","Запад","Восток")</f>
        <v>Север</v>
      </c>
      <c r="G1069" s="10" t="str">
        <f aca="false">"Округ_"&amp;(MOD(A1069-1,5)+1)&amp;"_"&amp;(MOD(INT((A1069-1)/5),5)+1)</f>
        <v>Округ_3_4</v>
      </c>
      <c r="H1069" s="10" t="str">
        <f aca="false">"Город_"&amp;(MOD(A1069-1,5)+1)&amp;"_"&amp;(MOD(INT((A1069-1)/5),5)+1)&amp;"_"&amp;(MOD(INT((A1069-1)/25),10)+1)</f>
        <v>Город_3_4_3</v>
      </c>
      <c r="I1069" s="10" t="str">
        <f aca="false">CHOOSE(MOD(A1069-1,4)+1,"Электроника","Одежда","Продукты","Мебель")</f>
        <v>Мебель</v>
      </c>
      <c r="J1069" s="10" t="str">
        <f aca="false">CHOOSE(MOD(INT((A1069-1)/4),4)+1,CHOOSE(MOD(A1069-1,4)+1,"Смартфоны","Ноутбуки","Аксессуары","Аудио"),CHOOSE(MOD(A1069-1,4)+1,"Верхняя одежда","Спортивная","Повседневная","Обувь"),CHOOSE(MOD(A1069-1,4)+1,"Молочные","Мясные","Бакалея","Напитки"),CHOOSE(MOD(A1069-1,4)+1,"Мягкая мебель","Корпусная","Офисная","Кухонная"))</f>
        <v>Напитки</v>
      </c>
      <c r="K1069" s="12" t="n">
        <f aca="false">1000+MOD(A1069*317+A1069*A1069*7,49001)</f>
        <v>42755</v>
      </c>
      <c r="L1069" s="12" t="n">
        <f aca="false">1+MOD(A1069*131,100)</f>
        <v>9</v>
      </c>
      <c r="M1069" s="12" t="n">
        <f aca="false">INT(K1069*(0.6+MOD(A1069*43,21)/100))</f>
        <v>33348</v>
      </c>
      <c r="N1069" s="12" t="n">
        <f aca="false">K1069-M1069</f>
        <v>9407</v>
      </c>
    </row>
    <row r="1070" customFormat="false" ht="12.8" hidden="false" customHeight="false" outlineLevel="0" collapsed="false">
      <c r="A1070" s="10" t="n">
        <f aca="false">A1069+1</f>
        <v>1069</v>
      </c>
      <c r="B1070" s="11" t="n">
        <f aca="false">B1069+1</f>
        <v>45995</v>
      </c>
      <c r="C1070" s="10" t="n">
        <f aca="false">YEAR(B1070)</f>
        <v>2025</v>
      </c>
      <c r="D1070" s="10" t="n">
        <f aca="false">INT((MONTH(B1070)-1)/3)+1</f>
        <v>4</v>
      </c>
      <c r="E1070" s="10" t="n">
        <f aca="false">MONTH(B1070)</f>
        <v>12</v>
      </c>
      <c r="F1070" s="10" t="str">
        <f aca="false">CHOOSE(MOD(A1070-1,5)+1,"Центр","Юг","Север","Запад","Восток")</f>
        <v>Запад</v>
      </c>
      <c r="G1070" s="10" t="str">
        <f aca="false">"Округ_"&amp;(MOD(A1070-1,5)+1)&amp;"_"&amp;(MOD(INT((A1070-1)/5),5)+1)</f>
        <v>Округ_4_4</v>
      </c>
      <c r="H1070" s="10" t="str">
        <f aca="false">"Город_"&amp;(MOD(A1070-1,5)+1)&amp;"_"&amp;(MOD(INT((A1070-1)/5),5)+1)&amp;"_"&amp;(MOD(INT((A1070-1)/25),10)+1)</f>
        <v>Город_4_4_3</v>
      </c>
      <c r="I1070" s="10" t="str">
        <f aca="false">CHOOSE(MOD(A1070-1,4)+1,"Электроника","Одежда","Продукты","Мебель")</f>
        <v>Электроника</v>
      </c>
      <c r="J1070" s="10" t="str">
        <f aca="false">CHOOSE(MOD(INT((A1070-1)/4),4)+1,CHOOSE(MOD(A1070-1,4)+1,"Смартфоны","Ноутбуки","Аксессуары","Аудио"),CHOOSE(MOD(A1070-1,4)+1,"Верхняя одежда","Спортивная","Повседневная","Обувь"),CHOOSE(MOD(A1070-1,4)+1,"Молочные","Мясные","Бакалея","Напитки"),CHOOSE(MOD(A1070-1,4)+1,"Мягкая мебель","Корпусная","Офисная","Кухонная"))</f>
        <v>Мягкая мебель</v>
      </c>
      <c r="K1070" s="12" t="n">
        <f aca="false">1000+MOD(A1070*317+A1070*A1070*7,49001)</f>
        <v>9030</v>
      </c>
      <c r="L1070" s="12" t="n">
        <f aca="false">1+MOD(A1070*131,100)</f>
        <v>40</v>
      </c>
      <c r="M1070" s="12" t="n">
        <f aca="false">INT(K1070*(0.6+MOD(A1070*43,21)/100))</f>
        <v>7133</v>
      </c>
      <c r="N1070" s="12" t="n">
        <f aca="false">K1070-M1070</f>
        <v>1897</v>
      </c>
    </row>
    <row r="1071" customFormat="false" ht="12.8" hidden="false" customHeight="false" outlineLevel="0" collapsed="false">
      <c r="A1071" s="10" t="n">
        <f aca="false">A1070+1</f>
        <v>1070</v>
      </c>
      <c r="B1071" s="11" t="n">
        <f aca="false">B1070+1</f>
        <v>45996</v>
      </c>
      <c r="C1071" s="10" t="n">
        <f aca="false">YEAR(B1071)</f>
        <v>2025</v>
      </c>
      <c r="D1071" s="10" t="n">
        <f aca="false">INT((MONTH(B1071)-1)/3)+1</f>
        <v>4</v>
      </c>
      <c r="E1071" s="10" t="n">
        <f aca="false">MONTH(B1071)</f>
        <v>12</v>
      </c>
      <c r="F1071" s="10" t="str">
        <f aca="false">CHOOSE(MOD(A1071-1,5)+1,"Центр","Юг","Север","Запад","Восток")</f>
        <v>Восток</v>
      </c>
      <c r="G1071" s="10" t="str">
        <f aca="false">"Округ_"&amp;(MOD(A1071-1,5)+1)&amp;"_"&amp;(MOD(INT((A1071-1)/5),5)+1)</f>
        <v>Округ_5_4</v>
      </c>
      <c r="H1071" s="10" t="str">
        <f aca="false">"Город_"&amp;(MOD(A1071-1,5)+1)&amp;"_"&amp;(MOD(INT((A1071-1)/5),5)+1)&amp;"_"&amp;(MOD(INT((A1071-1)/25),10)+1)</f>
        <v>Город_5_4_3</v>
      </c>
      <c r="I1071" s="10" t="str">
        <f aca="false">CHOOSE(MOD(A1071-1,4)+1,"Электроника","Одежда","Продукты","Мебель")</f>
        <v>Одежда</v>
      </c>
      <c r="J1071" s="10" t="str">
        <f aca="false">CHOOSE(MOD(INT((A1071-1)/4),4)+1,CHOOSE(MOD(A1071-1,4)+1,"Смартфоны","Ноутбуки","Аксессуары","Аудио"),CHOOSE(MOD(A1071-1,4)+1,"Верхняя одежда","Спортивная","Повседневная","Обувь"),CHOOSE(MOD(A1071-1,4)+1,"Молочные","Мясные","Бакалея","Напитки"),CHOOSE(MOD(A1071-1,4)+1,"Мягкая мебель","Корпусная","Офисная","Кухонная"))</f>
        <v>Корпусная</v>
      </c>
      <c r="K1071" s="12" t="n">
        <f aca="false">1000+MOD(A1071*317+A1071*A1071*7,49001)</f>
        <v>24320</v>
      </c>
      <c r="L1071" s="12" t="n">
        <f aca="false">1+MOD(A1071*131,100)</f>
        <v>71</v>
      </c>
      <c r="M1071" s="12" t="n">
        <f aca="false">INT(K1071*(0.6+MOD(A1071*43,21)/100))</f>
        <v>19456</v>
      </c>
      <c r="N1071" s="12" t="n">
        <f aca="false">K1071-M1071</f>
        <v>4864</v>
      </c>
    </row>
    <row r="1072" customFormat="false" ht="12.8" hidden="false" customHeight="false" outlineLevel="0" collapsed="false">
      <c r="A1072" s="10" t="n">
        <f aca="false">A1071+1</f>
        <v>1071</v>
      </c>
      <c r="B1072" s="11" t="n">
        <f aca="false">B1071+1</f>
        <v>45997</v>
      </c>
      <c r="C1072" s="10" t="n">
        <f aca="false">YEAR(B1072)</f>
        <v>2025</v>
      </c>
      <c r="D1072" s="10" t="n">
        <f aca="false">INT((MONTH(B1072)-1)/3)+1</f>
        <v>4</v>
      </c>
      <c r="E1072" s="10" t="n">
        <f aca="false">MONTH(B1072)</f>
        <v>12</v>
      </c>
      <c r="F1072" s="10" t="str">
        <f aca="false">CHOOSE(MOD(A1072-1,5)+1,"Центр","Юг","Север","Запад","Восток")</f>
        <v>Центр</v>
      </c>
      <c r="G1072" s="10" t="str">
        <f aca="false">"Округ_"&amp;(MOD(A1072-1,5)+1)&amp;"_"&amp;(MOD(INT((A1072-1)/5),5)+1)</f>
        <v>Округ_1_5</v>
      </c>
      <c r="H1072" s="10" t="str">
        <f aca="false">"Город_"&amp;(MOD(A1072-1,5)+1)&amp;"_"&amp;(MOD(INT((A1072-1)/5),5)+1)&amp;"_"&amp;(MOD(INT((A1072-1)/25),10)+1)</f>
        <v>Город_1_5_3</v>
      </c>
      <c r="I1072" s="10" t="str">
        <f aca="false">CHOOSE(MOD(A1072-1,4)+1,"Электроника","Одежда","Продукты","Мебель")</f>
        <v>Продукты</v>
      </c>
      <c r="J1072" s="10" t="str">
        <f aca="false">CHOOSE(MOD(INT((A1072-1)/4),4)+1,CHOOSE(MOD(A1072-1,4)+1,"Смартфоны","Ноутбуки","Аксессуары","Аудио"),CHOOSE(MOD(A1072-1,4)+1,"Верхняя одежда","Спортивная","Повседневная","Обувь"),CHOOSE(MOD(A1072-1,4)+1,"Молочные","Мясные","Бакалея","Напитки"),CHOOSE(MOD(A1072-1,4)+1,"Мягкая мебель","Корпусная","Офисная","Кухонная"))</f>
        <v>Офисная</v>
      </c>
      <c r="K1072" s="12" t="n">
        <f aca="false">1000+MOD(A1072*317+A1072*A1072*7,49001)</f>
        <v>39624</v>
      </c>
      <c r="L1072" s="12" t="n">
        <f aca="false">1+MOD(A1072*131,100)</f>
        <v>2</v>
      </c>
      <c r="M1072" s="12" t="n">
        <f aca="false">INT(K1072*(0.6+MOD(A1072*43,21)/100))</f>
        <v>23774</v>
      </c>
      <c r="N1072" s="12" t="n">
        <f aca="false">K1072-M1072</f>
        <v>15850</v>
      </c>
    </row>
    <row r="1073" customFormat="false" ht="12.8" hidden="false" customHeight="false" outlineLevel="0" collapsed="false">
      <c r="A1073" s="10" t="n">
        <f aca="false">A1072+1</f>
        <v>1072</v>
      </c>
      <c r="B1073" s="11" t="n">
        <f aca="false">B1072+1</f>
        <v>45998</v>
      </c>
      <c r="C1073" s="10" t="n">
        <f aca="false">YEAR(B1073)</f>
        <v>2025</v>
      </c>
      <c r="D1073" s="10" t="n">
        <f aca="false">INT((MONTH(B1073)-1)/3)+1</f>
        <v>4</v>
      </c>
      <c r="E1073" s="10" t="n">
        <f aca="false">MONTH(B1073)</f>
        <v>12</v>
      </c>
      <c r="F1073" s="10" t="str">
        <f aca="false">CHOOSE(MOD(A1073-1,5)+1,"Центр","Юг","Север","Запад","Восток")</f>
        <v>Юг</v>
      </c>
      <c r="G1073" s="10" t="str">
        <f aca="false">"Округ_"&amp;(MOD(A1073-1,5)+1)&amp;"_"&amp;(MOD(INT((A1073-1)/5),5)+1)</f>
        <v>Округ_2_5</v>
      </c>
      <c r="H1073" s="10" t="str">
        <f aca="false">"Город_"&amp;(MOD(A1073-1,5)+1)&amp;"_"&amp;(MOD(INT((A1073-1)/5),5)+1)&amp;"_"&amp;(MOD(INT((A1073-1)/25),10)+1)</f>
        <v>Город_2_5_3</v>
      </c>
      <c r="I1073" s="10" t="str">
        <f aca="false">CHOOSE(MOD(A1073-1,4)+1,"Электроника","Одежда","Продукты","Мебель")</f>
        <v>Мебель</v>
      </c>
      <c r="J1073" s="10" t="str">
        <f aca="false">CHOOSE(MOD(INT((A1073-1)/4),4)+1,CHOOSE(MOD(A1073-1,4)+1,"Смартфоны","Ноутбуки","Аксессуары","Аудио"),CHOOSE(MOD(A1073-1,4)+1,"Верхняя одежда","Спортивная","Повседневная","Обувь"),CHOOSE(MOD(A1073-1,4)+1,"Молочные","Мясные","Бакалея","Напитки"),CHOOSE(MOD(A1073-1,4)+1,"Мягкая мебель","Корпусная","Офисная","Кухонная"))</f>
        <v>Кухонная</v>
      </c>
      <c r="K1073" s="12" t="n">
        <f aca="false">1000+MOD(A1073*317+A1073*A1073*7,49001)</f>
        <v>5941</v>
      </c>
      <c r="L1073" s="12" t="n">
        <f aca="false">1+MOD(A1073*131,100)</f>
        <v>33</v>
      </c>
      <c r="M1073" s="12" t="n">
        <f aca="false">INT(K1073*(0.6+MOD(A1073*43,21)/100))</f>
        <v>3624</v>
      </c>
      <c r="N1073" s="12" t="n">
        <f aca="false">K1073-M1073</f>
        <v>2317</v>
      </c>
    </row>
    <row r="1074" customFormat="false" ht="12.8" hidden="false" customHeight="false" outlineLevel="0" collapsed="false">
      <c r="A1074" s="10" t="n">
        <f aca="false">A1073+1</f>
        <v>1073</v>
      </c>
      <c r="B1074" s="11" t="n">
        <f aca="false">B1073+1</f>
        <v>45999</v>
      </c>
      <c r="C1074" s="10" t="n">
        <f aca="false">YEAR(B1074)</f>
        <v>2025</v>
      </c>
      <c r="D1074" s="10" t="n">
        <f aca="false">INT((MONTH(B1074)-1)/3)+1</f>
        <v>4</v>
      </c>
      <c r="E1074" s="10" t="n">
        <f aca="false">MONTH(B1074)</f>
        <v>12</v>
      </c>
      <c r="F1074" s="10" t="str">
        <f aca="false">CHOOSE(MOD(A1074-1,5)+1,"Центр","Юг","Север","Запад","Восток")</f>
        <v>Север</v>
      </c>
      <c r="G1074" s="10" t="str">
        <f aca="false">"Округ_"&amp;(MOD(A1074-1,5)+1)&amp;"_"&amp;(MOD(INT((A1074-1)/5),5)+1)</f>
        <v>Округ_3_5</v>
      </c>
      <c r="H1074" s="10" t="str">
        <f aca="false">"Город_"&amp;(MOD(A1074-1,5)+1)&amp;"_"&amp;(MOD(INT((A1074-1)/5),5)+1)&amp;"_"&amp;(MOD(INT((A1074-1)/25),10)+1)</f>
        <v>Город_3_5_3</v>
      </c>
      <c r="I1074" s="10" t="str">
        <f aca="false">CHOOSE(MOD(A1074-1,4)+1,"Электроника","Одежда","Продукты","Мебель")</f>
        <v>Электроника</v>
      </c>
      <c r="J1074" s="10" t="str">
        <f aca="false">CHOOSE(MOD(INT((A1074-1)/4),4)+1,CHOOSE(MOD(A1074-1,4)+1,"Смартфоны","Ноутбуки","Аксессуары","Аудио"),CHOOSE(MOD(A1074-1,4)+1,"Верхняя одежда","Спортивная","Повседневная","Обувь"),CHOOSE(MOD(A1074-1,4)+1,"Молочные","Мясные","Бакалея","Напитки"),CHOOSE(MOD(A1074-1,4)+1,"Мягкая мебель","Корпусная","Офисная","Кухонная"))</f>
        <v>Смартфоны</v>
      </c>
      <c r="K1074" s="12" t="n">
        <f aca="false">1000+MOD(A1074*317+A1074*A1074*7,49001)</f>
        <v>21273</v>
      </c>
      <c r="L1074" s="12" t="n">
        <f aca="false">1+MOD(A1074*131,100)</f>
        <v>64</v>
      </c>
      <c r="M1074" s="12" t="n">
        <f aca="false">INT(K1074*(0.6+MOD(A1074*43,21)/100))</f>
        <v>13189</v>
      </c>
      <c r="N1074" s="12" t="n">
        <f aca="false">K1074-M1074</f>
        <v>8084</v>
      </c>
    </row>
    <row r="1075" customFormat="false" ht="12.8" hidden="false" customHeight="false" outlineLevel="0" collapsed="false">
      <c r="A1075" s="10" t="n">
        <f aca="false">A1074+1</f>
        <v>1074</v>
      </c>
      <c r="B1075" s="11" t="n">
        <f aca="false">B1074+1</f>
        <v>46000</v>
      </c>
      <c r="C1075" s="10" t="n">
        <f aca="false">YEAR(B1075)</f>
        <v>2025</v>
      </c>
      <c r="D1075" s="10" t="n">
        <f aca="false">INT((MONTH(B1075)-1)/3)+1</f>
        <v>4</v>
      </c>
      <c r="E1075" s="10" t="n">
        <f aca="false">MONTH(B1075)</f>
        <v>12</v>
      </c>
      <c r="F1075" s="10" t="str">
        <f aca="false">CHOOSE(MOD(A1075-1,5)+1,"Центр","Юг","Север","Запад","Восток")</f>
        <v>Запад</v>
      </c>
      <c r="G1075" s="10" t="str">
        <f aca="false">"Округ_"&amp;(MOD(A1075-1,5)+1)&amp;"_"&amp;(MOD(INT((A1075-1)/5),5)+1)</f>
        <v>Округ_4_5</v>
      </c>
      <c r="H1075" s="10" t="str">
        <f aca="false">"Город_"&amp;(MOD(A1075-1,5)+1)&amp;"_"&amp;(MOD(INT((A1075-1)/5),5)+1)&amp;"_"&amp;(MOD(INT((A1075-1)/25),10)+1)</f>
        <v>Город_4_5_3</v>
      </c>
      <c r="I1075" s="10" t="str">
        <f aca="false">CHOOSE(MOD(A1075-1,4)+1,"Электроника","Одежда","Продукты","Мебель")</f>
        <v>Одежда</v>
      </c>
      <c r="J1075" s="10" t="str">
        <f aca="false">CHOOSE(MOD(INT((A1075-1)/4),4)+1,CHOOSE(MOD(A1075-1,4)+1,"Смартфоны","Ноутбуки","Аксессуары","Аудио"),CHOOSE(MOD(A1075-1,4)+1,"Верхняя одежда","Спортивная","Повседневная","Обувь"),CHOOSE(MOD(A1075-1,4)+1,"Молочные","Мясные","Бакалея","Напитки"),CHOOSE(MOD(A1075-1,4)+1,"Мягкая мебель","Корпусная","Офисная","Кухонная"))</f>
        <v>Ноутбуки</v>
      </c>
      <c r="K1075" s="12" t="n">
        <f aca="false">1000+MOD(A1075*317+A1075*A1075*7,49001)</f>
        <v>36619</v>
      </c>
      <c r="L1075" s="12" t="n">
        <f aca="false">1+MOD(A1075*131,100)</f>
        <v>95</v>
      </c>
      <c r="M1075" s="12" t="n">
        <f aca="false">INT(K1075*(0.6+MOD(A1075*43,21)/100))</f>
        <v>23069</v>
      </c>
      <c r="N1075" s="12" t="n">
        <f aca="false">K1075-M1075</f>
        <v>13550</v>
      </c>
    </row>
    <row r="1076" customFormat="false" ht="12.8" hidden="false" customHeight="false" outlineLevel="0" collapsed="false">
      <c r="A1076" s="10" t="n">
        <f aca="false">A1075+1</f>
        <v>1075</v>
      </c>
      <c r="B1076" s="11" t="n">
        <f aca="false">B1075+1</f>
        <v>46001</v>
      </c>
      <c r="C1076" s="10" t="n">
        <f aca="false">YEAR(B1076)</f>
        <v>2025</v>
      </c>
      <c r="D1076" s="10" t="n">
        <f aca="false">INT((MONTH(B1076)-1)/3)+1</f>
        <v>4</v>
      </c>
      <c r="E1076" s="10" t="n">
        <f aca="false">MONTH(B1076)</f>
        <v>12</v>
      </c>
      <c r="F1076" s="10" t="str">
        <f aca="false">CHOOSE(MOD(A1076-1,5)+1,"Центр","Юг","Север","Запад","Восток")</f>
        <v>Восток</v>
      </c>
      <c r="G1076" s="10" t="str">
        <f aca="false">"Округ_"&amp;(MOD(A1076-1,5)+1)&amp;"_"&amp;(MOD(INT((A1076-1)/5),5)+1)</f>
        <v>Округ_5_5</v>
      </c>
      <c r="H1076" s="10" t="str">
        <f aca="false">"Город_"&amp;(MOD(A1076-1,5)+1)&amp;"_"&amp;(MOD(INT((A1076-1)/5),5)+1)&amp;"_"&amp;(MOD(INT((A1076-1)/25),10)+1)</f>
        <v>Город_5_5_3</v>
      </c>
      <c r="I1076" s="10" t="str">
        <f aca="false">CHOOSE(MOD(A1076-1,4)+1,"Электроника","Одежда","Продукты","Мебель")</f>
        <v>Продукты</v>
      </c>
      <c r="J1076" s="10" t="str">
        <f aca="false">CHOOSE(MOD(INT((A1076-1)/4),4)+1,CHOOSE(MOD(A1076-1,4)+1,"Смартфоны","Ноутбуки","Аксессуары","Аудио"),CHOOSE(MOD(A1076-1,4)+1,"Верхняя одежда","Спортивная","Повседневная","Обувь"),CHOOSE(MOD(A1076-1,4)+1,"Молочные","Мясные","Бакалея","Напитки"),CHOOSE(MOD(A1076-1,4)+1,"Мягкая мебель","Корпусная","Офисная","Кухонная"))</f>
        <v>Аксессуары</v>
      </c>
      <c r="K1076" s="12" t="n">
        <f aca="false">1000+MOD(A1076*317+A1076*A1076*7,49001)</f>
        <v>2978</v>
      </c>
      <c r="L1076" s="12" t="n">
        <f aca="false">1+MOD(A1076*131,100)</f>
        <v>26</v>
      </c>
      <c r="M1076" s="12" t="n">
        <f aca="false">INT(K1076*(0.6+MOD(A1076*43,21)/100))</f>
        <v>1905</v>
      </c>
      <c r="N1076" s="12" t="n">
        <f aca="false">K1076-M1076</f>
        <v>1073</v>
      </c>
    </row>
    <row r="1077" customFormat="false" ht="12.8" hidden="false" customHeight="false" outlineLevel="0" collapsed="false">
      <c r="A1077" s="10" t="n">
        <f aca="false">A1076+1</f>
        <v>1076</v>
      </c>
      <c r="B1077" s="11" t="n">
        <f aca="false">B1076+1</f>
        <v>46002</v>
      </c>
      <c r="C1077" s="10" t="n">
        <f aca="false">YEAR(B1077)</f>
        <v>2025</v>
      </c>
      <c r="D1077" s="10" t="n">
        <f aca="false">INT((MONTH(B1077)-1)/3)+1</f>
        <v>4</v>
      </c>
      <c r="E1077" s="10" t="n">
        <f aca="false">MONTH(B1077)</f>
        <v>12</v>
      </c>
      <c r="F1077" s="10" t="str">
        <f aca="false">CHOOSE(MOD(A1077-1,5)+1,"Центр","Юг","Север","Запад","Восток")</f>
        <v>Центр</v>
      </c>
      <c r="G1077" s="10" t="str">
        <f aca="false">"Округ_"&amp;(MOD(A1077-1,5)+1)&amp;"_"&amp;(MOD(INT((A1077-1)/5),5)+1)</f>
        <v>Округ_1_1</v>
      </c>
      <c r="H1077" s="10" t="str">
        <f aca="false">"Город_"&amp;(MOD(A1077-1,5)+1)&amp;"_"&amp;(MOD(INT((A1077-1)/5),5)+1)&amp;"_"&amp;(MOD(INT((A1077-1)/25),10)+1)</f>
        <v>Город_1_1_4</v>
      </c>
      <c r="I1077" s="10" t="str">
        <f aca="false">CHOOSE(MOD(A1077-1,4)+1,"Электроника","Одежда","Продукты","Мебель")</f>
        <v>Мебель</v>
      </c>
      <c r="J1077" s="10" t="str">
        <f aca="false">CHOOSE(MOD(INT((A1077-1)/4),4)+1,CHOOSE(MOD(A1077-1,4)+1,"Смартфоны","Ноутбуки","Аксессуары","Аудио"),CHOOSE(MOD(A1077-1,4)+1,"Верхняя одежда","Спортивная","Повседневная","Обувь"),CHOOSE(MOD(A1077-1,4)+1,"Молочные","Мясные","Бакалея","Напитки"),CHOOSE(MOD(A1077-1,4)+1,"Мягкая мебель","Корпусная","Офисная","Кухонная"))</f>
        <v>Аудио</v>
      </c>
      <c r="K1077" s="12" t="n">
        <f aca="false">1000+MOD(A1077*317+A1077*A1077*7,49001)</f>
        <v>18352</v>
      </c>
      <c r="L1077" s="12" t="n">
        <f aca="false">1+MOD(A1077*131,100)</f>
        <v>57</v>
      </c>
      <c r="M1077" s="12" t="n">
        <f aca="false">INT(K1077*(0.6+MOD(A1077*43,21)/100))</f>
        <v>11928</v>
      </c>
      <c r="N1077" s="12" t="n">
        <f aca="false">K1077-M1077</f>
        <v>6424</v>
      </c>
    </row>
    <row r="1078" customFormat="false" ht="12.8" hidden="false" customHeight="false" outlineLevel="0" collapsed="false">
      <c r="A1078" s="10" t="n">
        <f aca="false">A1077+1</f>
        <v>1077</v>
      </c>
      <c r="B1078" s="11" t="n">
        <f aca="false">B1077+1</f>
        <v>46003</v>
      </c>
      <c r="C1078" s="10" t="n">
        <f aca="false">YEAR(B1078)</f>
        <v>2025</v>
      </c>
      <c r="D1078" s="10" t="n">
        <f aca="false">INT((MONTH(B1078)-1)/3)+1</f>
        <v>4</v>
      </c>
      <c r="E1078" s="10" t="n">
        <f aca="false">MONTH(B1078)</f>
        <v>12</v>
      </c>
      <c r="F1078" s="10" t="str">
        <f aca="false">CHOOSE(MOD(A1078-1,5)+1,"Центр","Юг","Север","Запад","Восток")</f>
        <v>Юг</v>
      </c>
      <c r="G1078" s="10" t="str">
        <f aca="false">"Округ_"&amp;(MOD(A1078-1,5)+1)&amp;"_"&amp;(MOD(INT((A1078-1)/5),5)+1)</f>
        <v>Округ_2_1</v>
      </c>
      <c r="H1078" s="10" t="str">
        <f aca="false">"Город_"&amp;(MOD(A1078-1,5)+1)&amp;"_"&amp;(MOD(INT((A1078-1)/5),5)+1)&amp;"_"&amp;(MOD(INT((A1078-1)/25),10)+1)</f>
        <v>Город_2_1_4</v>
      </c>
      <c r="I1078" s="10" t="str">
        <f aca="false">CHOOSE(MOD(A1078-1,4)+1,"Электроника","Одежда","Продукты","Мебель")</f>
        <v>Электроника</v>
      </c>
      <c r="J1078" s="10" t="str">
        <f aca="false">CHOOSE(MOD(INT((A1078-1)/4),4)+1,CHOOSE(MOD(A1078-1,4)+1,"Смартфоны","Ноутбуки","Аксессуары","Аудио"),CHOOSE(MOD(A1078-1,4)+1,"Верхняя одежда","Спортивная","Повседневная","Обувь"),CHOOSE(MOD(A1078-1,4)+1,"Молочные","Мясные","Бакалея","Напитки"),CHOOSE(MOD(A1078-1,4)+1,"Мягкая мебель","Корпусная","Офисная","Кухонная"))</f>
        <v>Верхняя одежда</v>
      </c>
      <c r="K1078" s="12" t="n">
        <f aca="false">1000+MOD(A1078*317+A1078*A1078*7,49001)</f>
        <v>33740</v>
      </c>
      <c r="L1078" s="12" t="n">
        <f aca="false">1+MOD(A1078*131,100)</f>
        <v>88</v>
      </c>
      <c r="M1078" s="12" t="n">
        <f aca="false">INT(K1078*(0.6+MOD(A1078*43,21)/100))</f>
        <v>22268</v>
      </c>
      <c r="N1078" s="12" t="n">
        <f aca="false">K1078-M1078</f>
        <v>11472</v>
      </c>
    </row>
    <row r="1079" customFormat="false" ht="12.8" hidden="false" customHeight="false" outlineLevel="0" collapsed="false">
      <c r="A1079" s="10" t="n">
        <f aca="false">A1078+1</f>
        <v>1078</v>
      </c>
      <c r="B1079" s="11" t="n">
        <f aca="false">B1078+1</f>
        <v>46004</v>
      </c>
      <c r="C1079" s="10" t="n">
        <f aca="false">YEAR(B1079)</f>
        <v>2025</v>
      </c>
      <c r="D1079" s="10" t="n">
        <f aca="false">INT((MONTH(B1079)-1)/3)+1</f>
        <v>4</v>
      </c>
      <c r="E1079" s="10" t="n">
        <f aca="false">MONTH(B1079)</f>
        <v>12</v>
      </c>
      <c r="F1079" s="10" t="str">
        <f aca="false">CHOOSE(MOD(A1079-1,5)+1,"Центр","Юг","Север","Запад","Восток")</f>
        <v>Север</v>
      </c>
      <c r="G1079" s="10" t="str">
        <f aca="false">"Округ_"&amp;(MOD(A1079-1,5)+1)&amp;"_"&amp;(MOD(INT((A1079-1)/5),5)+1)</f>
        <v>Округ_3_1</v>
      </c>
      <c r="H1079" s="10" t="str">
        <f aca="false">"Город_"&amp;(MOD(A1079-1,5)+1)&amp;"_"&amp;(MOD(INT((A1079-1)/5),5)+1)&amp;"_"&amp;(MOD(INT((A1079-1)/25),10)+1)</f>
        <v>Город_3_1_4</v>
      </c>
      <c r="I1079" s="10" t="str">
        <f aca="false">CHOOSE(MOD(A1079-1,4)+1,"Электроника","Одежда","Продукты","Мебель")</f>
        <v>Одежда</v>
      </c>
      <c r="J1079" s="10" t="str">
        <f aca="false">CHOOSE(MOD(INT((A1079-1)/4),4)+1,CHOOSE(MOD(A1079-1,4)+1,"Смартфоны","Ноутбуки","Аксессуары","Аудио"),CHOOSE(MOD(A1079-1,4)+1,"Верхняя одежда","Спортивная","Повседневная","Обувь"),CHOOSE(MOD(A1079-1,4)+1,"Молочные","Мясные","Бакалея","Напитки"),CHOOSE(MOD(A1079-1,4)+1,"Мягкая мебель","Корпусная","Офисная","Кухонная"))</f>
        <v>Спортивная</v>
      </c>
      <c r="K1079" s="12" t="n">
        <f aca="false">1000+MOD(A1079*317+A1079*A1079*7,49001)</f>
        <v>49142</v>
      </c>
      <c r="L1079" s="12" t="n">
        <f aca="false">1+MOD(A1079*131,100)</f>
        <v>19</v>
      </c>
      <c r="M1079" s="12" t="n">
        <f aca="false">INT(K1079*(0.6+MOD(A1079*43,21)/100))</f>
        <v>32925</v>
      </c>
      <c r="N1079" s="12" t="n">
        <f aca="false">K1079-M1079</f>
        <v>16217</v>
      </c>
    </row>
    <row r="1080" customFormat="false" ht="12.8" hidden="false" customHeight="false" outlineLevel="0" collapsed="false">
      <c r="A1080" s="10" t="n">
        <f aca="false">A1079+1</f>
        <v>1079</v>
      </c>
      <c r="B1080" s="11" t="n">
        <f aca="false">B1079+1</f>
        <v>46005</v>
      </c>
      <c r="C1080" s="10" t="n">
        <f aca="false">YEAR(B1080)</f>
        <v>2025</v>
      </c>
      <c r="D1080" s="10" t="n">
        <f aca="false">INT((MONTH(B1080)-1)/3)+1</f>
        <v>4</v>
      </c>
      <c r="E1080" s="10" t="n">
        <f aca="false">MONTH(B1080)</f>
        <v>12</v>
      </c>
      <c r="F1080" s="10" t="str">
        <f aca="false">CHOOSE(MOD(A1080-1,5)+1,"Центр","Юг","Север","Запад","Восток")</f>
        <v>Запад</v>
      </c>
      <c r="G1080" s="10" t="str">
        <f aca="false">"Округ_"&amp;(MOD(A1080-1,5)+1)&amp;"_"&amp;(MOD(INT((A1080-1)/5),5)+1)</f>
        <v>Округ_4_1</v>
      </c>
      <c r="H1080" s="10" t="str">
        <f aca="false">"Город_"&amp;(MOD(A1080-1,5)+1)&amp;"_"&amp;(MOD(INT((A1080-1)/5),5)+1)&amp;"_"&amp;(MOD(INT((A1080-1)/25),10)+1)</f>
        <v>Город_4_1_4</v>
      </c>
      <c r="I1080" s="10" t="str">
        <f aca="false">CHOOSE(MOD(A1080-1,4)+1,"Электроника","Одежда","Продукты","Мебель")</f>
        <v>Продукты</v>
      </c>
      <c r="J1080" s="10" t="str">
        <f aca="false">CHOOSE(MOD(INT((A1080-1)/4),4)+1,CHOOSE(MOD(A1080-1,4)+1,"Смартфоны","Ноутбуки","Аксессуары","Аудио"),CHOOSE(MOD(A1080-1,4)+1,"Верхняя одежда","Спортивная","Повседневная","Обувь"),CHOOSE(MOD(A1080-1,4)+1,"Молочные","Мясные","Бакалея","Напитки"),CHOOSE(MOD(A1080-1,4)+1,"Мягкая мебель","Корпусная","Офисная","Кухонная"))</f>
        <v>Повседневная</v>
      </c>
      <c r="K1080" s="12" t="n">
        <f aca="false">1000+MOD(A1080*317+A1080*A1080*7,49001)</f>
        <v>15557</v>
      </c>
      <c r="L1080" s="12" t="n">
        <f aca="false">1+MOD(A1080*131,100)</f>
        <v>50</v>
      </c>
      <c r="M1080" s="12" t="n">
        <f aca="false">INT(K1080*(0.6+MOD(A1080*43,21)/100))</f>
        <v>10578</v>
      </c>
      <c r="N1080" s="12" t="n">
        <f aca="false">K1080-M1080</f>
        <v>4979</v>
      </c>
    </row>
    <row r="1081" customFormat="false" ht="12.8" hidden="false" customHeight="false" outlineLevel="0" collapsed="false">
      <c r="A1081" s="10" t="n">
        <f aca="false">A1080+1</f>
        <v>1080</v>
      </c>
      <c r="B1081" s="11" t="n">
        <f aca="false">B1080+1</f>
        <v>46006</v>
      </c>
      <c r="C1081" s="10" t="n">
        <f aca="false">YEAR(B1081)</f>
        <v>2025</v>
      </c>
      <c r="D1081" s="10" t="n">
        <f aca="false">INT((MONTH(B1081)-1)/3)+1</f>
        <v>4</v>
      </c>
      <c r="E1081" s="10" t="n">
        <f aca="false">MONTH(B1081)</f>
        <v>12</v>
      </c>
      <c r="F1081" s="10" t="str">
        <f aca="false">CHOOSE(MOD(A1081-1,5)+1,"Центр","Юг","Север","Запад","Восток")</f>
        <v>Восток</v>
      </c>
      <c r="G1081" s="10" t="str">
        <f aca="false">"Округ_"&amp;(MOD(A1081-1,5)+1)&amp;"_"&amp;(MOD(INT((A1081-1)/5),5)+1)</f>
        <v>Округ_5_1</v>
      </c>
      <c r="H1081" s="10" t="str">
        <f aca="false">"Город_"&amp;(MOD(A1081-1,5)+1)&amp;"_"&amp;(MOD(INT((A1081-1)/5),5)+1)&amp;"_"&amp;(MOD(INT((A1081-1)/25),10)+1)</f>
        <v>Город_5_1_4</v>
      </c>
      <c r="I1081" s="10" t="str">
        <f aca="false">CHOOSE(MOD(A1081-1,4)+1,"Электроника","Одежда","Продукты","Мебель")</f>
        <v>Мебель</v>
      </c>
      <c r="J1081" s="10" t="str">
        <f aca="false">CHOOSE(MOD(INT((A1081-1)/4),4)+1,CHOOSE(MOD(A1081-1,4)+1,"Смартфоны","Ноутбуки","Аксессуары","Аудио"),CHOOSE(MOD(A1081-1,4)+1,"Верхняя одежда","Спортивная","Повседневная","Обувь"),CHOOSE(MOD(A1081-1,4)+1,"Молочные","Мясные","Бакалея","Напитки"),CHOOSE(MOD(A1081-1,4)+1,"Мягкая мебель","Корпусная","Офисная","Кухонная"))</f>
        <v>Обувь</v>
      </c>
      <c r="K1081" s="12" t="n">
        <f aca="false">1000+MOD(A1081*317+A1081*A1081*7,49001)</f>
        <v>30987</v>
      </c>
      <c r="L1081" s="12" t="n">
        <f aca="false">1+MOD(A1081*131,100)</f>
        <v>81</v>
      </c>
      <c r="M1081" s="12" t="n">
        <f aca="false">INT(K1081*(0.6+MOD(A1081*43,21)/100))</f>
        <v>21381</v>
      </c>
      <c r="N1081" s="12" t="n">
        <f aca="false">K1081-M1081</f>
        <v>9606</v>
      </c>
    </row>
    <row r="1082" customFormat="false" ht="12.8" hidden="false" customHeight="false" outlineLevel="0" collapsed="false">
      <c r="A1082" s="10" t="n">
        <f aca="false">A1081+1</f>
        <v>1081</v>
      </c>
      <c r="B1082" s="11" t="n">
        <f aca="false">B1081+1</f>
        <v>46007</v>
      </c>
      <c r="C1082" s="10" t="n">
        <f aca="false">YEAR(B1082)</f>
        <v>2025</v>
      </c>
      <c r="D1082" s="10" t="n">
        <f aca="false">INT((MONTH(B1082)-1)/3)+1</f>
        <v>4</v>
      </c>
      <c r="E1082" s="10" t="n">
        <f aca="false">MONTH(B1082)</f>
        <v>12</v>
      </c>
      <c r="F1082" s="10" t="str">
        <f aca="false">CHOOSE(MOD(A1082-1,5)+1,"Центр","Юг","Север","Запад","Восток")</f>
        <v>Центр</v>
      </c>
      <c r="G1082" s="10" t="str">
        <f aca="false">"Округ_"&amp;(MOD(A1082-1,5)+1)&amp;"_"&amp;(MOD(INT((A1082-1)/5),5)+1)</f>
        <v>Округ_1_2</v>
      </c>
      <c r="H1082" s="10" t="str">
        <f aca="false">"Город_"&amp;(MOD(A1082-1,5)+1)&amp;"_"&amp;(MOD(INT((A1082-1)/5),5)+1)&amp;"_"&amp;(MOD(INT((A1082-1)/25),10)+1)</f>
        <v>Город_1_2_4</v>
      </c>
      <c r="I1082" s="10" t="str">
        <f aca="false">CHOOSE(MOD(A1082-1,4)+1,"Электроника","Одежда","Продукты","Мебель")</f>
        <v>Электроника</v>
      </c>
      <c r="J1082" s="10" t="str">
        <f aca="false">CHOOSE(MOD(INT((A1082-1)/4),4)+1,CHOOSE(MOD(A1082-1,4)+1,"Смартфоны","Ноутбуки","Аксессуары","Аудио"),CHOOSE(MOD(A1082-1,4)+1,"Верхняя одежда","Спортивная","Повседневная","Обувь"),CHOOSE(MOD(A1082-1,4)+1,"Молочные","Мясные","Бакалея","Напитки"),CHOOSE(MOD(A1082-1,4)+1,"Мягкая мебель","Корпусная","Офисная","Кухонная"))</f>
        <v>Молочные</v>
      </c>
      <c r="K1082" s="12" t="n">
        <f aca="false">1000+MOD(A1082*317+A1082*A1082*7,49001)</f>
        <v>46431</v>
      </c>
      <c r="L1082" s="12" t="n">
        <f aca="false">1+MOD(A1082*131,100)</f>
        <v>12</v>
      </c>
      <c r="M1082" s="12" t="n">
        <f aca="false">INT(K1082*(0.6+MOD(A1082*43,21)/100))</f>
        <v>32501</v>
      </c>
      <c r="N1082" s="12" t="n">
        <f aca="false">K1082-M1082</f>
        <v>13930</v>
      </c>
    </row>
    <row r="1083" customFormat="false" ht="12.8" hidden="false" customHeight="false" outlineLevel="0" collapsed="false">
      <c r="A1083" s="10" t="n">
        <f aca="false">A1082+1</f>
        <v>1082</v>
      </c>
      <c r="B1083" s="11" t="n">
        <f aca="false">B1082+1</f>
        <v>46008</v>
      </c>
      <c r="C1083" s="10" t="n">
        <f aca="false">YEAR(B1083)</f>
        <v>2025</v>
      </c>
      <c r="D1083" s="10" t="n">
        <f aca="false">INT((MONTH(B1083)-1)/3)+1</f>
        <v>4</v>
      </c>
      <c r="E1083" s="10" t="n">
        <f aca="false">MONTH(B1083)</f>
        <v>12</v>
      </c>
      <c r="F1083" s="10" t="str">
        <f aca="false">CHOOSE(MOD(A1083-1,5)+1,"Центр","Юг","Север","Запад","Восток")</f>
        <v>Юг</v>
      </c>
      <c r="G1083" s="10" t="str">
        <f aca="false">"Округ_"&amp;(MOD(A1083-1,5)+1)&amp;"_"&amp;(MOD(INT((A1083-1)/5),5)+1)</f>
        <v>Округ_2_2</v>
      </c>
      <c r="H1083" s="10" t="str">
        <f aca="false">"Город_"&amp;(MOD(A1083-1,5)+1)&amp;"_"&amp;(MOD(INT((A1083-1)/5),5)+1)&amp;"_"&amp;(MOD(INT((A1083-1)/25),10)+1)</f>
        <v>Город_2_2_4</v>
      </c>
      <c r="I1083" s="10" t="str">
        <f aca="false">CHOOSE(MOD(A1083-1,4)+1,"Электроника","Одежда","Продукты","Мебель")</f>
        <v>Одежда</v>
      </c>
      <c r="J1083" s="10" t="str">
        <f aca="false">CHOOSE(MOD(INT((A1083-1)/4),4)+1,CHOOSE(MOD(A1083-1,4)+1,"Смартфоны","Ноутбуки","Аксессуары","Аудио"),CHOOSE(MOD(A1083-1,4)+1,"Верхняя одежда","Спортивная","Повседневная","Обувь"),CHOOSE(MOD(A1083-1,4)+1,"Молочные","Мясные","Бакалея","Напитки"),CHOOSE(MOD(A1083-1,4)+1,"Мягкая мебель","Корпусная","Офисная","Кухонная"))</f>
        <v>Мясные</v>
      </c>
      <c r="K1083" s="12" t="n">
        <f aca="false">1000+MOD(A1083*317+A1083*A1083*7,49001)</f>
        <v>12888</v>
      </c>
      <c r="L1083" s="12" t="n">
        <f aca="false">1+MOD(A1083*131,100)</f>
        <v>43</v>
      </c>
      <c r="M1083" s="12" t="n">
        <f aca="false">INT(K1083*(0.6+MOD(A1083*43,21)/100))</f>
        <v>9150</v>
      </c>
      <c r="N1083" s="12" t="n">
        <f aca="false">K1083-M1083</f>
        <v>3738</v>
      </c>
    </row>
    <row r="1084" customFormat="false" ht="12.8" hidden="false" customHeight="false" outlineLevel="0" collapsed="false">
      <c r="A1084" s="10" t="n">
        <f aca="false">A1083+1</f>
        <v>1083</v>
      </c>
      <c r="B1084" s="11" t="n">
        <f aca="false">B1083+1</f>
        <v>46009</v>
      </c>
      <c r="C1084" s="10" t="n">
        <f aca="false">YEAR(B1084)</f>
        <v>2025</v>
      </c>
      <c r="D1084" s="10" t="n">
        <f aca="false">INT((MONTH(B1084)-1)/3)+1</f>
        <v>4</v>
      </c>
      <c r="E1084" s="10" t="n">
        <f aca="false">MONTH(B1084)</f>
        <v>12</v>
      </c>
      <c r="F1084" s="10" t="str">
        <f aca="false">CHOOSE(MOD(A1084-1,5)+1,"Центр","Юг","Север","Запад","Восток")</f>
        <v>Север</v>
      </c>
      <c r="G1084" s="10" t="str">
        <f aca="false">"Округ_"&amp;(MOD(A1084-1,5)+1)&amp;"_"&amp;(MOD(INT((A1084-1)/5),5)+1)</f>
        <v>Округ_3_2</v>
      </c>
      <c r="H1084" s="10" t="str">
        <f aca="false">"Город_"&amp;(MOD(A1084-1,5)+1)&amp;"_"&amp;(MOD(INT((A1084-1)/5),5)+1)&amp;"_"&amp;(MOD(INT((A1084-1)/25),10)+1)</f>
        <v>Город_3_2_4</v>
      </c>
      <c r="I1084" s="10" t="str">
        <f aca="false">CHOOSE(MOD(A1084-1,4)+1,"Электроника","Одежда","Продукты","Мебель")</f>
        <v>Продукты</v>
      </c>
      <c r="J1084" s="10" t="str">
        <f aca="false">CHOOSE(MOD(INT((A1084-1)/4),4)+1,CHOOSE(MOD(A1084-1,4)+1,"Смартфоны","Ноутбуки","Аксессуары","Аудио"),CHOOSE(MOD(A1084-1,4)+1,"Верхняя одежда","Спортивная","Повседневная","Обувь"),CHOOSE(MOD(A1084-1,4)+1,"Молочные","Мясные","Бакалея","Напитки"),CHOOSE(MOD(A1084-1,4)+1,"Мягкая мебель","Корпусная","Офисная","Кухонная"))</f>
        <v>Бакалея</v>
      </c>
      <c r="K1084" s="12" t="n">
        <f aca="false">1000+MOD(A1084*317+A1084*A1084*7,49001)</f>
        <v>28360</v>
      </c>
      <c r="L1084" s="12" t="n">
        <f aca="false">1+MOD(A1084*131,100)</f>
        <v>74</v>
      </c>
      <c r="M1084" s="12" t="n">
        <f aca="false">INT(K1084*(0.6+MOD(A1084*43,21)/100))</f>
        <v>20419</v>
      </c>
      <c r="N1084" s="12" t="n">
        <f aca="false">K1084-M1084</f>
        <v>7941</v>
      </c>
    </row>
    <row r="1085" customFormat="false" ht="12.8" hidden="false" customHeight="false" outlineLevel="0" collapsed="false">
      <c r="A1085" s="10" t="n">
        <f aca="false">A1084+1</f>
        <v>1084</v>
      </c>
      <c r="B1085" s="11" t="n">
        <f aca="false">B1084+1</f>
        <v>46010</v>
      </c>
      <c r="C1085" s="10" t="n">
        <f aca="false">YEAR(B1085)</f>
        <v>2025</v>
      </c>
      <c r="D1085" s="10" t="n">
        <f aca="false">INT((MONTH(B1085)-1)/3)+1</f>
        <v>4</v>
      </c>
      <c r="E1085" s="10" t="n">
        <f aca="false">MONTH(B1085)</f>
        <v>12</v>
      </c>
      <c r="F1085" s="10" t="str">
        <f aca="false">CHOOSE(MOD(A1085-1,5)+1,"Центр","Юг","Север","Запад","Восток")</f>
        <v>Запад</v>
      </c>
      <c r="G1085" s="10" t="str">
        <f aca="false">"Округ_"&amp;(MOD(A1085-1,5)+1)&amp;"_"&amp;(MOD(INT((A1085-1)/5),5)+1)</f>
        <v>Округ_4_2</v>
      </c>
      <c r="H1085" s="10" t="str">
        <f aca="false">"Город_"&amp;(MOD(A1085-1,5)+1)&amp;"_"&amp;(MOD(INT((A1085-1)/5),5)+1)&amp;"_"&amp;(MOD(INT((A1085-1)/25),10)+1)</f>
        <v>Город_4_2_4</v>
      </c>
      <c r="I1085" s="10" t="str">
        <f aca="false">CHOOSE(MOD(A1085-1,4)+1,"Электроника","Одежда","Продукты","Мебель")</f>
        <v>Мебель</v>
      </c>
      <c r="J1085" s="10" t="str">
        <f aca="false">CHOOSE(MOD(INT((A1085-1)/4),4)+1,CHOOSE(MOD(A1085-1,4)+1,"Смартфоны","Ноутбуки","Аксессуары","Аудио"),CHOOSE(MOD(A1085-1,4)+1,"Верхняя одежда","Спортивная","Повседневная","Обувь"),CHOOSE(MOD(A1085-1,4)+1,"Молочные","Мясные","Бакалея","Напитки"),CHOOSE(MOD(A1085-1,4)+1,"Мягкая мебель","Корпусная","Офисная","Кухонная"))</f>
        <v>Напитки</v>
      </c>
      <c r="K1085" s="12" t="n">
        <f aca="false">1000+MOD(A1085*317+A1085*A1085*7,49001)</f>
        <v>43846</v>
      </c>
      <c r="L1085" s="12" t="n">
        <f aca="false">1+MOD(A1085*131,100)</f>
        <v>5</v>
      </c>
      <c r="M1085" s="12" t="n">
        <f aca="false">INT(K1085*(0.6+MOD(A1085*43,21)/100))</f>
        <v>32007</v>
      </c>
      <c r="N1085" s="12" t="n">
        <f aca="false">K1085-M1085</f>
        <v>11839</v>
      </c>
    </row>
    <row r="1086" customFormat="false" ht="12.8" hidden="false" customHeight="false" outlineLevel="0" collapsed="false">
      <c r="A1086" s="10" t="n">
        <f aca="false">A1085+1</f>
        <v>1085</v>
      </c>
      <c r="B1086" s="11" t="n">
        <f aca="false">B1085+1</f>
        <v>46011</v>
      </c>
      <c r="C1086" s="10" t="n">
        <f aca="false">YEAR(B1086)</f>
        <v>2025</v>
      </c>
      <c r="D1086" s="10" t="n">
        <f aca="false">INT((MONTH(B1086)-1)/3)+1</f>
        <v>4</v>
      </c>
      <c r="E1086" s="10" t="n">
        <f aca="false">MONTH(B1086)</f>
        <v>12</v>
      </c>
      <c r="F1086" s="10" t="str">
        <f aca="false">CHOOSE(MOD(A1086-1,5)+1,"Центр","Юг","Север","Запад","Восток")</f>
        <v>Восток</v>
      </c>
      <c r="G1086" s="10" t="str">
        <f aca="false">"Округ_"&amp;(MOD(A1086-1,5)+1)&amp;"_"&amp;(MOD(INT((A1086-1)/5),5)+1)</f>
        <v>Округ_5_2</v>
      </c>
      <c r="H1086" s="10" t="str">
        <f aca="false">"Город_"&amp;(MOD(A1086-1,5)+1)&amp;"_"&amp;(MOD(INT((A1086-1)/5),5)+1)&amp;"_"&amp;(MOD(INT((A1086-1)/25),10)+1)</f>
        <v>Город_5_2_4</v>
      </c>
      <c r="I1086" s="10" t="str">
        <f aca="false">CHOOSE(MOD(A1086-1,4)+1,"Электроника","Одежда","Продукты","Мебель")</f>
        <v>Электроника</v>
      </c>
      <c r="J1086" s="10" t="str">
        <f aca="false">CHOOSE(MOD(INT((A1086-1)/4),4)+1,CHOOSE(MOD(A1086-1,4)+1,"Смартфоны","Ноутбуки","Аксессуары","Аудио"),CHOOSE(MOD(A1086-1,4)+1,"Верхняя одежда","Спортивная","Повседневная","Обувь"),CHOOSE(MOD(A1086-1,4)+1,"Молочные","Мясные","Бакалея","Напитки"),CHOOSE(MOD(A1086-1,4)+1,"Мягкая мебель","Корпусная","Офисная","Кухонная"))</f>
        <v>Мягкая мебель</v>
      </c>
      <c r="K1086" s="12" t="n">
        <f aca="false">1000+MOD(A1086*317+A1086*A1086*7,49001)</f>
        <v>10345</v>
      </c>
      <c r="L1086" s="12" t="n">
        <f aca="false">1+MOD(A1086*131,100)</f>
        <v>36</v>
      </c>
      <c r="M1086" s="12" t="n">
        <f aca="false">INT(K1086*(0.6+MOD(A1086*43,21)/100))</f>
        <v>7655</v>
      </c>
      <c r="N1086" s="12" t="n">
        <f aca="false">K1086-M1086</f>
        <v>2690</v>
      </c>
    </row>
    <row r="1087" customFormat="false" ht="12.8" hidden="false" customHeight="false" outlineLevel="0" collapsed="false">
      <c r="A1087" s="10" t="n">
        <f aca="false">A1086+1</f>
        <v>1086</v>
      </c>
      <c r="B1087" s="11" t="n">
        <f aca="false">B1086+1</f>
        <v>46012</v>
      </c>
      <c r="C1087" s="10" t="n">
        <f aca="false">YEAR(B1087)</f>
        <v>2025</v>
      </c>
      <c r="D1087" s="10" t="n">
        <f aca="false">INT((MONTH(B1087)-1)/3)+1</f>
        <v>4</v>
      </c>
      <c r="E1087" s="10" t="n">
        <f aca="false">MONTH(B1087)</f>
        <v>12</v>
      </c>
      <c r="F1087" s="10" t="str">
        <f aca="false">CHOOSE(MOD(A1087-1,5)+1,"Центр","Юг","Север","Запад","Восток")</f>
        <v>Центр</v>
      </c>
      <c r="G1087" s="10" t="str">
        <f aca="false">"Округ_"&amp;(MOD(A1087-1,5)+1)&amp;"_"&amp;(MOD(INT((A1087-1)/5),5)+1)</f>
        <v>Округ_1_3</v>
      </c>
      <c r="H1087" s="10" t="str">
        <f aca="false">"Город_"&amp;(MOD(A1087-1,5)+1)&amp;"_"&amp;(MOD(INT((A1087-1)/5),5)+1)&amp;"_"&amp;(MOD(INT((A1087-1)/25),10)+1)</f>
        <v>Город_1_3_4</v>
      </c>
      <c r="I1087" s="10" t="str">
        <f aca="false">CHOOSE(MOD(A1087-1,4)+1,"Электроника","Одежда","Продукты","Мебель")</f>
        <v>Одежда</v>
      </c>
      <c r="J1087" s="10" t="str">
        <f aca="false">CHOOSE(MOD(INT((A1087-1)/4),4)+1,CHOOSE(MOD(A1087-1,4)+1,"Смартфоны","Ноутбуки","Аксессуары","Аудио"),CHOOSE(MOD(A1087-1,4)+1,"Верхняя одежда","Спортивная","Повседневная","Обувь"),CHOOSE(MOD(A1087-1,4)+1,"Молочные","Мясные","Бакалея","Напитки"),CHOOSE(MOD(A1087-1,4)+1,"Мягкая мебель","Корпусная","Офисная","Кухонная"))</f>
        <v>Корпусная</v>
      </c>
      <c r="K1087" s="12" t="n">
        <f aca="false">1000+MOD(A1087*317+A1087*A1087*7,49001)</f>
        <v>25859</v>
      </c>
      <c r="L1087" s="12" t="n">
        <f aca="false">1+MOD(A1087*131,100)</f>
        <v>67</v>
      </c>
      <c r="M1087" s="12" t="n">
        <f aca="false">INT(K1087*(0.6+MOD(A1087*43,21)/100))</f>
        <v>19394</v>
      </c>
      <c r="N1087" s="12" t="n">
        <f aca="false">K1087-M1087</f>
        <v>6465</v>
      </c>
    </row>
    <row r="1088" customFormat="false" ht="12.8" hidden="false" customHeight="false" outlineLevel="0" collapsed="false">
      <c r="A1088" s="10" t="n">
        <f aca="false">A1087+1</f>
        <v>1087</v>
      </c>
      <c r="B1088" s="11" t="n">
        <f aca="false">B1087+1</f>
        <v>46013</v>
      </c>
      <c r="C1088" s="10" t="n">
        <f aca="false">YEAR(B1088)</f>
        <v>2025</v>
      </c>
      <c r="D1088" s="10" t="n">
        <f aca="false">INT((MONTH(B1088)-1)/3)+1</f>
        <v>4</v>
      </c>
      <c r="E1088" s="10" t="n">
        <f aca="false">MONTH(B1088)</f>
        <v>12</v>
      </c>
      <c r="F1088" s="10" t="str">
        <f aca="false">CHOOSE(MOD(A1088-1,5)+1,"Центр","Юг","Север","Запад","Восток")</f>
        <v>Юг</v>
      </c>
      <c r="G1088" s="10" t="str">
        <f aca="false">"Округ_"&amp;(MOD(A1088-1,5)+1)&amp;"_"&amp;(MOD(INT((A1088-1)/5),5)+1)</f>
        <v>Округ_2_3</v>
      </c>
      <c r="H1088" s="10" t="str">
        <f aca="false">"Город_"&amp;(MOD(A1088-1,5)+1)&amp;"_"&amp;(MOD(INT((A1088-1)/5),5)+1)&amp;"_"&amp;(MOD(INT((A1088-1)/25),10)+1)</f>
        <v>Город_2_3_4</v>
      </c>
      <c r="I1088" s="10" t="str">
        <f aca="false">CHOOSE(MOD(A1088-1,4)+1,"Электроника","Одежда","Продукты","Мебель")</f>
        <v>Продукты</v>
      </c>
      <c r="J1088" s="10" t="str">
        <f aca="false">CHOOSE(MOD(INT((A1088-1)/4),4)+1,CHOOSE(MOD(A1088-1,4)+1,"Смартфоны","Ноутбуки","Аксессуары","Аудио"),CHOOSE(MOD(A1088-1,4)+1,"Верхняя одежда","Спортивная","Повседневная","Обувь"),CHOOSE(MOD(A1088-1,4)+1,"Молочные","Мясные","Бакалея","Напитки"),CHOOSE(MOD(A1088-1,4)+1,"Мягкая мебель","Корпусная","Офисная","Кухонная"))</f>
        <v>Офисная</v>
      </c>
      <c r="K1088" s="12" t="n">
        <f aca="false">1000+MOD(A1088*317+A1088*A1088*7,49001)</f>
        <v>41387</v>
      </c>
      <c r="L1088" s="12" t="n">
        <f aca="false">1+MOD(A1088*131,100)</f>
        <v>98</v>
      </c>
      <c r="M1088" s="12" t="n">
        <f aca="false">INT(K1088*(0.6+MOD(A1088*43,21)/100))</f>
        <v>31454</v>
      </c>
      <c r="N1088" s="12" t="n">
        <f aca="false">K1088-M1088</f>
        <v>9933</v>
      </c>
    </row>
    <row r="1089" customFormat="false" ht="12.8" hidden="false" customHeight="false" outlineLevel="0" collapsed="false">
      <c r="A1089" s="10" t="n">
        <f aca="false">A1088+1</f>
        <v>1088</v>
      </c>
      <c r="B1089" s="11" t="n">
        <f aca="false">B1088+1</f>
        <v>46014</v>
      </c>
      <c r="C1089" s="10" t="n">
        <f aca="false">YEAR(B1089)</f>
        <v>2025</v>
      </c>
      <c r="D1089" s="10" t="n">
        <f aca="false">INT((MONTH(B1089)-1)/3)+1</f>
        <v>4</v>
      </c>
      <c r="E1089" s="10" t="n">
        <f aca="false">MONTH(B1089)</f>
        <v>12</v>
      </c>
      <c r="F1089" s="10" t="str">
        <f aca="false">CHOOSE(MOD(A1089-1,5)+1,"Центр","Юг","Север","Запад","Восток")</f>
        <v>Север</v>
      </c>
      <c r="G1089" s="10" t="str">
        <f aca="false">"Округ_"&amp;(MOD(A1089-1,5)+1)&amp;"_"&amp;(MOD(INT((A1089-1)/5),5)+1)</f>
        <v>Округ_3_3</v>
      </c>
      <c r="H1089" s="10" t="str">
        <f aca="false">"Город_"&amp;(MOD(A1089-1,5)+1)&amp;"_"&amp;(MOD(INT((A1089-1)/5),5)+1)&amp;"_"&amp;(MOD(INT((A1089-1)/25),10)+1)</f>
        <v>Город_3_3_4</v>
      </c>
      <c r="I1089" s="10" t="str">
        <f aca="false">CHOOSE(MOD(A1089-1,4)+1,"Электроника","Одежда","Продукты","Мебель")</f>
        <v>Мебель</v>
      </c>
      <c r="J1089" s="10" t="str">
        <f aca="false">CHOOSE(MOD(INT((A1089-1)/4),4)+1,CHOOSE(MOD(A1089-1,4)+1,"Смартфоны","Ноутбуки","Аксессуары","Аудио"),CHOOSE(MOD(A1089-1,4)+1,"Верхняя одежда","Спортивная","Повседневная","Обувь"),CHOOSE(MOD(A1089-1,4)+1,"Молочные","Мясные","Бакалея","Напитки"),CHOOSE(MOD(A1089-1,4)+1,"Мягкая мебель","Корпусная","Офисная","Кухонная"))</f>
        <v>Кухонная</v>
      </c>
      <c r="K1089" s="12" t="n">
        <f aca="false">1000+MOD(A1089*317+A1089*A1089*7,49001)</f>
        <v>7928</v>
      </c>
      <c r="L1089" s="12" t="n">
        <f aca="false">1+MOD(A1089*131,100)</f>
        <v>29</v>
      </c>
      <c r="M1089" s="12" t="n">
        <f aca="false">INT(K1089*(0.6+MOD(A1089*43,21)/100))</f>
        <v>6104</v>
      </c>
      <c r="N1089" s="12" t="n">
        <f aca="false">K1089-M1089</f>
        <v>1824</v>
      </c>
    </row>
    <row r="1090" customFormat="false" ht="12.8" hidden="false" customHeight="false" outlineLevel="0" collapsed="false">
      <c r="A1090" s="10" t="n">
        <f aca="false">A1089+1</f>
        <v>1089</v>
      </c>
      <c r="B1090" s="11" t="n">
        <f aca="false">B1089+1</f>
        <v>46015</v>
      </c>
      <c r="C1090" s="10" t="n">
        <f aca="false">YEAR(B1090)</f>
        <v>2025</v>
      </c>
      <c r="D1090" s="10" t="n">
        <f aca="false">INT((MONTH(B1090)-1)/3)+1</f>
        <v>4</v>
      </c>
      <c r="E1090" s="10" t="n">
        <f aca="false">MONTH(B1090)</f>
        <v>12</v>
      </c>
      <c r="F1090" s="10" t="str">
        <f aca="false">CHOOSE(MOD(A1090-1,5)+1,"Центр","Юг","Север","Запад","Восток")</f>
        <v>Запад</v>
      </c>
      <c r="G1090" s="10" t="str">
        <f aca="false">"Округ_"&amp;(MOD(A1090-1,5)+1)&amp;"_"&amp;(MOD(INT((A1090-1)/5),5)+1)</f>
        <v>Округ_4_3</v>
      </c>
      <c r="H1090" s="10" t="str">
        <f aca="false">"Город_"&amp;(MOD(A1090-1,5)+1)&amp;"_"&amp;(MOD(INT((A1090-1)/5),5)+1)&amp;"_"&amp;(MOD(INT((A1090-1)/25),10)+1)</f>
        <v>Город_4_3_4</v>
      </c>
      <c r="I1090" s="10" t="str">
        <f aca="false">CHOOSE(MOD(A1090-1,4)+1,"Электроника","Одежда","Продукты","Мебель")</f>
        <v>Электроника</v>
      </c>
      <c r="J1090" s="10" t="str">
        <f aca="false">CHOOSE(MOD(INT((A1090-1)/4),4)+1,CHOOSE(MOD(A1090-1,4)+1,"Смартфоны","Ноутбуки","Аксессуары","Аудио"),CHOOSE(MOD(A1090-1,4)+1,"Верхняя одежда","Спортивная","Повседневная","Обувь"),CHOOSE(MOD(A1090-1,4)+1,"Молочные","Мясные","Бакалея","Напитки"),CHOOSE(MOD(A1090-1,4)+1,"Мягкая мебель","Корпусная","Офисная","Кухонная"))</f>
        <v>Смартфоны</v>
      </c>
      <c r="K1090" s="12" t="n">
        <f aca="false">1000+MOD(A1090*317+A1090*A1090*7,49001)</f>
        <v>23484</v>
      </c>
      <c r="L1090" s="12" t="n">
        <f aca="false">1+MOD(A1090*131,100)</f>
        <v>60</v>
      </c>
      <c r="M1090" s="12" t="n">
        <f aca="false">INT(K1090*(0.6+MOD(A1090*43,21)/100))</f>
        <v>18317</v>
      </c>
      <c r="N1090" s="12" t="n">
        <f aca="false">K1090-M1090</f>
        <v>5167</v>
      </c>
    </row>
    <row r="1091" customFormat="false" ht="12.8" hidden="false" customHeight="false" outlineLevel="0" collapsed="false">
      <c r="A1091" s="10" t="n">
        <f aca="false">A1090+1</f>
        <v>1090</v>
      </c>
      <c r="B1091" s="11" t="n">
        <f aca="false">B1090+1</f>
        <v>46016</v>
      </c>
      <c r="C1091" s="10" t="n">
        <f aca="false">YEAR(B1091)</f>
        <v>2025</v>
      </c>
      <c r="D1091" s="10" t="n">
        <f aca="false">INT((MONTH(B1091)-1)/3)+1</f>
        <v>4</v>
      </c>
      <c r="E1091" s="10" t="n">
        <f aca="false">MONTH(B1091)</f>
        <v>12</v>
      </c>
      <c r="F1091" s="10" t="str">
        <f aca="false">CHOOSE(MOD(A1091-1,5)+1,"Центр","Юг","Север","Запад","Восток")</f>
        <v>Восток</v>
      </c>
      <c r="G1091" s="10" t="str">
        <f aca="false">"Округ_"&amp;(MOD(A1091-1,5)+1)&amp;"_"&amp;(MOD(INT((A1091-1)/5),5)+1)</f>
        <v>Округ_5_3</v>
      </c>
      <c r="H1091" s="10" t="str">
        <f aca="false">"Город_"&amp;(MOD(A1091-1,5)+1)&amp;"_"&amp;(MOD(INT((A1091-1)/5),5)+1)&amp;"_"&amp;(MOD(INT((A1091-1)/25),10)+1)</f>
        <v>Город_5_3_4</v>
      </c>
      <c r="I1091" s="10" t="str">
        <f aca="false">CHOOSE(MOD(A1091-1,4)+1,"Электроника","Одежда","Продукты","Мебель")</f>
        <v>Одежда</v>
      </c>
      <c r="J1091" s="10" t="str">
        <f aca="false">CHOOSE(MOD(INT((A1091-1)/4),4)+1,CHOOSE(MOD(A1091-1,4)+1,"Смартфоны","Ноутбуки","Аксессуары","Аудио"),CHOOSE(MOD(A1091-1,4)+1,"Верхняя одежда","Спортивная","Повседневная","Обувь"),CHOOSE(MOD(A1091-1,4)+1,"Молочные","Мясные","Бакалея","Напитки"),CHOOSE(MOD(A1091-1,4)+1,"Мягкая мебель","Корпусная","Офисная","Кухонная"))</f>
        <v>Ноутбуки</v>
      </c>
      <c r="K1091" s="12" t="n">
        <f aca="false">1000+MOD(A1091*317+A1091*A1091*7,49001)</f>
        <v>39054</v>
      </c>
      <c r="L1091" s="12" t="n">
        <f aca="false">1+MOD(A1091*131,100)</f>
        <v>91</v>
      </c>
      <c r="M1091" s="12" t="n">
        <f aca="false">INT(K1091*(0.6+MOD(A1091*43,21)/100))</f>
        <v>30852</v>
      </c>
      <c r="N1091" s="12" t="n">
        <f aca="false">K1091-M1091</f>
        <v>8202</v>
      </c>
    </row>
    <row r="1092" customFormat="false" ht="12.8" hidden="false" customHeight="false" outlineLevel="0" collapsed="false">
      <c r="A1092" s="10" t="n">
        <f aca="false">A1091+1</f>
        <v>1091</v>
      </c>
      <c r="B1092" s="11" t="n">
        <f aca="false">B1091+1</f>
        <v>46017</v>
      </c>
      <c r="C1092" s="10" t="n">
        <f aca="false">YEAR(B1092)</f>
        <v>2025</v>
      </c>
      <c r="D1092" s="10" t="n">
        <f aca="false">INT((MONTH(B1092)-1)/3)+1</f>
        <v>4</v>
      </c>
      <c r="E1092" s="10" t="n">
        <f aca="false">MONTH(B1092)</f>
        <v>12</v>
      </c>
      <c r="F1092" s="10" t="str">
        <f aca="false">CHOOSE(MOD(A1092-1,5)+1,"Центр","Юг","Север","Запад","Восток")</f>
        <v>Центр</v>
      </c>
      <c r="G1092" s="10" t="str">
        <f aca="false">"Округ_"&amp;(MOD(A1092-1,5)+1)&amp;"_"&amp;(MOD(INT((A1092-1)/5),5)+1)</f>
        <v>Округ_1_4</v>
      </c>
      <c r="H1092" s="10" t="str">
        <f aca="false">"Город_"&amp;(MOD(A1092-1,5)+1)&amp;"_"&amp;(MOD(INT((A1092-1)/5),5)+1)&amp;"_"&amp;(MOD(INT((A1092-1)/25),10)+1)</f>
        <v>Город_1_4_4</v>
      </c>
      <c r="I1092" s="10" t="str">
        <f aca="false">CHOOSE(MOD(A1092-1,4)+1,"Электроника","Одежда","Продукты","Мебель")</f>
        <v>Продукты</v>
      </c>
      <c r="J1092" s="10" t="str">
        <f aca="false">CHOOSE(MOD(INT((A1092-1)/4),4)+1,CHOOSE(MOD(A1092-1,4)+1,"Смартфоны","Ноутбуки","Аксессуары","Аудио"),CHOOSE(MOD(A1092-1,4)+1,"Верхняя одежда","Спортивная","Повседневная","Обувь"),CHOOSE(MOD(A1092-1,4)+1,"Молочные","Мясные","Бакалея","Напитки"),CHOOSE(MOD(A1092-1,4)+1,"Мягкая мебель","Корпусная","Офисная","Кухонная"))</f>
        <v>Аксессуары</v>
      </c>
      <c r="K1092" s="12" t="n">
        <f aca="false">1000+MOD(A1092*317+A1092*A1092*7,49001)</f>
        <v>5637</v>
      </c>
      <c r="L1092" s="12" t="n">
        <f aca="false">1+MOD(A1092*131,100)</f>
        <v>22</v>
      </c>
      <c r="M1092" s="12" t="n">
        <f aca="false">INT(K1092*(0.6+MOD(A1092*43,21)/100))</f>
        <v>4509</v>
      </c>
      <c r="N1092" s="12" t="n">
        <f aca="false">K1092-M1092</f>
        <v>1128</v>
      </c>
    </row>
    <row r="1093" customFormat="false" ht="12.8" hidden="false" customHeight="false" outlineLevel="0" collapsed="false">
      <c r="A1093" s="10" t="n">
        <f aca="false">A1092+1</f>
        <v>1092</v>
      </c>
      <c r="B1093" s="11" t="n">
        <f aca="false">B1092+1</f>
        <v>46018</v>
      </c>
      <c r="C1093" s="10" t="n">
        <f aca="false">YEAR(B1093)</f>
        <v>2025</v>
      </c>
      <c r="D1093" s="10" t="n">
        <f aca="false">INT((MONTH(B1093)-1)/3)+1</f>
        <v>4</v>
      </c>
      <c r="E1093" s="10" t="n">
        <f aca="false">MONTH(B1093)</f>
        <v>12</v>
      </c>
      <c r="F1093" s="10" t="str">
        <f aca="false">CHOOSE(MOD(A1093-1,5)+1,"Центр","Юг","Север","Запад","Восток")</f>
        <v>Юг</v>
      </c>
      <c r="G1093" s="10" t="str">
        <f aca="false">"Округ_"&amp;(MOD(A1093-1,5)+1)&amp;"_"&amp;(MOD(INT((A1093-1)/5),5)+1)</f>
        <v>Округ_2_4</v>
      </c>
      <c r="H1093" s="10" t="str">
        <f aca="false">"Город_"&amp;(MOD(A1093-1,5)+1)&amp;"_"&amp;(MOD(INT((A1093-1)/5),5)+1)&amp;"_"&amp;(MOD(INT((A1093-1)/25),10)+1)</f>
        <v>Город_2_4_4</v>
      </c>
      <c r="I1093" s="10" t="str">
        <f aca="false">CHOOSE(MOD(A1093-1,4)+1,"Электроника","Одежда","Продукты","Мебель")</f>
        <v>Мебель</v>
      </c>
      <c r="J1093" s="10" t="str">
        <f aca="false">CHOOSE(MOD(INT((A1093-1)/4),4)+1,CHOOSE(MOD(A1093-1,4)+1,"Смартфоны","Ноутбуки","Аксессуары","Аудио"),CHOOSE(MOD(A1093-1,4)+1,"Верхняя одежда","Спортивная","Повседневная","Обувь"),CHOOSE(MOD(A1093-1,4)+1,"Молочные","Мясные","Бакалея","Напитки"),CHOOSE(MOD(A1093-1,4)+1,"Мягкая мебель","Корпусная","Офисная","Кухонная"))</f>
        <v>Аудио</v>
      </c>
      <c r="K1093" s="12" t="n">
        <f aca="false">1000+MOD(A1093*317+A1093*A1093*7,49001)</f>
        <v>21235</v>
      </c>
      <c r="L1093" s="12" t="n">
        <f aca="false">1+MOD(A1093*131,100)</f>
        <v>53</v>
      </c>
      <c r="M1093" s="12" t="n">
        <f aca="false">INT(K1093*(0.6+MOD(A1093*43,21)/100))</f>
        <v>12741</v>
      </c>
      <c r="N1093" s="12" t="n">
        <f aca="false">K1093-M1093</f>
        <v>8494</v>
      </c>
    </row>
    <row r="1094" customFormat="false" ht="12.8" hidden="false" customHeight="false" outlineLevel="0" collapsed="false">
      <c r="A1094" s="10" t="n">
        <f aca="false">A1093+1</f>
        <v>1093</v>
      </c>
      <c r="B1094" s="11" t="n">
        <f aca="false">B1093+1</f>
        <v>46019</v>
      </c>
      <c r="C1094" s="10" t="n">
        <f aca="false">YEAR(B1094)</f>
        <v>2025</v>
      </c>
      <c r="D1094" s="10" t="n">
        <f aca="false">INT((MONTH(B1094)-1)/3)+1</f>
        <v>4</v>
      </c>
      <c r="E1094" s="10" t="n">
        <f aca="false">MONTH(B1094)</f>
        <v>12</v>
      </c>
      <c r="F1094" s="10" t="str">
        <f aca="false">CHOOSE(MOD(A1094-1,5)+1,"Центр","Юг","Север","Запад","Восток")</f>
        <v>Север</v>
      </c>
      <c r="G1094" s="10" t="str">
        <f aca="false">"Округ_"&amp;(MOD(A1094-1,5)+1)&amp;"_"&amp;(MOD(INT((A1094-1)/5),5)+1)</f>
        <v>Округ_3_4</v>
      </c>
      <c r="H1094" s="10" t="str">
        <f aca="false">"Город_"&amp;(MOD(A1094-1,5)+1)&amp;"_"&amp;(MOD(INT((A1094-1)/5),5)+1)&amp;"_"&amp;(MOD(INT((A1094-1)/25),10)+1)</f>
        <v>Город_3_4_4</v>
      </c>
      <c r="I1094" s="10" t="str">
        <f aca="false">CHOOSE(MOD(A1094-1,4)+1,"Электроника","Одежда","Продукты","Мебель")</f>
        <v>Электроника</v>
      </c>
      <c r="J1094" s="10" t="str">
        <f aca="false">CHOOSE(MOD(INT((A1094-1)/4),4)+1,CHOOSE(MOD(A1094-1,4)+1,"Смартфоны","Ноутбуки","Аксессуары","Аудио"),CHOOSE(MOD(A1094-1,4)+1,"Верхняя одежда","Спортивная","Повседневная","Обувь"),CHOOSE(MOD(A1094-1,4)+1,"Молочные","Мясные","Бакалея","Напитки"),CHOOSE(MOD(A1094-1,4)+1,"Мягкая мебель","Корпусная","Офисная","Кухонная"))</f>
        <v>Верхняя одежда</v>
      </c>
      <c r="K1094" s="12" t="n">
        <f aca="false">1000+MOD(A1094*317+A1094*A1094*7,49001)</f>
        <v>36847</v>
      </c>
      <c r="L1094" s="12" t="n">
        <f aca="false">1+MOD(A1094*131,100)</f>
        <v>84</v>
      </c>
      <c r="M1094" s="12" t="n">
        <f aca="false">INT(K1094*(0.6+MOD(A1094*43,21)/100))</f>
        <v>22476</v>
      </c>
      <c r="N1094" s="12" t="n">
        <f aca="false">K1094-M1094</f>
        <v>14371</v>
      </c>
    </row>
    <row r="1095" customFormat="false" ht="12.8" hidden="false" customHeight="false" outlineLevel="0" collapsed="false">
      <c r="A1095" s="10" t="n">
        <f aca="false">A1094+1</f>
        <v>1094</v>
      </c>
      <c r="B1095" s="11" t="n">
        <f aca="false">B1094+1</f>
        <v>46020</v>
      </c>
      <c r="C1095" s="10" t="n">
        <f aca="false">YEAR(B1095)</f>
        <v>2025</v>
      </c>
      <c r="D1095" s="10" t="n">
        <f aca="false">INT((MONTH(B1095)-1)/3)+1</f>
        <v>4</v>
      </c>
      <c r="E1095" s="10" t="n">
        <f aca="false">MONTH(B1095)</f>
        <v>12</v>
      </c>
      <c r="F1095" s="10" t="str">
        <f aca="false">CHOOSE(MOD(A1095-1,5)+1,"Центр","Юг","Север","Запад","Восток")</f>
        <v>Запад</v>
      </c>
      <c r="G1095" s="10" t="str">
        <f aca="false">"Округ_"&amp;(MOD(A1095-1,5)+1)&amp;"_"&amp;(MOD(INT((A1095-1)/5),5)+1)</f>
        <v>Округ_4_4</v>
      </c>
      <c r="H1095" s="10" t="str">
        <f aca="false">"Город_"&amp;(MOD(A1095-1,5)+1)&amp;"_"&amp;(MOD(INT((A1095-1)/5),5)+1)&amp;"_"&amp;(MOD(INT((A1095-1)/25),10)+1)</f>
        <v>Город_4_4_4</v>
      </c>
      <c r="I1095" s="10" t="str">
        <f aca="false">CHOOSE(MOD(A1095-1,4)+1,"Электроника","Одежда","Продукты","Мебель")</f>
        <v>Одежда</v>
      </c>
      <c r="J1095" s="10" t="str">
        <f aca="false">CHOOSE(MOD(INT((A1095-1)/4),4)+1,CHOOSE(MOD(A1095-1,4)+1,"Смартфоны","Ноутбуки","Аксессуары","Аудио"),CHOOSE(MOD(A1095-1,4)+1,"Верхняя одежда","Спортивная","Повседневная","Обувь"),CHOOSE(MOD(A1095-1,4)+1,"Молочные","Мясные","Бакалея","Напитки"),CHOOSE(MOD(A1095-1,4)+1,"Мягкая мебель","Корпусная","Офисная","Кухонная"))</f>
        <v>Спортивная</v>
      </c>
      <c r="K1095" s="12" t="n">
        <f aca="false">1000+MOD(A1095*317+A1095*A1095*7,49001)</f>
        <v>3472</v>
      </c>
      <c r="L1095" s="12" t="n">
        <f aca="false">1+MOD(A1095*131,100)</f>
        <v>15</v>
      </c>
      <c r="M1095" s="12" t="n">
        <f aca="false">INT(K1095*(0.6+MOD(A1095*43,21)/100))</f>
        <v>2152</v>
      </c>
      <c r="N1095" s="12" t="n">
        <f aca="false">K1095-M1095</f>
        <v>1320</v>
      </c>
    </row>
    <row r="1096" customFormat="false" ht="12.8" hidden="false" customHeight="false" outlineLevel="0" collapsed="false">
      <c r="A1096" s="10" t="n">
        <f aca="false">A1095+1</f>
        <v>1095</v>
      </c>
      <c r="B1096" s="11" t="n">
        <f aca="false">B1095+1</f>
        <v>46021</v>
      </c>
      <c r="C1096" s="10" t="n">
        <f aca="false">YEAR(B1096)</f>
        <v>2025</v>
      </c>
      <c r="D1096" s="10" t="n">
        <f aca="false">INT((MONTH(B1096)-1)/3)+1</f>
        <v>4</v>
      </c>
      <c r="E1096" s="10" t="n">
        <f aca="false">MONTH(B1096)</f>
        <v>12</v>
      </c>
      <c r="F1096" s="10" t="str">
        <f aca="false">CHOOSE(MOD(A1096-1,5)+1,"Центр","Юг","Север","Запад","Восток")</f>
        <v>Восток</v>
      </c>
      <c r="G1096" s="10" t="str">
        <f aca="false">"Округ_"&amp;(MOD(A1096-1,5)+1)&amp;"_"&amp;(MOD(INT((A1096-1)/5),5)+1)</f>
        <v>Округ_5_4</v>
      </c>
      <c r="H1096" s="10" t="str">
        <f aca="false">"Город_"&amp;(MOD(A1096-1,5)+1)&amp;"_"&amp;(MOD(INT((A1096-1)/5),5)+1)&amp;"_"&amp;(MOD(INT((A1096-1)/25),10)+1)</f>
        <v>Город_5_4_4</v>
      </c>
      <c r="I1096" s="10" t="str">
        <f aca="false">CHOOSE(MOD(A1096-1,4)+1,"Электроника","Одежда","Продукты","Мебель")</f>
        <v>Продукты</v>
      </c>
      <c r="J1096" s="10" t="str">
        <f aca="false">CHOOSE(MOD(INT((A1096-1)/4),4)+1,CHOOSE(MOD(A1096-1,4)+1,"Смартфоны","Ноутбуки","Аксессуары","Аудио"),CHOOSE(MOD(A1096-1,4)+1,"Верхняя одежда","Спортивная","Повседневная","Обувь"),CHOOSE(MOD(A1096-1,4)+1,"Молочные","Мясные","Бакалея","Напитки"),CHOOSE(MOD(A1096-1,4)+1,"Мягкая мебель","Корпусная","Офисная","Кухонная"))</f>
        <v>Повседневная</v>
      </c>
      <c r="K1096" s="12" t="n">
        <f aca="false">1000+MOD(A1096*317+A1096*A1096*7,49001)</f>
        <v>19112</v>
      </c>
      <c r="L1096" s="12" t="n">
        <f aca="false">1+MOD(A1096*131,100)</f>
        <v>46</v>
      </c>
      <c r="M1096" s="12" t="n">
        <f aca="false">INT(K1096*(0.6+MOD(A1096*43,21)/100))</f>
        <v>12040</v>
      </c>
      <c r="N1096" s="12" t="n">
        <f aca="false">K1096-M1096</f>
        <v>7072</v>
      </c>
    </row>
    <row r="1097" customFormat="false" ht="12.8" hidden="false" customHeight="false" outlineLevel="0" collapsed="false">
      <c r="A1097" s="10" t="n">
        <f aca="false">A1096+1</f>
        <v>1096</v>
      </c>
      <c r="B1097" s="11" t="n">
        <f aca="false">B1096+1</f>
        <v>46022</v>
      </c>
      <c r="C1097" s="10" t="n">
        <f aca="false">YEAR(B1097)</f>
        <v>2025</v>
      </c>
      <c r="D1097" s="10" t="n">
        <f aca="false">INT((MONTH(B1097)-1)/3)+1</f>
        <v>4</v>
      </c>
      <c r="E1097" s="10" t="n">
        <f aca="false">MONTH(B1097)</f>
        <v>12</v>
      </c>
      <c r="F1097" s="10" t="str">
        <f aca="false">CHOOSE(MOD(A1097-1,5)+1,"Центр","Юг","Север","Запад","Восток")</f>
        <v>Центр</v>
      </c>
      <c r="G1097" s="10" t="str">
        <f aca="false">"Округ_"&amp;(MOD(A1097-1,5)+1)&amp;"_"&amp;(MOD(INT((A1097-1)/5),5)+1)</f>
        <v>Округ_1_5</v>
      </c>
      <c r="H1097" s="10" t="str">
        <f aca="false">"Город_"&amp;(MOD(A1097-1,5)+1)&amp;"_"&amp;(MOD(INT((A1097-1)/5),5)+1)&amp;"_"&amp;(MOD(INT((A1097-1)/25),10)+1)</f>
        <v>Город_1_5_4</v>
      </c>
      <c r="I1097" s="10" t="str">
        <f aca="false">CHOOSE(MOD(A1097-1,4)+1,"Электроника","Одежда","Продукты","Мебель")</f>
        <v>Мебель</v>
      </c>
      <c r="J1097" s="10" t="str">
        <f aca="false">CHOOSE(MOD(INT((A1097-1)/4),4)+1,CHOOSE(MOD(A1097-1,4)+1,"Смартфоны","Ноутбуки","Аксессуары","Аудио"),CHOOSE(MOD(A1097-1,4)+1,"Верхняя одежда","Спортивная","Повседневная","Обувь"),CHOOSE(MOD(A1097-1,4)+1,"Молочные","Мясные","Бакалея","Напитки"),CHOOSE(MOD(A1097-1,4)+1,"Мягкая мебель","Корпусная","Офисная","Кухонная"))</f>
        <v>Обувь</v>
      </c>
      <c r="K1097" s="12" t="n">
        <f aca="false">1000+MOD(A1097*317+A1097*A1097*7,49001)</f>
        <v>34766</v>
      </c>
      <c r="L1097" s="12" t="n">
        <f aca="false">1+MOD(A1097*131,100)</f>
        <v>77</v>
      </c>
      <c r="M1097" s="12" t="n">
        <f aca="false">INT(K1097*(0.6+MOD(A1097*43,21)/100))</f>
        <v>22250</v>
      </c>
      <c r="N1097" s="12" t="n">
        <f aca="false">K1097-M1097</f>
        <v>12516</v>
      </c>
    </row>
    <row r="1098" customFormat="false" ht="12.8" hidden="false" customHeight="false" outlineLevel="0" collapsed="false">
      <c r="A1098" s="10" t="n">
        <f aca="false">A1097+1</f>
        <v>1097</v>
      </c>
      <c r="B1098" s="11" t="n">
        <f aca="false">B1097+1</f>
        <v>46023</v>
      </c>
      <c r="C1098" s="10" t="n">
        <f aca="false">YEAR(B1098)</f>
        <v>2026</v>
      </c>
      <c r="D1098" s="10" t="n">
        <f aca="false">INT((MONTH(B1098)-1)/3)+1</f>
        <v>1</v>
      </c>
      <c r="E1098" s="10" t="n">
        <f aca="false">MONTH(B1098)</f>
        <v>1</v>
      </c>
      <c r="F1098" s="10" t="str">
        <f aca="false">CHOOSE(MOD(A1098-1,5)+1,"Центр","Юг","Север","Запад","Восток")</f>
        <v>Юг</v>
      </c>
      <c r="G1098" s="10" t="str">
        <f aca="false">"Округ_"&amp;(MOD(A1098-1,5)+1)&amp;"_"&amp;(MOD(INT((A1098-1)/5),5)+1)</f>
        <v>Округ_2_5</v>
      </c>
      <c r="H1098" s="10" t="str">
        <f aca="false">"Город_"&amp;(MOD(A1098-1,5)+1)&amp;"_"&amp;(MOD(INT((A1098-1)/5),5)+1)&amp;"_"&amp;(MOD(INT((A1098-1)/25),10)+1)</f>
        <v>Город_2_5_4</v>
      </c>
      <c r="I1098" s="10" t="str">
        <f aca="false">CHOOSE(MOD(A1098-1,4)+1,"Электроника","Одежда","Продукты","Мебель")</f>
        <v>Электроника</v>
      </c>
      <c r="J1098" s="10" t="str">
        <f aca="false">CHOOSE(MOD(INT((A1098-1)/4),4)+1,CHOOSE(MOD(A1098-1,4)+1,"Смартфоны","Ноутбуки","Аксессуары","Аудио"),CHOOSE(MOD(A1098-1,4)+1,"Верхняя одежда","Спортивная","Повседневная","Обувь"),CHOOSE(MOD(A1098-1,4)+1,"Молочные","Мясные","Бакалея","Напитки"),CHOOSE(MOD(A1098-1,4)+1,"Мягкая мебель","Корпусная","Офисная","Кухонная"))</f>
        <v>Молочные</v>
      </c>
      <c r="K1098" s="12" t="n">
        <f aca="false">1000+MOD(A1098*317+A1098*A1098*7,49001)</f>
        <v>1433</v>
      </c>
      <c r="L1098" s="12" t="n">
        <f aca="false">1+MOD(A1098*131,100)</f>
        <v>8</v>
      </c>
      <c r="M1098" s="12" t="n">
        <f aca="false">INT(K1098*(0.6+MOD(A1098*43,21)/100))</f>
        <v>931</v>
      </c>
      <c r="N1098" s="12" t="n">
        <f aca="false">K1098-M1098</f>
        <v>502</v>
      </c>
    </row>
    <row r="1099" customFormat="false" ht="12.8" hidden="false" customHeight="false" outlineLevel="0" collapsed="false">
      <c r="A1099" s="10" t="n">
        <f aca="false">A1098+1</f>
        <v>1098</v>
      </c>
      <c r="B1099" s="11" t="n">
        <f aca="false">B1098+1</f>
        <v>46024</v>
      </c>
      <c r="C1099" s="10" t="n">
        <f aca="false">YEAR(B1099)</f>
        <v>2026</v>
      </c>
      <c r="D1099" s="10" t="n">
        <f aca="false">INT((MONTH(B1099)-1)/3)+1</f>
        <v>1</v>
      </c>
      <c r="E1099" s="10" t="n">
        <f aca="false">MONTH(B1099)</f>
        <v>1</v>
      </c>
      <c r="F1099" s="10" t="str">
        <f aca="false">CHOOSE(MOD(A1099-1,5)+1,"Центр","Юг","Север","Запад","Восток")</f>
        <v>Север</v>
      </c>
      <c r="G1099" s="10" t="str">
        <f aca="false">"Округ_"&amp;(MOD(A1099-1,5)+1)&amp;"_"&amp;(MOD(INT((A1099-1)/5),5)+1)</f>
        <v>Округ_3_5</v>
      </c>
      <c r="H1099" s="10" t="str">
        <f aca="false">"Город_"&amp;(MOD(A1099-1,5)+1)&amp;"_"&amp;(MOD(INT((A1099-1)/5),5)+1)&amp;"_"&amp;(MOD(INT((A1099-1)/25),10)+1)</f>
        <v>Город_3_5_4</v>
      </c>
      <c r="I1099" s="10" t="str">
        <f aca="false">CHOOSE(MOD(A1099-1,4)+1,"Электроника","Одежда","Продукты","Мебель")</f>
        <v>Одежда</v>
      </c>
      <c r="J1099" s="10" t="str">
        <f aca="false">CHOOSE(MOD(INT((A1099-1)/4),4)+1,CHOOSE(MOD(A1099-1,4)+1,"Смартфоны","Ноутбуки","Аксессуары","Аудио"),CHOOSE(MOD(A1099-1,4)+1,"Верхняя одежда","Спортивная","Повседневная","Обувь"),CHOOSE(MOD(A1099-1,4)+1,"Молочные","Мясные","Бакалея","Напитки"),CHOOSE(MOD(A1099-1,4)+1,"Мягкая мебель","Корпусная","Офисная","Кухонная"))</f>
        <v>Мясные</v>
      </c>
      <c r="K1099" s="12" t="n">
        <f aca="false">1000+MOD(A1099*317+A1099*A1099*7,49001)</f>
        <v>17115</v>
      </c>
      <c r="L1099" s="12" t="n">
        <f aca="false">1+MOD(A1099*131,100)</f>
        <v>39</v>
      </c>
      <c r="M1099" s="12" t="n">
        <f aca="false">INT(K1099*(0.6+MOD(A1099*43,21)/100))</f>
        <v>11295</v>
      </c>
      <c r="N1099" s="12" t="n">
        <f aca="false">K1099-M1099</f>
        <v>5820</v>
      </c>
    </row>
    <row r="1100" customFormat="false" ht="12.8" hidden="false" customHeight="false" outlineLevel="0" collapsed="false">
      <c r="A1100" s="10" t="n">
        <f aca="false">A1099+1</f>
        <v>1099</v>
      </c>
      <c r="B1100" s="11" t="n">
        <f aca="false">B1099+1</f>
        <v>46025</v>
      </c>
      <c r="C1100" s="10" t="n">
        <f aca="false">YEAR(B1100)</f>
        <v>2026</v>
      </c>
      <c r="D1100" s="10" t="n">
        <f aca="false">INT((MONTH(B1100)-1)/3)+1</f>
        <v>1</v>
      </c>
      <c r="E1100" s="10" t="n">
        <f aca="false">MONTH(B1100)</f>
        <v>1</v>
      </c>
      <c r="F1100" s="10" t="str">
        <f aca="false">CHOOSE(MOD(A1100-1,5)+1,"Центр","Юг","Север","Запад","Восток")</f>
        <v>Запад</v>
      </c>
      <c r="G1100" s="10" t="str">
        <f aca="false">"Округ_"&amp;(MOD(A1100-1,5)+1)&amp;"_"&amp;(MOD(INT((A1100-1)/5),5)+1)</f>
        <v>Округ_4_5</v>
      </c>
      <c r="H1100" s="10" t="str">
        <f aca="false">"Город_"&amp;(MOD(A1100-1,5)+1)&amp;"_"&amp;(MOD(INT((A1100-1)/5),5)+1)&amp;"_"&amp;(MOD(INT((A1100-1)/25),10)+1)</f>
        <v>Город_4_5_4</v>
      </c>
      <c r="I1100" s="10" t="str">
        <f aca="false">CHOOSE(MOD(A1100-1,4)+1,"Электроника","Одежда","Продукты","Мебель")</f>
        <v>Продукты</v>
      </c>
      <c r="J1100" s="10" t="str">
        <f aca="false">CHOOSE(MOD(INT((A1100-1)/4),4)+1,CHOOSE(MOD(A1100-1,4)+1,"Смартфоны","Ноутбуки","Аксессуары","Аудио"),CHOOSE(MOD(A1100-1,4)+1,"Верхняя одежда","Спортивная","Повседневная","Обувь"),CHOOSE(MOD(A1100-1,4)+1,"Молочные","Мясные","Бакалея","Напитки"),CHOOSE(MOD(A1100-1,4)+1,"Мягкая мебель","Корпусная","Офисная","Кухонная"))</f>
        <v>Бакалея</v>
      </c>
      <c r="K1100" s="12" t="n">
        <f aca="false">1000+MOD(A1100*317+A1100*A1100*7,49001)</f>
        <v>32811</v>
      </c>
      <c r="L1100" s="12" t="n">
        <f aca="false">1+MOD(A1100*131,100)</f>
        <v>70</v>
      </c>
      <c r="M1100" s="12" t="n">
        <f aca="false">INT(K1100*(0.6+MOD(A1100*43,21)/100))</f>
        <v>21983</v>
      </c>
      <c r="N1100" s="12" t="n">
        <f aca="false">K1100-M1100</f>
        <v>10828</v>
      </c>
    </row>
    <row r="1101" customFormat="false" ht="12.8" hidden="false" customHeight="false" outlineLevel="0" collapsed="false">
      <c r="A1101" s="10" t="n">
        <f aca="false">A1100+1</f>
        <v>1100</v>
      </c>
      <c r="B1101" s="11" t="n">
        <f aca="false">B1100+1</f>
        <v>46026</v>
      </c>
      <c r="C1101" s="10" t="n">
        <f aca="false">YEAR(B1101)</f>
        <v>2026</v>
      </c>
      <c r="D1101" s="10" t="n">
        <f aca="false">INT((MONTH(B1101)-1)/3)+1</f>
        <v>1</v>
      </c>
      <c r="E1101" s="10" t="n">
        <f aca="false">MONTH(B1101)</f>
        <v>1</v>
      </c>
      <c r="F1101" s="10" t="str">
        <f aca="false">CHOOSE(MOD(A1101-1,5)+1,"Центр","Юг","Север","Запад","Восток")</f>
        <v>Восток</v>
      </c>
      <c r="G1101" s="10" t="str">
        <f aca="false">"Округ_"&amp;(MOD(A1101-1,5)+1)&amp;"_"&amp;(MOD(INT((A1101-1)/5),5)+1)</f>
        <v>Округ_5_5</v>
      </c>
      <c r="H1101" s="10" t="str">
        <f aca="false">"Город_"&amp;(MOD(A1101-1,5)+1)&amp;"_"&amp;(MOD(INT((A1101-1)/5),5)+1)&amp;"_"&amp;(MOD(INT((A1101-1)/25),10)+1)</f>
        <v>Город_5_5_4</v>
      </c>
      <c r="I1101" s="10" t="str">
        <f aca="false">CHOOSE(MOD(A1101-1,4)+1,"Электроника","Одежда","Продукты","Мебель")</f>
        <v>Мебель</v>
      </c>
      <c r="J1101" s="10" t="str">
        <f aca="false">CHOOSE(MOD(INT((A1101-1)/4),4)+1,CHOOSE(MOD(A1101-1,4)+1,"Смартфоны","Ноутбуки","Аксессуары","Аудио"),CHOOSE(MOD(A1101-1,4)+1,"Верхняя одежда","Спортивная","Повседневная","Обувь"),CHOOSE(MOD(A1101-1,4)+1,"Молочные","Мясные","Бакалея","Напитки"),CHOOSE(MOD(A1101-1,4)+1,"Мягкая мебель","Корпусная","Офисная","Кухонная"))</f>
        <v>Напитки</v>
      </c>
      <c r="K1101" s="12" t="n">
        <f aca="false">1000+MOD(A1101*317+A1101*A1101*7,49001)</f>
        <v>48521</v>
      </c>
      <c r="L1101" s="12" t="n">
        <f aca="false">1+MOD(A1101*131,100)</f>
        <v>1</v>
      </c>
      <c r="M1101" s="12" t="n">
        <f aca="false">INT(K1101*(0.6+MOD(A1101*43,21)/100))</f>
        <v>32994</v>
      </c>
      <c r="N1101" s="12" t="n">
        <f aca="false">K1101-M1101</f>
        <v>15527</v>
      </c>
    </row>
    <row r="1102" customFormat="false" ht="12.8" hidden="false" customHeight="false" outlineLevel="0" collapsed="false">
      <c r="A1102" s="10" t="n">
        <f aca="false">A1101+1</f>
        <v>1101</v>
      </c>
      <c r="B1102" s="11" t="n">
        <f aca="false">B1101+1</f>
        <v>46027</v>
      </c>
      <c r="C1102" s="10" t="n">
        <f aca="false">YEAR(B1102)</f>
        <v>2026</v>
      </c>
      <c r="D1102" s="10" t="n">
        <f aca="false">INT((MONTH(B1102)-1)/3)+1</f>
        <v>1</v>
      </c>
      <c r="E1102" s="10" t="n">
        <f aca="false">MONTH(B1102)</f>
        <v>1</v>
      </c>
      <c r="F1102" s="10" t="str">
        <f aca="false">CHOOSE(MOD(A1102-1,5)+1,"Центр","Юг","Север","Запад","Восток")</f>
        <v>Центр</v>
      </c>
      <c r="G1102" s="10" t="str">
        <f aca="false">"Округ_"&amp;(MOD(A1102-1,5)+1)&amp;"_"&amp;(MOD(INT((A1102-1)/5),5)+1)</f>
        <v>Округ_1_1</v>
      </c>
      <c r="H1102" s="10" t="str">
        <f aca="false">"Город_"&amp;(MOD(A1102-1,5)+1)&amp;"_"&amp;(MOD(INT((A1102-1)/5),5)+1)&amp;"_"&amp;(MOD(INT((A1102-1)/25),10)+1)</f>
        <v>Город_1_1_5</v>
      </c>
      <c r="I1102" s="10" t="str">
        <f aca="false">CHOOSE(MOD(A1102-1,4)+1,"Электроника","Одежда","Продукты","Мебель")</f>
        <v>Электроника</v>
      </c>
      <c r="J1102" s="10" t="str">
        <f aca="false">CHOOSE(MOD(INT((A1102-1)/4),4)+1,CHOOSE(MOD(A1102-1,4)+1,"Смартфоны","Ноутбуки","Аксессуары","Аудио"),CHOOSE(MOD(A1102-1,4)+1,"Верхняя одежда","Спортивная","Повседневная","Обувь"),CHOOSE(MOD(A1102-1,4)+1,"Молочные","Мясные","Бакалея","Напитки"),CHOOSE(MOD(A1102-1,4)+1,"Мягкая мебель","Корпусная","Офисная","Кухонная"))</f>
        <v>Мягкая мебель</v>
      </c>
      <c r="K1102" s="12" t="n">
        <f aca="false">1000+MOD(A1102*317+A1102*A1102*7,49001)</f>
        <v>15244</v>
      </c>
      <c r="L1102" s="12" t="n">
        <f aca="false">1+MOD(A1102*131,100)</f>
        <v>32</v>
      </c>
      <c r="M1102" s="12" t="n">
        <f aca="false">INT(K1102*(0.6+MOD(A1102*43,21)/100))</f>
        <v>10518</v>
      </c>
      <c r="N1102" s="12" t="n">
        <f aca="false">K1102-M1102</f>
        <v>4726</v>
      </c>
    </row>
    <row r="1103" customFormat="false" ht="12.8" hidden="false" customHeight="false" outlineLevel="0" collapsed="false">
      <c r="A1103" s="10" t="n">
        <f aca="false">A1102+1</f>
        <v>1102</v>
      </c>
      <c r="B1103" s="11" t="n">
        <f aca="false">B1102+1</f>
        <v>46028</v>
      </c>
      <c r="C1103" s="10" t="n">
        <f aca="false">YEAR(B1103)</f>
        <v>2026</v>
      </c>
      <c r="D1103" s="10" t="n">
        <f aca="false">INT((MONTH(B1103)-1)/3)+1</f>
        <v>1</v>
      </c>
      <c r="E1103" s="10" t="n">
        <f aca="false">MONTH(B1103)</f>
        <v>1</v>
      </c>
      <c r="F1103" s="10" t="str">
        <f aca="false">CHOOSE(MOD(A1103-1,5)+1,"Центр","Юг","Север","Запад","Восток")</f>
        <v>Юг</v>
      </c>
      <c r="G1103" s="10" t="str">
        <f aca="false">"Округ_"&amp;(MOD(A1103-1,5)+1)&amp;"_"&amp;(MOD(INT((A1103-1)/5),5)+1)</f>
        <v>Округ_2_1</v>
      </c>
      <c r="H1103" s="10" t="str">
        <f aca="false">"Город_"&amp;(MOD(A1103-1,5)+1)&amp;"_"&amp;(MOD(INT((A1103-1)/5),5)+1)&amp;"_"&amp;(MOD(INT((A1103-1)/25),10)+1)</f>
        <v>Город_2_1_5</v>
      </c>
      <c r="I1103" s="10" t="str">
        <f aca="false">CHOOSE(MOD(A1103-1,4)+1,"Электроника","Одежда","Продукты","Мебель")</f>
        <v>Одежда</v>
      </c>
      <c r="J1103" s="10" t="str">
        <f aca="false">CHOOSE(MOD(INT((A1103-1)/4),4)+1,CHOOSE(MOD(A1103-1,4)+1,"Смартфоны","Ноутбуки","Аксессуары","Аудио"),CHOOSE(MOD(A1103-1,4)+1,"Верхняя одежда","Спортивная","Повседневная","Обувь"),CHOOSE(MOD(A1103-1,4)+1,"Молочные","Мясные","Бакалея","Напитки"),CHOOSE(MOD(A1103-1,4)+1,"Мягкая мебель","Корпусная","Офисная","Кухонная"))</f>
        <v>Корпусная</v>
      </c>
      <c r="K1103" s="12" t="n">
        <f aca="false">1000+MOD(A1103*317+A1103*A1103*7,49001)</f>
        <v>30982</v>
      </c>
      <c r="L1103" s="12" t="n">
        <f aca="false">1+MOD(A1103*131,100)</f>
        <v>63</v>
      </c>
      <c r="M1103" s="12" t="n">
        <f aca="false">INT(K1103*(0.6+MOD(A1103*43,21)/100))</f>
        <v>21687</v>
      </c>
      <c r="N1103" s="12" t="n">
        <f aca="false">K1103-M1103</f>
        <v>9295</v>
      </c>
    </row>
    <row r="1104" customFormat="false" ht="12.8" hidden="false" customHeight="false" outlineLevel="0" collapsed="false">
      <c r="A1104" s="10" t="n">
        <f aca="false">A1103+1</f>
        <v>1103</v>
      </c>
      <c r="B1104" s="11" t="n">
        <f aca="false">B1103+1</f>
        <v>46029</v>
      </c>
      <c r="C1104" s="10" t="n">
        <f aca="false">YEAR(B1104)</f>
        <v>2026</v>
      </c>
      <c r="D1104" s="10" t="n">
        <f aca="false">INT((MONTH(B1104)-1)/3)+1</f>
        <v>1</v>
      </c>
      <c r="E1104" s="10" t="n">
        <f aca="false">MONTH(B1104)</f>
        <v>1</v>
      </c>
      <c r="F1104" s="10" t="str">
        <f aca="false">CHOOSE(MOD(A1104-1,5)+1,"Центр","Юг","Север","Запад","Восток")</f>
        <v>Север</v>
      </c>
      <c r="G1104" s="10" t="str">
        <f aca="false">"Округ_"&amp;(MOD(A1104-1,5)+1)&amp;"_"&amp;(MOD(INT((A1104-1)/5),5)+1)</f>
        <v>Округ_3_1</v>
      </c>
      <c r="H1104" s="10" t="str">
        <f aca="false">"Город_"&amp;(MOD(A1104-1,5)+1)&amp;"_"&amp;(MOD(INT((A1104-1)/5),5)+1)&amp;"_"&amp;(MOD(INT((A1104-1)/25),10)+1)</f>
        <v>Город_3_1_5</v>
      </c>
      <c r="I1104" s="10" t="str">
        <f aca="false">CHOOSE(MOD(A1104-1,4)+1,"Электроника","Одежда","Продукты","Мебель")</f>
        <v>Продукты</v>
      </c>
      <c r="J1104" s="10" t="str">
        <f aca="false">CHOOSE(MOD(INT((A1104-1)/4),4)+1,CHOOSE(MOD(A1104-1,4)+1,"Смартфоны","Ноутбуки","Аксессуары","Аудио"),CHOOSE(MOD(A1104-1,4)+1,"Верхняя одежда","Спортивная","Повседневная","Обувь"),CHOOSE(MOD(A1104-1,4)+1,"Молочные","Мясные","Бакалея","Напитки"),CHOOSE(MOD(A1104-1,4)+1,"Мягкая мебель","Корпусная","Офисная","Кухонная"))</f>
        <v>Офисная</v>
      </c>
      <c r="K1104" s="12" t="n">
        <f aca="false">1000+MOD(A1104*317+A1104*A1104*7,49001)</f>
        <v>46734</v>
      </c>
      <c r="L1104" s="12" t="n">
        <f aca="false">1+MOD(A1104*131,100)</f>
        <v>94</v>
      </c>
      <c r="M1104" s="12" t="n">
        <f aca="false">INT(K1104*(0.6+MOD(A1104*43,21)/100))</f>
        <v>33181</v>
      </c>
      <c r="N1104" s="12" t="n">
        <f aca="false">K1104-M1104</f>
        <v>13553</v>
      </c>
    </row>
    <row r="1105" customFormat="false" ht="12.8" hidden="false" customHeight="false" outlineLevel="0" collapsed="false">
      <c r="A1105" s="10" t="n">
        <f aca="false">A1104+1</f>
        <v>1104</v>
      </c>
      <c r="B1105" s="11" t="n">
        <f aca="false">B1104+1</f>
        <v>46030</v>
      </c>
      <c r="C1105" s="10" t="n">
        <f aca="false">YEAR(B1105)</f>
        <v>2026</v>
      </c>
      <c r="D1105" s="10" t="n">
        <f aca="false">INT((MONTH(B1105)-1)/3)+1</f>
        <v>1</v>
      </c>
      <c r="E1105" s="10" t="n">
        <f aca="false">MONTH(B1105)</f>
        <v>1</v>
      </c>
      <c r="F1105" s="10" t="str">
        <f aca="false">CHOOSE(MOD(A1105-1,5)+1,"Центр","Юг","Север","Запад","Восток")</f>
        <v>Запад</v>
      </c>
      <c r="G1105" s="10" t="str">
        <f aca="false">"Округ_"&amp;(MOD(A1105-1,5)+1)&amp;"_"&amp;(MOD(INT((A1105-1)/5),5)+1)</f>
        <v>Округ_4_1</v>
      </c>
      <c r="H1105" s="10" t="str">
        <f aca="false">"Город_"&amp;(MOD(A1105-1,5)+1)&amp;"_"&amp;(MOD(INT((A1105-1)/5),5)+1)&amp;"_"&amp;(MOD(INT((A1105-1)/25),10)+1)</f>
        <v>Город_4_1_5</v>
      </c>
      <c r="I1105" s="10" t="str">
        <f aca="false">CHOOSE(MOD(A1105-1,4)+1,"Электроника","Одежда","Продукты","Мебель")</f>
        <v>Мебель</v>
      </c>
      <c r="J1105" s="10" t="str">
        <f aca="false">CHOOSE(MOD(INT((A1105-1)/4),4)+1,CHOOSE(MOD(A1105-1,4)+1,"Смартфоны","Ноутбуки","Аксессуары","Аудио"),CHOOSE(MOD(A1105-1,4)+1,"Верхняя одежда","Спортивная","Повседневная","Обувь"),CHOOSE(MOD(A1105-1,4)+1,"Молочные","Мясные","Бакалея","Напитки"),CHOOSE(MOD(A1105-1,4)+1,"Мягкая мебель","Корпусная","Офисная","Кухонная"))</f>
        <v>Кухонная</v>
      </c>
      <c r="K1105" s="12" t="n">
        <f aca="false">1000+MOD(A1105*317+A1105*A1105*7,49001)</f>
        <v>13499</v>
      </c>
      <c r="L1105" s="12" t="n">
        <f aca="false">1+MOD(A1105*131,100)</f>
        <v>25</v>
      </c>
      <c r="M1105" s="12" t="n">
        <f aca="false">INT(K1105*(0.6+MOD(A1105*43,21)/100))</f>
        <v>9719</v>
      </c>
      <c r="N1105" s="12" t="n">
        <f aca="false">K1105-M1105</f>
        <v>3780</v>
      </c>
    </row>
    <row r="1106" customFormat="false" ht="12.8" hidden="false" customHeight="false" outlineLevel="0" collapsed="false">
      <c r="A1106" s="10" t="n">
        <f aca="false">A1105+1</f>
        <v>1105</v>
      </c>
      <c r="B1106" s="11" t="n">
        <f aca="false">B1105+1</f>
        <v>46031</v>
      </c>
      <c r="C1106" s="10" t="n">
        <f aca="false">YEAR(B1106)</f>
        <v>2026</v>
      </c>
      <c r="D1106" s="10" t="n">
        <f aca="false">INT((MONTH(B1106)-1)/3)+1</f>
        <v>1</v>
      </c>
      <c r="E1106" s="10" t="n">
        <f aca="false">MONTH(B1106)</f>
        <v>1</v>
      </c>
      <c r="F1106" s="10" t="str">
        <f aca="false">CHOOSE(MOD(A1106-1,5)+1,"Центр","Юг","Север","Запад","Восток")</f>
        <v>Восток</v>
      </c>
      <c r="G1106" s="10" t="str">
        <f aca="false">"Округ_"&amp;(MOD(A1106-1,5)+1)&amp;"_"&amp;(MOD(INT((A1106-1)/5),5)+1)</f>
        <v>Округ_5_1</v>
      </c>
      <c r="H1106" s="10" t="str">
        <f aca="false">"Город_"&amp;(MOD(A1106-1,5)+1)&amp;"_"&amp;(MOD(INT((A1106-1)/5),5)+1)&amp;"_"&amp;(MOD(INT((A1106-1)/25),10)+1)</f>
        <v>Город_5_1_5</v>
      </c>
      <c r="I1106" s="10" t="str">
        <f aca="false">CHOOSE(MOD(A1106-1,4)+1,"Электроника","Одежда","Продукты","Мебель")</f>
        <v>Электроника</v>
      </c>
      <c r="J1106" s="10" t="str">
        <f aca="false">CHOOSE(MOD(INT((A1106-1)/4),4)+1,CHOOSE(MOD(A1106-1,4)+1,"Смартфоны","Ноутбуки","Аксессуары","Аудио"),CHOOSE(MOD(A1106-1,4)+1,"Верхняя одежда","Спортивная","Повседневная","Обувь"),CHOOSE(MOD(A1106-1,4)+1,"Молочные","Мясные","Бакалея","Напитки"),CHOOSE(MOD(A1106-1,4)+1,"Мягкая мебель","Корпусная","Офисная","Кухонная"))</f>
        <v>Смартфоны</v>
      </c>
      <c r="K1106" s="12" t="n">
        <f aca="false">1000+MOD(A1106*317+A1106*A1106*7,49001)</f>
        <v>29279</v>
      </c>
      <c r="L1106" s="12" t="n">
        <f aca="false">1+MOD(A1106*131,100)</f>
        <v>56</v>
      </c>
      <c r="M1106" s="12" t="n">
        <f aca="false">INT(K1106*(0.6+MOD(A1106*43,21)/100))</f>
        <v>21373</v>
      </c>
      <c r="N1106" s="12" t="n">
        <f aca="false">K1106-M1106</f>
        <v>7906</v>
      </c>
    </row>
    <row r="1107" customFormat="false" ht="12.8" hidden="false" customHeight="false" outlineLevel="0" collapsed="false">
      <c r="A1107" s="10" t="n">
        <f aca="false">A1106+1</f>
        <v>1106</v>
      </c>
      <c r="B1107" s="11" t="n">
        <f aca="false">B1106+1</f>
        <v>46032</v>
      </c>
      <c r="C1107" s="10" t="n">
        <f aca="false">YEAR(B1107)</f>
        <v>2026</v>
      </c>
      <c r="D1107" s="10" t="n">
        <f aca="false">INT((MONTH(B1107)-1)/3)+1</f>
        <v>1</v>
      </c>
      <c r="E1107" s="10" t="n">
        <f aca="false">MONTH(B1107)</f>
        <v>1</v>
      </c>
      <c r="F1107" s="10" t="str">
        <f aca="false">CHOOSE(MOD(A1107-1,5)+1,"Центр","Юг","Север","Запад","Восток")</f>
        <v>Центр</v>
      </c>
      <c r="G1107" s="10" t="str">
        <f aca="false">"Округ_"&amp;(MOD(A1107-1,5)+1)&amp;"_"&amp;(MOD(INT((A1107-1)/5),5)+1)</f>
        <v>Округ_1_2</v>
      </c>
      <c r="H1107" s="10" t="str">
        <f aca="false">"Город_"&amp;(MOD(A1107-1,5)+1)&amp;"_"&amp;(MOD(INT((A1107-1)/5),5)+1)&amp;"_"&amp;(MOD(INT((A1107-1)/25),10)+1)</f>
        <v>Город_1_2_5</v>
      </c>
      <c r="I1107" s="10" t="str">
        <f aca="false">CHOOSE(MOD(A1107-1,4)+1,"Электроника","Одежда","Продукты","Мебель")</f>
        <v>Одежда</v>
      </c>
      <c r="J1107" s="10" t="str">
        <f aca="false">CHOOSE(MOD(INT((A1107-1)/4),4)+1,CHOOSE(MOD(A1107-1,4)+1,"Смартфоны","Ноутбуки","Аксессуары","Аудио"),CHOOSE(MOD(A1107-1,4)+1,"Верхняя одежда","Спортивная","Повседневная","Обувь"),CHOOSE(MOD(A1107-1,4)+1,"Молочные","Мясные","Бакалея","Напитки"),CHOOSE(MOD(A1107-1,4)+1,"Мягкая мебель","Корпусная","Офисная","Кухонная"))</f>
        <v>Ноутбуки</v>
      </c>
      <c r="K1107" s="12" t="n">
        <f aca="false">1000+MOD(A1107*317+A1107*A1107*7,49001)</f>
        <v>45073</v>
      </c>
      <c r="L1107" s="12" t="n">
        <f aca="false">1+MOD(A1107*131,100)</f>
        <v>87</v>
      </c>
      <c r="M1107" s="12" t="n">
        <f aca="false">INT(K1107*(0.6+MOD(A1107*43,21)/100))</f>
        <v>33354</v>
      </c>
      <c r="N1107" s="12" t="n">
        <f aca="false">K1107-M1107</f>
        <v>11719</v>
      </c>
    </row>
    <row r="1108" customFormat="false" ht="12.8" hidden="false" customHeight="false" outlineLevel="0" collapsed="false">
      <c r="A1108" s="10" t="n">
        <f aca="false">A1107+1</f>
        <v>1107</v>
      </c>
      <c r="B1108" s="11" t="n">
        <f aca="false">B1107+1</f>
        <v>46033</v>
      </c>
      <c r="C1108" s="10" t="n">
        <f aca="false">YEAR(B1108)</f>
        <v>2026</v>
      </c>
      <c r="D1108" s="10" t="n">
        <f aca="false">INT((MONTH(B1108)-1)/3)+1</f>
        <v>1</v>
      </c>
      <c r="E1108" s="10" t="n">
        <f aca="false">MONTH(B1108)</f>
        <v>1</v>
      </c>
      <c r="F1108" s="10" t="str">
        <f aca="false">CHOOSE(MOD(A1108-1,5)+1,"Центр","Юг","Север","Запад","Восток")</f>
        <v>Юг</v>
      </c>
      <c r="G1108" s="10" t="str">
        <f aca="false">"Округ_"&amp;(MOD(A1108-1,5)+1)&amp;"_"&amp;(MOD(INT((A1108-1)/5),5)+1)</f>
        <v>Округ_2_2</v>
      </c>
      <c r="H1108" s="10" t="str">
        <f aca="false">"Город_"&amp;(MOD(A1108-1,5)+1)&amp;"_"&amp;(MOD(INT((A1108-1)/5),5)+1)&amp;"_"&amp;(MOD(INT((A1108-1)/25),10)+1)</f>
        <v>Город_2_2_5</v>
      </c>
      <c r="I1108" s="10" t="str">
        <f aca="false">CHOOSE(MOD(A1108-1,4)+1,"Электроника","Одежда","Продукты","Мебель")</f>
        <v>Продукты</v>
      </c>
      <c r="J1108" s="10" t="str">
        <f aca="false">CHOOSE(MOD(INT((A1108-1)/4),4)+1,CHOOSE(MOD(A1108-1,4)+1,"Смартфоны","Ноутбуки","Аксессуары","Аудио"),CHOOSE(MOD(A1108-1,4)+1,"Верхняя одежда","Спортивная","Повседневная","Обувь"),CHOOSE(MOD(A1108-1,4)+1,"Молочные","Мясные","Бакалея","Напитки"),CHOOSE(MOD(A1108-1,4)+1,"Мягкая мебель","Корпусная","Офисная","Кухонная"))</f>
        <v>Аксессуары</v>
      </c>
      <c r="K1108" s="12" t="n">
        <f aca="false">1000+MOD(A1108*317+A1108*A1108*7,49001)</f>
        <v>11880</v>
      </c>
      <c r="L1108" s="12" t="n">
        <f aca="false">1+MOD(A1108*131,100)</f>
        <v>18</v>
      </c>
      <c r="M1108" s="12" t="n">
        <f aca="false">INT(K1108*(0.6+MOD(A1108*43,21)/100))</f>
        <v>8910</v>
      </c>
      <c r="N1108" s="12" t="n">
        <f aca="false">K1108-M1108</f>
        <v>2970</v>
      </c>
    </row>
    <row r="1109" customFormat="false" ht="12.8" hidden="false" customHeight="false" outlineLevel="0" collapsed="false">
      <c r="A1109" s="10" t="n">
        <f aca="false">A1108+1</f>
        <v>1108</v>
      </c>
      <c r="B1109" s="11" t="n">
        <f aca="false">B1108+1</f>
        <v>46034</v>
      </c>
      <c r="C1109" s="10" t="n">
        <f aca="false">YEAR(B1109)</f>
        <v>2026</v>
      </c>
      <c r="D1109" s="10" t="n">
        <f aca="false">INT((MONTH(B1109)-1)/3)+1</f>
        <v>1</v>
      </c>
      <c r="E1109" s="10" t="n">
        <f aca="false">MONTH(B1109)</f>
        <v>1</v>
      </c>
      <c r="F1109" s="10" t="str">
        <f aca="false">CHOOSE(MOD(A1109-1,5)+1,"Центр","Юг","Север","Запад","Восток")</f>
        <v>Север</v>
      </c>
      <c r="G1109" s="10" t="str">
        <f aca="false">"Округ_"&amp;(MOD(A1109-1,5)+1)&amp;"_"&amp;(MOD(INT((A1109-1)/5),5)+1)</f>
        <v>Округ_3_2</v>
      </c>
      <c r="H1109" s="10" t="str">
        <f aca="false">"Город_"&amp;(MOD(A1109-1,5)+1)&amp;"_"&amp;(MOD(INT((A1109-1)/5),5)+1)&amp;"_"&amp;(MOD(INT((A1109-1)/25),10)+1)</f>
        <v>Город_3_2_5</v>
      </c>
      <c r="I1109" s="10" t="str">
        <f aca="false">CHOOSE(MOD(A1109-1,4)+1,"Электроника","Одежда","Продукты","Мебель")</f>
        <v>Мебель</v>
      </c>
      <c r="J1109" s="10" t="str">
        <f aca="false">CHOOSE(MOD(INT((A1109-1)/4),4)+1,CHOOSE(MOD(A1109-1,4)+1,"Смартфоны","Ноутбуки","Аксессуары","Аудио"),CHOOSE(MOD(A1109-1,4)+1,"Верхняя одежда","Спортивная","Повседневная","Обувь"),CHOOSE(MOD(A1109-1,4)+1,"Молочные","Мясные","Бакалея","Напитки"),CHOOSE(MOD(A1109-1,4)+1,"Мягкая мебель","Корпусная","Офисная","Кухонная"))</f>
        <v>Аудио</v>
      </c>
      <c r="K1109" s="12" t="n">
        <f aca="false">1000+MOD(A1109*317+A1109*A1109*7,49001)</f>
        <v>27702</v>
      </c>
      <c r="L1109" s="12" t="n">
        <f aca="false">1+MOD(A1109*131,100)</f>
        <v>49</v>
      </c>
      <c r="M1109" s="12" t="n">
        <f aca="false">INT(K1109*(0.6+MOD(A1109*43,21)/100))</f>
        <v>21053</v>
      </c>
      <c r="N1109" s="12" t="n">
        <f aca="false">K1109-M1109</f>
        <v>6649</v>
      </c>
    </row>
    <row r="1110" customFormat="false" ht="12.8" hidden="false" customHeight="false" outlineLevel="0" collapsed="false">
      <c r="A1110" s="10" t="n">
        <f aca="false">A1109+1</f>
        <v>1109</v>
      </c>
      <c r="B1110" s="11" t="n">
        <f aca="false">B1109+1</f>
        <v>46035</v>
      </c>
      <c r="C1110" s="10" t="n">
        <f aca="false">YEAR(B1110)</f>
        <v>2026</v>
      </c>
      <c r="D1110" s="10" t="n">
        <f aca="false">INT((MONTH(B1110)-1)/3)+1</f>
        <v>1</v>
      </c>
      <c r="E1110" s="10" t="n">
        <f aca="false">MONTH(B1110)</f>
        <v>1</v>
      </c>
      <c r="F1110" s="10" t="str">
        <f aca="false">CHOOSE(MOD(A1110-1,5)+1,"Центр","Юг","Север","Запад","Восток")</f>
        <v>Запад</v>
      </c>
      <c r="G1110" s="10" t="str">
        <f aca="false">"Округ_"&amp;(MOD(A1110-1,5)+1)&amp;"_"&amp;(MOD(INT((A1110-1)/5),5)+1)</f>
        <v>Округ_4_2</v>
      </c>
      <c r="H1110" s="10" t="str">
        <f aca="false">"Город_"&amp;(MOD(A1110-1,5)+1)&amp;"_"&amp;(MOD(INT((A1110-1)/5),5)+1)&amp;"_"&amp;(MOD(INT((A1110-1)/25),10)+1)</f>
        <v>Город_4_2_5</v>
      </c>
      <c r="I1110" s="10" t="str">
        <f aca="false">CHOOSE(MOD(A1110-1,4)+1,"Электроника","Одежда","Продукты","Мебель")</f>
        <v>Электроника</v>
      </c>
      <c r="J1110" s="10" t="str">
        <f aca="false">CHOOSE(MOD(INT((A1110-1)/4),4)+1,CHOOSE(MOD(A1110-1,4)+1,"Смартфоны","Ноутбуки","Аксессуары","Аудио"),CHOOSE(MOD(A1110-1,4)+1,"Верхняя одежда","Спортивная","Повседневная","Обувь"),CHOOSE(MOD(A1110-1,4)+1,"Молочные","Мясные","Бакалея","Напитки"),CHOOSE(MOD(A1110-1,4)+1,"Мягкая мебель","Корпусная","Офисная","Кухонная"))</f>
        <v>Верхняя одежда</v>
      </c>
      <c r="K1110" s="12" t="n">
        <f aca="false">1000+MOD(A1110*317+A1110*A1110*7,49001)</f>
        <v>43538</v>
      </c>
      <c r="L1110" s="12" t="n">
        <f aca="false">1+MOD(A1110*131,100)</f>
        <v>80</v>
      </c>
      <c r="M1110" s="12" t="n">
        <f aca="false">INT(K1110*(0.6+MOD(A1110*43,21)/100))</f>
        <v>33524</v>
      </c>
      <c r="N1110" s="12" t="n">
        <f aca="false">K1110-M1110</f>
        <v>10014</v>
      </c>
    </row>
    <row r="1111" customFormat="false" ht="12.8" hidden="false" customHeight="false" outlineLevel="0" collapsed="false">
      <c r="A1111" s="10" t="n">
        <f aca="false">A1110+1</f>
        <v>1110</v>
      </c>
      <c r="B1111" s="11" t="n">
        <f aca="false">B1110+1</f>
        <v>46036</v>
      </c>
      <c r="C1111" s="10" t="n">
        <f aca="false">YEAR(B1111)</f>
        <v>2026</v>
      </c>
      <c r="D1111" s="10" t="n">
        <f aca="false">INT((MONTH(B1111)-1)/3)+1</f>
        <v>1</v>
      </c>
      <c r="E1111" s="10" t="n">
        <f aca="false">MONTH(B1111)</f>
        <v>1</v>
      </c>
      <c r="F1111" s="10" t="str">
        <f aca="false">CHOOSE(MOD(A1111-1,5)+1,"Центр","Юг","Север","Запад","Восток")</f>
        <v>Восток</v>
      </c>
      <c r="G1111" s="10" t="str">
        <f aca="false">"Округ_"&amp;(MOD(A1111-1,5)+1)&amp;"_"&amp;(MOD(INT((A1111-1)/5),5)+1)</f>
        <v>Округ_5_2</v>
      </c>
      <c r="H1111" s="10" t="str">
        <f aca="false">"Город_"&amp;(MOD(A1111-1,5)+1)&amp;"_"&amp;(MOD(INT((A1111-1)/5),5)+1)&amp;"_"&amp;(MOD(INT((A1111-1)/25),10)+1)</f>
        <v>Город_5_2_5</v>
      </c>
      <c r="I1111" s="10" t="str">
        <f aca="false">CHOOSE(MOD(A1111-1,4)+1,"Электроника","Одежда","Продукты","Мебель")</f>
        <v>Одежда</v>
      </c>
      <c r="J1111" s="10" t="str">
        <f aca="false">CHOOSE(MOD(INT((A1111-1)/4),4)+1,CHOOSE(MOD(A1111-1,4)+1,"Смартфоны","Ноутбуки","Аксессуары","Аудио"),CHOOSE(MOD(A1111-1,4)+1,"Верхняя одежда","Спортивная","Повседневная","Обувь"),CHOOSE(MOD(A1111-1,4)+1,"Молочные","Мясные","Бакалея","Напитки"),CHOOSE(MOD(A1111-1,4)+1,"Мягкая мебель","Корпусная","Офисная","Кухонная"))</f>
        <v>Спортивная</v>
      </c>
      <c r="K1111" s="12" t="n">
        <f aca="false">1000+MOD(A1111*317+A1111*A1111*7,49001)</f>
        <v>10387</v>
      </c>
      <c r="L1111" s="12" t="n">
        <f aca="false">1+MOD(A1111*131,100)</f>
        <v>11</v>
      </c>
      <c r="M1111" s="12" t="n">
        <f aca="false">INT(K1111*(0.6+MOD(A1111*43,21)/100))</f>
        <v>8101</v>
      </c>
      <c r="N1111" s="12" t="n">
        <f aca="false">K1111-M1111</f>
        <v>2286</v>
      </c>
    </row>
    <row r="1112" customFormat="false" ht="12.8" hidden="false" customHeight="false" outlineLevel="0" collapsed="false">
      <c r="A1112" s="10" t="n">
        <f aca="false">A1111+1</f>
        <v>1111</v>
      </c>
      <c r="B1112" s="11" t="n">
        <f aca="false">B1111+1</f>
        <v>46037</v>
      </c>
      <c r="C1112" s="10" t="n">
        <f aca="false">YEAR(B1112)</f>
        <v>2026</v>
      </c>
      <c r="D1112" s="10" t="n">
        <f aca="false">INT((MONTH(B1112)-1)/3)+1</f>
        <v>1</v>
      </c>
      <c r="E1112" s="10" t="n">
        <f aca="false">MONTH(B1112)</f>
        <v>1</v>
      </c>
      <c r="F1112" s="10" t="str">
        <f aca="false">CHOOSE(MOD(A1112-1,5)+1,"Центр","Юг","Север","Запад","Восток")</f>
        <v>Центр</v>
      </c>
      <c r="G1112" s="10" t="str">
        <f aca="false">"Округ_"&amp;(MOD(A1112-1,5)+1)&amp;"_"&amp;(MOD(INT((A1112-1)/5),5)+1)</f>
        <v>Округ_1_3</v>
      </c>
      <c r="H1112" s="10" t="str">
        <f aca="false">"Город_"&amp;(MOD(A1112-1,5)+1)&amp;"_"&amp;(MOD(INT((A1112-1)/5),5)+1)&amp;"_"&amp;(MOD(INT((A1112-1)/25),10)+1)</f>
        <v>Город_1_3_5</v>
      </c>
      <c r="I1112" s="10" t="str">
        <f aca="false">CHOOSE(MOD(A1112-1,4)+1,"Электроника","Одежда","Продукты","Мебель")</f>
        <v>Продукты</v>
      </c>
      <c r="J1112" s="10" t="str">
        <f aca="false">CHOOSE(MOD(INT((A1112-1)/4),4)+1,CHOOSE(MOD(A1112-1,4)+1,"Смартфоны","Ноутбуки","Аксессуары","Аудио"),CHOOSE(MOD(A1112-1,4)+1,"Верхняя одежда","Спортивная","Повседневная","Обувь"),CHOOSE(MOD(A1112-1,4)+1,"Молочные","Мясные","Бакалея","Напитки"),CHOOSE(MOD(A1112-1,4)+1,"Мягкая мебель","Корпусная","Офисная","Кухонная"))</f>
        <v>Повседневная</v>
      </c>
      <c r="K1112" s="12" t="n">
        <f aca="false">1000+MOD(A1112*317+A1112*A1112*7,49001)</f>
        <v>26251</v>
      </c>
      <c r="L1112" s="12" t="n">
        <f aca="false">1+MOD(A1112*131,100)</f>
        <v>42</v>
      </c>
      <c r="M1112" s="12" t="n">
        <f aca="false">INT(K1112*(0.6+MOD(A1112*43,21)/100))</f>
        <v>20738</v>
      </c>
      <c r="N1112" s="12" t="n">
        <f aca="false">K1112-M1112</f>
        <v>5513</v>
      </c>
    </row>
    <row r="1113" customFormat="false" ht="12.8" hidden="false" customHeight="false" outlineLevel="0" collapsed="false">
      <c r="A1113" s="10" t="n">
        <f aca="false">A1112+1</f>
        <v>1112</v>
      </c>
      <c r="B1113" s="11" t="n">
        <f aca="false">B1112+1</f>
        <v>46038</v>
      </c>
      <c r="C1113" s="10" t="n">
        <f aca="false">YEAR(B1113)</f>
        <v>2026</v>
      </c>
      <c r="D1113" s="10" t="n">
        <f aca="false">INT((MONTH(B1113)-1)/3)+1</f>
        <v>1</v>
      </c>
      <c r="E1113" s="10" t="n">
        <f aca="false">MONTH(B1113)</f>
        <v>1</v>
      </c>
      <c r="F1113" s="10" t="str">
        <f aca="false">CHOOSE(MOD(A1113-1,5)+1,"Центр","Юг","Север","Запад","Восток")</f>
        <v>Юг</v>
      </c>
      <c r="G1113" s="10" t="str">
        <f aca="false">"Округ_"&amp;(MOD(A1113-1,5)+1)&amp;"_"&amp;(MOD(INT((A1113-1)/5),5)+1)</f>
        <v>Округ_2_3</v>
      </c>
      <c r="H1113" s="10" t="str">
        <f aca="false">"Город_"&amp;(MOD(A1113-1,5)+1)&amp;"_"&amp;(MOD(INT((A1113-1)/5),5)+1)&amp;"_"&amp;(MOD(INT((A1113-1)/25),10)+1)</f>
        <v>Город_2_3_5</v>
      </c>
      <c r="I1113" s="10" t="str">
        <f aca="false">CHOOSE(MOD(A1113-1,4)+1,"Электроника","Одежда","Продукты","Мебель")</f>
        <v>Мебель</v>
      </c>
      <c r="J1113" s="10" t="str">
        <f aca="false">CHOOSE(MOD(INT((A1113-1)/4),4)+1,CHOOSE(MOD(A1113-1,4)+1,"Смартфоны","Ноутбуки","Аксессуары","Аудио"),CHOOSE(MOD(A1113-1,4)+1,"Верхняя одежда","Спортивная","Повседневная","Обувь"),CHOOSE(MOD(A1113-1,4)+1,"Молочные","Мясные","Бакалея","Напитки"),CHOOSE(MOD(A1113-1,4)+1,"Мягкая мебель","Корпусная","Офисная","Кухонная"))</f>
        <v>Обувь</v>
      </c>
      <c r="K1113" s="12" t="n">
        <f aca="false">1000+MOD(A1113*317+A1113*A1113*7,49001)</f>
        <v>42129</v>
      </c>
      <c r="L1113" s="12" t="n">
        <f aca="false">1+MOD(A1113*131,100)</f>
        <v>73</v>
      </c>
      <c r="M1113" s="12" t="n">
        <f aca="false">INT(K1113*(0.6+MOD(A1113*43,21)/100))</f>
        <v>33703</v>
      </c>
      <c r="N1113" s="12" t="n">
        <f aca="false">K1113-M1113</f>
        <v>8426</v>
      </c>
    </row>
    <row r="1114" customFormat="false" ht="12.8" hidden="false" customHeight="false" outlineLevel="0" collapsed="false">
      <c r="A1114" s="10" t="n">
        <f aca="false">A1113+1</f>
        <v>1113</v>
      </c>
      <c r="B1114" s="11" t="n">
        <f aca="false">B1113+1</f>
        <v>46039</v>
      </c>
      <c r="C1114" s="10" t="n">
        <f aca="false">YEAR(B1114)</f>
        <v>2026</v>
      </c>
      <c r="D1114" s="10" t="n">
        <f aca="false">INT((MONTH(B1114)-1)/3)+1</f>
        <v>1</v>
      </c>
      <c r="E1114" s="10" t="n">
        <f aca="false">MONTH(B1114)</f>
        <v>1</v>
      </c>
      <c r="F1114" s="10" t="str">
        <f aca="false">CHOOSE(MOD(A1114-1,5)+1,"Центр","Юг","Север","Запад","Восток")</f>
        <v>Север</v>
      </c>
      <c r="G1114" s="10" t="str">
        <f aca="false">"Округ_"&amp;(MOD(A1114-1,5)+1)&amp;"_"&amp;(MOD(INT((A1114-1)/5),5)+1)</f>
        <v>Округ_3_3</v>
      </c>
      <c r="H1114" s="10" t="str">
        <f aca="false">"Город_"&amp;(MOD(A1114-1,5)+1)&amp;"_"&amp;(MOD(INT((A1114-1)/5),5)+1)&amp;"_"&amp;(MOD(INT((A1114-1)/25),10)+1)</f>
        <v>Город_3_3_5</v>
      </c>
      <c r="I1114" s="10" t="str">
        <f aca="false">CHOOSE(MOD(A1114-1,4)+1,"Электроника","Одежда","Продукты","Мебель")</f>
        <v>Электроника</v>
      </c>
      <c r="J1114" s="10" t="str">
        <f aca="false">CHOOSE(MOD(INT((A1114-1)/4),4)+1,CHOOSE(MOD(A1114-1,4)+1,"Смартфоны","Ноутбуки","Аксессуары","Аудио"),CHOOSE(MOD(A1114-1,4)+1,"Верхняя одежда","Спортивная","Повседневная","Обувь"),CHOOSE(MOD(A1114-1,4)+1,"Молочные","Мясные","Бакалея","Напитки"),CHOOSE(MOD(A1114-1,4)+1,"Мягкая мебель","Корпусная","Офисная","Кухонная"))</f>
        <v>Молочные</v>
      </c>
      <c r="K1114" s="12" t="n">
        <f aca="false">1000+MOD(A1114*317+A1114*A1114*7,49001)</f>
        <v>9020</v>
      </c>
      <c r="L1114" s="12" t="n">
        <f aca="false">1+MOD(A1114*131,100)</f>
        <v>4</v>
      </c>
      <c r="M1114" s="12" t="n">
        <f aca="false">INT(K1114*(0.6+MOD(A1114*43,21)/100))</f>
        <v>5412</v>
      </c>
      <c r="N1114" s="12" t="n">
        <f aca="false">K1114-M1114</f>
        <v>3608</v>
      </c>
    </row>
    <row r="1115" customFormat="false" ht="12.8" hidden="false" customHeight="false" outlineLevel="0" collapsed="false">
      <c r="A1115" s="10" t="n">
        <f aca="false">A1114+1</f>
        <v>1114</v>
      </c>
      <c r="B1115" s="11" t="n">
        <f aca="false">B1114+1</f>
        <v>46040</v>
      </c>
      <c r="C1115" s="10" t="n">
        <f aca="false">YEAR(B1115)</f>
        <v>2026</v>
      </c>
      <c r="D1115" s="10" t="n">
        <f aca="false">INT((MONTH(B1115)-1)/3)+1</f>
        <v>1</v>
      </c>
      <c r="E1115" s="10" t="n">
        <f aca="false">MONTH(B1115)</f>
        <v>1</v>
      </c>
      <c r="F1115" s="10" t="str">
        <f aca="false">CHOOSE(MOD(A1115-1,5)+1,"Центр","Юг","Север","Запад","Восток")</f>
        <v>Запад</v>
      </c>
      <c r="G1115" s="10" t="str">
        <f aca="false">"Округ_"&amp;(MOD(A1115-1,5)+1)&amp;"_"&amp;(MOD(INT((A1115-1)/5),5)+1)</f>
        <v>Округ_4_3</v>
      </c>
      <c r="H1115" s="10" t="str">
        <f aca="false">"Город_"&amp;(MOD(A1115-1,5)+1)&amp;"_"&amp;(MOD(INT((A1115-1)/5),5)+1)&amp;"_"&amp;(MOD(INT((A1115-1)/25),10)+1)</f>
        <v>Город_4_3_5</v>
      </c>
      <c r="I1115" s="10" t="str">
        <f aca="false">CHOOSE(MOD(A1115-1,4)+1,"Электроника","Одежда","Продукты","Мебель")</f>
        <v>Одежда</v>
      </c>
      <c r="J1115" s="10" t="str">
        <f aca="false">CHOOSE(MOD(INT((A1115-1)/4),4)+1,CHOOSE(MOD(A1115-1,4)+1,"Смартфоны","Ноутбуки","Аксессуары","Аудио"),CHOOSE(MOD(A1115-1,4)+1,"Верхняя одежда","Спортивная","Повседневная","Обувь"),CHOOSE(MOD(A1115-1,4)+1,"Молочные","Мясные","Бакалея","Напитки"),CHOOSE(MOD(A1115-1,4)+1,"Мягкая мебель","Корпусная","Офисная","Кухонная"))</f>
        <v>Мясные</v>
      </c>
      <c r="K1115" s="12" t="n">
        <f aca="false">1000+MOD(A1115*317+A1115*A1115*7,49001)</f>
        <v>24926</v>
      </c>
      <c r="L1115" s="12" t="n">
        <f aca="false">1+MOD(A1115*131,100)</f>
        <v>35</v>
      </c>
      <c r="M1115" s="12" t="n">
        <f aca="false">INT(K1115*(0.6+MOD(A1115*43,21)/100))</f>
        <v>15204</v>
      </c>
      <c r="N1115" s="12" t="n">
        <f aca="false">K1115-M1115</f>
        <v>9722</v>
      </c>
    </row>
    <row r="1116" customFormat="false" ht="12.8" hidden="false" customHeight="false" outlineLevel="0" collapsed="false">
      <c r="A1116" s="10" t="n">
        <f aca="false">A1115+1</f>
        <v>1115</v>
      </c>
      <c r="B1116" s="11" t="n">
        <f aca="false">B1115+1</f>
        <v>46041</v>
      </c>
      <c r="C1116" s="10" t="n">
        <f aca="false">YEAR(B1116)</f>
        <v>2026</v>
      </c>
      <c r="D1116" s="10" t="n">
        <f aca="false">INT((MONTH(B1116)-1)/3)+1</f>
        <v>1</v>
      </c>
      <c r="E1116" s="10" t="n">
        <f aca="false">MONTH(B1116)</f>
        <v>1</v>
      </c>
      <c r="F1116" s="10" t="str">
        <f aca="false">CHOOSE(MOD(A1116-1,5)+1,"Центр","Юг","Север","Запад","Восток")</f>
        <v>Восток</v>
      </c>
      <c r="G1116" s="10" t="str">
        <f aca="false">"Округ_"&amp;(MOD(A1116-1,5)+1)&amp;"_"&amp;(MOD(INT((A1116-1)/5),5)+1)</f>
        <v>Округ_5_3</v>
      </c>
      <c r="H1116" s="10" t="str">
        <f aca="false">"Город_"&amp;(MOD(A1116-1,5)+1)&amp;"_"&amp;(MOD(INT((A1116-1)/5),5)+1)&amp;"_"&amp;(MOD(INT((A1116-1)/25),10)+1)</f>
        <v>Город_5_3_5</v>
      </c>
      <c r="I1116" s="10" t="str">
        <f aca="false">CHOOSE(MOD(A1116-1,4)+1,"Электроника","Одежда","Продукты","Мебель")</f>
        <v>Продукты</v>
      </c>
      <c r="J1116" s="10" t="str">
        <f aca="false">CHOOSE(MOD(INT((A1116-1)/4),4)+1,CHOOSE(MOD(A1116-1,4)+1,"Смартфоны","Ноутбуки","Аксессуары","Аудио"),CHOOSE(MOD(A1116-1,4)+1,"Верхняя одежда","Спортивная","Повседневная","Обувь"),CHOOSE(MOD(A1116-1,4)+1,"Молочные","Мясные","Бакалея","Напитки"),CHOOSE(MOD(A1116-1,4)+1,"Мягкая мебель","Корпусная","Офисная","Кухонная"))</f>
        <v>Бакалея</v>
      </c>
      <c r="K1116" s="12" t="n">
        <f aca="false">1000+MOD(A1116*317+A1116*A1116*7,49001)</f>
        <v>40846</v>
      </c>
      <c r="L1116" s="12" t="n">
        <f aca="false">1+MOD(A1116*131,100)</f>
        <v>66</v>
      </c>
      <c r="M1116" s="12" t="n">
        <f aca="false">INT(K1116*(0.6+MOD(A1116*43,21)/100))</f>
        <v>25324</v>
      </c>
      <c r="N1116" s="12" t="n">
        <f aca="false">K1116-M1116</f>
        <v>15522</v>
      </c>
    </row>
    <row r="1117" customFormat="false" ht="12.8" hidden="false" customHeight="false" outlineLevel="0" collapsed="false">
      <c r="A1117" s="10" t="n">
        <f aca="false">A1116+1</f>
        <v>1116</v>
      </c>
      <c r="B1117" s="11" t="n">
        <f aca="false">B1116+1</f>
        <v>46042</v>
      </c>
      <c r="C1117" s="10" t="n">
        <f aca="false">YEAR(B1117)</f>
        <v>2026</v>
      </c>
      <c r="D1117" s="10" t="n">
        <f aca="false">INT((MONTH(B1117)-1)/3)+1</f>
        <v>1</v>
      </c>
      <c r="E1117" s="10" t="n">
        <f aca="false">MONTH(B1117)</f>
        <v>1</v>
      </c>
      <c r="F1117" s="10" t="str">
        <f aca="false">CHOOSE(MOD(A1117-1,5)+1,"Центр","Юг","Север","Запад","Восток")</f>
        <v>Центр</v>
      </c>
      <c r="G1117" s="10" t="str">
        <f aca="false">"Округ_"&amp;(MOD(A1117-1,5)+1)&amp;"_"&amp;(MOD(INT((A1117-1)/5),5)+1)</f>
        <v>Округ_1_4</v>
      </c>
      <c r="H1117" s="10" t="str">
        <f aca="false">"Город_"&amp;(MOD(A1117-1,5)+1)&amp;"_"&amp;(MOD(INT((A1117-1)/5),5)+1)&amp;"_"&amp;(MOD(INT((A1117-1)/25),10)+1)</f>
        <v>Город_1_4_5</v>
      </c>
      <c r="I1117" s="10" t="str">
        <f aca="false">CHOOSE(MOD(A1117-1,4)+1,"Электроника","Одежда","Продукты","Мебель")</f>
        <v>Мебель</v>
      </c>
      <c r="J1117" s="10" t="str">
        <f aca="false">CHOOSE(MOD(INT((A1117-1)/4),4)+1,CHOOSE(MOD(A1117-1,4)+1,"Смартфоны","Ноутбуки","Аксессуары","Аудио"),CHOOSE(MOD(A1117-1,4)+1,"Верхняя одежда","Спортивная","Повседневная","Обувь"),CHOOSE(MOD(A1117-1,4)+1,"Молочные","Мясные","Бакалея","Напитки"),CHOOSE(MOD(A1117-1,4)+1,"Мягкая мебель","Корпусная","Офисная","Кухонная"))</f>
        <v>Напитки</v>
      </c>
      <c r="K1117" s="12" t="n">
        <f aca="false">1000+MOD(A1117*317+A1117*A1117*7,49001)</f>
        <v>7779</v>
      </c>
      <c r="L1117" s="12" t="n">
        <f aca="false">1+MOD(A1117*131,100)</f>
        <v>97</v>
      </c>
      <c r="M1117" s="12" t="n">
        <f aca="false">INT(K1117*(0.6+MOD(A1117*43,21)/100))</f>
        <v>4900</v>
      </c>
      <c r="N1117" s="12" t="n">
        <f aca="false">K1117-M1117</f>
        <v>2879</v>
      </c>
    </row>
    <row r="1118" customFormat="false" ht="12.8" hidden="false" customHeight="false" outlineLevel="0" collapsed="false">
      <c r="A1118" s="10" t="n">
        <f aca="false">A1117+1</f>
        <v>1117</v>
      </c>
      <c r="B1118" s="11" t="n">
        <f aca="false">B1117+1</f>
        <v>46043</v>
      </c>
      <c r="C1118" s="10" t="n">
        <f aca="false">YEAR(B1118)</f>
        <v>2026</v>
      </c>
      <c r="D1118" s="10" t="n">
        <f aca="false">INT((MONTH(B1118)-1)/3)+1</f>
        <v>1</v>
      </c>
      <c r="E1118" s="10" t="n">
        <f aca="false">MONTH(B1118)</f>
        <v>1</v>
      </c>
      <c r="F1118" s="10" t="str">
        <f aca="false">CHOOSE(MOD(A1118-1,5)+1,"Центр","Юг","Север","Запад","Восток")</f>
        <v>Юг</v>
      </c>
      <c r="G1118" s="10" t="str">
        <f aca="false">"Округ_"&amp;(MOD(A1118-1,5)+1)&amp;"_"&amp;(MOD(INT((A1118-1)/5),5)+1)</f>
        <v>Округ_2_4</v>
      </c>
      <c r="H1118" s="10" t="str">
        <f aca="false">"Город_"&amp;(MOD(A1118-1,5)+1)&amp;"_"&amp;(MOD(INT((A1118-1)/5),5)+1)&amp;"_"&amp;(MOD(INT((A1118-1)/25),10)+1)</f>
        <v>Город_2_4_5</v>
      </c>
      <c r="I1118" s="10" t="str">
        <f aca="false">CHOOSE(MOD(A1118-1,4)+1,"Электроника","Одежда","Продукты","Мебель")</f>
        <v>Электроника</v>
      </c>
      <c r="J1118" s="10" t="str">
        <f aca="false">CHOOSE(MOD(INT((A1118-1)/4),4)+1,CHOOSE(MOD(A1118-1,4)+1,"Смартфоны","Ноутбуки","Аксессуары","Аудио"),CHOOSE(MOD(A1118-1,4)+1,"Верхняя одежда","Спортивная","Повседневная","Обувь"),CHOOSE(MOD(A1118-1,4)+1,"Молочные","Мясные","Бакалея","Напитки"),CHOOSE(MOD(A1118-1,4)+1,"Мягкая мебель","Корпусная","Офисная","Кухонная"))</f>
        <v>Мягкая мебель</v>
      </c>
      <c r="K1118" s="12" t="n">
        <f aca="false">1000+MOD(A1118*317+A1118*A1118*7,49001)</f>
        <v>23727</v>
      </c>
      <c r="L1118" s="12" t="n">
        <f aca="false">1+MOD(A1118*131,100)</f>
        <v>28</v>
      </c>
      <c r="M1118" s="12" t="n">
        <f aca="false">INT(K1118*(0.6+MOD(A1118*43,21)/100))</f>
        <v>15185</v>
      </c>
      <c r="N1118" s="12" t="n">
        <f aca="false">K1118-M1118</f>
        <v>8542</v>
      </c>
    </row>
    <row r="1119" customFormat="false" ht="12.8" hidden="false" customHeight="false" outlineLevel="0" collapsed="false">
      <c r="A1119" s="10" t="n">
        <f aca="false">A1118+1</f>
        <v>1118</v>
      </c>
      <c r="B1119" s="11" t="n">
        <f aca="false">B1118+1</f>
        <v>46044</v>
      </c>
      <c r="C1119" s="10" t="n">
        <f aca="false">YEAR(B1119)</f>
        <v>2026</v>
      </c>
      <c r="D1119" s="10" t="n">
        <f aca="false">INT((MONTH(B1119)-1)/3)+1</f>
        <v>1</v>
      </c>
      <c r="E1119" s="10" t="n">
        <f aca="false">MONTH(B1119)</f>
        <v>1</v>
      </c>
      <c r="F1119" s="10" t="str">
        <f aca="false">CHOOSE(MOD(A1119-1,5)+1,"Центр","Юг","Север","Запад","Восток")</f>
        <v>Север</v>
      </c>
      <c r="G1119" s="10" t="str">
        <f aca="false">"Округ_"&amp;(MOD(A1119-1,5)+1)&amp;"_"&amp;(MOD(INT((A1119-1)/5),5)+1)</f>
        <v>Округ_3_4</v>
      </c>
      <c r="H1119" s="10" t="str">
        <f aca="false">"Город_"&amp;(MOD(A1119-1,5)+1)&amp;"_"&amp;(MOD(INT((A1119-1)/5),5)+1)&amp;"_"&amp;(MOD(INT((A1119-1)/25),10)+1)</f>
        <v>Город_3_4_5</v>
      </c>
      <c r="I1119" s="10" t="str">
        <f aca="false">CHOOSE(MOD(A1119-1,4)+1,"Электроника","Одежда","Продукты","Мебель")</f>
        <v>Одежда</v>
      </c>
      <c r="J1119" s="10" t="str">
        <f aca="false">CHOOSE(MOD(INT((A1119-1)/4),4)+1,CHOOSE(MOD(A1119-1,4)+1,"Смартфоны","Ноутбуки","Аксессуары","Аудио"),CHOOSE(MOD(A1119-1,4)+1,"Верхняя одежда","Спортивная","Повседневная","Обувь"),CHOOSE(MOD(A1119-1,4)+1,"Молочные","Мясные","Бакалея","Напитки"),CHOOSE(MOD(A1119-1,4)+1,"Мягкая мебель","Корпусная","Офисная","Кухонная"))</f>
        <v>Корпусная</v>
      </c>
      <c r="K1119" s="12" t="n">
        <f aca="false">1000+MOD(A1119*317+A1119*A1119*7,49001)</f>
        <v>39689</v>
      </c>
      <c r="L1119" s="12" t="n">
        <f aca="false">1+MOD(A1119*131,100)</f>
        <v>59</v>
      </c>
      <c r="M1119" s="12" t="n">
        <f aca="false">INT(K1119*(0.6+MOD(A1119*43,21)/100))</f>
        <v>25797</v>
      </c>
      <c r="N1119" s="12" t="n">
        <f aca="false">K1119-M1119</f>
        <v>13892</v>
      </c>
    </row>
    <row r="1120" customFormat="false" ht="12.8" hidden="false" customHeight="false" outlineLevel="0" collapsed="false">
      <c r="A1120" s="10" t="n">
        <f aca="false">A1119+1</f>
        <v>1119</v>
      </c>
      <c r="B1120" s="11" t="n">
        <f aca="false">B1119+1</f>
        <v>46045</v>
      </c>
      <c r="C1120" s="10" t="n">
        <f aca="false">YEAR(B1120)</f>
        <v>2026</v>
      </c>
      <c r="D1120" s="10" t="n">
        <f aca="false">INT((MONTH(B1120)-1)/3)+1</f>
        <v>1</v>
      </c>
      <c r="E1120" s="10" t="n">
        <f aca="false">MONTH(B1120)</f>
        <v>1</v>
      </c>
      <c r="F1120" s="10" t="str">
        <f aca="false">CHOOSE(MOD(A1120-1,5)+1,"Центр","Юг","Север","Запад","Восток")</f>
        <v>Запад</v>
      </c>
      <c r="G1120" s="10" t="str">
        <f aca="false">"Округ_"&amp;(MOD(A1120-1,5)+1)&amp;"_"&amp;(MOD(INT((A1120-1)/5),5)+1)</f>
        <v>Округ_4_4</v>
      </c>
      <c r="H1120" s="10" t="str">
        <f aca="false">"Город_"&amp;(MOD(A1120-1,5)+1)&amp;"_"&amp;(MOD(INT((A1120-1)/5),5)+1)&amp;"_"&amp;(MOD(INT((A1120-1)/25),10)+1)</f>
        <v>Город_4_4_5</v>
      </c>
      <c r="I1120" s="10" t="str">
        <f aca="false">CHOOSE(MOD(A1120-1,4)+1,"Электроника","Одежда","Продукты","Мебель")</f>
        <v>Продукты</v>
      </c>
      <c r="J1120" s="10" t="str">
        <f aca="false">CHOOSE(MOD(INT((A1120-1)/4),4)+1,CHOOSE(MOD(A1120-1,4)+1,"Смартфоны","Ноутбуки","Аксессуары","Аудио"),CHOOSE(MOD(A1120-1,4)+1,"Верхняя одежда","Спортивная","Повседневная","Обувь"),CHOOSE(MOD(A1120-1,4)+1,"Молочные","Мясные","Бакалея","Напитки"),CHOOSE(MOD(A1120-1,4)+1,"Мягкая мебель","Корпусная","Офисная","Кухонная"))</f>
        <v>Офисная</v>
      </c>
      <c r="K1120" s="12" t="n">
        <f aca="false">1000+MOD(A1120*317+A1120*A1120*7,49001)</f>
        <v>6664</v>
      </c>
      <c r="L1120" s="12" t="n">
        <f aca="false">1+MOD(A1120*131,100)</f>
        <v>90</v>
      </c>
      <c r="M1120" s="12" t="n">
        <f aca="false">INT(K1120*(0.6+MOD(A1120*43,21)/100))</f>
        <v>4398</v>
      </c>
      <c r="N1120" s="12" t="n">
        <f aca="false">K1120-M1120</f>
        <v>2266</v>
      </c>
    </row>
    <row r="1121" customFormat="false" ht="12.8" hidden="false" customHeight="false" outlineLevel="0" collapsed="false">
      <c r="A1121" s="10" t="n">
        <f aca="false">A1120+1</f>
        <v>1120</v>
      </c>
      <c r="B1121" s="11" t="n">
        <f aca="false">B1120+1</f>
        <v>46046</v>
      </c>
      <c r="C1121" s="10" t="n">
        <f aca="false">YEAR(B1121)</f>
        <v>2026</v>
      </c>
      <c r="D1121" s="10" t="n">
        <f aca="false">INT((MONTH(B1121)-1)/3)+1</f>
        <v>1</v>
      </c>
      <c r="E1121" s="10" t="n">
        <f aca="false">MONTH(B1121)</f>
        <v>1</v>
      </c>
      <c r="F1121" s="10" t="str">
        <f aca="false">CHOOSE(MOD(A1121-1,5)+1,"Центр","Юг","Север","Запад","Восток")</f>
        <v>Восток</v>
      </c>
      <c r="G1121" s="10" t="str">
        <f aca="false">"Округ_"&amp;(MOD(A1121-1,5)+1)&amp;"_"&amp;(MOD(INT((A1121-1)/5),5)+1)</f>
        <v>Округ_5_4</v>
      </c>
      <c r="H1121" s="10" t="str">
        <f aca="false">"Город_"&amp;(MOD(A1121-1,5)+1)&amp;"_"&amp;(MOD(INT((A1121-1)/5),5)+1)&amp;"_"&amp;(MOD(INT((A1121-1)/25),10)+1)</f>
        <v>Город_5_4_5</v>
      </c>
      <c r="I1121" s="10" t="str">
        <f aca="false">CHOOSE(MOD(A1121-1,4)+1,"Электроника","Одежда","Продукты","Мебель")</f>
        <v>Мебель</v>
      </c>
      <c r="J1121" s="10" t="str">
        <f aca="false">CHOOSE(MOD(INT((A1121-1)/4),4)+1,CHOOSE(MOD(A1121-1,4)+1,"Смартфоны","Ноутбуки","Аксессуары","Аудио"),CHOOSE(MOD(A1121-1,4)+1,"Верхняя одежда","Спортивная","Повседневная","Обувь"),CHOOSE(MOD(A1121-1,4)+1,"Молочные","Мясные","Бакалея","Напитки"),CHOOSE(MOD(A1121-1,4)+1,"Мягкая мебель","Корпусная","Офисная","Кухонная"))</f>
        <v>Кухонная</v>
      </c>
      <c r="K1121" s="12" t="n">
        <f aca="false">1000+MOD(A1121*317+A1121*A1121*7,49001)</f>
        <v>22654</v>
      </c>
      <c r="L1121" s="12" t="n">
        <f aca="false">1+MOD(A1121*131,100)</f>
        <v>21</v>
      </c>
      <c r="M1121" s="12" t="n">
        <f aca="false">INT(K1121*(0.6+MOD(A1121*43,21)/100))</f>
        <v>15178</v>
      </c>
      <c r="N1121" s="12" t="n">
        <f aca="false">K1121-M1121</f>
        <v>7476</v>
      </c>
    </row>
    <row r="1122" customFormat="false" ht="12.8" hidden="false" customHeight="false" outlineLevel="0" collapsed="false">
      <c r="A1122" s="10" t="n">
        <f aca="false">A1121+1</f>
        <v>1121</v>
      </c>
      <c r="B1122" s="11" t="n">
        <f aca="false">B1121+1</f>
        <v>46047</v>
      </c>
      <c r="C1122" s="10" t="n">
        <f aca="false">YEAR(B1122)</f>
        <v>2026</v>
      </c>
      <c r="D1122" s="10" t="n">
        <f aca="false">INT((MONTH(B1122)-1)/3)+1</f>
        <v>1</v>
      </c>
      <c r="E1122" s="10" t="n">
        <f aca="false">MONTH(B1122)</f>
        <v>1</v>
      </c>
      <c r="F1122" s="10" t="str">
        <f aca="false">CHOOSE(MOD(A1122-1,5)+1,"Центр","Юг","Север","Запад","Восток")</f>
        <v>Центр</v>
      </c>
      <c r="G1122" s="10" t="str">
        <f aca="false">"Округ_"&amp;(MOD(A1122-1,5)+1)&amp;"_"&amp;(MOD(INT((A1122-1)/5),5)+1)</f>
        <v>Округ_1_5</v>
      </c>
      <c r="H1122" s="10" t="str">
        <f aca="false">"Город_"&amp;(MOD(A1122-1,5)+1)&amp;"_"&amp;(MOD(INT((A1122-1)/5),5)+1)&amp;"_"&amp;(MOD(INT((A1122-1)/25),10)+1)</f>
        <v>Город_1_5_5</v>
      </c>
      <c r="I1122" s="10" t="str">
        <f aca="false">CHOOSE(MOD(A1122-1,4)+1,"Электроника","Одежда","Продукты","Мебель")</f>
        <v>Электроника</v>
      </c>
      <c r="J1122" s="10" t="str">
        <f aca="false">CHOOSE(MOD(INT((A1122-1)/4),4)+1,CHOOSE(MOD(A1122-1,4)+1,"Смартфоны","Ноутбуки","Аксессуары","Аудио"),CHOOSE(MOD(A1122-1,4)+1,"Верхняя одежда","Спортивная","Повседневная","Обувь"),CHOOSE(MOD(A1122-1,4)+1,"Молочные","Мясные","Бакалея","Напитки"),CHOOSE(MOD(A1122-1,4)+1,"Мягкая мебель","Корпусная","Офисная","Кухонная"))</f>
        <v>Смартфоны</v>
      </c>
      <c r="K1122" s="12" t="n">
        <f aca="false">1000+MOD(A1122*317+A1122*A1122*7,49001)</f>
        <v>38658</v>
      </c>
      <c r="L1122" s="12" t="n">
        <f aca="false">1+MOD(A1122*131,100)</f>
        <v>52</v>
      </c>
      <c r="M1122" s="12" t="n">
        <f aca="false">INT(K1122*(0.6+MOD(A1122*43,21)/100))</f>
        <v>26287</v>
      </c>
      <c r="N1122" s="12" t="n">
        <f aca="false">K1122-M1122</f>
        <v>12371</v>
      </c>
    </row>
    <row r="1123" customFormat="false" ht="12.8" hidden="false" customHeight="false" outlineLevel="0" collapsed="false">
      <c r="A1123" s="10" t="n">
        <f aca="false">A1122+1</f>
        <v>1122</v>
      </c>
      <c r="B1123" s="11" t="n">
        <f aca="false">B1122+1</f>
        <v>46048</v>
      </c>
      <c r="C1123" s="10" t="n">
        <f aca="false">YEAR(B1123)</f>
        <v>2026</v>
      </c>
      <c r="D1123" s="10" t="n">
        <f aca="false">INT((MONTH(B1123)-1)/3)+1</f>
        <v>1</v>
      </c>
      <c r="E1123" s="10" t="n">
        <f aca="false">MONTH(B1123)</f>
        <v>1</v>
      </c>
      <c r="F1123" s="10" t="str">
        <f aca="false">CHOOSE(MOD(A1123-1,5)+1,"Центр","Юг","Север","Запад","Восток")</f>
        <v>Юг</v>
      </c>
      <c r="G1123" s="10" t="str">
        <f aca="false">"Округ_"&amp;(MOD(A1123-1,5)+1)&amp;"_"&amp;(MOD(INT((A1123-1)/5),5)+1)</f>
        <v>Округ_2_5</v>
      </c>
      <c r="H1123" s="10" t="str">
        <f aca="false">"Город_"&amp;(MOD(A1123-1,5)+1)&amp;"_"&amp;(MOD(INT((A1123-1)/5),5)+1)&amp;"_"&amp;(MOD(INT((A1123-1)/25),10)+1)</f>
        <v>Город_2_5_5</v>
      </c>
      <c r="I1123" s="10" t="str">
        <f aca="false">CHOOSE(MOD(A1123-1,4)+1,"Электроника","Одежда","Продукты","Мебель")</f>
        <v>Одежда</v>
      </c>
      <c r="J1123" s="10" t="str">
        <f aca="false">CHOOSE(MOD(INT((A1123-1)/4),4)+1,CHOOSE(MOD(A1123-1,4)+1,"Смартфоны","Ноутбуки","Аксессуары","Аудио"),CHOOSE(MOD(A1123-1,4)+1,"Верхняя одежда","Спортивная","Повседневная","Обувь"),CHOOSE(MOD(A1123-1,4)+1,"Молочные","Мясные","Бакалея","Напитки"),CHOOSE(MOD(A1123-1,4)+1,"Мягкая мебель","Корпусная","Офисная","Кухонная"))</f>
        <v>Ноутбуки</v>
      </c>
      <c r="K1123" s="12" t="n">
        <f aca="false">1000+MOD(A1123*317+A1123*A1123*7,49001)</f>
        <v>5675</v>
      </c>
      <c r="L1123" s="12" t="n">
        <f aca="false">1+MOD(A1123*131,100)</f>
        <v>83</v>
      </c>
      <c r="M1123" s="12" t="n">
        <f aca="false">INT(K1123*(0.6+MOD(A1123*43,21)/100))</f>
        <v>3915</v>
      </c>
      <c r="N1123" s="12" t="n">
        <f aca="false">K1123-M1123</f>
        <v>1760</v>
      </c>
    </row>
    <row r="1124" customFormat="false" ht="12.8" hidden="false" customHeight="false" outlineLevel="0" collapsed="false">
      <c r="A1124" s="10" t="n">
        <f aca="false">A1123+1</f>
        <v>1123</v>
      </c>
      <c r="B1124" s="11" t="n">
        <f aca="false">B1123+1</f>
        <v>46049</v>
      </c>
      <c r="C1124" s="10" t="n">
        <f aca="false">YEAR(B1124)</f>
        <v>2026</v>
      </c>
      <c r="D1124" s="10" t="n">
        <f aca="false">INT((MONTH(B1124)-1)/3)+1</f>
        <v>1</v>
      </c>
      <c r="E1124" s="10" t="n">
        <f aca="false">MONTH(B1124)</f>
        <v>1</v>
      </c>
      <c r="F1124" s="10" t="str">
        <f aca="false">CHOOSE(MOD(A1124-1,5)+1,"Центр","Юг","Север","Запад","Восток")</f>
        <v>Север</v>
      </c>
      <c r="G1124" s="10" t="str">
        <f aca="false">"Округ_"&amp;(MOD(A1124-1,5)+1)&amp;"_"&amp;(MOD(INT((A1124-1)/5),5)+1)</f>
        <v>Округ_3_5</v>
      </c>
      <c r="H1124" s="10" t="str">
        <f aca="false">"Город_"&amp;(MOD(A1124-1,5)+1)&amp;"_"&amp;(MOD(INT((A1124-1)/5),5)+1)&amp;"_"&amp;(MOD(INT((A1124-1)/25),10)+1)</f>
        <v>Город_3_5_5</v>
      </c>
      <c r="I1124" s="10" t="str">
        <f aca="false">CHOOSE(MOD(A1124-1,4)+1,"Электроника","Одежда","Продукты","Мебель")</f>
        <v>Продукты</v>
      </c>
      <c r="J1124" s="10" t="str">
        <f aca="false">CHOOSE(MOD(INT((A1124-1)/4),4)+1,CHOOSE(MOD(A1124-1,4)+1,"Смартфоны","Ноутбуки","Аксессуары","Аудио"),CHOOSE(MOD(A1124-1,4)+1,"Верхняя одежда","Спортивная","Повседневная","Обувь"),CHOOSE(MOD(A1124-1,4)+1,"Молочные","Мясные","Бакалея","Напитки"),CHOOSE(MOD(A1124-1,4)+1,"Мягкая мебель","Корпусная","Офисная","Кухонная"))</f>
        <v>Аксессуары</v>
      </c>
      <c r="K1124" s="12" t="n">
        <f aca="false">1000+MOD(A1124*317+A1124*A1124*7,49001)</f>
        <v>21707</v>
      </c>
      <c r="L1124" s="12" t="n">
        <f aca="false">1+MOD(A1124*131,100)</f>
        <v>14</v>
      </c>
      <c r="M1124" s="12" t="n">
        <f aca="false">INT(K1124*(0.6+MOD(A1124*43,21)/100))</f>
        <v>15194</v>
      </c>
      <c r="N1124" s="12" t="n">
        <f aca="false">K1124-M1124</f>
        <v>6513</v>
      </c>
    </row>
    <row r="1125" customFormat="false" ht="12.8" hidden="false" customHeight="false" outlineLevel="0" collapsed="false">
      <c r="A1125" s="10" t="n">
        <f aca="false">A1124+1</f>
        <v>1124</v>
      </c>
      <c r="B1125" s="11" t="n">
        <f aca="false">B1124+1</f>
        <v>46050</v>
      </c>
      <c r="C1125" s="10" t="n">
        <f aca="false">YEAR(B1125)</f>
        <v>2026</v>
      </c>
      <c r="D1125" s="10" t="n">
        <f aca="false">INT((MONTH(B1125)-1)/3)+1</f>
        <v>1</v>
      </c>
      <c r="E1125" s="10" t="n">
        <f aca="false">MONTH(B1125)</f>
        <v>1</v>
      </c>
      <c r="F1125" s="10" t="str">
        <f aca="false">CHOOSE(MOD(A1125-1,5)+1,"Центр","Юг","Север","Запад","Восток")</f>
        <v>Запад</v>
      </c>
      <c r="G1125" s="10" t="str">
        <f aca="false">"Округ_"&amp;(MOD(A1125-1,5)+1)&amp;"_"&amp;(MOD(INT((A1125-1)/5),5)+1)</f>
        <v>Округ_4_5</v>
      </c>
      <c r="H1125" s="10" t="str">
        <f aca="false">"Город_"&amp;(MOD(A1125-1,5)+1)&amp;"_"&amp;(MOD(INT((A1125-1)/5),5)+1)&amp;"_"&amp;(MOD(INT((A1125-1)/25),10)+1)</f>
        <v>Город_4_5_5</v>
      </c>
      <c r="I1125" s="10" t="str">
        <f aca="false">CHOOSE(MOD(A1125-1,4)+1,"Электроника","Одежда","Продукты","Мебель")</f>
        <v>Мебель</v>
      </c>
      <c r="J1125" s="10" t="str">
        <f aca="false">CHOOSE(MOD(INT((A1125-1)/4),4)+1,CHOOSE(MOD(A1125-1,4)+1,"Смартфоны","Ноутбуки","Аксессуары","Аудио"),CHOOSE(MOD(A1125-1,4)+1,"Верхняя одежда","Спортивная","Повседневная","Обувь"),CHOOSE(MOD(A1125-1,4)+1,"Молочные","Мясные","Бакалея","Напитки"),CHOOSE(MOD(A1125-1,4)+1,"Мягкая мебель","Корпусная","Офисная","Кухонная"))</f>
        <v>Аудио</v>
      </c>
      <c r="K1125" s="12" t="n">
        <f aca="false">1000+MOD(A1125*317+A1125*A1125*7,49001)</f>
        <v>37753</v>
      </c>
      <c r="L1125" s="12" t="n">
        <f aca="false">1+MOD(A1125*131,100)</f>
        <v>45</v>
      </c>
      <c r="M1125" s="12" t="n">
        <f aca="false">INT(K1125*(0.6+MOD(A1125*43,21)/100))</f>
        <v>26804</v>
      </c>
      <c r="N1125" s="12" t="n">
        <f aca="false">K1125-M1125</f>
        <v>10949</v>
      </c>
    </row>
    <row r="1126" customFormat="false" ht="12.8" hidden="false" customHeight="false" outlineLevel="0" collapsed="false">
      <c r="A1126" s="10" t="n">
        <f aca="false">A1125+1</f>
        <v>1125</v>
      </c>
      <c r="B1126" s="11" t="n">
        <f aca="false">B1125+1</f>
        <v>46051</v>
      </c>
      <c r="C1126" s="10" t="n">
        <f aca="false">YEAR(B1126)</f>
        <v>2026</v>
      </c>
      <c r="D1126" s="10" t="n">
        <f aca="false">INT((MONTH(B1126)-1)/3)+1</f>
        <v>1</v>
      </c>
      <c r="E1126" s="10" t="n">
        <f aca="false">MONTH(B1126)</f>
        <v>1</v>
      </c>
      <c r="F1126" s="10" t="str">
        <f aca="false">CHOOSE(MOD(A1126-1,5)+1,"Центр","Юг","Север","Запад","Восток")</f>
        <v>Восток</v>
      </c>
      <c r="G1126" s="10" t="str">
        <f aca="false">"Округ_"&amp;(MOD(A1126-1,5)+1)&amp;"_"&amp;(MOD(INT((A1126-1)/5),5)+1)</f>
        <v>Округ_5_5</v>
      </c>
      <c r="H1126" s="10" t="str">
        <f aca="false">"Город_"&amp;(MOD(A1126-1,5)+1)&amp;"_"&amp;(MOD(INT((A1126-1)/5),5)+1)&amp;"_"&amp;(MOD(INT((A1126-1)/25),10)+1)</f>
        <v>Город_5_5_5</v>
      </c>
      <c r="I1126" s="10" t="str">
        <f aca="false">CHOOSE(MOD(A1126-1,4)+1,"Электроника","Одежда","Продукты","Мебель")</f>
        <v>Электроника</v>
      </c>
      <c r="J1126" s="10" t="str">
        <f aca="false">CHOOSE(MOD(INT((A1126-1)/4),4)+1,CHOOSE(MOD(A1126-1,4)+1,"Смартфоны","Ноутбуки","Аксессуары","Аудио"),CHOOSE(MOD(A1126-1,4)+1,"Верхняя одежда","Спортивная","Повседневная","Обувь"),CHOOSE(MOD(A1126-1,4)+1,"Молочные","Мясные","Бакалея","Напитки"),CHOOSE(MOD(A1126-1,4)+1,"Мягкая мебель","Корпусная","Офисная","Кухонная"))</f>
        <v>Верхняя одежда</v>
      </c>
      <c r="K1126" s="12" t="n">
        <f aca="false">1000+MOD(A1126*317+A1126*A1126*7,49001)</f>
        <v>4812</v>
      </c>
      <c r="L1126" s="12" t="n">
        <f aca="false">1+MOD(A1126*131,100)</f>
        <v>76</v>
      </c>
      <c r="M1126" s="12" t="n">
        <f aca="false">INT(K1126*(0.6+MOD(A1126*43,21)/100))</f>
        <v>3464</v>
      </c>
      <c r="N1126" s="12" t="n">
        <f aca="false">K1126-M1126</f>
        <v>1348</v>
      </c>
    </row>
    <row r="1127" customFormat="false" ht="12.8" hidden="false" customHeight="false" outlineLevel="0" collapsed="false">
      <c r="A1127" s="10" t="n">
        <f aca="false">A1126+1</f>
        <v>1126</v>
      </c>
      <c r="B1127" s="11" t="n">
        <f aca="false">B1126+1</f>
        <v>46052</v>
      </c>
      <c r="C1127" s="10" t="n">
        <f aca="false">YEAR(B1127)</f>
        <v>2026</v>
      </c>
      <c r="D1127" s="10" t="n">
        <f aca="false">INT((MONTH(B1127)-1)/3)+1</f>
        <v>1</v>
      </c>
      <c r="E1127" s="10" t="n">
        <f aca="false">MONTH(B1127)</f>
        <v>1</v>
      </c>
      <c r="F1127" s="10" t="str">
        <f aca="false">CHOOSE(MOD(A1127-1,5)+1,"Центр","Юг","Север","Запад","Восток")</f>
        <v>Центр</v>
      </c>
      <c r="G1127" s="10" t="str">
        <f aca="false">"Округ_"&amp;(MOD(A1127-1,5)+1)&amp;"_"&amp;(MOD(INT((A1127-1)/5),5)+1)</f>
        <v>Округ_1_1</v>
      </c>
      <c r="H1127" s="10" t="str">
        <f aca="false">"Город_"&amp;(MOD(A1127-1,5)+1)&amp;"_"&amp;(MOD(INT((A1127-1)/5),5)+1)&amp;"_"&amp;(MOD(INT((A1127-1)/25),10)+1)</f>
        <v>Город_1_1_6</v>
      </c>
      <c r="I1127" s="10" t="str">
        <f aca="false">CHOOSE(MOD(A1127-1,4)+1,"Электроника","Одежда","Продукты","Мебель")</f>
        <v>Одежда</v>
      </c>
      <c r="J1127" s="10" t="str">
        <f aca="false">CHOOSE(MOD(INT((A1127-1)/4),4)+1,CHOOSE(MOD(A1127-1,4)+1,"Смартфоны","Ноутбуки","Аксессуары","Аудио"),CHOOSE(MOD(A1127-1,4)+1,"Верхняя одежда","Спортивная","Повседневная","Обувь"),CHOOSE(MOD(A1127-1,4)+1,"Молочные","Мясные","Бакалея","Напитки"),CHOOSE(MOD(A1127-1,4)+1,"Мягкая мебель","Корпусная","Офисная","Кухонная"))</f>
        <v>Спортивная</v>
      </c>
      <c r="K1127" s="12" t="n">
        <f aca="false">1000+MOD(A1127*317+A1127*A1127*7,49001)</f>
        <v>20886</v>
      </c>
      <c r="L1127" s="12" t="n">
        <f aca="false">1+MOD(A1127*131,100)</f>
        <v>7</v>
      </c>
      <c r="M1127" s="12" t="n">
        <f aca="false">INT(K1127*(0.6+MOD(A1127*43,21)/100))</f>
        <v>15246</v>
      </c>
      <c r="N1127" s="12" t="n">
        <f aca="false">K1127-M1127</f>
        <v>5640</v>
      </c>
    </row>
    <row r="1128" customFormat="false" ht="12.8" hidden="false" customHeight="false" outlineLevel="0" collapsed="false">
      <c r="A1128" s="10" t="n">
        <f aca="false">A1127+1</f>
        <v>1127</v>
      </c>
      <c r="B1128" s="11" t="n">
        <f aca="false">B1127+1</f>
        <v>46053</v>
      </c>
      <c r="C1128" s="10" t="n">
        <f aca="false">YEAR(B1128)</f>
        <v>2026</v>
      </c>
      <c r="D1128" s="10" t="n">
        <f aca="false">INT((MONTH(B1128)-1)/3)+1</f>
        <v>1</v>
      </c>
      <c r="E1128" s="10" t="n">
        <f aca="false">MONTH(B1128)</f>
        <v>1</v>
      </c>
      <c r="F1128" s="10" t="str">
        <f aca="false">CHOOSE(MOD(A1128-1,5)+1,"Центр","Юг","Север","Запад","Восток")</f>
        <v>Юг</v>
      </c>
      <c r="G1128" s="10" t="str">
        <f aca="false">"Округ_"&amp;(MOD(A1128-1,5)+1)&amp;"_"&amp;(MOD(INT((A1128-1)/5),5)+1)</f>
        <v>Округ_2_1</v>
      </c>
      <c r="H1128" s="10" t="str">
        <f aca="false">"Город_"&amp;(MOD(A1128-1,5)+1)&amp;"_"&amp;(MOD(INT((A1128-1)/5),5)+1)&amp;"_"&amp;(MOD(INT((A1128-1)/25),10)+1)</f>
        <v>Город_2_1_6</v>
      </c>
      <c r="I1128" s="10" t="str">
        <f aca="false">CHOOSE(MOD(A1128-1,4)+1,"Электроника","Одежда","Продукты","Мебель")</f>
        <v>Продукты</v>
      </c>
      <c r="J1128" s="10" t="str">
        <f aca="false">CHOOSE(MOD(INT((A1128-1)/4),4)+1,CHOOSE(MOD(A1128-1,4)+1,"Смартфоны","Ноутбуки","Аксессуары","Аудио"),CHOOSE(MOD(A1128-1,4)+1,"Верхняя одежда","Спортивная","Повседневная","Обувь"),CHOOSE(MOD(A1128-1,4)+1,"Молочные","Мясные","Бакалея","Напитки"),CHOOSE(MOD(A1128-1,4)+1,"Мягкая мебель","Корпусная","Офисная","Кухонная"))</f>
        <v>Повседневная</v>
      </c>
      <c r="K1128" s="12" t="n">
        <f aca="false">1000+MOD(A1128*317+A1128*A1128*7,49001)</f>
        <v>36974</v>
      </c>
      <c r="L1128" s="12" t="n">
        <f aca="false">1+MOD(A1128*131,100)</f>
        <v>38</v>
      </c>
      <c r="M1128" s="12" t="n">
        <f aca="false">INT(K1128*(0.6+MOD(A1128*43,21)/100))</f>
        <v>27360</v>
      </c>
      <c r="N1128" s="12" t="n">
        <f aca="false">K1128-M1128</f>
        <v>9614</v>
      </c>
    </row>
    <row r="1129" customFormat="false" ht="12.8" hidden="false" customHeight="false" outlineLevel="0" collapsed="false">
      <c r="A1129" s="10" t="n">
        <f aca="false">A1128+1</f>
        <v>1128</v>
      </c>
      <c r="B1129" s="11" t="n">
        <f aca="false">B1128+1</f>
        <v>46054</v>
      </c>
      <c r="C1129" s="10" t="n">
        <f aca="false">YEAR(B1129)</f>
        <v>2026</v>
      </c>
      <c r="D1129" s="10" t="n">
        <f aca="false">INT((MONTH(B1129)-1)/3)+1</f>
        <v>1</v>
      </c>
      <c r="E1129" s="10" t="n">
        <f aca="false">MONTH(B1129)</f>
        <v>2</v>
      </c>
      <c r="F1129" s="10" t="str">
        <f aca="false">CHOOSE(MOD(A1129-1,5)+1,"Центр","Юг","Север","Запад","Восток")</f>
        <v>Север</v>
      </c>
      <c r="G1129" s="10" t="str">
        <f aca="false">"Округ_"&amp;(MOD(A1129-1,5)+1)&amp;"_"&amp;(MOD(INT((A1129-1)/5),5)+1)</f>
        <v>Округ_3_1</v>
      </c>
      <c r="H1129" s="10" t="str">
        <f aca="false">"Город_"&amp;(MOD(A1129-1,5)+1)&amp;"_"&amp;(MOD(INT((A1129-1)/5),5)+1)&amp;"_"&amp;(MOD(INT((A1129-1)/25),10)+1)</f>
        <v>Город_3_1_6</v>
      </c>
      <c r="I1129" s="10" t="str">
        <f aca="false">CHOOSE(MOD(A1129-1,4)+1,"Электроника","Одежда","Продукты","Мебель")</f>
        <v>Мебель</v>
      </c>
      <c r="J1129" s="10" t="str">
        <f aca="false">CHOOSE(MOD(INT((A1129-1)/4),4)+1,CHOOSE(MOD(A1129-1,4)+1,"Смартфоны","Ноутбуки","Аксессуары","Аудио"),CHOOSE(MOD(A1129-1,4)+1,"Верхняя одежда","Спортивная","Повседневная","Обувь"),CHOOSE(MOD(A1129-1,4)+1,"Молочные","Мясные","Бакалея","Напитки"),CHOOSE(MOD(A1129-1,4)+1,"Мягкая мебель","Корпусная","Офисная","Кухонная"))</f>
        <v>Обувь</v>
      </c>
      <c r="K1129" s="12" t="n">
        <f aca="false">1000+MOD(A1129*317+A1129*A1129*7,49001)</f>
        <v>4075</v>
      </c>
      <c r="L1129" s="12" t="n">
        <f aca="false">1+MOD(A1129*131,100)</f>
        <v>69</v>
      </c>
      <c r="M1129" s="12" t="n">
        <f aca="false">INT(K1129*(0.6+MOD(A1129*43,21)/100))</f>
        <v>3056</v>
      </c>
      <c r="N1129" s="12" t="n">
        <f aca="false">K1129-M1129</f>
        <v>1019</v>
      </c>
    </row>
    <row r="1130" customFormat="false" ht="12.8" hidden="false" customHeight="false" outlineLevel="0" collapsed="false">
      <c r="A1130" s="10" t="n">
        <f aca="false">A1129+1</f>
        <v>1129</v>
      </c>
      <c r="B1130" s="11" t="n">
        <f aca="false">B1129+1</f>
        <v>46055</v>
      </c>
      <c r="C1130" s="10" t="n">
        <f aca="false">YEAR(B1130)</f>
        <v>2026</v>
      </c>
      <c r="D1130" s="10" t="n">
        <f aca="false">INT((MONTH(B1130)-1)/3)+1</f>
        <v>1</v>
      </c>
      <c r="E1130" s="10" t="n">
        <f aca="false">MONTH(B1130)</f>
        <v>2</v>
      </c>
      <c r="F1130" s="10" t="str">
        <f aca="false">CHOOSE(MOD(A1130-1,5)+1,"Центр","Юг","Север","Запад","Восток")</f>
        <v>Запад</v>
      </c>
      <c r="G1130" s="10" t="str">
        <f aca="false">"Округ_"&amp;(MOD(A1130-1,5)+1)&amp;"_"&amp;(MOD(INT((A1130-1)/5),5)+1)</f>
        <v>Округ_4_1</v>
      </c>
      <c r="H1130" s="10" t="str">
        <f aca="false">"Город_"&amp;(MOD(A1130-1,5)+1)&amp;"_"&amp;(MOD(INT((A1130-1)/5),5)+1)&amp;"_"&amp;(MOD(INT((A1130-1)/25),10)+1)</f>
        <v>Город_4_1_6</v>
      </c>
      <c r="I1130" s="10" t="str">
        <f aca="false">CHOOSE(MOD(A1130-1,4)+1,"Электроника","Одежда","Продукты","Мебель")</f>
        <v>Электроника</v>
      </c>
      <c r="J1130" s="10" t="str">
        <f aca="false">CHOOSE(MOD(INT((A1130-1)/4),4)+1,CHOOSE(MOD(A1130-1,4)+1,"Смартфоны","Ноутбуки","Аксессуары","Аудио"),CHOOSE(MOD(A1130-1,4)+1,"Верхняя одежда","Спортивная","Повседневная","Обувь"),CHOOSE(MOD(A1130-1,4)+1,"Молочные","Мясные","Бакалея","Напитки"),CHOOSE(MOD(A1130-1,4)+1,"Мягкая мебель","Корпусная","Офисная","Кухонная"))</f>
        <v>Молочные</v>
      </c>
      <c r="K1130" s="12" t="n">
        <f aca="false">1000+MOD(A1130*317+A1130*A1130*7,49001)</f>
        <v>20191</v>
      </c>
      <c r="L1130" s="12" t="n">
        <f aca="false">1+MOD(A1130*131,100)</f>
        <v>100</v>
      </c>
      <c r="M1130" s="12" t="n">
        <f aca="false">INT(K1130*(0.6+MOD(A1130*43,21)/100))</f>
        <v>15345</v>
      </c>
      <c r="N1130" s="12" t="n">
        <f aca="false">K1130-M1130</f>
        <v>4846</v>
      </c>
    </row>
    <row r="1131" customFormat="false" ht="12.8" hidden="false" customHeight="false" outlineLevel="0" collapsed="false">
      <c r="A1131" s="10" t="n">
        <f aca="false">A1130+1</f>
        <v>1130</v>
      </c>
      <c r="B1131" s="11" t="n">
        <f aca="false">B1130+1</f>
        <v>46056</v>
      </c>
      <c r="C1131" s="10" t="n">
        <f aca="false">YEAR(B1131)</f>
        <v>2026</v>
      </c>
      <c r="D1131" s="10" t="n">
        <f aca="false">INT((MONTH(B1131)-1)/3)+1</f>
        <v>1</v>
      </c>
      <c r="E1131" s="10" t="n">
        <f aca="false">MONTH(B1131)</f>
        <v>2</v>
      </c>
      <c r="F1131" s="10" t="str">
        <f aca="false">CHOOSE(MOD(A1131-1,5)+1,"Центр","Юг","Север","Запад","Восток")</f>
        <v>Восток</v>
      </c>
      <c r="G1131" s="10" t="str">
        <f aca="false">"Округ_"&amp;(MOD(A1131-1,5)+1)&amp;"_"&amp;(MOD(INT((A1131-1)/5),5)+1)</f>
        <v>Округ_5_1</v>
      </c>
      <c r="H1131" s="10" t="str">
        <f aca="false">"Город_"&amp;(MOD(A1131-1,5)+1)&amp;"_"&amp;(MOD(INT((A1131-1)/5),5)+1)&amp;"_"&amp;(MOD(INT((A1131-1)/25),10)+1)</f>
        <v>Город_5_1_6</v>
      </c>
      <c r="I1131" s="10" t="str">
        <f aca="false">CHOOSE(MOD(A1131-1,4)+1,"Электроника","Одежда","Продукты","Мебель")</f>
        <v>Одежда</v>
      </c>
      <c r="J1131" s="10" t="str">
        <f aca="false">CHOOSE(MOD(INT((A1131-1)/4),4)+1,CHOOSE(MOD(A1131-1,4)+1,"Смартфоны","Ноутбуки","Аксессуары","Аудио"),CHOOSE(MOD(A1131-1,4)+1,"Верхняя одежда","Спортивная","Повседневная","Обувь"),CHOOSE(MOD(A1131-1,4)+1,"Молочные","Мясные","Бакалея","Напитки"),CHOOSE(MOD(A1131-1,4)+1,"Мягкая мебель","Корпусная","Офисная","Кухонная"))</f>
        <v>Мясные</v>
      </c>
      <c r="K1131" s="12" t="n">
        <f aca="false">1000+MOD(A1131*317+A1131*A1131*7,49001)</f>
        <v>36321</v>
      </c>
      <c r="L1131" s="12" t="n">
        <f aca="false">1+MOD(A1131*131,100)</f>
        <v>31</v>
      </c>
      <c r="M1131" s="12" t="n">
        <f aca="false">INT(K1131*(0.6+MOD(A1131*43,21)/100))</f>
        <v>27967</v>
      </c>
      <c r="N1131" s="12" t="n">
        <f aca="false">K1131-M1131</f>
        <v>8354</v>
      </c>
    </row>
    <row r="1132" customFormat="false" ht="12.8" hidden="false" customHeight="false" outlineLevel="0" collapsed="false">
      <c r="A1132" s="10" t="n">
        <f aca="false">A1131+1</f>
        <v>1131</v>
      </c>
      <c r="B1132" s="11" t="n">
        <f aca="false">B1131+1</f>
        <v>46057</v>
      </c>
      <c r="C1132" s="10" t="n">
        <f aca="false">YEAR(B1132)</f>
        <v>2026</v>
      </c>
      <c r="D1132" s="10" t="n">
        <f aca="false">INT((MONTH(B1132)-1)/3)+1</f>
        <v>1</v>
      </c>
      <c r="E1132" s="10" t="n">
        <f aca="false">MONTH(B1132)</f>
        <v>2</v>
      </c>
      <c r="F1132" s="10" t="str">
        <f aca="false">CHOOSE(MOD(A1132-1,5)+1,"Центр","Юг","Север","Запад","Восток")</f>
        <v>Центр</v>
      </c>
      <c r="G1132" s="10" t="str">
        <f aca="false">"Округ_"&amp;(MOD(A1132-1,5)+1)&amp;"_"&amp;(MOD(INT((A1132-1)/5),5)+1)</f>
        <v>Округ_1_2</v>
      </c>
      <c r="H1132" s="10" t="str">
        <f aca="false">"Город_"&amp;(MOD(A1132-1,5)+1)&amp;"_"&amp;(MOD(INT((A1132-1)/5),5)+1)&amp;"_"&amp;(MOD(INT((A1132-1)/25),10)+1)</f>
        <v>Город_1_2_6</v>
      </c>
      <c r="I1132" s="10" t="str">
        <f aca="false">CHOOSE(MOD(A1132-1,4)+1,"Электроника","Одежда","Продукты","Мебель")</f>
        <v>Продукты</v>
      </c>
      <c r="J1132" s="10" t="str">
        <f aca="false">CHOOSE(MOD(INT((A1132-1)/4),4)+1,CHOOSE(MOD(A1132-1,4)+1,"Смартфоны","Ноутбуки","Аксессуары","Аудио"),CHOOSE(MOD(A1132-1,4)+1,"Верхняя одежда","Спортивная","Повседневная","Обувь"),CHOOSE(MOD(A1132-1,4)+1,"Молочные","Мясные","Бакалея","Напитки"),CHOOSE(MOD(A1132-1,4)+1,"Мягкая мебель","Корпусная","Офисная","Кухонная"))</f>
        <v>Бакалея</v>
      </c>
      <c r="K1132" s="12" t="n">
        <f aca="false">1000+MOD(A1132*317+A1132*A1132*7,49001)</f>
        <v>3464</v>
      </c>
      <c r="L1132" s="12" t="n">
        <f aca="false">1+MOD(A1132*131,100)</f>
        <v>62</v>
      </c>
      <c r="M1132" s="12" t="n">
        <f aca="false">INT(K1132*(0.6+MOD(A1132*43,21)/100))</f>
        <v>2701</v>
      </c>
      <c r="N1132" s="12" t="n">
        <f aca="false">K1132-M1132</f>
        <v>763</v>
      </c>
    </row>
    <row r="1133" customFormat="false" ht="12.8" hidden="false" customHeight="false" outlineLevel="0" collapsed="false">
      <c r="A1133" s="10" t="n">
        <f aca="false">A1132+1</f>
        <v>1132</v>
      </c>
      <c r="B1133" s="11" t="n">
        <f aca="false">B1132+1</f>
        <v>46058</v>
      </c>
      <c r="C1133" s="10" t="n">
        <f aca="false">YEAR(B1133)</f>
        <v>2026</v>
      </c>
      <c r="D1133" s="10" t="n">
        <f aca="false">INT((MONTH(B1133)-1)/3)+1</f>
        <v>1</v>
      </c>
      <c r="E1133" s="10" t="n">
        <f aca="false">MONTH(B1133)</f>
        <v>2</v>
      </c>
      <c r="F1133" s="10" t="str">
        <f aca="false">CHOOSE(MOD(A1133-1,5)+1,"Центр","Юг","Север","Запад","Восток")</f>
        <v>Юг</v>
      </c>
      <c r="G1133" s="10" t="str">
        <f aca="false">"Округ_"&amp;(MOD(A1133-1,5)+1)&amp;"_"&amp;(MOD(INT((A1133-1)/5),5)+1)</f>
        <v>Округ_2_2</v>
      </c>
      <c r="H1133" s="10" t="str">
        <f aca="false">"Город_"&amp;(MOD(A1133-1,5)+1)&amp;"_"&amp;(MOD(INT((A1133-1)/5),5)+1)&amp;"_"&amp;(MOD(INT((A1133-1)/25),10)+1)</f>
        <v>Город_2_2_6</v>
      </c>
      <c r="I1133" s="10" t="str">
        <f aca="false">CHOOSE(MOD(A1133-1,4)+1,"Электроника","Одежда","Продукты","Мебель")</f>
        <v>Мебель</v>
      </c>
      <c r="J1133" s="10" t="str">
        <f aca="false">CHOOSE(MOD(INT((A1133-1)/4),4)+1,CHOOSE(MOD(A1133-1,4)+1,"Смартфоны","Ноутбуки","Аксессуары","Аудио"),CHOOSE(MOD(A1133-1,4)+1,"Верхняя одежда","Спортивная","Повседневная","Обувь"),CHOOSE(MOD(A1133-1,4)+1,"Молочные","Мясные","Бакалея","Напитки"),CHOOSE(MOD(A1133-1,4)+1,"Мягкая мебель","Корпусная","Офисная","Кухонная"))</f>
        <v>Напитки</v>
      </c>
      <c r="K1133" s="12" t="n">
        <f aca="false">1000+MOD(A1133*317+A1133*A1133*7,49001)</f>
        <v>19622</v>
      </c>
      <c r="L1133" s="12" t="n">
        <f aca="false">1+MOD(A1133*131,100)</f>
        <v>93</v>
      </c>
      <c r="M1133" s="12" t="n">
        <f aca="false">INT(K1133*(0.6+MOD(A1133*43,21)/100))</f>
        <v>15501</v>
      </c>
      <c r="N1133" s="12" t="n">
        <f aca="false">K1133-M1133</f>
        <v>4121</v>
      </c>
    </row>
    <row r="1134" customFormat="false" ht="12.8" hidden="false" customHeight="false" outlineLevel="0" collapsed="false">
      <c r="A1134" s="10" t="n">
        <f aca="false">A1133+1</f>
        <v>1133</v>
      </c>
      <c r="B1134" s="11" t="n">
        <f aca="false">B1133+1</f>
        <v>46059</v>
      </c>
      <c r="C1134" s="10" t="n">
        <f aca="false">YEAR(B1134)</f>
        <v>2026</v>
      </c>
      <c r="D1134" s="10" t="n">
        <f aca="false">INT((MONTH(B1134)-1)/3)+1</f>
        <v>1</v>
      </c>
      <c r="E1134" s="10" t="n">
        <f aca="false">MONTH(B1134)</f>
        <v>2</v>
      </c>
      <c r="F1134" s="10" t="str">
        <f aca="false">CHOOSE(MOD(A1134-1,5)+1,"Центр","Юг","Север","Запад","Восток")</f>
        <v>Север</v>
      </c>
      <c r="G1134" s="10" t="str">
        <f aca="false">"Округ_"&amp;(MOD(A1134-1,5)+1)&amp;"_"&amp;(MOD(INT((A1134-1)/5),5)+1)</f>
        <v>Округ_3_2</v>
      </c>
      <c r="H1134" s="10" t="str">
        <f aca="false">"Город_"&amp;(MOD(A1134-1,5)+1)&amp;"_"&amp;(MOD(INT((A1134-1)/5),5)+1)&amp;"_"&amp;(MOD(INT((A1134-1)/25),10)+1)</f>
        <v>Город_3_2_6</v>
      </c>
      <c r="I1134" s="10" t="str">
        <f aca="false">CHOOSE(MOD(A1134-1,4)+1,"Электроника","Одежда","Продукты","Мебель")</f>
        <v>Электроника</v>
      </c>
      <c r="J1134" s="10" t="str">
        <f aca="false">CHOOSE(MOD(INT((A1134-1)/4),4)+1,CHOOSE(MOD(A1134-1,4)+1,"Смартфоны","Ноутбуки","Аксессуары","Аудио"),CHOOSE(MOD(A1134-1,4)+1,"Верхняя одежда","Спортивная","Повседневная","Обувь"),CHOOSE(MOD(A1134-1,4)+1,"Молочные","Мясные","Бакалея","Напитки"),CHOOSE(MOD(A1134-1,4)+1,"Мягкая мебель","Корпусная","Офисная","Кухонная"))</f>
        <v>Мягкая мебель</v>
      </c>
      <c r="K1134" s="12" t="n">
        <f aca="false">1000+MOD(A1134*317+A1134*A1134*7,49001)</f>
        <v>35794</v>
      </c>
      <c r="L1134" s="12" t="n">
        <f aca="false">1+MOD(A1134*131,100)</f>
        <v>24</v>
      </c>
      <c r="M1134" s="12" t="n">
        <f aca="false">INT(K1134*(0.6+MOD(A1134*43,21)/100))</f>
        <v>28635</v>
      </c>
      <c r="N1134" s="12" t="n">
        <f aca="false">K1134-M1134</f>
        <v>7159</v>
      </c>
    </row>
    <row r="1135" customFormat="false" ht="12.8" hidden="false" customHeight="false" outlineLevel="0" collapsed="false">
      <c r="A1135" s="10" t="n">
        <f aca="false">A1134+1</f>
        <v>1134</v>
      </c>
      <c r="B1135" s="11" t="n">
        <f aca="false">B1134+1</f>
        <v>46060</v>
      </c>
      <c r="C1135" s="10" t="n">
        <f aca="false">YEAR(B1135)</f>
        <v>2026</v>
      </c>
      <c r="D1135" s="10" t="n">
        <f aca="false">INT((MONTH(B1135)-1)/3)+1</f>
        <v>1</v>
      </c>
      <c r="E1135" s="10" t="n">
        <f aca="false">MONTH(B1135)</f>
        <v>2</v>
      </c>
      <c r="F1135" s="10" t="str">
        <f aca="false">CHOOSE(MOD(A1135-1,5)+1,"Центр","Юг","Север","Запад","Восток")</f>
        <v>Запад</v>
      </c>
      <c r="G1135" s="10" t="str">
        <f aca="false">"Округ_"&amp;(MOD(A1135-1,5)+1)&amp;"_"&amp;(MOD(INT((A1135-1)/5),5)+1)</f>
        <v>Округ_4_2</v>
      </c>
      <c r="H1135" s="10" t="str">
        <f aca="false">"Город_"&amp;(MOD(A1135-1,5)+1)&amp;"_"&amp;(MOD(INT((A1135-1)/5),5)+1)&amp;"_"&amp;(MOD(INT((A1135-1)/25),10)+1)</f>
        <v>Город_4_2_6</v>
      </c>
      <c r="I1135" s="10" t="str">
        <f aca="false">CHOOSE(MOD(A1135-1,4)+1,"Электроника","Одежда","Продукты","Мебель")</f>
        <v>Одежда</v>
      </c>
      <c r="J1135" s="10" t="str">
        <f aca="false">CHOOSE(MOD(INT((A1135-1)/4),4)+1,CHOOSE(MOD(A1135-1,4)+1,"Смартфоны","Ноутбуки","Аксессуары","Аудио"),CHOOSE(MOD(A1135-1,4)+1,"Верхняя одежда","Спортивная","Повседневная","Обувь"),CHOOSE(MOD(A1135-1,4)+1,"Молочные","Мясные","Бакалея","Напитки"),CHOOSE(MOD(A1135-1,4)+1,"Мягкая мебель","Корпусная","Офисная","Кухонная"))</f>
        <v>Корпусная</v>
      </c>
      <c r="K1135" s="12" t="n">
        <f aca="false">1000+MOD(A1135*317+A1135*A1135*7,49001)</f>
        <v>2979</v>
      </c>
      <c r="L1135" s="12" t="n">
        <f aca="false">1+MOD(A1135*131,100)</f>
        <v>55</v>
      </c>
      <c r="M1135" s="12" t="n">
        <f aca="false">INT(K1135*(0.6+MOD(A1135*43,21)/100))</f>
        <v>1787</v>
      </c>
      <c r="N1135" s="12" t="n">
        <f aca="false">K1135-M1135</f>
        <v>1192</v>
      </c>
    </row>
    <row r="1136" customFormat="false" ht="12.8" hidden="false" customHeight="false" outlineLevel="0" collapsed="false">
      <c r="A1136" s="10" t="n">
        <f aca="false">A1135+1</f>
        <v>1135</v>
      </c>
      <c r="B1136" s="11" t="n">
        <f aca="false">B1135+1</f>
        <v>46061</v>
      </c>
      <c r="C1136" s="10" t="n">
        <f aca="false">YEAR(B1136)</f>
        <v>2026</v>
      </c>
      <c r="D1136" s="10" t="n">
        <f aca="false">INT((MONTH(B1136)-1)/3)+1</f>
        <v>1</v>
      </c>
      <c r="E1136" s="10" t="n">
        <f aca="false">MONTH(B1136)</f>
        <v>2</v>
      </c>
      <c r="F1136" s="10" t="str">
        <f aca="false">CHOOSE(MOD(A1136-1,5)+1,"Центр","Юг","Север","Запад","Восток")</f>
        <v>Восток</v>
      </c>
      <c r="G1136" s="10" t="str">
        <f aca="false">"Округ_"&amp;(MOD(A1136-1,5)+1)&amp;"_"&amp;(MOD(INT((A1136-1)/5),5)+1)</f>
        <v>Округ_5_2</v>
      </c>
      <c r="H1136" s="10" t="str">
        <f aca="false">"Город_"&amp;(MOD(A1136-1,5)+1)&amp;"_"&amp;(MOD(INT((A1136-1)/5),5)+1)&amp;"_"&amp;(MOD(INT((A1136-1)/25),10)+1)</f>
        <v>Город_5_2_6</v>
      </c>
      <c r="I1136" s="10" t="str">
        <f aca="false">CHOOSE(MOD(A1136-1,4)+1,"Электроника","Одежда","Продукты","Мебель")</f>
        <v>Продукты</v>
      </c>
      <c r="J1136" s="10" t="str">
        <f aca="false">CHOOSE(MOD(INT((A1136-1)/4),4)+1,CHOOSE(MOD(A1136-1,4)+1,"Смартфоны","Ноутбуки","Аксессуары","Аудио"),CHOOSE(MOD(A1136-1,4)+1,"Верхняя одежда","Спортивная","Повседневная","Обувь"),CHOOSE(MOD(A1136-1,4)+1,"Молочные","Мясные","Бакалея","Напитки"),CHOOSE(MOD(A1136-1,4)+1,"Мягкая мебель","Корпусная","Офисная","Кухонная"))</f>
        <v>Офисная</v>
      </c>
      <c r="K1136" s="12" t="n">
        <f aca="false">1000+MOD(A1136*317+A1136*A1136*7,49001)</f>
        <v>19179</v>
      </c>
      <c r="L1136" s="12" t="n">
        <f aca="false">1+MOD(A1136*131,100)</f>
        <v>86</v>
      </c>
      <c r="M1136" s="12" t="n">
        <f aca="false">INT(K1136*(0.6+MOD(A1136*43,21)/100))</f>
        <v>11699</v>
      </c>
      <c r="N1136" s="12" t="n">
        <f aca="false">K1136-M1136</f>
        <v>7480</v>
      </c>
    </row>
    <row r="1137" customFormat="false" ht="12.8" hidden="false" customHeight="false" outlineLevel="0" collapsed="false">
      <c r="A1137" s="10" t="n">
        <f aca="false">A1136+1</f>
        <v>1136</v>
      </c>
      <c r="B1137" s="11" t="n">
        <f aca="false">B1136+1</f>
        <v>46062</v>
      </c>
      <c r="C1137" s="10" t="n">
        <f aca="false">YEAR(B1137)</f>
        <v>2026</v>
      </c>
      <c r="D1137" s="10" t="n">
        <f aca="false">INT((MONTH(B1137)-1)/3)+1</f>
        <v>1</v>
      </c>
      <c r="E1137" s="10" t="n">
        <f aca="false">MONTH(B1137)</f>
        <v>2</v>
      </c>
      <c r="F1137" s="10" t="str">
        <f aca="false">CHOOSE(MOD(A1137-1,5)+1,"Центр","Юг","Север","Запад","Восток")</f>
        <v>Центр</v>
      </c>
      <c r="G1137" s="10" t="str">
        <f aca="false">"Округ_"&amp;(MOD(A1137-1,5)+1)&amp;"_"&amp;(MOD(INT((A1137-1)/5),5)+1)</f>
        <v>Округ_1_3</v>
      </c>
      <c r="H1137" s="10" t="str">
        <f aca="false">"Город_"&amp;(MOD(A1137-1,5)+1)&amp;"_"&amp;(MOD(INT((A1137-1)/5),5)+1)&amp;"_"&amp;(MOD(INT((A1137-1)/25),10)+1)</f>
        <v>Город_1_3_6</v>
      </c>
      <c r="I1137" s="10" t="str">
        <f aca="false">CHOOSE(MOD(A1137-1,4)+1,"Электроника","Одежда","Продукты","Мебель")</f>
        <v>Мебель</v>
      </c>
      <c r="J1137" s="10" t="str">
        <f aca="false">CHOOSE(MOD(INT((A1137-1)/4),4)+1,CHOOSE(MOD(A1137-1,4)+1,"Смартфоны","Ноутбуки","Аксессуары","Аудио"),CHOOSE(MOD(A1137-1,4)+1,"Верхняя одежда","Спортивная","Повседневная","Обувь"),CHOOSE(MOD(A1137-1,4)+1,"Молочные","Мясные","Бакалея","Напитки"),CHOOSE(MOD(A1137-1,4)+1,"Мягкая мебель","Корпусная","Офисная","Кухонная"))</f>
        <v>Кухонная</v>
      </c>
      <c r="K1137" s="12" t="n">
        <f aca="false">1000+MOD(A1137*317+A1137*A1137*7,49001)</f>
        <v>35393</v>
      </c>
      <c r="L1137" s="12" t="n">
        <f aca="false">1+MOD(A1137*131,100)</f>
        <v>17</v>
      </c>
      <c r="M1137" s="12" t="n">
        <f aca="false">INT(K1137*(0.6+MOD(A1137*43,21)/100))</f>
        <v>21943</v>
      </c>
      <c r="N1137" s="12" t="n">
        <f aca="false">K1137-M1137</f>
        <v>13450</v>
      </c>
    </row>
    <row r="1138" customFormat="false" ht="12.8" hidden="false" customHeight="false" outlineLevel="0" collapsed="false">
      <c r="A1138" s="10" t="n">
        <f aca="false">A1137+1</f>
        <v>1137</v>
      </c>
      <c r="B1138" s="11" t="n">
        <f aca="false">B1137+1</f>
        <v>46063</v>
      </c>
      <c r="C1138" s="10" t="n">
        <f aca="false">YEAR(B1138)</f>
        <v>2026</v>
      </c>
      <c r="D1138" s="10" t="n">
        <f aca="false">INT((MONTH(B1138)-1)/3)+1</f>
        <v>1</v>
      </c>
      <c r="E1138" s="10" t="n">
        <f aca="false">MONTH(B1138)</f>
        <v>2</v>
      </c>
      <c r="F1138" s="10" t="str">
        <f aca="false">CHOOSE(MOD(A1138-1,5)+1,"Центр","Юг","Север","Запад","Восток")</f>
        <v>Юг</v>
      </c>
      <c r="G1138" s="10" t="str">
        <f aca="false">"Округ_"&amp;(MOD(A1138-1,5)+1)&amp;"_"&amp;(MOD(INT((A1138-1)/5),5)+1)</f>
        <v>Округ_2_3</v>
      </c>
      <c r="H1138" s="10" t="str">
        <f aca="false">"Город_"&amp;(MOD(A1138-1,5)+1)&amp;"_"&amp;(MOD(INT((A1138-1)/5),5)+1)&amp;"_"&amp;(MOD(INT((A1138-1)/25),10)+1)</f>
        <v>Город_2_3_6</v>
      </c>
      <c r="I1138" s="10" t="str">
        <f aca="false">CHOOSE(MOD(A1138-1,4)+1,"Электроника","Одежда","Продукты","Мебель")</f>
        <v>Электроника</v>
      </c>
      <c r="J1138" s="10" t="str">
        <f aca="false">CHOOSE(MOD(INT((A1138-1)/4),4)+1,CHOOSE(MOD(A1138-1,4)+1,"Смартфоны","Ноутбуки","Аксессуары","Аудио"),CHOOSE(MOD(A1138-1,4)+1,"Верхняя одежда","Спортивная","Повседневная","Обувь"),CHOOSE(MOD(A1138-1,4)+1,"Молочные","Мясные","Бакалея","Напитки"),CHOOSE(MOD(A1138-1,4)+1,"Мягкая мебель","Корпусная","Офисная","Кухонная"))</f>
        <v>Смартфоны</v>
      </c>
      <c r="K1138" s="12" t="n">
        <f aca="false">1000+MOD(A1138*317+A1138*A1138*7,49001)</f>
        <v>2620</v>
      </c>
      <c r="L1138" s="12" t="n">
        <f aca="false">1+MOD(A1138*131,100)</f>
        <v>48</v>
      </c>
      <c r="M1138" s="12" t="n">
        <f aca="false">INT(K1138*(0.6+MOD(A1138*43,21)/100))</f>
        <v>1650</v>
      </c>
      <c r="N1138" s="12" t="n">
        <f aca="false">K1138-M1138</f>
        <v>970</v>
      </c>
    </row>
    <row r="1139" customFormat="false" ht="12.8" hidden="false" customHeight="false" outlineLevel="0" collapsed="false">
      <c r="A1139" s="10" t="n">
        <f aca="false">A1138+1</f>
        <v>1138</v>
      </c>
      <c r="B1139" s="11" t="n">
        <f aca="false">B1138+1</f>
        <v>46064</v>
      </c>
      <c r="C1139" s="10" t="n">
        <f aca="false">YEAR(B1139)</f>
        <v>2026</v>
      </c>
      <c r="D1139" s="10" t="n">
        <f aca="false">INT((MONTH(B1139)-1)/3)+1</f>
        <v>1</v>
      </c>
      <c r="E1139" s="10" t="n">
        <f aca="false">MONTH(B1139)</f>
        <v>2</v>
      </c>
      <c r="F1139" s="10" t="str">
        <f aca="false">CHOOSE(MOD(A1139-1,5)+1,"Центр","Юг","Север","Запад","Восток")</f>
        <v>Север</v>
      </c>
      <c r="G1139" s="10" t="str">
        <f aca="false">"Округ_"&amp;(MOD(A1139-1,5)+1)&amp;"_"&amp;(MOD(INT((A1139-1)/5),5)+1)</f>
        <v>Округ_3_3</v>
      </c>
      <c r="H1139" s="10" t="str">
        <f aca="false">"Город_"&amp;(MOD(A1139-1,5)+1)&amp;"_"&amp;(MOD(INT((A1139-1)/5),5)+1)&amp;"_"&amp;(MOD(INT((A1139-1)/25),10)+1)</f>
        <v>Город_3_3_6</v>
      </c>
      <c r="I1139" s="10" t="str">
        <f aca="false">CHOOSE(MOD(A1139-1,4)+1,"Электроника","Одежда","Продукты","Мебель")</f>
        <v>Одежда</v>
      </c>
      <c r="J1139" s="10" t="str">
        <f aca="false">CHOOSE(MOD(INT((A1139-1)/4),4)+1,CHOOSE(MOD(A1139-1,4)+1,"Смартфоны","Ноутбуки","Аксессуары","Аудио"),CHOOSE(MOD(A1139-1,4)+1,"Верхняя одежда","Спортивная","Повседневная","Обувь"),CHOOSE(MOD(A1139-1,4)+1,"Молочные","Мясные","Бакалея","Напитки"),CHOOSE(MOD(A1139-1,4)+1,"Мягкая мебель","Корпусная","Офисная","Кухонная"))</f>
        <v>Ноутбуки</v>
      </c>
      <c r="K1139" s="12" t="n">
        <f aca="false">1000+MOD(A1139*317+A1139*A1139*7,49001)</f>
        <v>18862</v>
      </c>
      <c r="L1139" s="12" t="n">
        <f aca="false">1+MOD(A1139*131,100)</f>
        <v>79</v>
      </c>
      <c r="M1139" s="12" t="n">
        <f aca="false">INT(K1139*(0.6+MOD(A1139*43,21)/100))</f>
        <v>12071</v>
      </c>
      <c r="N1139" s="12" t="n">
        <f aca="false">K1139-M1139</f>
        <v>6791</v>
      </c>
    </row>
    <row r="1140" customFormat="false" ht="12.8" hidden="false" customHeight="false" outlineLevel="0" collapsed="false">
      <c r="A1140" s="10" t="n">
        <f aca="false">A1139+1</f>
        <v>1139</v>
      </c>
      <c r="B1140" s="11" t="n">
        <f aca="false">B1139+1</f>
        <v>46065</v>
      </c>
      <c r="C1140" s="10" t="n">
        <f aca="false">YEAR(B1140)</f>
        <v>2026</v>
      </c>
      <c r="D1140" s="10" t="n">
        <f aca="false">INT((MONTH(B1140)-1)/3)+1</f>
        <v>1</v>
      </c>
      <c r="E1140" s="10" t="n">
        <f aca="false">MONTH(B1140)</f>
        <v>2</v>
      </c>
      <c r="F1140" s="10" t="str">
        <f aca="false">CHOOSE(MOD(A1140-1,5)+1,"Центр","Юг","Север","Запад","Восток")</f>
        <v>Запад</v>
      </c>
      <c r="G1140" s="10" t="str">
        <f aca="false">"Округ_"&amp;(MOD(A1140-1,5)+1)&amp;"_"&amp;(MOD(INT((A1140-1)/5),5)+1)</f>
        <v>Округ_4_3</v>
      </c>
      <c r="H1140" s="10" t="str">
        <f aca="false">"Город_"&amp;(MOD(A1140-1,5)+1)&amp;"_"&amp;(MOD(INT((A1140-1)/5),5)+1)&amp;"_"&amp;(MOD(INT((A1140-1)/25),10)+1)</f>
        <v>Город_4_3_6</v>
      </c>
      <c r="I1140" s="10" t="str">
        <f aca="false">CHOOSE(MOD(A1140-1,4)+1,"Электроника","Одежда","Продукты","Мебель")</f>
        <v>Продукты</v>
      </c>
      <c r="J1140" s="10" t="str">
        <f aca="false">CHOOSE(MOD(INT((A1140-1)/4),4)+1,CHOOSE(MOD(A1140-1,4)+1,"Смартфоны","Ноутбуки","Аксессуары","Аудио"),CHOOSE(MOD(A1140-1,4)+1,"Верхняя одежда","Спортивная","Повседневная","Обувь"),CHOOSE(MOD(A1140-1,4)+1,"Молочные","Мясные","Бакалея","Напитки"),CHOOSE(MOD(A1140-1,4)+1,"Мягкая мебель","Корпусная","Офисная","Кухонная"))</f>
        <v>Аксессуары</v>
      </c>
      <c r="K1140" s="12" t="n">
        <f aca="false">1000+MOD(A1140*317+A1140*A1140*7,49001)</f>
        <v>35118</v>
      </c>
      <c r="L1140" s="12" t="n">
        <f aca="false">1+MOD(A1140*131,100)</f>
        <v>10</v>
      </c>
      <c r="M1140" s="12" t="n">
        <f aca="false">INT(K1140*(0.6+MOD(A1140*43,21)/100))</f>
        <v>22826</v>
      </c>
      <c r="N1140" s="12" t="n">
        <f aca="false">K1140-M1140</f>
        <v>12292</v>
      </c>
    </row>
    <row r="1141" customFormat="false" ht="12.8" hidden="false" customHeight="false" outlineLevel="0" collapsed="false">
      <c r="A1141" s="10" t="n">
        <f aca="false">A1140+1</f>
        <v>1140</v>
      </c>
      <c r="B1141" s="11" t="n">
        <f aca="false">B1140+1</f>
        <v>46066</v>
      </c>
      <c r="C1141" s="10" t="n">
        <f aca="false">YEAR(B1141)</f>
        <v>2026</v>
      </c>
      <c r="D1141" s="10" t="n">
        <f aca="false">INT((MONTH(B1141)-1)/3)+1</f>
        <v>1</v>
      </c>
      <c r="E1141" s="10" t="n">
        <f aca="false">MONTH(B1141)</f>
        <v>2</v>
      </c>
      <c r="F1141" s="10" t="str">
        <f aca="false">CHOOSE(MOD(A1141-1,5)+1,"Центр","Юг","Север","Запад","Восток")</f>
        <v>Восток</v>
      </c>
      <c r="G1141" s="10" t="str">
        <f aca="false">"Округ_"&amp;(MOD(A1141-1,5)+1)&amp;"_"&amp;(MOD(INT((A1141-1)/5),5)+1)</f>
        <v>Округ_5_3</v>
      </c>
      <c r="H1141" s="10" t="str">
        <f aca="false">"Город_"&amp;(MOD(A1141-1,5)+1)&amp;"_"&amp;(MOD(INT((A1141-1)/5),5)+1)&amp;"_"&amp;(MOD(INT((A1141-1)/25),10)+1)</f>
        <v>Город_5_3_6</v>
      </c>
      <c r="I1141" s="10" t="str">
        <f aca="false">CHOOSE(MOD(A1141-1,4)+1,"Электроника","Одежда","Продукты","Мебель")</f>
        <v>Мебель</v>
      </c>
      <c r="J1141" s="10" t="str">
        <f aca="false">CHOOSE(MOD(INT((A1141-1)/4),4)+1,CHOOSE(MOD(A1141-1,4)+1,"Смартфоны","Ноутбуки","Аксессуары","Аудио"),CHOOSE(MOD(A1141-1,4)+1,"Верхняя одежда","Спортивная","Повседневная","Обувь"),CHOOSE(MOD(A1141-1,4)+1,"Молочные","Мясные","Бакалея","Напитки"),CHOOSE(MOD(A1141-1,4)+1,"Мягкая мебель","Корпусная","Офисная","Кухонная"))</f>
        <v>Аудио</v>
      </c>
      <c r="K1141" s="12" t="n">
        <f aca="false">1000+MOD(A1141*317+A1141*A1141*7,49001)</f>
        <v>2387</v>
      </c>
      <c r="L1141" s="12" t="n">
        <f aca="false">1+MOD(A1141*131,100)</f>
        <v>41</v>
      </c>
      <c r="M1141" s="12" t="n">
        <f aca="false">INT(K1141*(0.6+MOD(A1141*43,21)/100))</f>
        <v>1575</v>
      </c>
      <c r="N1141" s="12" t="n">
        <f aca="false">K1141-M1141</f>
        <v>812</v>
      </c>
    </row>
    <row r="1142" customFormat="false" ht="12.8" hidden="false" customHeight="false" outlineLevel="0" collapsed="false">
      <c r="A1142" s="10" t="n">
        <f aca="false">A1141+1</f>
        <v>1141</v>
      </c>
      <c r="B1142" s="11" t="n">
        <f aca="false">B1141+1</f>
        <v>46067</v>
      </c>
      <c r="C1142" s="10" t="n">
        <f aca="false">YEAR(B1142)</f>
        <v>2026</v>
      </c>
      <c r="D1142" s="10" t="n">
        <f aca="false">INT((MONTH(B1142)-1)/3)+1</f>
        <v>1</v>
      </c>
      <c r="E1142" s="10" t="n">
        <f aca="false">MONTH(B1142)</f>
        <v>2</v>
      </c>
      <c r="F1142" s="10" t="str">
        <f aca="false">CHOOSE(MOD(A1142-1,5)+1,"Центр","Юг","Север","Запад","Восток")</f>
        <v>Центр</v>
      </c>
      <c r="G1142" s="10" t="str">
        <f aca="false">"Округ_"&amp;(MOD(A1142-1,5)+1)&amp;"_"&amp;(MOD(INT((A1142-1)/5),5)+1)</f>
        <v>Округ_1_4</v>
      </c>
      <c r="H1142" s="10" t="str">
        <f aca="false">"Город_"&amp;(MOD(A1142-1,5)+1)&amp;"_"&amp;(MOD(INT((A1142-1)/5),5)+1)&amp;"_"&amp;(MOD(INT((A1142-1)/25),10)+1)</f>
        <v>Город_1_4_6</v>
      </c>
      <c r="I1142" s="10" t="str">
        <f aca="false">CHOOSE(MOD(A1142-1,4)+1,"Электроника","Одежда","Продукты","Мебель")</f>
        <v>Электроника</v>
      </c>
      <c r="J1142" s="10" t="str">
        <f aca="false">CHOOSE(MOD(INT((A1142-1)/4),4)+1,CHOOSE(MOD(A1142-1,4)+1,"Смартфоны","Ноутбуки","Аксессуары","Аудио"),CHOOSE(MOD(A1142-1,4)+1,"Верхняя одежда","Спортивная","Повседневная","Обувь"),CHOOSE(MOD(A1142-1,4)+1,"Молочные","Мясные","Бакалея","Напитки"),CHOOSE(MOD(A1142-1,4)+1,"Мягкая мебель","Корпусная","Офисная","Кухонная"))</f>
        <v>Верхняя одежда</v>
      </c>
      <c r="K1142" s="12" t="n">
        <f aca="false">1000+MOD(A1142*317+A1142*A1142*7,49001)</f>
        <v>18671</v>
      </c>
      <c r="L1142" s="12" t="n">
        <f aca="false">1+MOD(A1142*131,100)</f>
        <v>72</v>
      </c>
      <c r="M1142" s="12" t="n">
        <f aca="false">INT(K1142*(0.6+MOD(A1142*43,21)/100))</f>
        <v>12509</v>
      </c>
      <c r="N1142" s="12" t="n">
        <f aca="false">K1142-M1142</f>
        <v>6162</v>
      </c>
    </row>
    <row r="1143" customFormat="false" ht="12.8" hidden="false" customHeight="false" outlineLevel="0" collapsed="false">
      <c r="A1143" s="10" t="n">
        <f aca="false">A1142+1</f>
        <v>1142</v>
      </c>
      <c r="B1143" s="11" t="n">
        <f aca="false">B1142+1</f>
        <v>46068</v>
      </c>
      <c r="C1143" s="10" t="n">
        <f aca="false">YEAR(B1143)</f>
        <v>2026</v>
      </c>
      <c r="D1143" s="10" t="n">
        <f aca="false">INT((MONTH(B1143)-1)/3)+1</f>
        <v>1</v>
      </c>
      <c r="E1143" s="10" t="n">
        <f aca="false">MONTH(B1143)</f>
        <v>2</v>
      </c>
      <c r="F1143" s="10" t="str">
        <f aca="false">CHOOSE(MOD(A1143-1,5)+1,"Центр","Юг","Север","Запад","Восток")</f>
        <v>Юг</v>
      </c>
      <c r="G1143" s="10" t="str">
        <f aca="false">"Округ_"&amp;(MOD(A1143-1,5)+1)&amp;"_"&amp;(MOD(INT((A1143-1)/5),5)+1)</f>
        <v>Округ_2_4</v>
      </c>
      <c r="H1143" s="10" t="str">
        <f aca="false">"Город_"&amp;(MOD(A1143-1,5)+1)&amp;"_"&amp;(MOD(INT((A1143-1)/5),5)+1)&amp;"_"&amp;(MOD(INT((A1143-1)/25),10)+1)</f>
        <v>Город_2_4_6</v>
      </c>
      <c r="I1143" s="10" t="str">
        <f aca="false">CHOOSE(MOD(A1143-1,4)+1,"Электроника","Одежда","Продукты","Мебель")</f>
        <v>Одежда</v>
      </c>
      <c r="J1143" s="10" t="str">
        <f aca="false">CHOOSE(MOD(INT((A1143-1)/4),4)+1,CHOOSE(MOD(A1143-1,4)+1,"Смартфоны","Ноутбуки","Аксессуары","Аудио"),CHOOSE(MOD(A1143-1,4)+1,"Верхняя одежда","Спортивная","Повседневная","Обувь"),CHOOSE(MOD(A1143-1,4)+1,"Молочные","Мясные","Бакалея","Напитки"),CHOOSE(MOD(A1143-1,4)+1,"Мягкая мебель","Корпусная","Офисная","Кухонная"))</f>
        <v>Спортивная</v>
      </c>
      <c r="K1143" s="12" t="n">
        <f aca="false">1000+MOD(A1143*317+A1143*A1143*7,49001)</f>
        <v>34969</v>
      </c>
      <c r="L1143" s="12" t="n">
        <f aca="false">1+MOD(A1143*131,100)</f>
        <v>3</v>
      </c>
      <c r="M1143" s="12" t="n">
        <f aca="false">INT(K1143*(0.6+MOD(A1143*43,21)/100))</f>
        <v>23778</v>
      </c>
      <c r="N1143" s="12" t="n">
        <f aca="false">K1143-M1143</f>
        <v>11191</v>
      </c>
    </row>
    <row r="1144" customFormat="false" ht="12.8" hidden="false" customHeight="false" outlineLevel="0" collapsed="false">
      <c r="A1144" s="10" t="n">
        <f aca="false">A1143+1</f>
        <v>1143</v>
      </c>
      <c r="B1144" s="11" t="n">
        <f aca="false">B1143+1</f>
        <v>46069</v>
      </c>
      <c r="C1144" s="10" t="n">
        <f aca="false">YEAR(B1144)</f>
        <v>2026</v>
      </c>
      <c r="D1144" s="10" t="n">
        <f aca="false">INT((MONTH(B1144)-1)/3)+1</f>
        <v>1</v>
      </c>
      <c r="E1144" s="10" t="n">
        <f aca="false">MONTH(B1144)</f>
        <v>2</v>
      </c>
      <c r="F1144" s="10" t="str">
        <f aca="false">CHOOSE(MOD(A1144-1,5)+1,"Центр","Юг","Север","Запад","Восток")</f>
        <v>Север</v>
      </c>
      <c r="G1144" s="10" t="str">
        <f aca="false">"Округ_"&amp;(MOD(A1144-1,5)+1)&amp;"_"&amp;(MOD(INT((A1144-1)/5),5)+1)</f>
        <v>Округ_3_4</v>
      </c>
      <c r="H1144" s="10" t="str">
        <f aca="false">"Город_"&amp;(MOD(A1144-1,5)+1)&amp;"_"&amp;(MOD(INT((A1144-1)/5),5)+1)&amp;"_"&amp;(MOD(INT((A1144-1)/25),10)+1)</f>
        <v>Город_3_4_6</v>
      </c>
      <c r="I1144" s="10" t="str">
        <f aca="false">CHOOSE(MOD(A1144-1,4)+1,"Электроника","Одежда","Продукты","Мебель")</f>
        <v>Продукты</v>
      </c>
      <c r="J1144" s="10" t="str">
        <f aca="false">CHOOSE(MOD(INT((A1144-1)/4),4)+1,CHOOSE(MOD(A1144-1,4)+1,"Смартфоны","Ноутбуки","Аксессуары","Аудио"),CHOOSE(MOD(A1144-1,4)+1,"Верхняя одежда","Спортивная","Повседневная","Обувь"),CHOOSE(MOD(A1144-1,4)+1,"Молочные","Мясные","Бакалея","Напитки"),CHOOSE(MOD(A1144-1,4)+1,"Мягкая мебель","Корпусная","Офисная","Кухонная"))</f>
        <v>Повседневная</v>
      </c>
      <c r="K1144" s="12" t="n">
        <f aca="false">1000+MOD(A1144*317+A1144*A1144*7,49001)</f>
        <v>2280</v>
      </c>
      <c r="L1144" s="12" t="n">
        <f aca="false">1+MOD(A1144*131,100)</f>
        <v>34</v>
      </c>
      <c r="M1144" s="12" t="n">
        <f aca="false">INT(K1144*(0.6+MOD(A1144*43,21)/100))</f>
        <v>1573</v>
      </c>
      <c r="N1144" s="12" t="n">
        <f aca="false">K1144-M1144</f>
        <v>707</v>
      </c>
    </row>
    <row r="1145" customFormat="false" ht="12.8" hidden="false" customHeight="false" outlineLevel="0" collapsed="false">
      <c r="A1145" s="10" t="n">
        <f aca="false">A1144+1</f>
        <v>1144</v>
      </c>
      <c r="B1145" s="11" t="n">
        <f aca="false">B1144+1</f>
        <v>46070</v>
      </c>
      <c r="C1145" s="10" t="n">
        <f aca="false">YEAR(B1145)</f>
        <v>2026</v>
      </c>
      <c r="D1145" s="10" t="n">
        <f aca="false">INT((MONTH(B1145)-1)/3)+1</f>
        <v>1</v>
      </c>
      <c r="E1145" s="10" t="n">
        <f aca="false">MONTH(B1145)</f>
        <v>2</v>
      </c>
      <c r="F1145" s="10" t="str">
        <f aca="false">CHOOSE(MOD(A1145-1,5)+1,"Центр","Юг","Север","Запад","Восток")</f>
        <v>Запад</v>
      </c>
      <c r="G1145" s="10" t="str">
        <f aca="false">"Округ_"&amp;(MOD(A1145-1,5)+1)&amp;"_"&amp;(MOD(INT((A1145-1)/5),5)+1)</f>
        <v>Округ_4_4</v>
      </c>
      <c r="H1145" s="10" t="str">
        <f aca="false">"Город_"&amp;(MOD(A1145-1,5)+1)&amp;"_"&amp;(MOD(INT((A1145-1)/5),5)+1)&amp;"_"&amp;(MOD(INT((A1145-1)/25),10)+1)</f>
        <v>Город_4_4_6</v>
      </c>
      <c r="I1145" s="10" t="str">
        <f aca="false">CHOOSE(MOD(A1145-1,4)+1,"Электроника","Одежда","Продукты","Мебель")</f>
        <v>Мебель</v>
      </c>
      <c r="J1145" s="10" t="str">
        <f aca="false">CHOOSE(MOD(INT((A1145-1)/4),4)+1,CHOOSE(MOD(A1145-1,4)+1,"Смартфоны","Ноутбуки","Аксессуары","Аудио"),CHOOSE(MOD(A1145-1,4)+1,"Верхняя одежда","Спортивная","Повседневная","Обувь"),CHOOSE(MOD(A1145-1,4)+1,"Молочные","Мясные","Бакалея","Напитки"),CHOOSE(MOD(A1145-1,4)+1,"Мягкая мебель","Корпусная","Офисная","Кухонная"))</f>
        <v>Обувь</v>
      </c>
      <c r="K1145" s="12" t="n">
        <f aca="false">1000+MOD(A1145*317+A1145*A1145*7,49001)</f>
        <v>18606</v>
      </c>
      <c r="L1145" s="12" t="n">
        <f aca="false">1+MOD(A1145*131,100)</f>
        <v>65</v>
      </c>
      <c r="M1145" s="12" t="n">
        <f aca="false">INT(K1145*(0.6+MOD(A1145*43,21)/100))</f>
        <v>13024</v>
      </c>
      <c r="N1145" s="12" t="n">
        <f aca="false">K1145-M1145</f>
        <v>5582</v>
      </c>
    </row>
    <row r="1146" customFormat="false" ht="12.8" hidden="false" customHeight="false" outlineLevel="0" collapsed="false">
      <c r="A1146" s="10" t="n">
        <f aca="false">A1145+1</f>
        <v>1145</v>
      </c>
      <c r="B1146" s="11" t="n">
        <f aca="false">B1145+1</f>
        <v>46071</v>
      </c>
      <c r="C1146" s="10" t="n">
        <f aca="false">YEAR(B1146)</f>
        <v>2026</v>
      </c>
      <c r="D1146" s="10" t="n">
        <f aca="false">INT((MONTH(B1146)-1)/3)+1</f>
        <v>1</v>
      </c>
      <c r="E1146" s="10" t="n">
        <f aca="false">MONTH(B1146)</f>
        <v>2</v>
      </c>
      <c r="F1146" s="10" t="str">
        <f aca="false">CHOOSE(MOD(A1146-1,5)+1,"Центр","Юг","Север","Запад","Восток")</f>
        <v>Восток</v>
      </c>
      <c r="G1146" s="10" t="str">
        <f aca="false">"Округ_"&amp;(MOD(A1146-1,5)+1)&amp;"_"&amp;(MOD(INT((A1146-1)/5),5)+1)</f>
        <v>Округ_5_4</v>
      </c>
      <c r="H1146" s="10" t="str">
        <f aca="false">"Город_"&amp;(MOD(A1146-1,5)+1)&amp;"_"&amp;(MOD(INT((A1146-1)/5),5)+1)&amp;"_"&amp;(MOD(INT((A1146-1)/25),10)+1)</f>
        <v>Город_5_4_6</v>
      </c>
      <c r="I1146" s="10" t="str">
        <f aca="false">CHOOSE(MOD(A1146-1,4)+1,"Электроника","Одежда","Продукты","Мебель")</f>
        <v>Электроника</v>
      </c>
      <c r="J1146" s="10" t="str">
        <f aca="false">CHOOSE(MOD(INT((A1146-1)/4),4)+1,CHOOSE(MOD(A1146-1,4)+1,"Смартфоны","Ноутбуки","Аксессуары","Аудио"),CHOOSE(MOD(A1146-1,4)+1,"Верхняя одежда","Спортивная","Повседневная","Обувь"),CHOOSE(MOD(A1146-1,4)+1,"Молочные","Мясные","Бакалея","Напитки"),CHOOSE(MOD(A1146-1,4)+1,"Мягкая мебель","Корпусная","Офисная","Кухонная"))</f>
        <v>Молочные</v>
      </c>
      <c r="K1146" s="12" t="n">
        <f aca="false">1000+MOD(A1146*317+A1146*A1146*7,49001)</f>
        <v>34946</v>
      </c>
      <c r="L1146" s="12" t="n">
        <f aca="false">1+MOD(A1146*131,100)</f>
        <v>96</v>
      </c>
      <c r="M1146" s="12" t="n">
        <f aca="false">INT(K1146*(0.6+MOD(A1146*43,21)/100))</f>
        <v>24811</v>
      </c>
      <c r="N1146" s="12" t="n">
        <f aca="false">K1146-M1146</f>
        <v>10135</v>
      </c>
    </row>
    <row r="1147" customFormat="false" ht="12.8" hidden="false" customHeight="false" outlineLevel="0" collapsed="false">
      <c r="A1147" s="10" t="n">
        <f aca="false">A1146+1</f>
        <v>1146</v>
      </c>
      <c r="B1147" s="11" t="n">
        <f aca="false">B1146+1</f>
        <v>46072</v>
      </c>
      <c r="C1147" s="10" t="n">
        <f aca="false">YEAR(B1147)</f>
        <v>2026</v>
      </c>
      <c r="D1147" s="10" t="n">
        <f aca="false">INT((MONTH(B1147)-1)/3)+1</f>
        <v>1</v>
      </c>
      <c r="E1147" s="10" t="n">
        <f aca="false">MONTH(B1147)</f>
        <v>2</v>
      </c>
      <c r="F1147" s="10" t="str">
        <f aca="false">CHOOSE(MOD(A1147-1,5)+1,"Центр","Юг","Север","Запад","Восток")</f>
        <v>Центр</v>
      </c>
      <c r="G1147" s="10" t="str">
        <f aca="false">"Округ_"&amp;(MOD(A1147-1,5)+1)&amp;"_"&amp;(MOD(INT((A1147-1)/5),5)+1)</f>
        <v>Округ_1_5</v>
      </c>
      <c r="H1147" s="10" t="str">
        <f aca="false">"Город_"&amp;(MOD(A1147-1,5)+1)&amp;"_"&amp;(MOD(INT((A1147-1)/5),5)+1)&amp;"_"&amp;(MOD(INT((A1147-1)/25),10)+1)</f>
        <v>Город_1_5_6</v>
      </c>
      <c r="I1147" s="10" t="str">
        <f aca="false">CHOOSE(MOD(A1147-1,4)+1,"Электроника","Одежда","Продукты","Мебель")</f>
        <v>Одежда</v>
      </c>
      <c r="J1147" s="10" t="str">
        <f aca="false">CHOOSE(MOD(INT((A1147-1)/4),4)+1,CHOOSE(MOD(A1147-1,4)+1,"Смартфоны","Ноутбуки","Аксессуары","Аудио"),CHOOSE(MOD(A1147-1,4)+1,"Верхняя одежда","Спортивная","Повседневная","Обувь"),CHOOSE(MOD(A1147-1,4)+1,"Молочные","Мясные","Бакалея","Напитки"),CHOOSE(MOD(A1147-1,4)+1,"Мягкая мебель","Корпусная","Офисная","Кухонная"))</f>
        <v>Мясные</v>
      </c>
      <c r="K1147" s="12" t="n">
        <f aca="false">1000+MOD(A1147*317+A1147*A1147*7,49001)</f>
        <v>2299</v>
      </c>
      <c r="L1147" s="12" t="n">
        <f aca="false">1+MOD(A1147*131,100)</f>
        <v>27</v>
      </c>
      <c r="M1147" s="12" t="n">
        <f aca="false">INT(K1147*(0.6+MOD(A1147*43,21)/100))</f>
        <v>1655</v>
      </c>
      <c r="N1147" s="12" t="n">
        <f aca="false">K1147-M1147</f>
        <v>644</v>
      </c>
    </row>
    <row r="1148" customFormat="false" ht="12.8" hidden="false" customHeight="false" outlineLevel="0" collapsed="false">
      <c r="A1148" s="10" t="n">
        <f aca="false">A1147+1</f>
        <v>1147</v>
      </c>
      <c r="B1148" s="11" t="n">
        <f aca="false">B1147+1</f>
        <v>46073</v>
      </c>
      <c r="C1148" s="10" t="n">
        <f aca="false">YEAR(B1148)</f>
        <v>2026</v>
      </c>
      <c r="D1148" s="10" t="n">
        <f aca="false">INT((MONTH(B1148)-1)/3)+1</f>
        <v>1</v>
      </c>
      <c r="E1148" s="10" t="n">
        <f aca="false">MONTH(B1148)</f>
        <v>2</v>
      </c>
      <c r="F1148" s="10" t="str">
        <f aca="false">CHOOSE(MOD(A1148-1,5)+1,"Центр","Юг","Север","Запад","Восток")</f>
        <v>Юг</v>
      </c>
      <c r="G1148" s="10" t="str">
        <f aca="false">"Округ_"&amp;(MOD(A1148-1,5)+1)&amp;"_"&amp;(MOD(INT((A1148-1)/5),5)+1)</f>
        <v>Округ_2_5</v>
      </c>
      <c r="H1148" s="10" t="str">
        <f aca="false">"Город_"&amp;(MOD(A1148-1,5)+1)&amp;"_"&amp;(MOD(INT((A1148-1)/5),5)+1)&amp;"_"&amp;(MOD(INT((A1148-1)/25),10)+1)</f>
        <v>Город_2_5_6</v>
      </c>
      <c r="I1148" s="10" t="str">
        <f aca="false">CHOOSE(MOD(A1148-1,4)+1,"Электроника","Одежда","Продукты","Мебель")</f>
        <v>Продукты</v>
      </c>
      <c r="J1148" s="10" t="str">
        <f aca="false">CHOOSE(MOD(INT((A1148-1)/4),4)+1,CHOOSE(MOD(A1148-1,4)+1,"Смартфоны","Ноутбуки","Аксессуары","Аудио"),CHOOSE(MOD(A1148-1,4)+1,"Верхняя одежда","Спортивная","Повседневная","Обувь"),CHOOSE(MOD(A1148-1,4)+1,"Молочные","Мясные","Бакалея","Напитки"),CHOOSE(MOD(A1148-1,4)+1,"Мягкая мебель","Корпусная","Офисная","Кухонная"))</f>
        <v>Бакалея</v>
      </c>
      <c r="K1148" s="12" t="n">
        <f aca="false">1000+MOD(A1148*317+A1148*A1148*7,49001)</f>
        <v>18667</v>
      </c>
      <c r="L1148" s="12" t="n">
        <f aca="false">1+MOD(A1148*131,100)</f>
        <v>58</v>
      </c>
      <c r="M1148" s="12" t="n">
        <f aca="false">INT(K1148*(0.6+MOD(A1148*43,21)/100))</f>
        <v>13626</v>
      </c>
      <c r="N1148" s="12" t="n">
        <f aca="false">K1148-M1148</f>
        <v>5041</v>
      </c>
    </row>
    <row r="1149" customFormat="false" ht="12.8" hidden="false" customHeight="false" outlineLevel="0" collapsed="false">
      <c r="A1149" s="10" t="n">
        <f aca="false">A1148+1</f>
        <v>1148</v>
      </c>
      <c r="B1149" s="11" t="n">
        <f aca="false">B1148+1</f>
        <v>46074</v>
      </c>
      <c r="C1149" s="10" t="n">
        <f aca="false">YEAR(B1149)</f>
        <v>2026</v>
      </c>
      <c r="D1149" s="10" t="n">
        <f aca="false">INT((MONTH(B1149)-1)/3)+1</f>
        <v>1</v>
      </c>
      <c r="E1149" s="10" t="n">
        <f aca="false">MONTH(B1149)</f>
        <v>2</v>
      </c>
      <c r="F1149" s="10" t="str">
        <f aca="false">CHOOSE(MOD(A1149-1,5)+1,"Центр","Юг","Север","Запад","Восток")</f>
        <v>Север</v>
      </c>
      <c r="G1149" s="10" t="str">
        <f aca="false">"Округ_"&amp;(MOD(A1149-1,5)+1)&amp;"_"&amp;(MOD(INT((A1149-1)/5),5)+1)</f>
        <v>Округ_3_5</v>
      </c>
      <c r="H1149" s="10" t="str">
        <f aca="false">"Город_"&amp;(MOD(A1149-1,5)+1)&amp;"_"&amp;(MOD(INT((A1149-1)/5),5)+1)&amp;"_"&amp;(MOD(INT((A1149-1)/25),10)+1)</f>
        <v>Город_3_5_6</v>
      </c>
      <c r="I1149" s="10" t="str">
        <f aca="false">CHOOSE(MOD(A1149-1,4)+1,"Электроника","Одежда","Продукты","Мебель")</f>
        <v>Мебель</v>
      </c>
      <c r="J1149" s="10" t="str">
        <f aca="false">CHOOSE(MOD(INT((A1149-1)/4),4)+1,CHOOSE(MOD(A1149-1,4)+1,"Смартфоны","Ноутбуки","Аксессуары","Аудио"),CHOOSE(MOD(A1149-1,4)+1,"Верхняя одежда","Спортивная","Повседневная","Обувь"),CHOOSE(MOD(A1149-1,4)+1,"Молочные","Мясные","Бакалея","Напитки"),CHOOSE(MOD(A1149-1,4)+1,"Мягкая мебель","Корпусная","Офисная","Кухонная"))</f>
        <v>Напитки</v>
      </c>
      <c r="K1149" s="12" t="n">
        <f aca="false">1000+MOD(A1149*317+A1149*A1149*7,49001)</f>
        <v>35049</v>
      </c>
      <c r="L1149" s="12" t="n">
        <f aca="false">1+MOD(A1149*131,100)</f>
        <v>89</v>
      </c>
      <c r="M1149" s="12" t="n">
        <f aca="false">INT(K1149*(0.6+MOD(A1149*43,21)/100))</f>
        <v>25936</v>
      </c>
      <c r="N1149" s="12" t="n">
        <f aca="false">K1149-M1149</f>
        <v>9113</v>
      </c>
    </row>
    <row r="1150" customFormat="false" ht="12.8" hidden="false" customHeight="false" outlineLevel="0" collapsed="false">
      <c r="A1150" s="10" t="n">
        <f aca="false">A1149+1</f>
        <v>1149</v>
      </c>
      <c r="B1150" s="11" t="n">
        <f aca="false">B1149+1</f>
        <v>46075</v>
      </c>
      <c r="C1150" s="10" t="n">
        <f aca="false">YEAR(B1150)</f>
        <v>2026</v>
      </c>
      <c r="D1150" s="10" t="n">
        <f aca="false">INT((MONTH(B1150)-1)/3)+1</f>
        <v>1</v>
      </c>
      <c r="E1150" s="10" t="n">
        <f aca="false">MONTH(B1150)</f>
        <v>2</v>
      </c>
      <c r="F1150" s="10" t="str">
        <f aca="false">CHOOSE(MOD(A1150-1,5)+1,"Центр","Юг","Север","Запад","Восток")</f>
        <v>Запад</v>
      </c>
      <c r="G1150" s="10" t="str">
        <f aca="false">"Округ_"&amp;(MOD(A1150-1,5)+1)&amp;"_"&amp;(MOD(INT((A1150-1)/5),5)+1)</f>
        <v>Округ_4_5</v>
      </c>
      <c r="H1150" s="10" t="str">
        <f aca="false">"Город_"&amp;(MOD(A1150-1,5)+1)&amp;"_"&amp;(MOD(INT((A1150-1)/5),5)+1)&amp;"_"&amp;(MOD(INT((A1150-1)/25),10)+1)</f>
        <v>Город_4_5_6</v>
      </c>
      <c r="I1150" s="10" t="str">
        <f aca="false">CHOOSE(MOD(A1150-1,4)+1,"Электроника","Одежда","Продукты","Мебель")</f>
        <v>Электроника</v>
      </c>
      <c r="J1150" s="10" t="str">
        <f aca="false">CHOOSE(MOD(INT((A1150-1)/4),4)+1,CHOOSE(MOD(A1150-1,4)+1,"Смартфоны","Ноутбуки","Аксессуары","Аудио"),CHOOSE(MOD(A1150-1,4)+1,"Верхняя одежда","Спортивная","Повседневная","Обувь"),CHOOSE(MOD(A1150-1,4)+1,"Молочные","Мясные","Бакалея","Напитки"),CHOOSE(MOD(A1150-1,4)+1,"Мягкая мебель","Корпусная","Офисная","Кухонная"))</f>
        <v>Мягкая мебель</v>
      </c>
      <c r="K1150" s="12" t="n">
        <f aca="false">1000+MOD(A1150*317+A1150*A1150*7,49001)</f>
        <v>2444</v>
      </c>
      <c r="L1150" s="12" t="n">
        <f aca="false">1+MOD(A1150*131,100)</f>
        <v>20</v>
      </c>
      <c r="M1150" s="12" t="n">
        <f aca="false">INT(K1150*(0.6+MOD(A1150*43,21)/100))</f>
        <v>1833</v>
      </c>
      <c r="N1150" s="12" t="n">
        <f aca="false">K1150-M1150</f>
        <v>611</v>
      </c>
    </row>
    <row r="1151" customFormat="false" ht="12.8" hidden="false" customHeight="false" outlineLevel="0" collapsed="false">
      <c r="A1151" s="10" t="n">
        <f aca="false">A1150+1</f>
        <v>1150</v>
      </c>
      <c r="B1151" s="11" t="n">
        <f aca="false">B1150+1</f>
        <v>46076</v>
      </c>
      <c r="C1151" s="10" t="n">
        <f aca="false">YEAR(B1151)</f>
        <v>2026</v>
      </c>
      <c r="D1151" s="10" t="n">
        <f aca="false">INT((MONTH(B1151)-1)/3)+1</f>
        <v>1</v>
      </c>
      <c r="E1151" s="10" t="n">
        <f aca="false">MONTH(B1151)</f>
        <v>2</v>
      </c>
      <c r="F1151" s="10" t="str">
        <f aca="false">CHOOSE(MOD(A1151-1,5)+1,"Центр","Юг","Север","Запад","Восток")</f>
        <v>Восток</v>
      </c>
      <c r="G1151" s="10" t="str">
        <f aca="false">"Округ_"&amp;(MOD(A1151-1,5)+1)&amp;"_"&amp;(MOD(INT((A1151-1)/5),5)+1)</f>
        <v>Округ_5_5</v>
      </c>
      <c r="H1151" s="10" t="str">
        <f aca="false">"Город_"&amp;(MOD(A1151-1,5)+1)&amp;"_"&amp;(MOD(INT((A1151-1)/5),5)+1)&amp;"_"&amp;(MOD(INT((A1151-1)/25),10)+1)</f>
        <v>Город_5_5_6</v>
      </c>
      <c r="I1151" s="10" t="str">
        <f aca="false">CHOOSE(MOD(A1151-1,4)+1,"Электроника","Одежда","Продукты","Мебель")</f>
        <v>Одежда</v>
      </c>
      <c r="J1151" s="10" t="str">
        <f aca="false">CHOOSE(MOD(INT((A1151-1)/4),4)+1,CHOOSE(MOD(A1151-1,4)+1,"Смартфоны","Ноутбуки","Аксессуары","Аудио"),CHOOSE(MOD(A1151-1,4)+1,"Верхняя одежда","Спортивная","Повседневная","Обувь"),CHOOSE(MOD(A1151-1,4)+1,"Молочные","Мясные","Бакалея","Напитки"),CHOOSE(MOD(A1151-1,4)+1,"Мягкая мебель","Корпусная","Офисная","Кухонная"))</f>
        <v>Корпусная</v>
      </c>
      <c r="K1151" s="12" t="n">
        <f aca="false">1000+MOD(A1151*317+A1151*A1151*7,49001)</f>
        <v>18854</v>
      </c>
      <c r="L1151" s="12" t="n">
        <f aca="false">1+MOD(A1151*131,100)</f>
        <v>51</v>
      </c>
      <c r="M1151" s="12" t="n">
        <f aca="false">INT(K1151*(0.6+MOD(A1151*43,21)/100))</f>
        <v>14329</v>
      </c>
      <c r="N1151" s="12" t="n">
        <f aca="false">K1151-M1151</f>
        <v>4525</v>
      </c>
    </row>
    <row r="1152" customFormat="false" ht="12.8" hidden="false" customHeight="false" outlineLevel="0" collapsed="false">
      <c r="A1152" s="10" t="n">
        <f aca="false">A1151+1</f>
        <v>1151</v>
      </c>
      <c r="B1152" s="11" t="n">
        <f aca="false">B1151+1</f>
        <v>46077</v>
      </c>
      <c r="C1152" s="10" t="n">
        <f aca="false">YEAR(B1152)</f>
        <v>2026</v>
      </c>
      <c r="D1152" s="10" t="n">
        <f aca="false">INT((MONTH(B1152)-1)/3)+1</f>
        <v>1</v>
      </c>
      <c r="E1152" s="10" t="n">
        <f aca="false">MONTH(B1152)</f>
        <v>2</v>
      </c>
      <c r="F1152" s="10" t="str">
        <f aca="false">CHOOSE(MOD(A1152-1,5)+1,"Центр","Юг","Север","Запад","Восток")</f>
        <v>Центр</v>
      </c>
      <c r="G1152" s="10" t="str">
        <f aca="false">"Округ_"&amp;(MOD(A1152-1,5)+1)&amp;"_"&amp;(MOD(INT((A1152-1)/5),5)+1)</f>
        <v>Округ_1_1</v>
      </c>
      <c r="H1152" s="10" t="str">
        <f aca="false">"Город_"&amp;(MOD(A1152-1,5)+1)&amp;"_"&amp;(MOD(INT((A1152-1)/5),5)+1)&amp;"_"&amp;(MOD(INT((A1152-1)/25),10)+1)</f>
        <v>Город_1_1_7</v>
      </c>
      <c r="I1152" s="10" t="str">
        <f aca="false">CHOOSE(MOD(A1152-1,4)+1,"Электроника","Одежда","Продукты","Мебель")</f>
        <v>Продукты</v>
      </c>
      <c r="J1152" s="10" t="str">
        <f aca="false">CHOOSE(MOD(INT((A1152-1)/4),4)+1,CHOOSE(MOD(A1152-1,4)+1,"Смартфоны","Ноутбуки","Аксессуары","Аудио"),CHOOSE(MOD(A1152-1,4)+1,"Верхняя одежда","Спортивная","Повседневная","Обувь"),CHOOSE(MOD(A1152-1,4)+1,"Молочные","Мясные","Бакалея","Напитки"),CHOOSE(MOD(A1152-1,4)+1,"Мягкая мебель","Корпусная","Офисная","Кухонная"))</f>
        <v>Офисная</v>
      </c>
      <c r="K1152" s="12" t="n">
        <f aca="false">1000+MOD(A1152*317+A1152*A1152*7,49001)</f>
        <v>35278</v>
      </c>
      <c r="L1152" s="12" t="n">
        <f aca="false">1+MOD(A1152*131,100)</f>
        <v>82</v>
      </c>
      <c r="M1152" s="12" t="n">
        <f aca="false">INT(K1152*(0.6+MOD(A1152*43,21)/100))</f>
        <v>27164</v>
      </c>
      <c r="N1152" s="12" t="n">
        <f aca="false">K1152-M1152</f>
        <v>8114</v>
      </c>
    </row>
    <row r="1153" customFormat="false" ht="12.8" hidden="false" customHeight="false" outlineLevel="0" collapsed="false">
      <c r="A1153" s="10" t="n">
        <f aca="false">A1152+1</f>
        <v>1152</v>
      </c>
      <c r="B1153" s="11" t="n">
        <f aca="false">B1152+1</f>
        <v>46078</v>
      </c>
      <c r="C1153" s="10" t="n">
        <f aca="false">YEAR(B1153)</f>
        <v>2026</v>
      </c>
      <c r="D1153" s="10" t="n">
        <f aca="false">INT((MONTH(B1153)-1)/3)+1</f>
        <v>1</v>
      </c>
      <c r="E1153" s="10" t="n">
        <f aca="false">MONTH(B1153)</f>
        <v>2</v>
      </c>
      <c r="F1153" s="10" t="str">
        <f aca="false">CHOOSE(MOD(A1153-1,5)+1,"Центр","Юг","Север","Запад","Восток")</f>
        <v>Юг</v>
      </c>
      <c r="G1153" s="10" t="str">
        <f aca="false">"Округ_"&amp;(MOD(A1153-1,5)+1)&amp;"_"&amp;(MOD(INT((A1153-1)/5),5)+1)</f>
        <v>Округ_2_1</v>
      </c>
      <c r="H1153" s="10" t="str">
        <f aca="false">"Город_"&amp;(MOD(A1153-1,5)+1)&amp;"_"&amp;(MOD(INT((A1153-1)/5),5)+1)&amp;"_"&amp;(MOD(INT((A1153-1)/25),10)+1)</f>
        <v>Город_2_1_7</v>
      </c>
      <c r="I1153" s="10" t="str">
        <f aca="false">CHOOSE(MOD(A1153-1,4)+1,"Электроника","Одежда","Продукты","Мебель")</f>
        <v>Мебель</v>
      </c>
      <c r="J1153" s="10" t="str">
        <f aca="false">CHOOSE(MOD(INT((A1153-1)/4),4)+1,CHOOSE(MOD(A1153-1,4)+1,"Смартфоны","Ноутбуки","Аксессуары","Аудио"),CHOOSE(MOD(A1153-1,4)+1,"Верхняя одежда","Спортивная","Повседневная","Обувь"),CHOOSE(MOD(A1153-1,4)+1,"Молочные","Мясные","Бакалея","Напитки"),CHOOSE(MOD(A1153-1,4)+1,"Мягкая мебель","Корпусная","Офисная","Кухонная"))</f>
        <v>Кухонная</v>
      </c>
      <c r="K1153" s="12" t="n">
        <f aca="false">1000+MOD(A1153*317+A1153*A1153*7,49001)</f>
        <v>2715</v>
      </c>
      <c r="L1153" s="12" t="n">
        <f aca="false">1+MOD(A1153*131,100)</f>
        <v>13</v>
      </c>
      <c r="M1153" s="12" t="n">
        <f aca="false">INT(K1153*(0.6+MOD(A1153*43,21)/100))</f>
        <v>2117</v>
      </c>
      <c r="N1153" s="12" t="n">
        <f aca="false">K1153-M1153</f>
        <v>598</v>
      </c>
    </row>
    <row r="1154" customFormat="false" ht="12.8" hidden="false" customHeight="false" outlineLevel="0" collapsed="false">
      <c r="A1154" s="10" t="n">
        <f aca="false">A1153+1</f>
        <v>1153</v>
      </c>
      <c r="B1154" s="11" t="n">
        <f aca="false">B1153+1</f>
        <v>46079</v>
      </c>
      <c r="C1154" s="10" t="n">
        <f aca="false">YEAR(B1154)</f>
        <v>2026</v>
      </c>
      <c r="D1154" s="10" t="n">
        <f aca="false">INT((MONTH(B1154)-1)/3)+1</f>
        <v>1</v>
      </c>
      <c r="E1154" s="10" t="n">
        <f aca="false">MONTH(B1154)</f>
        <v>2</v>
      </c>
      <c r="F1154" s="10" t="str">
        <f aca="false">CHOOSE(MOD(A1154-1,5)+1,"Центр","Юг","Север","Запад","Восток")</f>
        <v>Север</v>
      </c>
      <c r="G1154" s="10" t="str">
        <f aca="false">"Округ_"&amp;(MOD(A1154-1,5)+1)&amp;"_"&amp;(MOD(INT((A1154-1)/5),5)+1)</f>
        <v>Округ_3_1</v>
      </c>
      <c r="H1154" s="10" t="str">
        <f aca="false">"Город_"&amp;(MOD(A1154-1,5)+1)&amp;"_"&amp;(MOD(INT((A1154-1)/5),5)+1)&amp;"_"&amp;(MOD(INT((A1154-1)/25),10)+1)</f>
        <v>Город_3_1_7</v>
      </c>
      <c r="I1154" s="10" t="str">
        <f aca="false">CHOOSE(MOD(A1154-1,4)+1,"Электроника","Одежда","Продукты","Мебель")</f>
        <v>Электроника</v>
      </c>
      <c r="J1154" s="10" t="str">
        <f aca="false">CHOOSE(MOD(INT((A1154-1)/4),4)+1,CHOOSE(MOD(A1154-1,4)+1,"Смартфоны","Ноутбуки","Аксессуары","Аудио"),CHOOSE(MOD(A1154-1,4)+1,"Верхняя одежда","Спортивная","Повседневная","Обувь"),CHOOSE(MOD(A1154-1,4)+1,"Молочные","Мясные","Бакалея","Напитки"),CHOOSE(MOD(A1154-1,4)+1,"Мягкая мебель","Корпусная","Офисная","Кухонная"))</f>
        <v>Смартфоны</v>
      </c>
      <c r="K1154" s="12" t="n">
        <f aca="false">1000+MOD(A1154*317+A1154*A1154*7,49001)</f>
        <v>19167</v>
      </c>
      <c r="L1154" s="12" t="n">
        <f aca="false">1+MOD(A1154*131,100)</f>
        <v>44</v>
      </c>
      <c r="M1154" s="12" t="n">
        <f aca="false">INT(K1154*(0.6+MOD(A1154*43,21)/100))</f>
        <v>15141</v>
      </c>
      <c r="N1154" s="12" t="n">
        <f aca="false">K1154-M1154</f>
        <v>4026</v>
      </c>
    </row>
    <row r="1155" customFormat="false" ht="12.8" hidden="false" customHeight="false" outlineLevel="0" collapsed="false">
      <c r="A1155" s="10" t="n">
        <f aca="false">A1154+1</f>
        <v>1154</v>
      </c>
      <c r="B1155" s="11" t="n">
        <f aca="false">B1154+1</f>
        <v>46080</v>
      </c>
      <c r="C1155" s="10" t="n">
        <f aca="false">YEAR(B1155)</f>
        <v>2026</v>
      </c>
      <c r="D1155" s="10" t="n">
        <f aca="false">INT((MONTH(B1155)-1)/3)+1</f>
        <v>1</v>
      </c>
      <c r="E1155" s="10" t="n">
        <f aca="false">MONTH(B1155)</f>
        <v>2</v>
      </c>
      <c r="F1155" s="10" t="str">
        <f aca="false">CHOOSE(MOD(A1155-1,5)+1,"Центр","Юг","Север","Запад","Восток")</f>
        <v>Запад</v>
      </c>
      <c r="G1155" s="10" t="str">
        <f aca="false">"Округ_"&amp;(MOD(A1155-1,5)+1)&amp;"_"&amp;(MOD(INT((A1155-1)/5),5)+1)</f>
        <v>Округ_4_1</v>
      </c>
      <c r="H1155" s="10" t="str">
        <f aca="false">"Город_"&amp;(MOD(A1155-1,5)+1)&amp;"_"&amp;(MOD(INT((A1155-1)/5),5)+1)&amp;"_"&amp;(MOD(INT((A1155-1)/25),10)+1)</f>
        <v>Город_4_1_7</v>
      </c>
      <c r="I1155" s="10" t="str">
        <f aca="false">CHOOSE(MOD(A1155-1,4)+1,"Электроника","Одежда","Продукты","Мебель")</f>
        <v>Одежда</v>
      </c>
      <c r="J1155" s="10" t="str">
        <f aca="false">CHOOSE(MOD(INT((A1155-1)/4),4)+1,CHOOSE(MOD(A1155-1,4)+1,"Смартфоны","Ноутбуки","Аксессуары","Аудио"),CHOOSE(MOD(A1155-1,4)+1,"Верхняя одежда","Спортивная","Повседневная","Обувь"),CHOOSE(MOD(A1155-1,4)+1,"Молочные","Мясные","Бакалея","Напитки"),CHOOSE(MOD(A1155-1,4)+1,"Мягкая мебель","Корпусная","Офисная","Кухонная"))</f>
        <v>Ноутбуки</v>
      </c>
      <c r="K1155" s="12" t="n">
        <f aca="false">1000+MOD(A1155*317+A1155*A1155*7,49001)</f>
        <v>35633</v>
      </c>
      <c r="L1155" s="12" t="n">
        <f aca="false">1+MOD(A1155*131,100)</f>
        <v>75</v>
      </c>
      <c r="M1155" s="12" t="n">
        <f aca="false">INT(K1155*(0.6+MOD(A1155*43,21)/100))</f>
        <v>28506</v>
      </c>
      <c r="N1155" s="12" t="n">
        <f aca="false">K1155-M1155</f>
        <v>7127</v>
      </c>
    </row>
    <row r="1156" customFormat="false" ht="12.8" hidden="false" customHeight="false" outlineLevel="0" collapsed="false">
      <c r="A1156" s="10" t="n">
        <f aca="false">A1155+1</f>
        <v>1155</v>
      </c>
      <c r="B1156" s="11" t="n">
        <f aca="false">B1155+1</f>
        <v>46081</v>
      </c>
      <c r="C1156" s="10" t="n">
        <f aca="false">YEAR(B1156)</f>
        <v>2026</v>
      </c>
      <c r="D1156" s="10" t="n">
        <f aca="false">INT((MONTH(B1156)-1)/3)+1</f>
        <v>1</v>
      </c>
      <c r="E1156" s="10" t="n">
        <f aca="false">MONTH(B1156)</f>
        <v>2</v>
      </c>
      <c r="F1156" s="10" t="str">
        <f aca="false">CHOOSE(MOD(A1156-1,5)+1,"Центр","Юг","Север","Запад","Восток")</f>
        <v>Восток</v>
      </c>
      <c r="G1156" s="10" t="str">
        <f aca="false">"Округ_"&amp;(MOD(A1156-1,5)+1)&amp;"_"&amp;(MOD(INT((A1156-1)/5),5)+1)</f>
        <v>Округ_5_1</v>
      </c>
      <c r="H1156" s="10" t="str">
        <f aca="false">"Город_"&amp;(MOD(A1156-1,5)+1)&amp;"_"&amp;(MOD(INT((A1156-1)/5),5)+1)&amp;"_"&amp;(MOD(INT((A1156-1)/25),10)+1)</f>
        <v>Город_5_1_7</v>
      </c>
      <c r="I1156" s="10" t="str">
        <f aca="false">CHOOSE(MOD(A1156-1,4)+1,"Электроника","Одежда","Продукты","Мебель")</f>
        <v>Продукты</v>
      </c>
      <c r="J1156" s="10" t="str">
        <f aca="false">CHOOSE(MOD(INT((A1156-1)/4),4)+1,CHOOSE(MOD(A1156-1,4)+1,"Смартфоны","Ноутбуки","Аксессуары","Аудио"),CHOOSE(MOD(A1156-1,4)+1,"Верхняя одежда","Спортивная","Повседневная","Обувь"),CHOOSE(MOD(A1156-1,4)+1,"Молочные","Мясные","Бакалея","Напитки"),CHOOSE(MOD(A1156-1,4)+1,"Мягкая мебель","Корпусная","Офисная","Кухонная"))</f>
        <v>Аксессуары</v>
      </c>
      <c r="K1156" s="12" t="n">
        <f aca="false">1000+MOD(A1156*317+A1156*A1156*7,49001)</f>
        <v>3112</v>
      </c>
      <c r="L1156" s="12" t="n">
        <f aca="false">1+MOD(A1156*131,100)</f>
        <v>6</v>
      </c>
      <c r="M1156" s="12" t="n">
        <f aca="false">INT(K1156*(0.6+MOD(A1156*43,21)/100))</f>
        <v>1867</v>
      </c>
      <c r="N1156" s="12" t="n">
        <f aca="false">K1156-M1156</f>
        <v>1245</v>
      </c>
    </row>
    <row r="1157" customFormat="false" ht="12.8" hidden="false" customHeight="false" outlineLevel="0" collapsed="false">
      <c r="A1157" s="10" t="n">
        <f aca="false">A1156+1</f>
        <v>1156</v>
      </c>
      <c r="B1157" s="11" t="n">
        <f aca="false">B1156+1</f>
        <v>46082</v>
      </c>
      <c r="C1157" s="10" t="n">
        <f aca="false">YEAR(B1157)</f>
        <v>2026</v>
      </c>
      <c r="D1157" s="10" t="n">
        <f aca="false">INT((MONTH(B1157)-1)/3)+1</f>
        <v>1</v>
      </c>
      <c r="E1157" s="10" t="n">
        <f aca="false">MONTH(B1157)</f>
        <v>3</v>
      </c>
      <c r="F1157" s="10" t="str">
        <f aca="false">CHOOSE(MOD(A1157-1,5)+1,"Центр","Юг","Север","Запад","Восток")</f>
        <v>Центр</v>
      </c>
      <c r="G1157" s="10" t="str">
        <f aca="false">"Округ_"&amp;(MOD(A1157-1,5)+1)&amp;"_"&amp;(MOD(INT((A1157-1)/5),5)+1)</f>
        <v>Округ_1_2</v>
      </c>
      <c r="H1157" s="10" t="str">
        <f aca="false">"Город_"&amp;(MOD(A1157-1,5)+1)&amp;"_"&amp;(MOD(INT((A1157-1)/5),5)+1)&amp;"_"&amp;(MOD(INT((A1157-1)/25),10)+1)</f>
        <v>Город_1_2_7</v>
      </c>
      <c r="I1157" s="10" t="str">
        <f aca="false">CHOOSE(MOD(A1157-1,4)+1,"Электроника","Одежда","Продукты","Мебель")</f>
        <v>Мебель</v>
      </c>
      <c r="J1157" s="10" t="str">
        <f aca="false">CHOOSE(MOD(INT((A1157-1)/4),4)+1,CHOOSE(MOD(A1157-1,4)+1,"Смартфоны","Ноутбуки","Аксессуары","Аудио"),CHOOSE(MOD(A1157-1,4)+1,"Верхняя одежда","Спортивная","Повседневная","Обувь"),CHOOSE(MOD(A1157-1,4)+1,"Молочные","Мясные","Бакалея","Напитки"),CHOOSE(MOD(A1157-1,4)+1,"Мягкая мебель","Корпусная","Офисная","Кухонная"))</f>
        <v>Аудио</v>
      </c>
      <c r="K1157" s="12" t="n">
        <f aca="false">1000+MOD(A1157*317+A1157*A1157*7,49001)</f>
        <v>19606</v>
      </c>
      <c r="L1157" s="12" t="n">
        <f aca="false">1+MOD(A1157*131,100)</f>
        <v>37</v>
      </c>
      <c r="M1157" s="12" t="n">
        <f aca="false">INT(K1157*(0.6+MOD(A1157*43,21)/100))</f>
        <v>11959</v>
      </c>
      <c r="N1157" s="12" t="n">
        <f aca="false">K1157-M1157</f>
        <v>7647</v>
      </c>
    </row>
    <row r="1158" customFormat="false" ht="12.8" hidden="false" customHeight="false" outlineLevel="0" collapsed="false">
      <c r="A1158" s="10" t="n">
        <f aca="false">A1157+1</f>
        <v>1157</v>
      </c>
      <c r="B1158" s="11" t="n">
        <f aca="false">B1157+1</f>
        <v>46083</v>
      </c>
      <c r="C1158" s="10" t="n">
        <f aca="false">YEAR(B1158)</f>
        <v>2026</v>
      </c>
      <c r="D1158" s="10" t="n">
        <f aca="false">INT((MONTH(B1158)-1)/3)+1</f>
        <v>1</v>
      </c>
      <c r="E1158" s="10" t="n">
        <f aca="false">MONTH(B1158)</f>
        <v>3</v>
      </c>
      <c r="F1158" s="10" t="str">
        <f aca="false">CHOOSE(MOD(A1158-1,5)+1,"Центр","Юг","Север","Запад","Восток")</f>
        <v>Юг</v>
      </c>
      <c r="G1158" s="10" t="str">
        <f aca="false">"Округ_"&amp;(MOD(A1158-1,5)+1)&amp;"_"&amp;(MOD(INT((A1158-1)/5),5)+1)</f>
        <v>Округ_2_2</v>
      </c>
      <c r="H1158" s="10" t="str">
        <f aca="false">"Город_"&amp;(MOD(A1158-1,5)+1)&amp;"_"&amp;(MOD(INT((A1158-1)/5),5)+1)&amp;"_"&amp;(MOD(INT((A1158-1)/25),10)+1)</f>
        <v>Город_2_2_7</v>
      </c>
      <c r="I1158" s="10" t="str">
        <f aca="false">CHOOSE(MOD(A1158-1,4)+1,"Электроника","Одежда","Продукты","Мебель")</f>
        <v>Электроника</v>
      </c>
      <c r="J1158" s="10" t="str">
        <f aca="false">CHOOSE(MOD(INT((A1158-1)/4),4)+1,CHOOSE(MOD(A1158-1,4)+1,"Смартфоны","Ноутбуки","Аксессуары","Аудио"),CHOOSE(MOD(A1158-1,4)+1,"Верхняя одежда","Спортивная","Повседневная","Обувь"),CHOOSE(MOD(A1158-1,4)+1,"Молочные","Мясные","Бакалея","Напитки"),CHOOSE(MOD(A1158-1,4)+1,"Мягкая мебель","Корпусная","Офисная","Кухонная"))</f>
        <v>Верхняя одежда</v>
      </c>
      <c r="K1158" s="12" t="n">
        <f aca="false">1000+MOD(A1158*317+A1158*A1158*7,49001)</f>
        <v>36114</v>
      </c>
      <c r="L1158" s="12" t="n">
        <f aca="false">1+MOD(A1158*131,100)</f>
        <v>68</v>
      </c>
      <c r="M1158" s="12" t="n">
        <f aca="false">INT(K1158*(0.6+MOD(A1158*43,21)/100))</f>
        <v>22390</v>
      </c>
      <c r="N1158" s="12" t="n">
        <f aca="false">K1158-M1158</f>
        <v>13724</v>
      </c>
    </row>
    <row r="1159" customFormat="false" ht="12.8" hidden="false" customHeight="false" outlineLevel="0" collapsed="false">
      <c r="A1159" s="10" t="n">
        <f aca="false">A1158+1</f>
        <v>1158</v>
      </c>
      <c r="B1159" s="11" t="n">
        <f aca="false">B1158+1</f>
        <v>46084</v>
      </c>
      <c r="C1159" s="10" t="n">
        <f aca="false">YEAR(B1159)</f>
        <v>2026</v>
      </c>
      <c r="D1159" s="10" t="n">
        <f aca="false">INT((MONTH(B1159)-1)/3)+1</f>
        <v>1</v>
      </c>
      <c r="E1159" s="10" t="n">
        <f aca="false">MONTH(B1159)</f>
        <v>3</v>
      </c>
      <c r="F1159" s="10" t="str">
        <f aca="false">CHOOSE(MOD(A1159-1,5)+1,"Центр","Юг","Север","Запад","Восток")</f>
        <v>Север</v>
      </c>
      <c r="G1159" s="10" t="str">
        <f aca="false">"Округ_"&amp;(MOD(A1159-1,5)+1)&amp;"_"&amp;(MOD(INT((A1159-1)/5),5)+1)</f>
        <v>Округ_3_2</v>
      </c>
      <c r="H1159" s="10" t="str">
        <f aca="false">"Город_"&amp;(MOD(A1159-1,5)+1)&amp;"_"&amp;(MOD(INT((A1159-1)/5),5)+1)&amp;"_"&amp;(MOD(INT((A1159-1)/25),10)+1)</f>
        <v>Город_3_2_7</v>
      </c>
      <c r="I1159" s="10" t="str">
        <f aca="false">CHOOSE(MOD(A1159-1,4)+1,"Электроника","Одежда","Продукты","Мебель")</f>
        <v>Одежда</v>
      </c>
      <c r="J1159" s="10" t="str">
        <f aca="false">CHOOSE(MOD(INT((A1159-1)/4),4)+1,CHOOSE(MOD(A1159-1,4)+1,"Смартфоны","Ноутбуки","Аксессуары","Аудио"),CHOOSE(MOD(A1159-1,4)+1,"Верхняя одежда","Спортивная","Повседневная","Обувь"),CHOOSE(MOD(A1159-1,4)+1,"Молочные","Мясные","Бакалея","Напитки"),CHOOSE(MOD(A1159-1,4)+1,"Мягкая мебель","Корпусная","Офисная","Кухонная"))</f>
        <v>Спортивная</v>
      </c>
      <c r="K1159" s="12" t="n">
        <f aca="false">1000+MOD(A1159*317+A1159*A1159*7,49001)</f>
        <v>3635</v>
      </c>
      <c r="L1159" s="12" t="n">
        <f aca="false">1+MOD(A1159*131,100)</f>
        <v>99</v>
      </c>
      <c r="M1159" s="12" t="n">
        <f aca="false">INT(K1159*(0.6+MOD(A1159*43,21)/100))</f>
        <v>2290</v>
      </c>
      <c r="N1159" s="12" t="n">
        <f aca="false">K1159-M1159</f>
        <v>1345</v>
      </c>
    </row>
    <row r="1160" customFormat="false" ht="12.8" hidden="false" customHeight="false" outlineLevel="0" collapsed="false">
      <c r="A1160" s="10" t="n">
        <f aca="false">A1159+1</f>
        <v>1159</v>
      </c>
      <c r="B1160" s="11" t="n">
        <f aca="false">B1159+1</f>
        <v>46085</v>
      </c>
      <c r="C1160" s="10" t="n">
        <f aca="false">YEAR(B1160)</f>
        <v>2026</v>
      </c>
      <c r="D1160" s="10" t="n">
        <f aca="false">INT((MONTH(B1160)-1)/3)+1</f>
        <v>1</v>
      </c>
      <c r="E1160" s="10" t="n">
        <f aca="false">MONTH(B1160)</f>
        <v>3</v>
      </c>
      <c r="F1160" s="10" t="str">
        <f aca="false">CHOOSE(MOD(A1160-1,5)+1,"Центр","Юг","Север","Запад","Восток")</f>
        <v>Запад</v>
      </c>
      <c r="G1160" s="10" t="str">
        <f aca="false">"Округ_"&amp;(MOD(A1160-1,5)+1)&amp;"_"&amp;(MOD(INT((A1160-1)/5),5)+1)</f>
        <v>Округ_4_2</v>
      </c>
      <c r="H1160" s="10" t="str">
        <f aca="false">"Город_"&amp;(MOD(A1160-1,5)+1)&amp;"_"&amp;(MOD(INT((A1160-1)/5),5)+1)&amp;"_"&amp;(MOD(INT((A1160-1)/25),10)+1)</f>
        <v>Город_4_2_7</v>
      </c>
      <c r="I1160" s="10" t="str">
        <f aca="false">CHOOSE(MOD(A1160-1,4)+1,"Электроника","Одежда","Продукты","Мебель")</f>
        <v>Продукты</v>
      </c>
      <c r="J1160" s="10" t="str">
        <f aca="false">CHOOSE(MOD(INT((A1160-1)/4),4)+1,CHOOSE(MOD(A1160-1,4)+1,"Смартфоны","Ноутбуки","Аксессуары","Аудио"),CHOOSE(MOD(A1160-1,4)+1,"Верхняя одежда","Спортивная","Повседневная","Обувь"),CHOOSE(MOD(A1160-1,4)+1,"Молочные","Мясные","Бакалея","Напитки"),CHOOSE(MOD(A1160-1,4)+1,"Мягкая мебель","Корпусная","Офисная","Кухонная"))</f>
        <v>Повседневная</v>
      </c>
      <c r="K1160" s="12" t="n">
        <f aca="false">1000+MOD(A1160*317+A1160*A1160*7,49001)</f>
        <v>20171</v>
      </c>
      <c r="L1160" s="12" t="n">
        <f aca="false">1+MOD(A1160*131,100)</f>
        <v>30</v>
      </c>
      <c r="M1160" s="12" t="n">
        <f aca="false">INT(K1160*(0.6+MOD(A1160*43,21)/100))</f>
        <v>12909</v>
      </c>
      <c r="N1160" s="12" t="n">
        <f aca="false">K1160-M1160</f>
        <v>7262</v>
      </c>
    </row>
    <row r="1161" customFormat="false" ht="12.8" hidden="false" customHeight="false" outlineLevel="0" collapsed="false">
      <c r="A1161" s="10" t="n">
        <f aca="false">A1160+1</f>
        <v>1160</v>
      </c>
      <c r="B1161" s="11" t="n">
        <f aca="false">B1160+1</f>
        <v>46086</v>
      </c>
      <c r="C1161" s="10" t="n">
        <f aca="false">YEAR(B1161)</f>
        <v>2026</v>
      </c>
      <c r="D1161" s="10" t="n">
        <f aca="false">INT((MONTH(B1161)-1)/3)+1</f>
        <v>1</v>
      </c>
      <c r="E1161" s="10" t="n">
        <f aca="false">MONTH(B1161)</f>
        <v>3</v>
      </c>
      <c r="F1161" s="10" t="str">
        <f aca="false">CHOOSE(MOD(A1161-1,5)+1,"Центр","Юг","Север","Запад","Восток")</f>
        <v>Восток</v>
      </c>
      <c r="G1161" s="10" t="str">
        <f aca="false">"Округ_"&amp;(MOD(A1161-1,5)+1)&amp;"_"&amp;(MOD(INT((A1161-1)/5),5)+1)</f>
        <v>Округ_5_2</v>
      </c>
      <c r="H1161" s="10" t="str">
        <f aca="false">"Город_"&amp;(MOD(A1161-1,5)+1)&amp;"_"&amp;(MOD(INT((A1161-1)/5),5)+1)&amp;"_"&amp;(MOD(INT((A1161-1)/25),10)+1)</f>
        <v>Город_5_2_7</v>
      </c>
      <c r="I1161" s="10" t="str">
        <f aca="false">CHOOSE(MOD(A1161-1,4)+1,"Электроника","Одежда","Продукты","Мебель")</f>
        <v>Мебель</v>
      </c>
      <c r="J1161" s="10" t="str">
        <f aca="false">CHOOSE(MOD(INT((A1161-1)/4),4)+1,CHOOSE(MOD(A1161-1,4)+1,"Смартфоны","Ноутбуки","Аксессуары","Аудио"),CHOOSE(MOD(A1161-1,4)+1,"Верхняя одежда","Спортивная","Повседневная","Обувь"),CHOOSE(MOD(A1161-1,4)+1,"Молочные","Мясные","Бакалея","Напитки"),CHOOSE(MOD(A1161-1,4)+1,"Мягкая мебель","Корпусная","Офисная","Кухонная"))</f>
        <v>Обувь</v>
      </c>
      <c r="K1161" s="12" t="n">
        <f aca="false">1000+MOD(A1161*317+A1161*A1161*7,49001)</f>
        <v>36721</v>
      </c>
      <c r="L1161" s="12" t="n">
        <f aca="false">1+MOD(A1161*131,100)</f>
        <v>61</v>
      </c>
      <c r="M1161" s="12" t="n">
        <f aca="false">INT(K1161*(0.6+MOD(A1161*43,21)/100))</f>
        <v>23868</v>
      </c>
      <c r="N1161" s="12" t="n">
        <f aca="false">K1161-M1161</f>
        <v>12853</v>
      </c>
    </row>
    <row r="1162" customFormat="false" ht="12.8" hidden="false" customHeight="false" outlineLevel="0" collapsed="false">
      <c r="A1162" s="10" t="n">
        <f aca="false">A1161+1</f>
        <v>1161</v>
      </c>
      <c r="B1162" s="11" t="n">
        <f aca="false">B1161+1</f>
        <v>46087</v>
      </c>
      <c r="C1162" s="10" t="n">
        <f aca="false">YEAR(B1162)</f>
        <v>2026</v>
      </c>
      <c r="D1162" s="10" t="n">
        <f aca="false">INT((MONTH(B1162)-1)/3)+1</f>
        <v>1</v>
      </c>
      <c r="E1162" s="10" t="n">
        <f aca="false">MONTH(B1162)</f>
        <v>3</v>
      </c>
      <c r="F1162" s="10" t="str">
        <f aca="false">CHOOSE(MOD(A1162-1,5)+1,"Центр","Юг","Север","Запад","Восток")</f>
        <v>Центр</v>
      </c>
      <c r="G1162" s="10" t="str">
        <f aca="false">"Округ_"&amp;(MOD(A1162-1,5)+1)&amp;"_"&amp;(MOD(INT((A1162-1)/5),5)+1)</f>
        <v>Округ_1_3</v>
      </c>
      <c r="H1162" s="10" t="str">
        <f aca="false">"Город_"&amp;(MOD(A1162-1,5)+1)&amp;"_"&amp;(MOD(INT((A1162-1)/5),5)+1)&amp;"_"&amp;(MOD(INT((A1162-1)/25),10)+1)</f>
        <v>Город_1_3_7</v>
      </c>
      <c r="I1162" s="10" t="str">
        <f aca="false">CHOOSE(MOD(A1162-1,4)+1,"Электроника","Одежда","Продукты","Мебель")</f>
        <v>Электроника</v>
      </c>
      <c r="J1162" s="10" t="str">
        <f aca="false">CHOOSE(MOD(INT((A1162-1)/4),4)+1,CHOOSE(MOD(A1162-1,4)+1,"Смартфоны","Ноутбуки","Аксессуары","Аудио"),CHOOSE(MOD(A1162-1,4)+1,"Верхняя одежда","Спортивная","Повседневная","Обувь"),CHOOSE(MOD(A1162-1,4)+1,"Молочные","Мясные","Бакалея","Напитки"),CHOOSE(MOD(A1162-1,4)+1,"Мягкая мебель","Корпусная","Офисная","Кухонная"))</f>
        <v>Молочные</v>
      </c>
      <c r="K1162" s="12" t="n">
        <f aca="false">1000+MOD(A1162*317+A1162*A1162*7,49001)</f>
        <v>4284</v>
      </c>
      <c r="L1162" s="12" t="n">
        <f aca="false">1+MOD(A1162*131,100)</f>
        <v>92</v>
      </c>
      <c r="M1162" s="12" t="n">
        <f aca="false">INT(K1162*(0.6+MOD(A1162*43,21)/100))</f>
        <v>2827</v>
      </c>
      <c r="N1162" s="12" t="n">
        <f aca="false">K1162-M1162</f>
        <v>1457</v>
      </c>
    </row>
    <row r="1163" customFormat="false" ht="12.8" hidden="false" customHeight="false" outlineLevel="0" collapsed="false">
      <c r="A1163" s="10" t="n">
        <f aca="false">A1162+1</f>
        <v>1162</v>
      </c>
      <c r="B1163" s="11" t="n">
        <f aca="false">B1162+1</f>
        <v>46088</v>
      </c>
      <c r="C1163" s="10" t="n">
        <f aca="false">YEAR(B1163)</f>
        <v>2026</v>
      </c>
      <c r="D1163" s="10" t="n">
        <f aca="false">INT((MONTH(B1163)-1)/3)+1</f>
        <v>1</v>
      </c>
      <c r="E1163" s="10" t="n">
        <f aca="false">MONTH(B1163)</f>
        <v>3</v>
      </c>
      <c r="F1163" s="10" t="str">
        <f aca="false">CHOOSE(MOD(A1163-1,5)+1,"Центр","Юг","Север","Запад","Восток")</f>
        <v>Юг</v>
      </c>
      <c r="G1163" s="10" t="str">
        <f aca="false">"Округ_"&amp;(MOD(A1163-1,5)+1)&amp;"_"&amp;(MOD(INT((A1163-1)/5),5)+1)</f>
        <v>Округ_2_3</v>
      </c>
      <c r="H1163" s="10" t="str">
        <f aca="false">"Город_"&amp;(MOD(A1163-1,5)+1)&amp;"_"&amp;(MOD(INT((A1163-1)/5),5)+1)&amp;"_"&amp;(MOD(INT((A1163-1)/25),10)+1)</f>
        <v>Город_2_3_7</v>
      </c>
      <c r="I1163" s="10" t="str">
        <f aca="false">CHOOSE(MOD(A1163-1,4)+1,"Электроника","Одежда","Продукты","Мебель")</f>
        <v>Одежда</v>
      </c>
      <c r="J1163" s="10" t="str">
        <f aca="false">CHOOSE(MOD(INT((A1163-1)/4),4)+1,CHOOSE(MOD(A1163-1,4)+1,"Смартфоны","Ноутбуки","Аксессуары","Аудио"),CHOOSE(MOD(A1163-1,4)+1,"Верхняя одежда","Спортивная","Повседневная","Обувь"),CHOOSE(MOD(A1163-1,4)+1,"Молочные","Мясные","Бакалея","Напитки"),CHOOSE(MOD(A1163-1,4)+1,"Мягкая мебель","Корпусная","Офисная","Кухонная"))</f>
        <v>Мясные</v>
      </c>
      <c r="K1163" s="12" t="n">
        <f aca="false">1000+MOD(A1163*317+A1163*A1163*7,49001)</f>
        <v>20862</v>
      </c>
      <c r="L1163" s="12" t="n">
        <f aca="false">1+MOD(A1163*131,100)</f>
        <v>23</v>
      </c>
      <c r="M1163" s="12" t="n">
        <f aca="false">INT(K1163*(0.6+MOD(A1163*43,21)/100))</f>
        <v>13977</v>
      </c>
      <c r="N1163" s="12" t="n">
        <f aca="false">K1163-M1163</f>
        <v>6885</v>
      </c>
    </row>
    <row r="1164" customFormat="false" ht="12.8" hidden="false" customHeight="false" outlineLevel="0" collapsed="false">
      <c r="A1164" s="10" t="n">
        <f aca="false">A1163+1</f>
        <v>1163</v>
      </c>
      <c r="B1164" s="11" t="n">
        <f aca="false">B1163+1</f>
        <v>46089</v>
      </c>
      <c r="C1164" s="10" t="n">
        <f aca="false">YEAR(B1164)</f>
        <v>2026</v>
      </c>
      <c r="D1164" s="10" t="n">
        <f aca="false">INT((MONTH(B1164)-1)/3)+1</f>
        <v>1</v>
      </c>
      <c r="E1164" s="10" t="n">
        <f aca="false">MONTH(B1164)</f>
        <v>3</v>
      </c>
      <c r="F1164" s="10" t="str">
        <f aca="false">CHOOSE(MOD(A1164-1,5)+1,"Центр","Юг","Север","Запад","Восток")</f>
        <v>Север</v>
      </c>
      <c r="G1164" s="10" t="str">
        <f aca="false">"Округ_"&amp;(MOD(A1164-1,5)+1)&amp;"_"&amp;(MOD(INT((A1164-1)/5),5)+1)</f>
        <v>Округ_3_3</v>
      </c>
      <c r="H1164" s="10" t="str">
        <f aca="false">"Город_"&amp;(MOD(A1164-1,5)+1)&amp;"_"&amp;(MOD(INT((A1164-1)/5),5)+1)&amp;"_"&amp;(MOD(INT((A1164-1)/25),10)+1)</f>
        <v>Город_3_3_7</v>
      </c>
      <c r="I1164" s="10" t="str">
        <f aca="false">CHOOSE(MOD(A1164-1,4)+1,"Электроника","Одежда","Продукты","Мебель")</f>
        <v>Продукты</v>
      </c>
      <c r="J1164" s="10" t="str">
        <f aca="false">CHOOSE(MOD(INT((A1164-1)/4),4)+1,CHOOSE(MOD(A1164-1,4)+1,"Смартфоны","Ноутбуки","Аксессуары","Аудио"),CHOOSE(MOD(A1164-1,4)+1,"Верхняя одежда","Спортивная","Повседневная","Обувь"),CHOOSE(MOD(A1164-1,4)+1,"Молочные","Мясные","Бакалея","Напитки"),CHOOSE(MOD(A1164-1,4)+1,"Мягкая мебель","Корпусная","Офисная","Кухонная"))</f>
        <v>Бакалея</v>
      </c>
      <c r="K1164" s="12" t="n">
        <f aca="false">1000+MOD(A1164*317+A1164*A1164*7,49001)</f>
        <v>37454</v>
      </c>
      <c r="L1164" s="12" t="n">
        <f aca="false">1+MOD(A1164*131,100)</f>
        <v>54</v>
      </c>
      <c r="M1164" s="12" t="n">
        <f aca="false">INT(K1164*(0.6+MOD(A1164*43,21)/100))</f>
        <v>25468</v>
      </c>
      <c r="N1164" s="12" t="n">
        <f aca="false">K1164-M1164</f>
        <v>11986</v>
      </c>
    </row>
    <row r="1165" customFormat="false" ht="12.8" hidden="false" customHeight="false" outlineLevel="0" collapsed="false">
      <c r="A1165" s="10" t="n">
        <f aca="false">A1164+1</f>
        <v>1164</v>
      </c>
      <c r="B1165" s="11" t="n">
        <f aca="false">B1164+1</f>
        <v>46090</v>
      </c>
      <c r="C1165" s="10" t="n">
        <f aca="false">YEAR(B1165)</f>
        <v>2026</v>
      </c>
      <c r="D1165" s="10" t="n">
        <f aca="false">INT((MONTH(B1165)-1)/3)+1</f>
        <v>1</v>
      </c>
      <c r="E1165" s="10" t="n">
        <f aca="false">MONTH(B1165)</f>
        <v>3</v>
      </c>
      <c r="F1165" s="10" t="str">
        <f aca="false">CHOOSE(MOD(A1165-1,5)+1,"Центр","Юг","Север","Запад","Восток")</f>
        <v>Запад</v>
      </c>
      <c r="G1165" s="10" t="str">
        <f aca="false">"Округ_"&amp;(MOD(A1165-1,5)+1)&amp;"_"&amp;(MOD(INT((A1165-1)/5),5)+1)</f>
        <v>Округ_4_3</v>
      </c>
      <c r="H1165" s="10" t="str">
        <f aca="false">"Город_"&amp;(MOD(A1165-1,5)+1)&amp;"_"&amp;(MOD(INT((A1165-1)/5),5)+1)&amp;"_"&amp;(MOD(INT((A1165-1)/25),10)+1)</f>
        <v>Город_4_3_7</v>
      </c>
      <c r="I1165" s="10" t="str">
        <f aca="false">CHOOSE(MOD(A1165-1,4)+1,"Электроника","Одежда","Продукты","Мебель")</f>
        <v>Мебель</v>
      </c>
      <c r="J1165" s="10" t="str">
        <f aca="false">CHOOSE(MOD(INT((A1165-1)/4),4)+1,CHOOSE(MOD(A1165-1,4)+1,"Смартфоны","Ноутбуки","Аксессуары","Аудио"),CHOOSE(MOD(A1165-1,4)+1,"Верхняя одежда","Спортивная","Повседневная","Обувь"),CHOOSE(MOD(A1165-1,4)+1,"Молочные","Мясные","Бакалея","Напитки"),CHOOSE(MOD(A1165-1,4)+1,"Мягкая мебель","Корпусная","Офисная","Кухонная"))</f>
        <v>Напитки</v>
      </c>
      <c r="K1165" s="12" t="n">
        <f aca="false">1000+MOD(A1165*317+A1165*A1165*7,49001)</f>
        <v>5059</v>
      </c>
      <c r="L1165" s="12" t="n">
        <f aca="false">1+MOD(A1165*131,100)</f>
        <v>85</v>
      </c>
      <c r="M1165" s="12" t="n">
        <f aca="false">INT(K1165*(0.6+MOD(A1165*43,21)/100))</f>
        <v>3490</v>
      </c>
      <c r="N1165" s="12" t="n">
        <f aca="false">K1165-M1165</f>
        <v>1569</v>
      </c>
    </row>
    <row r="1166" customFormat="false" ht="12.8" hidden="false" customHeight="false" outlineLevel="0" collapsed="false">
      <c r="A1166" s="10" t="n">
        <f aca="false">A1165+1</f>
        <v>1165</v>
      </c>
      <c r="B1166" s="11" t="n">
        <f aca="false">B1165+1</f>
        <v>46091</v>
      </c>
      <c r="C1166" s="10" t="n">
        <f aca="false">YEAR(B1166)</f>
        <v>2026</v>
      </c>
      <c r="D1166" s="10" t="n">
        <f aca="false">INT((MONTH(B1166)-1)/3)+1</f>
        <v>1</v>
      </c>
      <c r="E1166" s="10" t="n">
        <f aca="false">MONTH(B1166)</f>
        <v>3</v>
      </c>
      <c r="F1166" s="10" t="str">
        <f aca="false">CHOOSE(MOD(A1166-1,5)+1,"Центр","Юг","Север","Запад","Восток")</f>
        <v>Восток</v>
      </c>
      <c r="G1166" s="10" t="str">
        <f aca="false">"Округ_"&amp;(MOD(A1166-1,5)+1)&amp;"_"&amp;(MOD(INT((A1166-1)/5),5)+1)</f>
        <v>Округ_5_3</v>
      </c>
      <c r="H1166" s="10" t="str">
        <f aca="false">"Город_"&amp;(MOD(A1166-1,5)+1)&amp;"_"&amp;(MOD(INT((A1166-1)/5),5)+1)&amp;"_"&amp;(MOD(INT((A1166-1)/25),10)+1)</f>
        <v>Город_5_3_7</v>
      </c>
      <c r="I1166" s="10" t="str">
        <f aca="false">CHOOSE(MOD(A1166-1,4)+1,"Электроника","Одежда","Продукты","Мебель")</f>
        <v>Электроника</v>
      </c>
      <c r="J1166" s="10" t="str">
        <f aca="false">CHOOSE(MOD(INT((A1166-1)/4),4)+1,CHOOSE(MOD(A1166-1,4)+1,"Смартфоны","Ноутбуки","Аксессуары","Аудио"),CHOOSE(MOD(A1166-1,4)+1,"Верхняя одежда","Спортивная","Повседневная","Обувь"),CHOOSE(MOD(A1166-1,4)+1,"Молочные","Мясные","Бакалея","Напитки"),CHOOSE(MOD(A1166-1,4)+1,"Мягкая мебель","Корпусная","Офисная","Кухонная"))</f>
        <v>Мягкая мебель</v>
      </c>
      <c r="K1166" s="12" t="n">
        <f aca="false">1000+MOD(A1166*317+A1166*A1166*7,49001)</f>
        <v>21679</v>
      </c>
      <c r="L1166" s="12" t="n">
        <f aca="false">1+MOD(A1166*131,100)</f>
        <v>16</v>
      </c>
      <c r="M1166" s="12" t="n">
        <f aca="false">INT(K1166*(0.6+MOD(A1166*43,21)/100))</f>
        <v>15175</v>
      </c>
      <c r="N1166" s="12" t="n">
        <f aca="false">K1166-M1166</f>
        <v>6504</v>
      </c>
    </row>
    <row r="1167" customFormat="false" ht="12.8" hidden="false" customHeight="false" outlineLevel="0" collapsed="false">
      <c r="A1167" s="10" t="n">
        <f aca="false">A1166+1</f>
        <v>1166</v>
      </c>
      <c r="B1167" s="11" t="n">
        <f aca="false">B1166+1</f>
        <v>46092</v>
      </c>
      <c r="C1167" s="10" t="n">
        <f aca="false">YEAR(B1167)</f>
        <v>2026</v>
      </c>
      <c r="D1167" s="10" t="n">
        <f aca="false">INT((MONTH(B1167)-1)/3)+1</f>
        <v>1</v>
      </c>
      <c r="E1167" s="10" t="n">
        <f aca="false">MONTH(B1167)</f>
        <v>3</v>
      </c>
      <c r="F1167" s="10" t="str">
        <f aca="false">CHOOSE(MOD(A1167-1,5)+1,"Центр","Юг","Север","Запад","Восток")</f>
        <v>Центр</v>
      </c>
      <c r="G1167" s="10" t="str">
        <f aca="false">"Округ_"&amp;(MOD(A1167-1,5)+1)&amp;"_"&amp;(MOD(INT((A1167-1)/5),5)+1)</f>
        <v>Округ_1_4</v>
      </c>
      <c r="H1167" s="10" t="str">
        <f aca="false">"Город_"&amp;(MOD(A1167-1,5)+1)&amp;"_"&amp;(MOD(INT((A1167-1)/5),5)+1)&amp;"_"&amp;(MOD(INT((A1167-1)/25),10)+1)</f>
        <v>Город_1_4_7</v>
      </c>
      <c r="I1167" s="10" t="str">
        <f aca="false">CHOOSE(MOD(A1167-1,4)+1,"Электроника","Одежда","Продукты","Мебель")</f>
        <v>Одежда</v>
      </c>
      <c r="J1167" s="10" t="str">
        <f aca="false">CHOOSE(MOD(INT((A1167-1)/4),4)+1,CHOOSE(MOD(A1167-1,4)+1,"Смартфоны","Ноутбуки","Аксессуары","Аудио"),CHOOSE(MOD(A1167-1,4)+1,"Верхняя одежда","Спортивная","Повседневная","Обувь"),CHOOSE(MOD(A1167-1,4)+1,"Молочные","Мясные","Бакалея","Напитки"),CHOOSE(MOD(A1167-1,4)+1,"Мягкая мебель","Корпусная","Офисная","Кухонная"))</f>
        <v>Корпусная</v>
      </c>
      <c r="K1167" s="12" t="n">
        <f aca="false">1000+MOD(A1167*317+A1167*A1167*7,49001)</f>
        <v>38313</v>
      </c>
      <c r="L1167" s="12" t="n">
        <f aca="false">1+MOD(A1167*131,100)</f>
        <v>47</v>
      </c>
      <c r="M1167" s="12" t="n">
        <f aca="false">INT(K1167*(0.6+MOD(A1167*43,21)/100))</f>
        <v>27202</v>
      </c>
      <c r="N1167" s="12" t="n">
        <f aca="false">K1167-M1167</f>
        <v>11111</v>
      </c>
    </row>
    <row r="1168" customFormat="false" ht="12.8" hidden="false" customHeight="false" outlineLevel="0" collapsed="false">
      <c r="A1168" s="10" t="n">
        <f aca="false">A1167+1</f>
        <v>1167</v>
      </c>
      <c r="B1168" s="11" t="n">
        <f aca="false">B1167+1</f>
        <v>46093</v>
      </c>
      <c r="C1168" s="10" t="n">
        <f aca="false">YEAR(B1168)</f>
        <v>2026</v>
      </c>
      <c r="D1168" s="10" t="n">
        <f aca="false">INT((MONTH(B1168)-1)/3)+1</f>
        <v>1</v>
      </c>
      <c r="E1168" s="10" t="n">
        <f aca="false">MONTH(B1168)</f>
        <v>3</v>
      </c>
      <c r="F1168" s="10" t="str">
        <f aca="false">CHOOSE(MOD(A1168-1,5)+1,"Центр","Юг","Север","Запад","Восток")</f>
        <v>Юг</v>
      </c>
      <c r="G1168" s="10" t="str">
        <f aca="false">"Округ_"&amp;(MOD(A1168-1,5)+1)&amp;"_"&amp;(MOD(INT((A1168-1)/5),5)+1)</f>
        <v>Округ_2_4</v>
      </c>
      <c r="H1168" s="10" t="str">
        <f aca="false">"Город_"&amp;(MOD(A1168-1,5)+1)&amp;"_"&amp;(MOD(INT((A1168-1)/5),5)+1)&amp;"_"&amp;(MOD(INT((A1168-1)/25),10)+1)</f>
        <v>Город_2_4_7</v>
      </c>
      <c r="I1168" s="10" t="str">
        <f aca="false">CHOOSE(MOD(A1168-1,4)+1,"Электроника","Одежда","Продукты","Мебель")</f>
        <v>Продукты</v>
      </c>
      <c r="J1168" s="10" t="str">
        <f aca="false">CHOOSE(MOD(INT((A1168-1)/4),4)+1,CHOOSE(MOD(A1168-1,4)+1,"Смартфоны","Ноутбуки","Аксессуары","Аудио"),CHOOSE(MOD(A1168-1,4)+1,"Верхняя одежда","Спортивная","Повседневная","Обувь"),CHOOSE(MOD(A1168-1,4)+1,"Молочные","Мясные","Бакалея","Напитки"),CHOOSE(MOD(A1168-1,4)+1,"Мягкая мебель","Корпусная","Офисная","Кухонная"))</f>
        <v>Офисная</v>
      </c>
      <c r="K1168" s="12" t="n">
        <f aca="false">1000+MOD(A1168*317+A1168*A1168*7,49001)</f>
        <v>5960</v>
      </c>
      <c r="L1168" s="12" t="n">
        <f aca="false">1+MOD(A1168*131,100)</f>
        <v>78</v>
      </c>
      <c r="M1168" s="12" t="n">
        <f aca="false">INT(K1168*(0.6+MOD(A1168*43,21)/100))</f>
        <v>4291</v>
      </c>
      <c r="N1168" s="12" t="n">
        <f aca="false">K1168-M1168</f>
        <v>1669</v>
      </c>
    </row>
    <row r="1169" customFormat="false" ht="12.8" hidden="false" customHeight="false" outlineLevel="0" collapsed="false">
      <c r="A1169" s="10" t="n">
        <f aca="false">A1168+1</f>
        <v>1168</v>
      </c>
      <c r="B1169" s="11" t="n">
        <f aca="false">B1168+1</f>
        <v>46094</v>
      </c>
      <c r="C1169" s="10" t="n">
        <f aca="false">YEAR(B1169)</f>
        <v>2026</v>
      </c>
      <c r="D1169" s="10" t="n">
        <f aca="false">INT((MONTH(B1169)-1)/3)+1</f>
        <v>1</v>
      </c>
      <c r="E1169" s="10" t="n">
        <f aca="false">MONTH(B1169)</f>
        <v>3</v>
      </c>
      <c r="F1169" s="10" t="str">
        <f aca="false">CHOOSE(MOD(A1169-1,5)+1,"Центр","Юг","Север","Запад","Восток")</f>
        <v>Север</v>
      </c>
      <c r="G1169" s="10" t="str">
        <f aca="false">"Округ_"&amp;(MOD(A1169-1,5)+1)&amp;"_"&amp;(MOD(INT((A1169-1)/5),5)+1)</f>
        <v>Округ_3_4</v>
      </c>
      <c r="H1169" s="10" t="str">
        <f aca="false">"Город_"&amp;(MOD(A1169-1,5)+1)&amp;"_"&amp;(MOD(INT((A1169-1)/5),5)+1)&amp;"_"&amp;(MOD(INT((A1169-1)/25),10)+1)</f>
        <v>Город_3_4_7</v>
      </c>
      <c r="I1169" s="10" t="str">
        <f aca="false">CHOOSE(MOD(A1169-1,4)+1,"Электроника","Одежда","Продукты","Мебель")</f>
        <v>Мебель</v>
      </c>
      <c r="J1169" s="10" t="str">
        <f aca="false">CHOOSE(MOD(INT((A1169-1)/4),4)+1,CHOOSE(MOD(A1169-1,4)+1,"Смартфоны","Ноутбуки","Аксессуары","Аудио"),CHOOSE(MOD(A1169-1,4)+1,"Верхняя одежда","Спортивная","Повседневная","Обувь"),CHOOSE(MOD(A1169-1,4)+1,"Молочные","Мясные","Бакалея","Напитки"),CHOOSE(MOD(A1169-1,4)+1,"Мягкая мебель","Корпусная","Офисная","Кухонная"))</f>
        <v>Кухонная</v>
      </c>
      <c r="K1169" s="12" t="n">
        <f aca="false">1000+MOD(A1169*317+A1169*A1169*7,49001)</f>
        <v>22622</v>
      </c>
      <c r="L1169" s="12" t="n">
        <f aca="false">1+MOD(A1169*131,100)</f>
        <v>9</v>
      </c>
      <c r="M1169" s="12" t="n">
        <f aca="false">INT(K1169*(0.6+MOD(A1169*43,21)/100))</f>
        <v>16514</v>
      </c>
      <c r="N1169" s="12" t="n">
        <f aca="false">K1169-M1169</f>
        <v>6108</v>
      </c>
    </row>
    <row r="1170" customFormat="false" ht="12.8" hidden="false" customHeight="false" outlineLevel="0" collapsed="false">
      <c r="A1170" s="10" t="n">
        <f aca="false">A1169+1</f>
        <v>1169</v>
      </c>
      <c r="B1170" s="11" t="n">
        <f aca="false">B1169+1</f>
        <v>46095</v>
      </c>
      <c r="C1170" s="10" t="n">
        <f aca="false">YEAR(B1170)</f>
        <v>2026</v>
      </c>
      <c r="D1170" s="10" t="n">
        <f aca="false">INT((MONTH(B1170)-1)/3)+1</f>
        <v>1</v>
      </c>
      <c r="E1170" s="10" t="n">
        <f aca="false">MONTH(B1170)</f>
        <v>3</v>
      </c>
      <c r="F1170" s="10" t="str">
        <f aca="false">CHOOSE(MOD(A1170-1,5)+1,"Центр","Юг","Север","Запад","Восток")</f>
        <v>Запад</v>
      </c>
      <c r="G1170" s="10" t="str">
        <f aca="false">"Округ_"&amp;(MOD(A1170-1,5)+1)&amp;"_"&amp;(MOD(INT((A1170-1)/5),5)+1)</f>
        <v>Округ_4_4</v>
      </c>
      <c r="H1170" s="10" t="str">
        <f aca="false">"Город_"&amp;(MOD(A1170-1,5)+1)&amp;"_"&amp;(MOD(INT((A1170-1)/5),5)+1)&amp;"_"&amp;(MOD(INT((A1170-1)/25),10)+1)</f>
        <v>Город_4_4_7</v>
      </c>
      <c r="I1170" s="10" t="str">
        <f aca="false">CHOOSE(MOD(A1170-1,4)+1,"Электроника","Одежда","Продукты","Мебель")</f>
        <v>Электроника</v>
      </c>
      <c r="J1170" s="10" t="str">
        <f aca="false">CHOOSE(MOD(INT((A1170-1)/4),4)+1,CHOOSE(MOD(A1170-1,4)+1,"Смартфоны","Ноутбуки","Аксессуары","Аудио"),CHOOSE(MOD(A1170-1,4)+1,"Верхняя одежда","Спортивная","Повседневная","Обувь"),CHOOSE(MOD(A1170-1,4)+1,"Молочные","Мясные","Бакалея","Напитки"),CHOOSE(MOD(A1170-1,4)+1,"Мягкая мебель","Корпусная","Офисная","Кухонная"))</f>
        <v>Смартфоны</v>
      </c>
      <c r="K1170" s="12" t="n">
        <f aca="false">1000+MOD(A1170*317+A1170*A1170*7,49001)</f>
        <v>39298</v>
      </c>
      <c r="L1170" s="12" t="n">
        <f aca="false">1+MOD(A1170*131,100)</f>
        <v>40</v>
      </c>
      <c r="M1170" s="12" t="n">
        <f aca="false">INT(K1170*(0.6+MOD(A1170*43,21)/100))</f>
        <v>29080</v>
      </c>
      <c r="N1170" s="12" t="n">
        <f aca="false">K1170-M1170</f>
        <v>10218</v>
      </c>
    </row>
    <row r="1171" customFormat="false" ht="12.8" hidden="false" customHeight="false" outlineLevel="0" collapsed="false">
      <c r="A1171" s="10" t="n">
        <f aca="false">A1170+1</f>
        <v>1170</v>
      </c>
      <c r="B1171" s="11" t="n">
        <f aca="false">B1170+1</f>
        <v>46096</v>
      </c>
      <c r="C1171" s="10" t="n">
        <f aca="false">YEAR(B1171)</f>
        <v>2026</v>
      </c>
      <c r="D1171" s="10" t="n">
        <f aca="false">INT((MONTH(B1171)-1)/3)+1</f>
        <v>1</v>
      </c>
      <c r="E1171" s="10" t="n">
        <f aca="false">MONTH(B1171)</f>
        <v>3</v>
      </c>
      <c r="F1171" s="10" t="str">
        <f aca="false">CHOOSE(MOD(A1171-1,5)+1,"Центр","Юг","Север","Запад","Восток")</f>
        <v>Восток</v>
      </c>
      <c r="G1171" s="10" t="str">
        <f aca="false">"Округ_"&amp;(MOD(A1171-1,5)+1)&amp;"_"&amp;(MOD(INT((A1171-1)/5),5)+1)</f>
        <v>Округ_5_4</v>
      </c>
      <c r="H1171" s="10" t="str">
        <f aca="false">"Город_"&amp;(MOD(A1171-1,5)+1)&amp;"_"&amp;(MOD(INT((A1171-1)/5),5)+1)&amp;"_"&amp;(MOD(INT((A1171-1)/25),10)+1)</f>
        <v>Город_5_4_7</v>
      </c>
      <c r="I1171" s="10" t="str">
        <f aca="false">CHOOSE(MOD(A1171-1,4)+1,"Электроника","Одежда","Продукты","Мебель")</f>
        <v>Одежда</v>
      </c>
      <c r="J1171" s="10" t="str">
        <f aca="false">CHOOSE(MOD(INT((A1171-1)/4),4)+1,CHOOSE(MOD(A1171-1,4)+1,"Смартфоны","Ноутбуки","Аксессуары","Аудио"),CHOOSE(MOD(A1171-1,4)+1,"Верхняя одежда","Спортивная","Повседневная","Обувь"),CHOOSE(MOD(A1171-1,4)+1,"Молочные","Мясные","Бакалея","Напитки"),CHOOSE(MOD(A1171-1,4)+1,"Мягкая мебель","Корпусная","Офисная","Кухонная"))</f>
        <v>Ноутбуки</v>
      </c>
      <c r="K1171" s="12" t="n">
        <f aca="false">1000+MOD(A1171*317+A1171*A1171*7,49001)</f>
        <v>6987</v>
      </c>
      <c r="L1171" s="12" t="n">
        <f aca="false">1+MOD(A1171*131,100)</f>
        <v>71</v>
      </c>
      <c r="M1171" s="12" t="n">
        <f aca="false">INT(K1171*(0.6+MOD(A1171*43,21)/100))</f>
        <v>5240</v>
      </c>
      <c r="N1171" s="12" t="n">
        <f aca="false">K1171-M1171</f>
        <v>1747</v>
      </c>
    </row>
    <row r="1172" customFormat="false" ht="12.8" hidden="false" customHeight="false" outlineLevel="0" collapsed="false">
      <c r="A1172" s="10" t="n">
        <f aca="false">A1171+1</f>
        <v>1171</v>
      </c>
      <c r="B1172" s="11" t="n">
        <f aca="false">B1171+1</f>
        <v>46097</v>
      </c>
      <c r="C1172" s="10" t="n">
        <f aca="false">YEAR(B1172)</f>
        <v>2026</v>
      </c>
      <c r="D1172" s="10" t="n">
        <f aca="false">INT((MONTH(B1172)-1)/3)+1</f>
        <v>1</v>
      </c>
      <c r="E1172" s="10" t="n">
        <f aca="false">MONTH(B1172)</f>
        <v>3</v>
      </c>
      <c r="F1172" s="10" t="str">
        <f aca="false">CHOOSE(MOD(A1172-1,5)+1,"Центр","Юг","Север","Запад","Восток")</f>
        <v>Центр</v>
      </c>
      <c r="G1172" s="10" t="str">
        <f aca="false">"Округ_"&amp;(MOD(A1172-1,5)+1)&amp;"_"&amp;(MOD(INT((A1172-1)/5),5)+1)</f>
        <v>Округ_1_5</v>
      </c>
      <c r="H1172" s="10" t="str">
        <f aca="false">"Город_"&amp;(MOD(A1172-1,5)+1)&amp;"_"&amp;(MOD(INT((A1172-1)/5),5)+1)&amp;"_"&amp;(MOD(INT((A1172-1)/25),10)+1)</f>
        <v>Город_1_5_7</v>
      </c>
      <c r="I1172" s="10" t="str">
        <f aca="false">CHOOSE(MOD(A1172-1,4)+1,"Электроника","Одежда","Продукты","Мебель")</f>
        <v>Продукты</v>
      </c>
      <c r="J1172" s="10" t="str">
        <f aca="false">CHOOSE(MOD(INT((A1172-1)/4),4)+1,CHOOSE(MOD(A1172-1,4)+1,"Смартфоны","Ноутбуки","Аксессуары","Аудио"),CHOOSE(MOD(A1172-1,4)+1,"Верхняя одежда","Спортивная","Повседневная","Обувь"),CHOOSE(MOD(A1172-1,4)+1,"Молочные","Мясные","Бакалея","Напитки"),CHOOSE(MOD(A1172-1,4)+1,"Мягкая мебель","Корпусная","Офисная","Кухонная"))</f>
        <v>Аксессуары</v>
      </c>
      <c r="K1172" s="12" t="n">
        <f aca="false">1000+MOD(A1172*317+A1172*A1172*7,49001)</f>
        <v>23691</v>
      </c>
      <c r="L1172" s="12" t="n">
        <f aca="false">1+MOD(A1172*131,100)</f>
        <v>2</v>
      </c>
      <c r="M1172" s="12" t="n">
        <f aca="false">INT(K1172*(0.6+MOD(A1172*43,21)/100))</f>
        <v>18005</v>
      </c>
      <c r="N1172" s="12" t="n">
        <f aca="false">K1172-M1172</f>
        <v>5686</v>
      </c>
    </row>
    <row r="1173" customFormat="false" ht="12.8" hidden="false" customHeight="false" outlineLevel="0" collapsed="false">
      <c r="A1173" s="10" t="n">
        <f aca="false">A1172+1</f>
        <v>1172</v>
      </c>
      <c r="B1173" s="11" t="n">
        <f aca="false">B1172+1</f>
        <v>46098</v>
      </c>
      <c r="C1173" s="10" t="n">
        <f aca="false">YEAR(B1173)</f>
        <v>2026</v>
      </c>
      <c r="D1173" s="10" t="n">
        <f aca="false">INT((MONTH(B1173)-1)/3)+1</f>
        <v>1</v>
      </c>
      <c r="E1173" s="10" t="n">
        <f aca="false">MONTH(B1173)</f>
        <v>3</v>
      </c>
      <c r="F1173" s="10" t="str">
        <f aca="false">CHOOSE(MOD(A1173-1,5)+1,"Центр","Юг","Север","Запад","Восток")</f>
        <v>Юг</v>
      </c>
      <c r="G1173" s="10" t="str">
        <f aca="false">"Округ_"&amp;(MOD(A1173-1,5)+1)&amp;"_"&amp;(MOD(INT((A1173-1)/5),5)+1)</f>
        <v>Округ_2_5</v>
      </c>
      <c r="H1173" s="10" t="str">
        <f aca="false">"Город_"&amp;(MOD(A1173-1,5)+1)&amp;"_"&amp;(MOD(INT((A1173-1)/5),5)+1)&amp;"_"&amp;(MOD(INT((A1173-1)/25),10)+1)</f>
        <v>Город_2_5_7</v>
      </c>
      <c r="I1173" s="10" t="str">
        <f aca="false">CHOOSE(MOD(A1173-1,4)+1,"Электроника","Одежда","Продукты","Мебель")</f>
        <v>Мебель</v>
      </c>
      <c r="J1173" s="10" t="str">
        <f aca="false">CHOOSE(MOD(INT((A1173-1)/4),4)+1,CHOOSE(MOD(A1173-1,4)+1,"Смартфоны","Ноутбуки","Аксессуары","Аудио"),CHOOSE(MOD(A1173-1,4)+1,"Верхняя одежда","Спортивная","Повседневная","Обувь"),CHOOSE(MOD(A1173-1,4)+1,"Молочные","Мясные","Бакалея","Напитки"),CHOOSE(MOD(A1173-1,4)+1,"Мягкая мебель","Корпусная","Офисная","Кухонная"))</f>
        <v>Аудио</v>
      </c>
      <c r="K1173" s="12" t="n">
        <f aca="false">1000+MOD(A1173*317+A1173*A1173*7,49001)</f>
        <v>40409</v>
      </c>
      <c r="L1173" s="12" t="n">
        <f aca="false">1+MOD(A1173*131,100)</f>
        <v>33</v>
      </c>
      <c r="M1173" s="12" t="n">
        <f aca="false">INT(K1173*(0.6+MOD(A1173*43,21)/100))</f>
        <v>31114</v>
      </c>
      <c r="N1173" s="12" t="n">
        <f aca="false">K1173-M1173</f>
        <v>9295</v>
      </c>
    </row>
    <row r="1174" customFormat="false" ht="12.8" hidden="false" customHeight="false" outlineLevel="0" collapsed="false">
      <c r="A1174" s="10" t="n">
        <f aca="false">A1173+1</f>
        <v>1173</v>
      </c>
      <c r="B1174" s="11" t="n">
        <f aca="false">B1173+1</f>
        <v>46099</v>
      </c>
      <c r="C1174" s="10" t="n">
        <f aca="false">YEAR(B1174)</f>
        <v>2026</v>
      </c>
      <c r="D1174" s="10" t="n">
        <f aca="false">INT((MONTH(B1174)-1)/3)+1</f>
        <v>1</v>
      </c>
      <c r="E1174" s="10" t="n">
        <f aca="false">MONTH(B1174)</f>
        <v>3</v>
      </c>
      <c r="F1174" s="10" t="str">
        <f aca="false">CHOOSE(MOD(A1174-1,5)+1,"Центр","Юг","Север","Запад","Восток")</f>
        <v>Север</v>
      </c>
      <c r="G1174" s="10" t="str">
        <f aca="false">"Округ_"&amp;(MOD(A1174-1,5)+1)&amp;"_"&amp;(MOD(INT((A1174-1)/5),5)+1)</f>
        <v>Округ_3_5</v>
      </c>
      <c r="H1174" s="10" t="str">
        <f aca="false">"Город_"&amp;(MOD(A1174-1,5)+1)&amp;"_"&amp;(MOD(INT((A1174-1)/5),5)+1)&amp;"_"&amp;(MOD(INT((A1174-1)/25),10)+1)</f>
        <v>Город_3_5_7</v>
      </c>
      <c r="I1174" s="10" t="str">
        <f aca="false">CHOOSE(MOD(A1174-1,4)+1,"Электроника","Одежда","Продукты","Мебель")</f>
        <v>Электроника</v>
      </c>
      <c r="J1174" s="10" t="str">
        <f aca="false">CHOOSE(MOD(INT((A1174-1)/4),4)+1,CHOOSE(MOD(A1174-1,4)+1,"Смартфоны","Ноутбуки","Аксессуары","Аудио"),CHOOSE(MOD(A1174-1,4)+1,"Верхняя одежда","Спортивная","Повседневная","Обувь"),CHOOSE(MOD(A1174-1,4)+1,"Молочные","Мясные","Бакалея","Напитки"),CHOOSE(MOD(A1174-1,4)+1,"Мягкая мебель","Корпусная","Офисная","Кухонная"))</f>
        <v>Верхняя одежда</v>
      </c>
      <c r="K1174" s="12" t="n">
        <f aca="false">1000+MOD(A1174*317+A1174*A1174*7,49001)</f>
        <v>8140</v>
      </c>
      <c r="L1174" s="12" t="n">
        <f aca="false">1+MOD(A1174*131,100)</f>
        <v>64</v>
      </c>
      <c r="M1174" s="12" t="n">
        <f aca="false">INT(K1174*(0.6+MOD(A1174*43,21)/100))</f>
        <v>6349</v>
      </c>
      <c r="N1174" s="12" t="n">
        <f aca="false">K1174-M1174</f>
        <v>1791</v>
      </c>
    </row>
    <row r="1175" customFormat="false" ht="12.8" hidden="false" customHeight="false" outlineLevel="0" collapsed="false">
      <c r="A1175" s="10" t="n">
        <f aca="false">A1174+1</f>
        <v>1174</v>
      </c>
      <c r="B1175" s="11" t="n">
        <f aca="false">B1174+1</f>
        <v>46100</v>
      </c>
      <c r="C1175" s="10" t="n">
        <f aca="false">YEAR(B1175)</f>
        <v>2026</v>
      </c>
      <c r="D1175" s="10" t="n">
        <f aca="false">INT((MONTH(B1175)-1)/3)+1</f>
        <v>1</v>
      </c>
      <c r="E1175" s="10" t="n">
        <f aca="false">MONTH(B1175)</f>
        <v>3</v>
      </c>
      <c r="F1175" s="10" t="str">
        <f aca="false">CHOOSE(MOD(A1175-1,5)+1,"Центр","Юг","Север","Запад","Восток")</f>
        <v>Запад</v>
      </c>
      <c r="G1175" s="10" t="str">
        <f aca="false">"Округ_"&amp;(MOD(A1175-1,5)+1)&amp;"_"&amp;(MOD(INT((A1175-1)/5),5)+1)</f>
        <v>Округ_4_5</v>
      </c>
      <c r="H1175" s="10" t="str">
        <f aca="false">"Город_"&amp;(MOD(A1175-1,5)+1)&amp;"_"&amp;(MOD(INT((A1175-1)/5),5)+1)&amp;"_"&amp;(MOD(INT((A1175-1)/25),10)+1)</f>
        <v>Город_4_5_7</v>
      </c>
      <c r="I1175" s="10" t="str">
        <f aca="false">CHOOSE(MOD(A1175-1,4)+1,"Электроника","Одежда","Продукты","Мебель")</f>
        <v>Одежда</v>
      </c>
      <c r="J1175" s="10" t="str">
        <f aca="false">CHOOSE(MOD(INT((A1175-1)/4),4)+1,CHOOSE(MOD(A1175-1,4)+1,"Смартфоны","Ноутбуки","Аксессуары","Аудио"),CHOOSE(MOD(A1175-1,4)+1,"Верхняя одежда","Спортивная","Повседневная","Обувь"),CHOOSE(MOD(A1175-1,4)+1,"Молочные","Мясные","Бакалея","Напитки"),CHOOSE(MOD(A1175-1,4)+1,"Мягкая мебель","Корпусная","Офисная","Кухонная"))</f>
        <v>Спортивная</v>
      </c>
      <c r="K1175" s="12" t="n">
        <f aca="false">1000+MOD(A1175*317+A1175*A1175*7,49001)</f>
        <v>24886</v>
      </c>
      <c r="L1175" s="12" t="n">
        <f aca="false">1+MOD(A1175*131,100)</f>
        <v>95</v>
      </c>
      <c r="M1175" s="12" t="n">
        <f aca="false">INT(K1175*(0.6+MOD(A1175*43,21)/100))</f>
        <v>19659</v>
      </c>
      <c r="N1175" s="12" t="n">
        <f aca="false">K1175-M1175</f>
        <v>5227</v>
      </c>
    </row>
    <row r="1176" customFormat="false" ht="12.8" hidden="false" customHeight="false" outlineLevel="0" collapsed="false">
      <c r="A1176" s="10" t="n">
        <f aca="false">A1175+1</f>
        <v>1175</v>
      </c>
      <c r="B1176" s="11" t="n">
        <f aca="false">B1175+1</f>
        <v>46101</v>
      </c>
      <c r="C1176" s="10" t="n">
        <f aca="false">YEAR(B1176)</f>
        <v>2026</v>
      </c>
      <c r="D1176" s="10" t="n">
        <f aca="false">INT((MONTH(B1176)-1)/3)+1</f>
        <v>1</v>
      </c>
      <c r="E1176" s="10" t="n">
        <f aca="false">MONTH(B1176)</f>
        <v>3</v>
      </c>
      <c r="F1176" s="10" t="str">
        <f aca="false">CHOOSE(MOD(A1176-1,5)+1,"Центр","Юг","Север","Запад","Восток")</f>
        <v>Восток</v>
      </c>
      <c r="G1176" s="10" t="str">
        <f aca="false">"Округ_"&amp;(MOD(A1176-1,5)+1)&amp;"_"&amp;(MOD(INT((A1176-1)/5),5)+1)</f>
        <v>Округ_5_5</v>
      </c>
      <c r="H1176" s="10" t="str">
        <f aca="false">"Город_"&amp;(MOD(A1176-1,5)+1)&amp;"_"&amp;(MOD(INT((A1176-1)/5),5)+1)&amp;"_"&amp;(MOD(INT((A1176-1)/25),10)+1)</f>
        <v>Город_5_5_7</v>
      </c>
      <c r="I1176" s="10" t="str">
        <f aca="false">CHOOSE(MOD(A1176-1,4)+1,"Электроника","Одежда","Продукты","Мебель")</f>
        <v>Продукты</v>
      </c>
      <c r="J1176" s="10" t="str">
        <f aca="false">CHOOSE(MOD(INT((A1176-1)/4),4)+1,CHOOSE(MOD(A1176-1,4)+1,"Смартфоны","Ноутбуки","Аксессуары","Аудио"),CHOOSE(MOD(A1176-1,4)+1,"Верхняя одежда","Спортивная","Повседневная","Обувь"),CHOOSE(MOD(A1176-1,4)+1,"Молочные","Мясные","Бакалея","Напитки"),CHOOSE(MOD(A1176-1,4)+1,"Мягкая мебель","Корпусная","Офисная","Кухонная"))</f>
        <v>Повседневная</v>
      </c>
      <c r="K1176" s="12" t="n">
        <f aca="false">1000+MOD(A1176*317+A1176*A1176*7,49001)</f>
        <v>41646</v>
      </c>
      <c r="L1176" s="12" t="n">
        <f aca="false">1+MOD(A1176*131,100)</f>
        <v>26</v>
      </c>
      <c r="M1176" s="12" t="n">
        <f aca="false">INT(K1176*(0.6+MOD(A1176*43,21)/100))</f>
        <v>33316</v>
      </c>
      <c r="N1176" s="12" t="n">
        <f aca="false">K1176-M1176</f>
        <v>8330</v>
      </c>
    </row>
    <row r="1177" customFormat="false" ht="12.8" hidden="false" customHeight="false" outlineLevel="0" collapsed="false">
      <c r="A1177" s="10" t="n">
        <f aca="false">A1176+1</f>
        <v>1176</v>
      </c>
      <c r="B1177" s="11" t="n">
        <f aca="false">B1176+1</f>
        <v>46102</v>
      </c>
      <c r="C1177" s="10" t="n">
        <f aca="false">YEAR(B1177)</f>
        <v>2026</v>
      </c>
      <c r="D1177" s="10" t="n">
        <f aca="false">INT((MONTH(B1177)-1)/3)+1</f>
        <v>1</v>
      </c>
      <c r="E1177" s="10" t="n">
        <f aca="false">MONTH(B1177)</f>
        <v>3</v>
      </c>
      <c r="F1177" s="10" t="str">
        <f aca="false">CHOOSE(MOD(A1177-1,5)+1,"Центр","Юг","Север","Запад","Восток")</f>
        <v>Центр</v>
      </c>
      <c r="G1177" s="10" t="str">
        <f aca="false">"Округ_"&amp;(MOD(A1177-1,5)+1)&amp;"_"&amp;(MOD(INT((A1177-1)/5),5)+1)</f>
        <v>Округ_1_1</v>
      </c>
      <c r="H1177" s="10" t="str">
        <f aca="false">"Город_"&amp;(MOD(A1177-1,5)+1)&amp;"_"&amp;(MOD(INT((A1177-1)/5),5)+1)&amp;"_"&amp;(MOD(INT((A1177-1)/25),10)+1)</f>
        <v>Город_1_1_8</v>
      </c>
      <c r="I1177" s="10" t="str">
        <f aca="false">CHOOSE(MOD(A1177-1,4)+1,"Электроника","Одежда","Продукты","Мебель")</f>
        <v>Мебель</v>
      </c>
      <c r="J1177" s="10" t="str">
        <f aca="false">CHOOSE(MOD(INT((A1177-1)/4),4)+1,CHOOSE(MOD(A1177-1,4)+1,"Смартфоны","Ноутбуки","Аксессуары","Аудио"),CHOOSE(MOD(A1177-1,4)+1,"Верхняя одежда","Спортивная","Повседневная","Обувь"),CHOOSE(MOD(A1177-1,4)+1,"Молочные","Мясные","Бакалея","Напитки"),CHOOSE(MOD(A1177-1,4)+1,"Мягкая мебель","Корпусная","Офисная","Кухонная"))</f>
        <v>Обувь</v>
      </c>
      <c r="K1177" s="12" t="n">
        <f aca="false">1000+MOD(A1177*317+A1177*A1177*7,49001)</f>
        <v>9419</v>
      </c>
      <c r="L1177" s="12" t="n">
        <f aca="false">1+MOD(A1177*131,100)</f>
        <v>57</v>
      </c>
      <c r="M1177" s="12" t="n">
        <f aca="false">INT(K1177*(0.6+MOD(A1177*43,21)/100))</f>
        <v>5651</v>
      </c>
      <c r="N1177" s="12" t="n">
        <f aca="false">K1177-M1177</f>
        <v>3768</v>
      </c>
    </row>
    <row r="1178" customFormat="false" ht="12.8" hidden="false" customHeight="false" outlineLevel="0" collapsed="false">
      <c r="A1178" s="10" t="n">
        <f aca="false">A1177+1</f>
        <v>1177</v>
      </c>
      <c r="B1178" s="11" t="n">
        <f aca="false">B1177+1</f>
        <v>46103</v>
      </c>
      <c r="C1178" s="10" t="n">
        <f aca="false">YEAR(B1178)</f>
        <v>2026</v>
      </c>
      <c r="D1178" s="10" t="n">
        <f aca="false">INT((MONTH(B1178)-1)/3)+1</f>
        <v>1</v>
      </c>
      <c r="E1178" s="10" t="n">
        <f aca="false">MONTH(B1178)</f>
        <v>3</v>
      </c>
      <c r="F1178" s="10" t="str">
        <f aca="false">CHOOSE(MOD(A1178-1,5)+1,"Центр","Юг","Север","Запад","Восток")</f>
        <v>Юг</v>
      </c>
      <c r="G1178" s="10" t="str">
        <f aca="false">"Округ_"&amp;(MOD(A1178-1,5)+1)&amp;"_"&amp;(MOD(INT((A1178-1)/5),5)+1)</f>
        <v>Округ_2_1</v>
      </c>
      <c r="H1178" s="10" t="str">
        <f aca="false">"Город_"&amp;(MOD(A1178-1,5)+1)&amp;"_"&amp;(MOD(INT((A1178-1)/5),5)+1)&amp;"_"&amp;(MOD(INT((A1178-1)/25),10)+1)</f>
        <v>Город_2_1_8</v>
      </c>
      <c r="I1178" s="10" t="str">
        <f aca="false">CHOOSE(MOD(A1178-1,4)+1,"Электроника","Одежда","Продукты","Мебель")</f>
        <v>Электроника</v>
      </c>
      <c r="J1178" s="10" t="str">
        <f aca="false">CHOOSE(MOD(INT((A1178-1)/4),4)+1,CHOOSE(MOD(A1178-1,4)+1,"Смартфоны","Ноутбуки","Аксессуары","Аудио"),CHOOSE(MOD(A1178-1,4)+1,"Верхняя одежда","Спортивная","Повседневная","Обувь"),CHOOSE(MOD(A1178-1,4)+1,"Молочные","Мясные","Бакалея","Напитки"),CHOOSE(MOD(A1178-1,4)+1,"Мягкая мебель","Корпусная","Офисная","Кухонная"))</f>
        <v>Молочные</v>
      </c>
      <c r="K1178" s="12" t="n">
        <f aca="false">1000+MOD(A1178*317+A1178*A1178*7,49001)</f>
        <v>26207</v>
      </c>
      <c r="L1178" s="12" t="n">
        <f aca="false">1+MOD(A1178*131,100)</f>
        <v>88</v>
      </c>
      <c r="M1178" s="12" t="n">
        <f aca="false">INT(K1178*(0.6+MOD(A1178*43,21)/100))</f>
        <v>15986</v>
      </c>
      <c r="N1178" s="12" t="n">
        <f aca="false">K1178-M1178</f>
        <v>10221</v>
      </c>
    </row>
    <row r="1179" customFormat="false" ht="12.8" hidden="false" customHeight="false" outlineLevel="0" collapsed="false">
      <c r="A1179" s="10" t="n">
        <f aca="false">A1178+1</f>
        <v>1178</v>
      </c>
      <c r="B1179" s="11" t="n">
        <f aca="false">B1178+1</f>
        <v>46104</v>
      </c>
      <c r="C1179" s="10" t="n">
        <f aca="false">YEAR(B1179)</f>
        <v>2026</v>
      </c>
      <c r="D1179" s="10" t="n">
        <f aca="false">INT((MONTH(B1179)-1)/3)+1</f>
        <v>1</v>
      </c>
      <c r="E1179" s="10" t="n">
        <f aca="false">MONTH(B1179)</f>
        <v>3</v>
      </c>
      <c r="F1179" s="10" t="str">
        <f aca="false">CHOOSE(MOD(A1179-1,5)+1,"Центр","Юг","Север","Запад","Восток")</f>
        <v>Север</v>
      </c>
      <c r="G1179" s="10" t="str">
        <f aca="false">"Округ_"&amp;(MOD(A1179-1,5)+1)&amp;"_"&amp;(MOD(INT((A1179-1)/5),5)+1)</f>
        <v>Округ_3_1</v>
      </c>
      <c r="H1179" s="10" t="str">
        <f aca="false">"Город_"&amp;(MOD(A1179-1,5)+1)&amp;"_"&amp;(MOD(INT((A1179-1)/5),5)+1)&amp;"_"&amp;(MOD(INT((A1179-1)/25),10)+1)</f>
        <v>Город_3_1_8</v>
      </c>
      <c r="I1179" s="10" t="str">
        <f aca="false">CHOOSE(MOD(A1179-1,4)+1,"Электроника","Одежда","Продукты","Мебель")</f>
        <v>Одежда</v>
      </c>
      <c r="J1179" s="10" t="str">
        <f aca="false">CHOOSE(MOD(INT((A1179-1)/4),4)+1,CHOOSE(MOD(A1179-1,4)+1,"Смартфоны","Ноутбуки","Аксессуары","Аудио"),CHOOSE(MOD(A1179-1,4)+1,"Верхняя одежда","Спортивная","Повседневная","Обувь"),CHOOSE(MOD(A1179-1,4)+1,"Молочные","Мясные","Бакалея","Напитки"),CHOOSE(MOD(A1179-1,4)+1,"Мягкая мебель","Корпусная","Офисная","Кухонная"))</f>
        <v>Мясные</v>
      </c>
      <c r="K1179" s="12" t="n">
        <f aca="false">1000+MOD(A1179*317+A1179*A1179*7,49001)</f>
        <v>43009</v>
      </c>
      <c r="L1179" s="12" t="n">
        <f aca="false">1+MOD(A1179*131,100)</f>
        <v>19</v>
      </c>
      <c r="M1179" s="12" t="n">
        <f aca="false">INT(K1179*(0.6+MOD(A1179*43,21)/100))</f>
        <v>26665</v>
      </c>
      <c r="N1179" s="12" t="n">
        <f aca="false">K1179-M1179</f>
        <v>16344</v>
      </c>
    </row>
    <row r="1180" customFormat="false" ht="12.8" hidden="false" customHeight="false" outlineLevel="0" collapsed="false">
      <c r="A1180" s="10" t="n">
        <f aca="false">A1179+1</f>
        <v>1179</v>
      </c>
      <c r="B1180" s="11" t="n">
        <f aca="false">B1179+1</f>
        <v>46105</v>
      </c>
      <c r="C1180" s="10" t="n">
        <f aca="false">YEAR(B1180)</f>
        <v>2026</v>
      </c>
      <c r="D1180" s="10" t="n">
        <f aca="false">INT((MONTH(B1180)-1)/3)+1</f>
        <v>1</v>
      </c>
      <c r="E1180" s="10" t="n">
        <f aca="false">MONTH(B1180)</f>
        <v>3</v>
      </c>
      <c r="F1180" s="10" t="str">
        <f aca="false">CHOOSE(MOD(A1180-1,5)+1,"Центр","Юг","Север","Запад","Восток")</f>
        <v>Запад</v>
      </c>
      <c r="G1180" s="10" t="str">
        <f aca="false">"Округ_"&amp;(MOD(A1180-1,5)+1)&amp;"_"&amp;(MOD(INT((A1180-1)/5),5)+1)</f>
        <v>Округ_4_1</v>
      </c>
      <c r="H1180" s="10" t="str">
        <f aca="false">"Город_"&amp;(MOD(A1180-1,5)+1)&amp;"_"&amp;(MOD(INT((A1180-1)/5),5)+1)&amp;"_"&amp;(MOD(INT((A1180-1)/25),10)+1)</f>
        <v>Город_4_1_8</v>
      </c>
      <c r="I1180" s="10" t="str">
        <f aca="false">CHOOSE(MOD(A1180-1,4)+1,"Электроника","Одежда","Продукты","Мебель")</f>
        <v>Продукты</v>
      </c>
      <c r="J1180" s="10" t="str">
        <f aca="false">CHOOSE(MOD(INT((A1180-1)/4),4)+1,CHOOSE(MOD(A1180-1,4)+1,"Смартфоны","Ноутбуки","Аксессуары","Аудио"),CHOOSE(MOD(A1180-1,4)+1,"Верхняя одежда","Спортивная","Повседневная","Обувь"),CHOOSE(MOD(A1180-1,4)+1,"Молочные","Мясные","Бакалея","Напитки"),CHOOSE(MOD(A1180-1,4)+1,"Мягкая мебель","Корпусная","Офисная","Кухонная"))</f>
        <v>Бакалея</v>
      </c>
      <c r="K1180" s="12" t="n">
        <f aca="false">1000+MOD(A1180*317+A1180*A1180*7,49001)</f>
        <v>10824</v>
      </c>
      <c r="L1180" s="12" t="n">
        <f aca="false">1+MOD(A1180*131,100)</f>
        <v>50</v>
      </c>
      <c r="M1180" s="12" t="n">
        <f aca="false">INT(K1180*(0.6+MOD(A1180*43,21)/100))</f>
        <v>6819</v>
      </c>
      <c r="N1180" s="12" t="n">
        <f aca="false">K1180-M1180</f>
        <v>4005</v>
      </c>
    </row>
    <row r="1181" customFormat="false" ht="12.8" hidden="false" customHeight="false" outlineLevel="0" collapsed="false">
      <c r="A1181" s="10" t="n">
        <f aca="false">A1180+1</f>
        <v>1180</v>
      </c>
      <c r="B1181" s="11" t="n">
        <f aca="false">B1180+1</f>
        <v>46106</v>
      </c>
      <c r="C1181" s="10" t="n">
        <f aca="false">YEAR(B1181)</f>
        <v>2026</v>
      </c>
      <c r="D1181" s="10" t="n">
        <f aca="false">INT((MONTH(B1181)-1)/3)+1</f>
        <v>1</v>
      </c>
      <c r="E1181" s="10" t="n">
        <f aca="false">MONTH(B1181)</f>
        <v>3</v>
      </c>
      <c r="F1181" s="10" t="str">
        <f aca="false">CHOOSE(MOD(A1181-1,5)+1,"Центр","Юг","Север","Запад","Восток")</f>
        <v>Восток</v>
      </c>
      <c r="G1181" s="10" t="str">
        <f aca="false">"Округ_"&amp;(MOD(A1181-1,5)+1)&amp;"_"&amp;(MOD(INT((A1181-1)/5),5)+1)</f>
        <v>Округ_5_1</v>
      </c>
      <c r="H1181" s="10" t="str">
        <f aca="false">"Город_"&amp;(MOD(A1181-1,5)+1)&amp;"_"&amp;(MOD(INT((A1181-1)/5),5)+1)&amp;"_"&amp;(MOD(INT((A1181-1)/25),10)+1)</f>
        <v>Город_5_1_8</v>
      </c>
      <c r="I1181" s="10" t="str">
        <f aca="false">CHOOSE(MOD(A1181-1,4)+1,"Электроника","Одежда","Продукты","Мебель")</f>
        <v>Мебель</v>
      </c>
      <c r="J1181" s="10" t="str">
        <f aca="false">CHOOSE(MOD(INT((A1181-1)/4),4)+1,CHOOSE(MOD(A1181-1,4)+1,"Смартфоны","Ноутбуки","Аксессуары","Аудио"),CHOOSE(MOD(A1181-1,4)+1,"Верхняя одежда","Спортивная","Повседневная","Обувь"),CHOOSE(MOD(A1181-1,4)+1,"Молочные","Мясные","Бакалея","Напитки"),CHOOSE(MOD(A1181-1,4)+1,"Мягкая мебель","Корпусная","Офисная","Кухонная"))</f>
        <v>Напитки</v>
      </c>
      <c r="K1181" s="12" t="n">
        <f aca="false">1000+MOD(A1181*317+A1181*A1181*7,49001)</f>
        <v>27654</v>
      </c>
      <c r="L1181" s="12" t="n">
        <f aca="false">1+MOD(A1181*131,100)</f>
        <v>81</v>
      </c>
      <c r="M1181" s="12" t="n">
        <f aca="false">INT(K1181*(0.6+MOD(A1181*43,21)/100))</f>
        <v>17698</v>
      </c>
      <c r="N1181" s="12" t="n">
        <f aca="false">K1181-M1181</f>
        <v>9956</v>
      </c>
    </row>
    <row r="1182" customFormat="false" ht="12.8" hidden="false" customHeight="false" outlineLevel="0" collapsed="false">
      <c r="A1182" s="10" t="n">
        <f aca="false">A1181+1</f>
        <v>1181</v>
      </c>
      <c r="B1182" s="11" t="n">
        <f aca="false">B1181+1</f>
        <v>46107</v>
      </c>
      <c r="C1182" s="10" t="n">
        <f aca="false">YEAR(B1182)</f>
        <v>2026</v>
      </c>
      <c r="D1182" s="10" t="n">
        <f aca="false">INT((MONTH(B1182)-1)/3)+1</f>
        <v>1</v>
      </c>
      <c r="E1182" s="10" t="n">
        <f aca="false">MONTH(B1182)</f>
        <v>3</v>
      </c>
      <c r="F1182" s="10" t="str">
        <f aca="false">CHOOSE(MOD(A1182-1,5)+1,"Центр","Юг","Север","Запад","Восток")</f>
        <v>Центр</v>
      </c>
      <c r="G1182" s="10" t="str">
        <f aca="false">"Округ_"&amp;(MOD(A1182-1,5)+1)&amp;"_"&amp;(MOD(INT((A1182-1)/5),5)+1)</f>
        <v>Округ_1_2</v>
      </c>
      <c r="H1182" s="10" t="str">
        <f aca="false">"Город_"&amp;(MOD(A1182-1,5)+1)&amp;"_"&amp;(MOD(INT((A1182-1)/5),5)+1)&amp;"_"&amp;(MOD(INT((A1182-1)/25),10)+1)</f>
        <v>Город_1_2_8</v>
      </c>
      <c r="I1182" s="10" t="str">
        <f aca="false">CHOOSE(MOD(A1182-1,4)+1,"Электроника","Одежда","Продукты","Мебель")</f>
        <v>Электроника</v>
      </c>
      <c r="J1182" s="10" t="str">
        <f aca="false">CHOOSE(MOD(INT((A1182-1)/4),4)+1,CHOOSE(MOD(A1182-1,4)+1,"Смартфоны","Ноутбуки","Аксессуары","Аудио"),CHOOSE(MOD(A1182-1,4)+1,"Верхняя одежда","Спортивная","Повседневная","Обувь"),CHOOSE(MOD(A1182-1,4)+1,"Молочные","Мясные","Бакалея","Напитки"),CHOOSE(MOD(A1182-1,4)+1,"Мягкая мебель","Корпусная","Офисная","Кухонная"))</f>
        <v>Мягкая мебель</v>
      </c>
      <c r="K1182" s="12" t="n">
        <f aca="false">1000+MOD(A1182*317+A1182*A1182*7,49001)</f>
        <v>44498</v>
      </c>
      <c r="L1182" s="12" t="n">
        <f aca="false">1+MOD(A1182*131,100)</f>
        <v>12</v>
      </c>
      <c r="M1182" s="12" t="n">
        <f aca="false">INT(K1182*(0.6+MOD(A1182*43,21)/100))</f>
        <v>28923</v>
      </c>
      <c r="N1182" s="12" t="n">
        <f aca="false">K1182-M1182</f>
        <v>15575</v>
      </c>
    </row>
    <row r="1183" customFormat="false" ht="12.8" hidden="false" customHeight="false" outlineLevel="0" collapsed="false">
      <c r="A1183" s="10" t="n">
        <f aca="false">A1182+1</f>
        <v>1182</v>
      </c>
      <c r="B1183" s="11" t="n">
        <f aca="false">B1182+1</f>
        <v>46108</v>
      </c>
      <c r="C1183" s="10" t="n">
        <f aca="false">YEAR(B1183)</f>
        <v>2026</v>
      </c>
      <c r="D1183" s="10" t="n">
        <f aca="false">INT((MONTH(B1183)-1)/3)+1</f>
        <v>1</v>
      </c>
      <c r="E1183" s="10" t="n">
        <f aca="false">MONTH(B1183)</f>
        <v>3</v>
      </c>
      <c r="F1183" s="10" t="str">
        <f aca="false">CHOOSE(MOD(A1183-1,5)+1,"Центр","Юг","Север","Запад","Восток")</f>
        <v>Юг</v>
      </c>
      <c r="G1183" s="10" t="str">
        <f aca="false">"Округ_"&amp;(MOD(A1183-1,5)+1)&amp;"_"&amp;(MOD(INT((A1183-1)/5),5)+1)</f>
        <v>Округ_2_2</v>
      </c>
      <c r="H1183" s="10" t="str">
        <f aca="false">"Город_"&amp;(MOD(A1183-1,5)+1)&amp;"_"&amp;(MOD(INT((A1183-1)/5),5)+1)&amp;"_"&amp;(MOD(INT((A1183-1)/25),10)+1)</f>
        <v>Город_2_2_8</v>
      </c>
      <c r="I1183" s="10" t="str">
        <f aca="false">CHOOSE(MOD(A1183-1,4)+1,"Электроника","Одежда","Продукты","Мебель")</f>
        <v>Одежда</v>
      </c>
      <c r="J1183" s="10" t="str">
        <f aca="false">CHOOSE(MOD(INT((A1183-1)/4),4)+1,CHOOSE(MOD(A1183-1,4)+1,"Смартфоны","Ноутбуки","Аксессуары","Аудио"),CHOOSE(MOD(A1183-1,4)+1,"Верхняя одежда","Спортивная","Повседневная","Обувь"),CHOOSE(MOD(A1183-1,4)+1,"Молочные","Мясные","Бакалея","Напитки"),CHOOSE(MOD(A1183-1,4)+1,"Мягкая мебель","Корпусная","Офисная","Кухонная"))</f>
        <v>Корпусная</v>
      </c>
      <c r="K1183" s="12" t="n">
        <f aca="false">1000+MOD(A1183*317+A1183*A1183*7,49001)</f>
        <v>12355</v>
      </c>
      <c r="L1183" s="12" t="n">
        <f aca="false">1+MOD(A1183*131,100)</f>
        <v>43</v>
      </c>
      <c r="M1183" s="12" t="n">
        <f aca="false">INT(K1183*(0.6+MOD(A1183*43,21)/100))</f>
        <v>8154</v>
      </c>
      <c r="N1183" s="12" t="n">
        <f aca="false">K1183-M1183</f>
        <v>4201</v>
      </c>
    </row>
    <row r="1184" customFormat="false" ht="12.8" hidden="false" customHeight="false" outlineLevel="0" collapsed="false">
      <c r="A1184" s="10" t="n">
        <f aca="false">A1183+1</f>
        <v>1183</v>
      </c>
      <c r="B1184" s="11" t="n">
        <f aca="false">B1183+1</f>
        <v>46109</v>
      </c>
      <c r="C1184" s="10" t="n">
        <f aca="false">YEAR(B1184)</f>
        <v>2026</v>
      </c>
      <c r="D1184" s="10" t="n">
        <f aca="false">INT((MONTH(B1184)-1)/3)+1</f>
        <v>1</v>
      </c>
      <c r="E1184" s="10" t="n">
        <f aca="false">MONTH(B1184)</f>
        <v>3</v>
      </c>
      <c r="F1184" s="10" t="str">
        <f aca="false">CHOOSE(MOD(A1184-1,5)+1,"Центр","Юг","Север","Запад","Восток")</f>
        <v>Север</v>
      </c>
      <c r="G1184" s="10" t="str">
        <f aca="false">"Округ_"&amp;(MOD(A1184-1,5)+1)&amp;"_"&amp;(MOD(INT((A1184-1)/5),5)+1)</f>
        <v>Округ_3_2</v>
      </c>
      <c r="H1184" s="10" t="str">
        <f aca="false">"Город_"&amp;(MOD(A1184-1,5)+1)&amp;"_"&amp;(MOD(INT((A1184-1)/5),5)+1)&amp;"_"&amp;(MOD(INT((A1184-1)/25),10)+1)</f>
        <v>Город_3_2_8</v>
      </c>
      <c r="I1184" s="10" t="str">
        <f aca="false">CHOOSE(MOD(A1184-1,4)+1,"Электроника","Одежда","Продукты","Мебель")</f>
        <v>Продукты</v>
      </c>
      <c r="J1184" s="10" t="str">
        <f aca="false">CHOOSE(MOD(INT((A1184-1)/4),4)+1,CHOOSE(MOD(A1184-1,4)+1,"Смартфоны","Ноутбуки","Аксессуары","Аудио"),CHOOSE(MOD(A1184-1,4)+1,"Верхняя одежда","Спортивная","Повседневная","Обувь"),CHOOSE(MOD(A1184-1,4)+1,"Молочные","Мясные","Бакалея","Напитки"),CHOOSE(MOD(A1184-1,4)+1,"Мягкая мебель","Корпусная","Офисная","Кухонная"))</f>
        <v>Офисная</v>
      </c>
      <c r="K1184" s="12" t="n">
        <f aca="false">1000+MOD(A1184*317+A1184*A1184*7,49001)</f>
        <v>29227</v>
      </c>
      <c r="L1184" s="12" t="n">
        <f aca="false">1+MOD(A1184*131,100)</f>
        <v>74</v>
      </c>
      <c r="M1184" s="12" t="n">
        <f aca="false">INT(K1184*(0.6+MOD(A1184*43,21)/100))</f>
        <v>19582</v>
      </c>
      <c r="N1184" s="12" t="n">
        <f aca="false">K1184-M1184</f>
        <v>9645</v>
      </c>
    </row>
    <row r="1185" customFormat="false" ht="12.8" hidden="false" customHeight="false" outlineLevel="0" collapsed="false">
      <c r="A1185" s="10" t="n">
        <f aca="false">A1184+1</f>
        <v>1184</v>
      </c>
      <c r="B1185" s="11" t="n">
        <f aca="false">B1184+1</f>
        <v>46110</v>
      </c>
      <c r="C1185" s="10" t="n">
        <f aca="false">YEAR(B1185)</f>
        <v>2026</v>
      </c>
      <c r="D1185" s="10" t="n">
        <f aca="false">INT((MONTH(B1185)-1)/3)+1</f>
        <v>1</v>
      </c>
      <c r="E1185" s="10" t="n">
        <f aca="false">MONTH(B1185)</f>
        <v>3</v>
      </c>
      <c r="F1185" s="10" t="str">
        <f aca="false">CHOOSE(MOD(A1185-1,5)+1,"Центр","Юг","Север","Запад","Восток")</f>
        <v>Запад</v>
      </c>
      <c r="G1185" s="10" t="str">
        <f aca="false">"Округ_"&amp;(MOD(A1185-1,5)+1)&amp;"_"&amp;(MOD(INT((A1185-1)/5),5)+1)</f>
        <v>Округ_4_2</v>
      </c>
      <c r="H1185" s="10" t="str">
        <f aca="false">"Город_"&amp;(MOD(A1185-1,5)+1)&amp;"_"&amp;(MOD(INT((A1185-1)/5),5)+1)&amp;"_"&amp;(MOD(INT((A1185-1)/25),10)+1)</f>
        <v>Город_4_2_8</v>
      </c>
      <c r="I1185" s="10" t="str">
        <f aca="false">CHOOSE(MOD(A1185-1,4)+1,"Электроника","Одежда","Продукты","Мебель")</f>
        <v>Мебель</v>
      </c>
      <c r="J1185" s="10" t="str">
        <f aca="false">CHOOSE(MOD(INT((A1185-1)/4),4)+1,CHOOSE(MOD(A1185-1,4)+1,"Смартфоны","Ноутбуки","Аксессуары","Аудио"),CHOOSE(MOD(A1185-1,4)+1,"Верхняя одежда","Спортивная","Повседневная","Обувь"),CHOOSE(MOD(A1185-1,4)+1,"Молочные","Мясные","Бакалея","Напитки"),CHOOSE(MOD(A1185-1,4)+1,"Мягкая мебель","Корпусная","Офисная","Кухонная"))</f>
        <v>Кухонная</v>
      </c>
      <c r="K1185" s="12" t="n">
        <f aca="false">1000+MOD(A1185*317+A1185*A1185*7,49001)</f>
        <v>46113</v>
      </c>
      <c r="L1185" s="12" t="n">
        <f aca="false">1+MOD(A1185*131,100)</f>
        <v>5</v>
      </c>
      <c r="M1185" s="12" t="n">
        <f aca="false">INT(K1185*(0.6+MOD(A1185*43,21)/100))</f>
        <v>31356</v>
      </c>
      <c r="N1185" s="12" t="n">
        <f aca="false">K1185-M1185</f>
        <v>14757</v>
      </c>
    </row>
    <row r="1186" customFormat="false" ht="12.8" hidden="false" customHeight="false" outlineLevel="0" collapsed="false">
      <c r="A1186" s="10" t="n">
        <f aca="false">A1185+1</f>
        <v>1185</v>
      </c>
      <c r="B1186" s="11" t="n">
        <f aca="false">B1185+1</f>
        <v>46111</v>
      </c>
      <c r="C1186" s="10" t="n">
        <f aca="false">YEAR(B1186)</f>
        <v>2026</v>
      </c>
      <c r="D1186" s="10" t="n">
        <f aca="false">INT((MONTH(B1186)-1)/3)+1</f>
        <v>1</v>
      </c>
      <c r="E1186" s="10" t="n">
        <f aca="false">MONTH(B1186)</f>
        <v>3</v>
      </c>
      <c r="F1186" s="10" t="str">
        <f aca="false">CHOOSE(MOD(A1186-1,5)+1,"Центр","Юг","Север","Запад","Восток")</f>
        <v>Восток</v>
      </c>
      <c r="G1186" s="10" t="str">
        <f aca="false">"Округ_"&amp;(MOD(A1186-1,5)+1)&amp;"_"&amp;(MOD(INT((A1186-1)/5),5)+1)</f>
        <v>Округ_5_2</v>
      </c>
      <c r="H1186" s="10" t="str">
        <f aca="false">"Город_"&amp;(MOD(A1186-1,5)+1)&amp;"_"&amp;(MOD(INT((A1186-1)/5),5)+1)&amp;"_"&amp;(MOD(INT((A1186-1)/25),10)+1)</f>
        <v>Город_5_2_8</v>
      </c>
      <c r="I1186" s="10" t="str">
        <f aca="false">CHOOSE(MOD(A1186-1,4)+1,"Электроника","Одежда","Продукты","Мебель")</f>
        <v>Электроника</v>
      </c>
      <c r="J1186" s="10" t="str">
        <f aca="false">CHOOSE(MOD(INT((A1186-1)/4),4)+1,CHOOSE(MOD(A1186-1,4)+1,"Смартфоны","Ноутбуки","Аксессуары","Аудио"),CHOOSE(MOD(A1186-1,4)+1,"Верхняя одежда","Спортивная","Повседневная","Обувь"),CHOOSE(MOD(A1186-1,4)+1,"Молочные","Мясные","Бакалея","Напитки"),CHOOSE(MOD(A1186-1,4)+1,"Мягкая мебель","Корпусная","Офисная","Кухонная"))</f>
        <v>Смартфоны</v>
      </c>
      <c r="K1186" s="12" t="n">
        <f aca="false">1000+MOD(A1186*317+A1186*A1186*7,49001)</f>
        <v>14012</v>
      </c>
      <c r="L1186" s="12" t="n">
        <f aca="false">1+MOD(A1186*131,100)</f>
        <v>36</v>
      </c>
      <c r="M1186" s="12" t="n">
        <f aca="false">INT(K1186*(0.6+MOD(A1186*43,21)/100))</f>
        <v>9668</v>
      </c>
      <c r="N1186" s="12" t="n">
        <f aca="false">K1186-M1186</f>
        <v>4344</v>
      </c>
    </row>
    <row r="1187" customFormat="false" ht="12.8" hidden="false" customHeight="false" outlineLevel="0" collapsed="false">
      <c r="A1187" s="10" t="n">
        <f aca="false">A1186+1</f>
        <v>1186</v>
      </c>
      <c r="B1187" s="11" t="n">
        <f aca="false">B1186+1</f>
        <v>46112</v>
      </c>
      <c r="C1187" s="10" t="n">
        <f aca="false">YEAR(B1187)</f>
        <v>2026</v>
      </c>
      <c r="D1187" s="10" t="n">
        <f aca="false">INT((MONTH(B1187)-1)/3)+1</f>
        <v>1</v>
      </c>
      <c r="E1187" s="10" t="n">
        <f aca="false">MONTH(B1187)</f>
        <v>3</v>
      </c>
      <c r="F1187" s="10" t="str">
        <f aca="false">CHOOSE(MOD(A1187-1,5)+1,"Центр","Юг","Север","Запад","Восток")</f>
        <v>Центр</v>
      </c>
      <c r="G1187" s="10" t="str">
        <f aca="false">"Округ_"&amp;(MOD(A1187-1,5)+1)&amp;"_"&amp;(MOD(INT((A1187-1)/5),5)+1)</f>
        <v>Округ_1_3</v>
      </c>
      <c r="H1187" s="10" t="str">
        <f aca="false">"Город_"&amp;(MOD(A1187-1,5)+1)&amp;"_"&amp;(MOD(INT((A1187-1)/5),5)+1)&amp;"_"&amp;(MOD(INT((A1187-1)/25),10)+1)</f>
        <v>Город_1_3_8</v>
      </c>
      <c r="I1187" s="10" t="str">
        <f aca="false">CHOOSE(MOD(A1187-1,4)+1,"Электроника","Одежда","Продукты","Мебель")</f>
        <v>Одежда</v>
      </c>
      <c r="J1187" s="10" t="str">
        <f aca="false">CHOOSE(MOD(INT((A1187-1)/4),4)+1,CHOOSE(MOD(A1187-1,4)+1,"Смартфоны","Ноутбуки","Аксессуары","Аудио"),CHOOSE(MOD(A1187-1,4)+1,"Верхняя одежда","Спортивная","Повседневная","Обувь"),CHOOSE(MOD(A1187-1,4)+1,"Молочные","Мясные","Бакалея","Напитки"),CHOOSE(MOD(A1187-1,4)+1,"Мягкая мебель","Корпусная","Офисная","Кухонная"))</f>
        <v>Ноутбуки</v>
      </c>
      <c r="K1187" s="12" t="n">
        <f aca="false">1000+MOD(A1187*317+A1187*A1187*7,49001)</f>
        <v>30926</v>
      </c>
      <c r="L1187" s="12" t="n">
        <f aca="false">1+MOD(A1187*131,100)</f>
        <v>67</v>
      </c>
      <c r="M1187" s="12" t="n">
        <f aca="false">INT(K1187*(0.6+MOD(A1187*43,21)/100))</f>
        <v>21648</v>
      </c>
      <c r="N1187" s="12" t="n">
        <f aca="false">K1187-M1187</f>
        <v>9278</v>
      </c>
    </row>
    <row r="1188" customFormat="false" ht="12.8" hidden="false" customHeight="false" outlineLevel="0" collapsed="false">
      <c r="A1188" s="10" t="n">
        <f aca="false">A1187+1</f>
        <v>1187</v>
      </c>
      <c r="B1188" s="11" t="n">
        <f aca="false">B1187+1</f>
        <v>46113</v>
      </c>
      <c r="C1188" s="10" t="n">
        <f aca="false">YEAR(B1188)</f>
        <v>2026</v>
      </c>
      <c r="D1188" s="10" t="n">
        <f aca="false">INT((MONTH(B1188)-1)/3)+1</f>
        <v>2</v>
      </c>
      <c r="E1188" s="10" t="n">
        <f aca="false">MONTH(B1188)</f>
        <v>4</v>
      </c>
      <c r="F1188" s="10" t="str">
        <f aca="false">CHOOSE(MOD(A1188-1,5)+1,"Центр","Юг","Север","Запад","Восток")</f>
        <v>Юг</v>
      </c>
      <c r="G1188" s="10" t="str">
        <f aca="false">"Округ_"&amp;(MOD(A1188-1,5)+1)&amp;"_"&amp;(MOD(INT((A1188-1)/5),5)+1)</f>
        <v>Округ_2_3</v>
      </c>
      <c r="H1188" s="10" t="str">
        <f aca="false">"Город_"&amp;(MOD(A1188-1,5)+1)&amp;"_"&amp;(MOD(INT((A1188-1)/5),5)+1)&amp;"_"&amp;(MOD(INT((A1188-1)/25),10)+1)</f>
        <v>Город_2_3_8</v>
      </c>
      <c r="I1188" s="10" t="str">
        <f aca="false">CHOOSE(MOD(A1188-1,4)+1,"Электроника","Одежда","Продукты","Мебель")</f>
        <v>Продукты</v>
      </c>
      <c r="J1188" s="10" t="str">
        <f aca="false">CHOOSE(MOD(INT((A1188-1)/4),4)+1,CHOOSE(MOD(A1188-1,4)+1,"Смартфоны","Ноутбуки","Аксессуары","Аудио"),CHOOSE(MOD(A1188-1,4)+1,"Верхняя одежда","Спортивная","Повседневная","Обувь"),CHOOSE(MOD(A1188-1,4)+1,"Молочные","Мясные","Бакалея","Напитки"),CHOOSE(MOD(A1188-1,4)+1,"Мягкая мебель","Корпусная","Офисная","Кухонная"))</f>
        <v>Аксессуары</v>
      </c>
      <c r="K1188" s="12" t="n">
        <f aca="false">1000+MOD(A1188*317+A1188*A1188*7,49001)</f>
        <v>47854</v>
      </c>
      <c r="L1188" s="12" t="n">
        <f aca="false">1+MOD(A1188*131,100)</f>
        <v>98</v>
      </c>
      <c r="M1188" s="12" t="n">
        <f aca="false">INT(K1188*(0.6+MOD(A1188*43,21)/100))</f>
        <v>33976</v>
      </c>
      <c r="N1188" s="12" t="n">
        <f aca="false">K1188-M1188</f>
        <v>13878</v>
      </c>
    </row>
    <row r="1189" customFormat="false" ht="12.8" hidden="false" customHeight="false" outlineLevel="0" collapsed="false">
      <c r="A1189" s="10" t="n">
        <f aca="false">A1188+1</f>
        <v>1188</v>
      </c>
      <c r="B1189" s="11" t="n">
        <f aca="false">B1188+1</f>
        <v>46114</v>
      </c>
      <c r="C1189" s="10" t="n">
        <f aca="false">YEAR(B1189)</f>
        <v>2026</v>
      </c>
      <c r="D1189" s="10" t="n">
        <f aca="false">INT((MONTH(B1189)-1)/3)+1</f>
        <v>2</v>
      </c>
      <c r="E1189" s="10" t="n">
        <f aca="false">MONTH(B1189)</f>
        <v>4</v>
      </c>
      <c r="F1189" s="10" t="str">
        <f aca="false">CHOOSE(MOD(A1189-1,5)+1,"Центр","Юг","Север","Запад","Восток")</f>
        <v>Север</v>
      </c>
      <c r="G1189" s="10" t="str">
        <f aca="false">"Округ_"&amp;(MOD(A1189-1,5)+1)&amp;"_"&amp;(MOD(INT((A1189-1)/5),5)+1)</f>
        <v>Округ_3_3</v>
      </c>
      <c r="H1189" s="10" t="str">
        <f aca="false">"Город_"&amp;(MOD(A1189-1,5)+1)&amp;"_"&amp;(MOD(INT((A1189-1)/5),5)+1)&amp;"_"&amp;(MOD(INT((A1189-1)/25),10)+1)</f>
        <v>Город_3_3_8</v>
      </c>
      <c r="I1189" s="10" t="str">
        <f aca="false">CHOOSE(MOD(A1189-1,4)+1,"Электроника","Одежда","Продукты","Мебель")</f>
        <v>Мебель</v>
      </c>
      <c r="J1189" s="10" t="str">
        <f aca="false">CHOOSE(MOD(INT((A1189-1)/4),4)+1,CHOOSE(MOD(A1189-1,4)+1,"Смартфоны","Ноутбуки","Аксессуары","Аудио"),CHOOSE(MOD(A1189-1,4)+1,"Верхняя одежда","Спортивная","Повседневная","Обувь"),CHOOSE(MOD(A1189-1,4)+1,"Молочные","Мясные","Бакалея","Напитки"),CHOOSE(MOD(A1189-1,4)+1,"Мягкая мебель","Корпусная","Офисная","Кухонная"))</f>
        <v>Аудио</v>
      </c>
      <c r="K1189" s="12" t="n">
        <f aca="false">1000+MOD(A1189*317+A1189*A1189*7,49001)</f>
        <v>15795</v>
      </c>
      <c r="L1189" s="12" t="n">
        <f aca="false">1+MOD(A1189*131,100)</f>
        <v>29</v>
      </c>
      <c r="M1189" s="12" t="n">
        <f aca="false">INT(K1189*(0.6+MOD(A1189*43,21)/100))</f>
        <v>11372</v>
      </c>
      <c r="N1189" s="12" t="n">
        <f aca="false">K1189-M1189</f>
        <v>4423</v>
      </c>
    </row>
    <row r="1190" customFormat="false" ht="12.8" hidden="false" customHeight="false" outlineLevel="0" collapsed="false">
      <c r="A1190" s="10" t="n">
        <f aca="false">A1189+1</f>
        <v>1189</v>
      </c>
      <c r="B1190" s="11" t="n">
        <f aca="false">B1189+1</f>
        <v>46115</v>
      </c>
      <c r="C1190" s="10" t="n">
        <f aca="false">YEAR(B1190)</f>
        <v>2026</v>
      </c>
      <c r="D1190" s="10" t="n">
        <f aca="false">INT((MONTH(B1190)-1)/3)+1</f>
        <v>2</v>
      </c>
      <c r="E1190" s="10" t="n">
        <f aca="false">MONTH(B1190)</f>
        <v>4</v>
      </c>
      <c r="F1190" s="10" t="str">
        <f aca="false">CHOOSE(MOD(A1190-1,5)+1,"Центр","Юг","Север","Запад","Восток")</f>
        <v>Запад</v>
      </c>
      <c r="G1190" s="10" t="str">
        <f aca="false">"Округ_"&amp;(MOD(A1190-1,5)+1)&amp;"_"&amp;(MOD(INT((A1190-1)/5),5)+1)</f>
        <v>Округ_4_3</v>
      </c>
      <c r="H1190" s="10" t="str">
        <f aca="false">"Город_"&amp;(MOD(A1190-1,5)+1)&amp;"_"&amp;(MOD(INT((A1190-1)/5),5)+1)&amp;"_"&amp;(MOD(INT((A1190-1)/25),10)+1)</f>
        <v>Город_4_3_8</v>
      </c>
      <c r="I1190" s="10" t="str">
        <f aca="false">CHOOSE(MOD(A1190-1,4)+1,"Электроника","Одежда","Продукты","Мебель")</f>
        <v>Электроника</v>
      </c>
      <c r="J1190" s="10" t="str">
        <f aca="false">CHOOSE(MOD(INT((A1190-1)/4),4)+1,CHOOSE(MOD(A1190-1,4)+1,"Смартфоны","Ноутбуки","Аксессуары","Аудио"),CHOOSE(MOD(A1190-1,4)+1,"Верхняя одежда","Спортивная","Повседневная","Обувь"),CHOOSE(MOD(A1190-1,4)+1,"Молочные","Мясные","Бакалея","Напитки"),CHOOSE(MOD(A1190-1,4)+1,"Мягкая мебель","Корпусная","Офисная","Кухонная"))</f>
        <v>Верхняя одежда</v>
      </c>
      <c r="K1190" s="12" t="n">
        <f aca="false">1000+MOD(A1190*317+A1190*A1190*7,49001)</f>
        <v>32751</v>
      </c>
      <c r="L1190" s="12" t="n">
        <f aca="false">1+MOD(A1190*131,100)</f>
        <v>60</v>
      </c>
      <c r="M1190" s="12" t="n">
        <f aca="false">INT(K1190*(0.6+MOD(A1190*43,21)/100))</f>
        <v>23908</v>
      </c>
      <c r="N1190" s="12" t="n">
        <f aca="false">K1190-M1190</f>
        <v>8843</v>
      </c>
    </row>
    <row r="1191" customFormat="false" ht="12.8" hidden="false" customHeight="false" outlineLevel="0" collapsed="false">
      <c r="A1191" s="10" t="n">
        <f aca="false">A1190+1</f>
        <v>1190</v>
      </c>
      <c r="B1191" s="11" t="n">
        <f aca="false">B1190+1</f>
        <v>46116</v>
      </c>
      <c r="C1191" s="10" t="n">
        <f aca="false">YEAR(B1191)</f>
        <v>2026</v>
      </c>
      <c r="D1191" s="10" t="n">
        <f aca="false">INT((MONTH(B1191)-1)/3)+1</f>
        <v>2</v>
      </c>
      <c r="E1191" s="10" t="n">
        <f aca="false">MONTH(B1191)</f>
        <v>4</v>
      </c>
      <c r="F1191" s="10" t="str">
        <f aca="false">CHOOSE(MOD(A1191-1,5)+1,"Центр","Юг","Север","Запад","Восток")</f>
        <v>Восток</v>
      </c>
      <c r="G1191" s="10" t="str">
        <f aca="false">"Округ_"&amp;(MOD(A1191-1,5)+1)&amp;"_"&amp;(MOD(INT((A1191-1)/5),5)+1)</f>
        <v>Округ_5_3</v>
      </c>
      <c r="H1191" s="10" t="str">
        <f aca="false">"Город_"&amp;(MOD(A1191-1,5)+1)&amp;"_"&amp;(MOD(INT((A1191-1)/5),5)+1)&amp;"_"&amp;(MOD(INT((A1191-1)/25),10)+1)</f>
        <v>Город_5_3_8</v>
      </c>
      <c r="I1191" s="10" t="str">
        <f aca="false">CHOOSE(MOD(A1191-1,4)+1,"Электроника","Одежда","Продукты","Мебель")</f>
        <v>Одежда</v>
      </c>
      <c r="J1191" s="10" t="str">
        <f aca="false">CHOOSE(MOD(INT((A1191-1)/4),4)+1,CHOOSE(MOD(A1191-1,4)+1,"Смартфоны","Ноутбуки","Аксессуары","Аудио"),CHOOSE(MOD(A1191-1,4)+1,"Верхняя одежда","Спортивная","Повседневная","Обувь"),CHOOSE(MOD(A1191-1,4)+1,"Молочные","Мясные","Бакалея","Напитки"),CHOOSE(MOD(A1191-1,4)+1,"Мягкая мебель","Корпусная","Офисная","Кухонная"))</f>
        <v>Спортивная</v>
      </c>
      <c r="K1191" s="12" t="n">
        <f aca="false">1000+MOD(A1191*317+A1191*A1191*7,49001)</f>
        <v>49721</v>
      </c>
      <c r="L1191" s="12" t="n">
        <f aca="false">1+MOD(A1191*131,100)</f>
        <v>91</v>
      </c>
      <c r="M1191" s="12" t="n">
        <f aca="false">INT(K1191*(0.6+MOD(A1191*43,21)/100))</f>
        <v>36793</v>
      </c>
      <c r="N1191" s="12" t="n">
        <f aca="false">K1191-M1191</f>
        <v>12928</v>
      </c>
    </row>
    <row r="1192" customFormat="false" ht="12.8" hidden="false" customHeight="false" outlineLevel="0" collapsed="false">
      <c r="A1192" s="10" t="n">
        <f aca="false">A1191+1</f>
        <v>1191</v>
      </c>
      <c r="B1192" s="11" t="n">
        <f aca="false">B1191+1</f>
        <v>46117</v>
      </c>
      <c r="C1192" s="10" t="n">
        <f aca="false">YEAR(B1192)</f>
        <v>2026</v>
      </c>
      <c r="D1192" s="10" t="n">
        <f aca="false">INT((MONTH(B1192)-1)/3)+1</f>
        <v>2</v>
      </c>
      <c r="E1192" s="10" t="n">
        <f aca="false">MONTH(B1192)</f>
        <v>4</v>
      </c>
      <c r="F1192" s="10" t="str">
        <f aca="false">CHOOSE(MOD(A1192-1,5)+1,"Центр","Юг","Север","Запад","Восток")</f>
        <v>Центр</v>
      </c>
      <c r="G1192" s="10" t="str">
        <f aca="false">"Округ_"&amp;(MOD(A1192-1,5)+1)&amp;"_"&amp;(MOD(INT((A1192-1)/5),5)+1)</f>
        <v>Округ_1_4</v>
      </c>
      <c r="H1192" s="10" t="str">
        <f aca="false">"Город_"&amp;(MOD(A1192-1,5)+1)&amp;"_"&amp;(MOD(INT((A1192-1)/5),5)+1)&amp;"_"&amp;(MOD(INT((A1192-1)/25),10)+1)</f>
        <v>Город_1_4_8</v>
      </c>
      <c r="I1192" s="10" t="str">
        <f aca="false">CHOOSE(MOD(A1192-1,4)+1,"Электроника","Одежда","Продукты","Мебель")</f>
        <v>Продукты</v>
      </c>
      <c r="J1192" s="10" t="str">
        <f aca="false">CHOOSE(MOD(INT((A1192-1)/4),4)+1,CHOOSE(MOD(A1192-1,4)+1,"Смартфоны","Ноутбуки","Аксессуары","Аудио"),CHOOSE(MOD(A1192-1,4)+1,"Верхняя одежда","Спортивная","Повседневная","Обувь"),CHOOSE(MOD(A1192-1,4)+1,"Молочные","Мясные","Бакалея","Напитки"),CHOOSE(MOD(A1192-1,4)+1,"Мягкая мебель","Корпусная","Офисная","Кухонная"))</f>
        <v>Повседневная</v>
      </c>
      <c r="K1192" s="12" t="n">
        <f aca="false">1000+MOD(A1192*317+A1192*A1192*7,49001)</f>
        <v>17704</v>
      </c>
      <c r="L1192" s="12" t="n">
        <f aca="false">1+MOD(A1192*131,100)</f>
        <v>22</v>
      </c>
      <c r="M1192" s="12" t="n">
        <f aca="false">INT(K1192*(0.6+MOD(A1192*43,21)/100))</f>
        <v>13278</v>
      </c>
      <c r="N1192" s="12" t="n">
        <f aca="false">K1192-M1192</f>
        <v>4426</v>
      </c>
    </row>
    <row r="1193" customFormat="false" ht="12.8" hidden="false" customHeight="false" outlineLevel="0" collapsed="false">
      <c r="A1193" s="10" t="n">
        <f aca="false">A1192+1</f>
        <v>1192</v>
      </c>
      <c r="B1193" s="11" t="n">
        <f aca="false">B1192+1</f>
        <v>46118</v>
      </c>
      <c r="C1193" s="10" t="n">
        <f aca="false">YEAR(B1193)</f>
        <v>2026</v>
      </c>
      <c r="D1193" s="10" t="n">
        <f aca="false">INT((MONTH(B1193)-1)/3)+1</f>
        <v>2</v>
      </c>
      <c r="E1193" s="10" t="n">
        <f aca="false">MONTH(B1193)</f>
        <v>4</v>
      </c>
      <c r="F1193" s="10" t="str">
        <f aca="false">CHOOSE(MOD(A1193-1,5)+1,"Центр","Юг","Север","Запад","Восток")</f>
        <v>Юг</v>
      </c>
      <c r="G1193" s="10" t="str">
        <f aca="false">"Округ_"&amp;(MOD(A1193-1,5)+1)&amp;"_"&amp;(MOD(INT((A1193-1)/5),5)+1)</f>
        <v>Округ_2_4</v>
      </c>
      <c r="H1193" s="10" t="str">
        <f aca="false">"Город_"&amp;(MOD(A1193-1,5)+1)&amp;"_"&amp;(MOD(INT((A1193-1)/5),5)+1)&amp;"_"&amp;(MOD(INT((A1193-1)/25),10)+1)</f>
        <v>Город_2_4_8</v>
      </c>
      <c r="I1193" s="10" t="str">
        <f aca="false">CHOOSE(MOD(A1193-1,4)+1,"Электроника","Одежда","Продукты","Мебель")</f>
        <v>Мебель</v>
      </c>
      <c r="J1193" s="10" t="str">
        <f aca="false">CHOOSE(MOD(INT((A1193-1)/4),4)+1,CHOOSE(MOD(A1193-1,4)+1,"Смартфоны","Ноутбуки","Аксессуары","Аудио"),CHOOSE(MOD(A1193-1,4)+1,"Верхняя одежда","Спортивная","Повседневная","Обувь"),CHOOSE(MOD(A1193-1,4)+1,"Молочные","Мясные","Бакалея","Напитки"),CHOOSE(MOD(A1193-1,4)+1,"Мягкая мебель","Корпусная","Офисная","Кухонная"))</f>
        <v>Обувь</v>
      </c>
      <c r="K1193" s="12" t="n">
        <f aca="false">1000+MOD(A1193*317+A1193*A1193*7,49001)</f>
        <v>34702</v>
      </c>
      <c r="L1193" s="12" t="n">
        <f aca="false">1+MOD(A1193*131,100)</f>
        <v>53</v>
      </c>
      <c r="M1193" s="12" t="n">
        <f aca="false">INT(K1193*(0.6+MOD(A1193*43,21)/100))</f>
        <v>26373</v>
      </c>
      <c r="N1193" s="12" t="n">
        <f aca="false">K1193-M1193</f>
        <v>8329</v>
      </c>
    </row>
    <row r="1194" customFormat="false" ht="12.8" hidden="false" customHeight="false" outlineLevel="0" collapsed="false">
      <c r="A1194" s="10" t="n">
        <f aca="false">A1193+1</f>
        <v>1193</v>
      </c>
      <c r="B1194" s="11" t="n">
        <f aca="false">B1193+1</f>
        <v>46119</v>
      </c>
      <c r="C1194" s="10" t="n">
        <f aca="false">YEAR(B1194)</f>
        <v>2026</v>
      </c>
      <c r="D1194" s="10" t="n">
        <f aca="false">INT((MONTH(B1194)-1)/3)+1</f>
        <v>2</v>
      </c>
      <c r="E1194" s="10" t="n">
        <f aca="false">MONTH(B1194)</f>
        <v>4</v>
      </c>
      <c r="F1194" s="10" t="str">
        <f aca="false">CHOOSE(MOD(A1194-1,5)+1,"Центр","Юг","Север","Запад","Восток")</f>
        <v>Север</v>
      </c>
      <c r="G1194" s="10" t="str">
        <f aca="false">"Округ_"&amp;(MOD(A1194-1,5)+1)&amp;"_"&amp;(MOD(INT((A1194-1)/5),5)+1)</f>
        <v>Округ_3_4</v>
      </c>
      <c r="H1194" s="10" t="str">
        <f aca="false">"Город_"&amp;(MOD(A1194-1,5)+1)&amp;"_"&amp;(MOD(INT((A1194-1)/5),5)+1)&amp;"_"&amp;(MOD(INT((A1194-1)/25),10)+1)</f>
        <v>Город_3_4_8</v>
      </c>
      <c r="I1194" s="10" t="str">
        <f aca="false">CHOOSE(MOD(A1194-1,4)+1,"Электроника","Одежда","Продукты","Мебель")</f>
        <v>Электроника</v>
      </c>
      <c r="J1194" s="10" t="str">
        <f aca="false">CHOOSE(MOD(INT((A1194-1)/4),4)+1,CHOOSE(MOD(A1194-1,4)+1,"Смартфоны","Ноутбуки","Аксессуары","Аудио"),CHOOSE(MOD(A1194-1,4)+1,"Верхняя одежда","Спортивная","Повседневная","Обувь"),CHOOSE(MOD(A1194-1,4)+1,"Молочные","Мясные","Бакалея","Напитки"),CHOOSE(MOD(A1194-1,4)+1,"Мягкая мебель","Корпусная","Офисная","Кухонная"))</f>
        <v>Молочные</v>
      </c>
      <c r="K1194" s="12" t="n">
        <f aca="false">1000+MOD(A1194*317+A1194*A1194*7,49001)</f>
        <v>2713</v>
      </c>
      <c r="L1194" s="12" t="n">
        <f aca="false">1+MOD(A1194*131,100)</f>
        <v>84</v>
      </c>
      <c r="M1194" s="12" t="n">
        <f aca="false">INT(K1194*(0.6+MOD(A1194*43,21)/100))</f>
        <v>2089</v>
      </c>
      <c r="N1194" s="12" t="n">
        <f aca="false">K1194-M1194</f>
        <v>624</v>
      </c>
    </row>
    <row r="1195" customFormat="false" ht="12.8" hidden="false" customHeight="false" outlineLevel="0" collapsed="false">
      <c r="A1195" s="10" t="n">
        <f aca="false">A1194+1</f>
        <v>1194</v>
      </c>
      <c r="B1195" s="11" t="n">
        <f aca="false">B1194+1</f>
        <v>46120</v>
      </c>
      <c r="C1195" s="10" t="n">
        <f aca="false">YEAR(B1195)</f>
        <v>2026</v>
      </c>
      <c r="D1195" s="10" t="n">
        <f aca="false">INT((MONTH(B1195)-1)/3)+1</f>
        <v>2</v>
      </c>
      <c r="E1195" s="10" t="n">
        <f aca="false">MONTH(B1195)</f>
        <v>4</v>
      </c>
      <c r="F1195" s="10" t="str">
        <f aca="false">CHOOSE(MOD(A1195-1,5)+1,"Центр","Юг","Север","Запад","Восток")</f>
        <v>Запад</v>
      </c>
      <c r="G1195" s="10" t="str">
        <f aca="false">"Округ_"&amp;(MOD(A1195-1,5)+1)&amp;"_"&amp;(MOD(INT((A1195-1)/5),5)+1)</f>
        <v>Округ_4_4</v>
      </c>
      <c r="H1195" s="10" t="str">
        <f aca="false">"Город_"&amp;(MOD(A1195-1,5)+1)&amp;"_"&amp;(MOD(INT((A1195-1)/5),5)+1)&amp;"_"&amp;(MOD(INT((A1195-1)/25),10)+1)</f>
        <v>Город_4_4_8</v>
      </c>
      <c r="I1195" s="10" t="str">
        <f aca="false">CHOOSE(MOD(A1195-1,4)+1,"Электроника","Одежда","Продукты","Мебель")</f>
        <v>Одежда</v>
      </c>
      <c r="J1195" s="10" t="str">
        <f aca="false">CHOOSE(MOD(INT((A1195-1)/4),4)+1,CHOOSE(MOD(A1195-1,4)+1,"Смартфоны","Ноутбуки","Аксессуары","Аудио"),CHOOSE(MOD(A1195-1,4)+1,"Верхняя одежда","Спортивная","Повседневная","Обувь"),CHOOSE(MOD(A1195-1,4)+1,"Молочные","Мясные","Бакалея","Напитки"),CHOOSE(MOD(A1195-1,4)+1,"Мягкая мебель","Корпусная","Офисная","Кухонная"))</f>
        <v>Мясные</v>
      </c>
      <c r="K1195" s="12" t="n">
        <f aca="false">1000+MOD(A1195*317+A1195*A1195*7,49001)</f>
        <v>19739</v>
      </c>
      <c r="L1195" s="12" t="n">
        <f aca="false">1+MOD(A1195*131,100)</f>
        <v>15</v>
      </c>
      <c r="M1195" s="12" t="n">
        <f aca="false">INT(K1195*(0.6+MOD(A1195*43,21)/100))</f>
        <v>15396</v>
      </c>
      <c r="N1195" s="12" t="n">
        <f aca="false">K1195-M1195</f>
        <v>4343</v>
      </c>
    </row>
    <row r="1196" customFormat="false" ht="12.8" hidden="false" customHeight="false" outlineLevel="0" collapsed="false">
      <c r="A1196" s="10" t="n">
        <f aca="false">A1195+1</f>
        <v>1195</v>
      </c>
      <c r="B1196" s="11" t="n">
        <f aca="false">B1195+1</f>
        <v>46121</v>
      </c>
      <c r="C1196" s="10" t="n">
        <f aca="false">YEAR(B1196)</f>
        <v>2026</v>
      </c>
      <c r="D1196" s="10" t="n">
        <f aca="false">INT((MONTH(B1196)-1)/3)+1</f>
        <v>2</v>
      </c>
      <c r="E1196" s="10" t="n">
        <f aca="false">MONTH(B1196)</f>
        <v>4</v>
      </c>
      <c r="F1196" s="10" t="str">
        <f aca="false">CHOOSE(MOD(A1196-1,5)+1,"Центр","Юг","Север","Запад","Восток")</f>
        <v>Восток</v>
      </c>
      <c r="G1196" s="10" t="str">
        <f aca="false">"Округ_"&amp;(MOD(A1196-1,5)+1)&amp;"_"&amp;(MOD(INT((A1196-1)/5),5)+1)</f>
        <v>Округ_5_4</v>
      </c>
      <c r="H1196" s="10" t="str">
        <f aca="false">"Город_"&amp;(MOD(A1196-1,5)+1)&amp;"_"&amp;(MOD(INT((A1196-1)/5),5)+1)&amp;"_"&amp;(MOD(INT((A1196-1)/25),10)+1)</f>
        <v>Город_5_4_8</v>
      </c>
      <c r="I1196" s="10" t="str">
        <f aca="false">CHOOSE(MOD(A1196-1,4)+1,"Электроника","Одежда","Продукты","Мебель")</f>
        <v>Продукты</v>
      </c>
      <c r="J1196" s="10" t="str">
        <f aca="false">CHOOSE(MOD(INT((A1196-1)/4),4)+1,CHOOSE(MOD(A1196-1,4)+1,"Смартфоны","Ноутбуки","Аксессуары","Аудио"),CHOOSE(MOD(A1196-1,4)+1,"Верхняя одежда","Спортивная","Повседневная","Обувь"),CHOOSE(MOD(A1196-1,4)+1,"Молочные","Мясные","Бакалея","Напитки"),CHOOSE(MOD(A1196-1,4)+1,"Мягкая мебель","Корпусная","Офисная","Кухонная"))</f>
        <v>Бакалея</v>
      </c>
      <c r="K1196" s="12" t="n">
        <f aca="false">1000+MOD(A1196*317+A1196*A1196*7,49001)</f>
        <v>36779</v>
      </c>
      <c r="L1196" s="12" t="n">
        <f aca="false">1+MOD(A1196*131,100)</f>
        <v>46</v>
      </c>
      <c r="M1196" s="12" t="n">
        <f aca="false">INT(K1196*(0.6+MOD(A1196*43,21)/100))</f>
        <v>29055</v>
      </c>
      <c r="N1196" s="12" t="n">
        <f aca="false">K1196-M1196</f>
        <v>7724</v>
      </c>
    </row>
    <row r="1197" customFormat="false" ht="12.8" hidden="false" customHeight="false" outlineLevel="0" collapsed="false">
      <c r="A1197" s="10" t="n">
        <f aca="false">A1196+1</f>
        <v>1196</v>
      </c>
      <c r="B1197" s="11" t="n">
        <f aca="false">B1196+1</f>
        <v>46122</v>
      </c>
      <c r="C1197" s="10" t="n">
        <f aca="false">YEAR(B1197)</f>
        <v>2026</v>
      </c>
      <c r="D1197" s="10" t="n">
        <f aca="false">INT((MONTH(B1197)-1)/3)+1</f>
        <v>2</v>
      </c>
      <c r="E1197" s="10" t="n">
        <f aca="false">MONTH(B1197)</f>
        <v>4</v>
      </c>
      <c r="F1197" s="10" t="str">
        <f aca="false">CHOOSE(MOD(A1197-1,5)+1,"Центр","Юг","Север","Запад","Восток")</f>
        <v>Центр</v>
      </c>
      <c r="G1197" s="10" t="str">
        <f aca="false">"Округ_"&amp;(MOD(A1197-1,5)+1)&amp;"_"&amp;(MOD(INT((A1197-1)/5),5)+1)</f>
        <v>Округ_1_5</v>
      </c>
      <c r="H1197" s="10" t="str">
        <f aca="false">"Город_"&amp;(MOD(A1197-1,5)+1)&amp;"_"&amp;(MOD(INT((A1197-1)/5),5)+1)&amp;"_"&amp;(MOD(INT((A1197-1)/25),10)+1)</f>
        <v>Город_1_5_8</v>
      </c>
      <c r="I1197" s="10" t="str">
        <f aca="false">CHOOSE(MOD(A1197-1,4)+1,"Электроника","Одежда","Продукты","Мебель")</f>
        <v>Мебель</v>
      </c>
      <c r="J1197" s="10" t="str">
        <f aca="false">CHOOSE(MOD(INT((A1197-1)/4),4)+1,CHOOSE(MOD(A1197-1,4)+1,"Смартфоны","Ноутбуки","Аксессуары","Аудио"),CHOOSE(MOD(A1197-1,4)+1,"Верхняя одежда","Спортивная","Повседневная","Обувь"),CHOOSE(MOD(A1197-1,4)+1,"Молочные","Мясные","Бакалея","Напитки"),CHOOSE(MOD(A1197-1,4)+1,"Мягкая мебель","Корпусная","Офисная","Кухонная"))</f>
        <v>Напитки</v>
      </c>
      <c r="K1197" s="12" t="n">
        <f aca="false">1000+MOD(A1197*317+A1197*A1197*7,49001)</f>
        <v>4832</v>
      </c>
      <c r="L1197" s="12" t="n">
        <f aca="false">1+MOD(A1197*131,100)</f>
        <v>77</v>
      </c>
      <c r="M1197" s="12" t="n">
        <f aca="false">INT(K1197*(0.6+MOD(A1197*43,21)/100))</f>
        <v>3865</v>
      </c>
      <c r="N1197" s="12" t="n">
        <f aca="false">K1197-M1197</f>
        <v>967</v>
      </c>
    </row>
    <row r="1198" customFormat="false" ht="12.8" hidden="false" customHeight="false" outlineLevel="0" collapsed="false">
      <c r="A1198" s="10" t="n">
        <f aca="false">A1197+1</f>
        <v>1197</v>
      </c>
      <c r="B1198" s="11" t="n">
        <f aca="false">B1197+1</f>
        <v>46123</v>
      </c>
      <c r="C1198" s="10" t="n">
        <f aca="false">YEAR(B1198)</f>
        <v>2026</v>
      </c>
      <c r="D1198" s="10" t="n">
        <f aca="false">INT((MONTH(B1198)-1)/3)+1</f>
        <v>2</v>
      </c>
      <c r="E1198" s="10" t="n">
        <f aca="false">MONTH(B1198)</f>
        <v>4</v>
      </c>
      <c r="F1198" s="10" t="str">
        <f aca="false">CHOOSE(MOD(A1198-1,5)+1,"Центр","Юг","Север","Запад","Восток")</f>
        <v>Юг</v>
      </c>
      <c r="G1198" s="10" t="str">
        <f aca="false">"Округ_"&amp;(MOD(A1198-1,5)+1)&amp;"_"&amp;(MOD(INT((A1198-1)/5),5)+1)</f>
        <v>Округ_2_5</v>
      </c>
      <c r="H1198" s="10" t="str">
        <f aca="false">"Город_"&amp;(MOD(A1198-1,5)+1)&amp;"_"&amp;(MOD(INT((A1198-1)/5),5)+1)&amp;"_"&amp;(MOD(INT((A1198-1)/25),10)+1)</f>
        <v>Город_2_5_8</v>
      </c>
      <c r="I1198" s="10" t="str">
        <f aca="false">CHOOSE(MOD(A1198-1,4)+1,"Электроника","Одежда","Продукты","Мебель")</f>
        <v>Электроника</v>
      </c>
      <c r="J1198" s="10" t="str">
        <f aca="false">CHOOSE(MOD(INT((A1198-1)/4),4)+1,CHOOSE(MOD(A1198-1,4)+1,"Смартфоны","Ноутбуки","Аксессуары","Аудио"),CHOOSE(MOD(A1198-1,4)+1,"Верхняя одежда","Спортивная","Повседневная","Обувь"),CHOOSE(MOD(A1198-1,4)+1,"Молочные","Мясные","Бакалея","Напитки"),CHOOSE(MOD(A1198-1,4)+1,"Мягкая мебель","Корпусная","Офисная","Кухонная"))</f>
        <v>Мягкая мебель</v>
      </c>
      <c r="K1198" s="12" t="n">
        <f aca="false">1000+MOD(A1198*317+A1198*A1198*7,49001)</f>
        <v>21900</v>
      </c>
      <c r="L1198" s="12" t="n">
        <f aca="false">1+MOD(A1198*131,100)</f>
        <v>8</v>
      </c>
      <c r="M1198" s="12" t="n">
        <f aca="false">INT(K1198*(0.6+MOD(A1198*43,21)/100))</f>
        <v>13140</v>
      </c>
      <c r="N1198" s="12" t="n">
        <f aca="false">K1198-M1198</f>
        <v>8760</v>
      </c>
    </row>
    <row r="1199" customFormat="false" ht="12.8" hidden="false" customHeight="false" outlineLevel="0" collapsed="false">
      <c r="A1199" s="10" t="n">
        <f aca="false">A1198+1</f>
        <v>1198</v>
      </c>
      <c r="B1199" s="11" t="n">
        <f aca="false">B1198+1</f>
        <v>46124</v>
      </c>
      <c r="C1199" s="10" t="n">
        <f aca="false">YEAR(B1199)</f>
        <v>2026</v>
      </c>
      <c r="D1199" s="10" t="n">
        <f aca="false">INT((MONTH(B1199)-1)/3)+1</f>
        <v>2</v>
      </c>
      <c r="E1199" s="10" t="n">
        <f aca="false">MONTH(B1199)</f>
        <v>4</v>
      </c>
      <c r="F1199" s="10" t="str">
        <f aca="false">CHOOSE(MOD(A1199-1,5)+1,"Центр","Юг","Север","Запад","Восток")</f>
        <v>Север</v>
      </c>
      <c r="G1199" s="10" t="str">
        <f aca="false">"Округ_"&amp;(MOD(A1199-1,5)+1)&amp;"_"&amp;(MOD(INT((A1199-1)/5),5)+1)</f>
        <v>Округ_3_5</v>
      </c>
      <c r="H1199" s="10" t="str">
        <f aca="false">"Город_"&amp;(MOD(A1199-1,5)+1)&amp;"_"&amp;(MOD(INT((A1199-1)/5),5)+1)&amp;"_"&amp;(MOD(INT((A1199-1)/25),10)+1)</f>
        <v>Город_3_5_8</v>
      </c>
      <c r="I1199" s="10" t="str">
        <f aca="false">CHOOSE(MOD(A1199-1,4)+1,"Электроника","Одежда","Продукты","Мебель")</f>
        <v>Одежда</v>
      </c>
      <c r="J1199" s="10" t="str">
        <f aca="false">CHOOSE(MOD(INT((A1199-1)/4),4)+1,CHOOSE(MOD(A1199-1,4)+1,"Смартфоны","Ноутбуки","Аксессуары","Аудио"),CHOOSE(MOD(A1199-1,4)+1,"Верхняя одежда","Спортивная","Повседневная","Обувь"),CHOOSE(MOD(A1199-1,4)+1,"Молочные","Мясные","Бакалея","Напитки"),CHOOSE(MOD(A1199-1,4)+1,"Мягкая мебель","Корпусная","Офисная","Кухонная"))</f>
        <v>Корпусная</v>
      </c>
      <c r="K1199" s="12" t="n">
        <f aca="false">1000+MOD(A1199*317+A1199*A1199*7,49001)</f>
        <v>38982</v>
      </c>
      <c r="L1199" s="12" t="n">
        <f aca="false">1+MOD(A1199*131,100)</f>
        <v>39</v>
      </c>
      <c r="M1199" s="12" t="n">
        <f aca="false">INT(K1199*(0.6+MOD(A1199*43,21)/100))</f>
        <v>23779</v>
      </c>
      <c r="N1199" s="12" t="n">
        <f aca="false">K1199-M1199</f>
        <v>15203</v>
      </c>
    </row>
    <row r="1200" customFormat="false" ht="12.8" hidden="false" customHeight="false" outlineLevel="0" collapsed="false">
      <c r="A1200" s="10" t="n">
        <f aca="false">A1199+1</f>
        <v>1199</v>
      </c>
      <c r="B1200" s="11" t="n">
        <f aca="false">B1199+1</f>
        <v>46125</v>
      </c>
      <c r="C1200" s="10" t="n">
        <f aca="false">YEAR(B1200)</f>
        <v>2026</v>
      </c>
      <c r="D1200" s="10" t="n">
        <f aca="false">INT((MONTH(B1200)-1)/3)+1</f>
        <v>2</v>
      </c>
      <c r="E1200" s="10" t="n">
        <f aca="false">MONTH(B1200)</f>
        <v>4</v>
      </c>
      <c r="F1200" s="10" t="str">
        <f aca="false">CHOOSE(MOD(A1200-1,5)+1,"Центр","Юг","Север","Запад","Восток")</f>
        <v>Запад</v>
      </c>
      <c r="G1200" s="10" t="str">
        <f aca="false">"Округ_"&amp;(MOD(A1200-1,5)+1)&amp;"_"&amp;(MOD(INT((A1200-1)/5),5)+1)</f>
        <v>Округ_4_5</v>
      </c>
      <c r="H1200" s="10" t="str">
        <f aca="false">"Город_"&amp;(MOD(A1200-1,5)+1)&amp;"_"&amp;(MOD(INT((A1200-1)/5),5)+1)&amp;"_"&amp;(MOD(INT((A1200-1)/25),10)+1)</f>
        <v>Город_4_5_8</v>
      </c>
      <c r="I1200" s="10" t="str">
        <f aca="false">CHOOSE(MOD(A1200-1,4)+1,"Электроника","Одежда","Продукты","Мебель")</f>
        <v>Продукты</v>
      </c>
      <c r="J1200" s="10" t="str">
        <f aca="false">CHOOSE(MOD(INT((A1200-1)/4),4)+1,CHOOSE(MOD(A1200-1,4)+1,"Смартфоны","Ноутбуки","Аксессуары","Аудио"),CHOOSE(MOD(A1200-1,4)+1,"Верхняя одежда","Спортивная","Повседневная","Обувь"),CHOOSE(MOD(A1200-1,4)+1,"Молочные","Мясные","Бакалея","Напитки"),CHOOSE(MOD(A1200-1,4)+1,"Мягкая мебель","Корпусная","Офисная","Кухонная"))</f>
        <v>Офисная</v>
      </c>
      <c r="K1200" s="12" t="n">
        <f aca="false">1000+MOD(A1200*317+A1200*A1200*7,49001)</f>
        <v>7077</v>
      </c>
      <c r="L1200" s="12" t="n">
        <f aca="false">1+MOD(A1200*131,100)</f>
        <v>70</v>
      </c>
      <c r="M1200" s="12" t="n">
        <f aca="false">INT(K1200*(0.6+MOD(A1200*43,21)/100))</f>
        <v>4387</v>
      </c>
      <c r="N1200" s="12" t="n">
        <f aca="false">K1200-M1200</f>
        <v>2690</v>
      </c>
    </row>
    <row r="1201" customFormat="false" ht="12.8" hidden="false" customHeight="false" outlineLevel="0" collapsed="false">
      <c r="A1201" s="10" t="n">
        <f aca="false">A1200+1</f>
        <v>1200</v>
      </c>
      <c r="B1201" s="11" t="n">
        <f aca="false">B1200+1</f>
        <v>46126</v>
      </c>
      <c r="C1201" s="10" t="n">
        <f aca="false">YEAR(B1201)</f>
        <v>2026</v>
      </c>
      <c r="D1201" s="10" t="n">
        <f aca="false">INT((MONTH(B1201)-1)/3)+1</f>
        <v>2</v>
      </c>
      <c r="E1201" s="10" t="n">
        <f aca="false">MONTH(B1201)</f>
        <v>4</v>
      </c>
      <c r="F1201" s="10" t="str">
        <f aca="false">CHOOSE(MOD(A1201-1,5)+1,"Центр","Юг","Север","Запад","Восток")</f>
        <v>Восток</v>
      </c>
      <c r="G1201" s="10" t="str">
        <f aca="false">"Округ_"&amp;(MOD(A1201-1,5)+1)&amp;"_"&amp;(MOD(INT((A1201-1)/5),5)+1)</f>
        <v>Округ_5_5</v>
      </c>
      <c r="H1201" s="10" t="str">
        <f aca="false">"Город_"&amp;(MOD(A1201-1,5)+1)&amp;"_"&amp;(MOD(INT((A1201-1)/5),5)+1)&amp;"_"&amp;(MOD(INT((A1201-1)/25),10)+1)</f>
        <v>Город_5_5_8</v>
      </c>
      <c r="I1201" s="10" t="str">
        <f aca="false">CHOOSE(MOD(A1201-1,4)+1,"Электроника","Одежда","Продукты","Мебель")</f>
        <v>Мебель</v>
      </c>
      <c r="J1201" s="10" t="str">
        <f aca="false">CHOOSE(MOD(INT((A1201-1)/4),4)+1,CHOOSE(MOD(A1201-1,4)+1,"Смартфоны","Ноутбуки","Аксессуары","Аудио"),CHOOSE(MOD(A1201-1,4)+1,"Верхняя одежда","Спортивная","Повседневная","Обувь"),CHOOSE(MOD(A1201-1,4)+1,"Молочные","Мясные","Бакалея","Напитки"),CHOOSE(MOD(A1201-1,4)+1,"Мягкая мебель","Корпусная","Офисная","Кухонная"))</f>
        <v>Кухонная</v>
      </c>
      <c r="K1201" s="12" t="n">
        <f aca="false">1000+MOD(A1201*317+A1201*A1201*7,49001)</f>
        <v>24187</v>
      </c>
      <c r="L1201" s="12" t="n">
        <f aca="false">1+MOD(A1201*131,100)</f>
        <v>1</v>
      </c>
      <c r="M1201" s="12" t="n">
        <f aca="false">INT(K1201*(0.6+MOD(A1201*43,21)/100))</f>
        <v>15237</v>
      </c>
      <c r="N1201" s="12" t="n">
        <f aca="false">K1201-M1201</f>
        <v>8950</v>
      </c>
    </row>
    <row r="1202" customFormat="false" ht="12.8" hidden="false" customHeight="false" outlineLevel="0" collapsed="false">
      <c r="A1202" s="10" t="n">
        <f aca="false">A1201+1</f>
        <v>1201</v>
      </c>
      <c r="B1202" s="11" t="n">
        <f aca="false">B1201+1</f>
        <v>46127</v>
      </c>
      <c r="C1202" s="10" t="n">
        <f aca="false">YEAR(B1202)</f>
        <v>2026</v>
      </c>
      <c r="D1202" s="10" t="n">
        <f aca="false">INT((MONTH(B1202)-1)/3)+1</f>
        <v>2</v>
      </c>
      <c r="E1202" s="10" t="n">
        <f aca="false">MONTH(B1202)</f>
        <v>4</v>
      </c>
      <c r="F1202" s="10" t="str">
        <f aca="false">CHOOSE(MOD(A1202-1,5)+1,"Центр","Юг","Север","Запад","Восток")</f>
        <v>Центр</v>
      </c>
      <c r="G1202" s="10" t="str">
        <f aca="false">"Округ_"&amp;(MOD(A1202-1,5)+1)&amp;"_"&amp;(MOD(INT((A1202-1)/5),5)+1)</f>
        <v>Округ_1_1</v>
      </c>
      <c r="H1202" s="10" t="str">
        <f aca="false">"Город_"&amp;(MOD(A1202-1,5)+1)&amp;"_"&amp;(MOD(INT((A1202-1)/5),5)+1)&amp;"_"&amp;(MOD(INT((A1202-1)/25),10)+1)</f>
        <v>Город_1_1_9</v>
      </c>
      <c r="I1202" s="10" t="str">
        <f aca="false">CHOOSE(MOD(A1202-1,4)+1,"Электроника","Одежда","Продукты","Мебель")</f>
        <v>Электроника</v>
      </c>
      <c r="J1202" s="10" t="str">
        <f aca="false">CHOOSE(MOD(INT((A1202-1)/4),4)+1,CHOOSE(MOD(A1202-1,4)+1,"Смартфоны","Ноутбуки","Аксессуары","Аудио"),CHOOSE(MOD(A1202-1,4)+1,"Верхняя одежда","Спортивная","Повседневная","Обувь"),CHOOSE(MOD(A1202-1,4)+1,"Молочные","Мясные","Бакалея","Напитки"),CHOOSE(MOD(A1202-1,4)+1,"Мягкая мебель","Корпусная","Офисная","Кухонная"))</f>
        <v>Смартфоны</v>
      </c>
      <c r="K1202" s="12" t="n">
        <f aca="false">1000+MOD(A1202*317+A1202*A1202*7,49001)</f>
        <v>41311</v>
      </c>
      <c r="L1202" s="12" t="n">
        <f aca="false">1+MOD(A1202*131,100)</f>
        <v>32</v>
      </c>
      <c r="M1202" s="12" t="n">
        <f aca="false">INT(K1202*(0.6+MOD(A1202*43,21)/100))</f>
        <v>26439</v>
      </c>
      <c r="N1202" s="12" t="n">
        <f aca="false">K1202-M1202</f>
        <v>14872</v>
      </c>
    </row>
    <row r="1203" customFormat="false" ht="12.8" hidden="false" customHeight="false" outlineLevel="0" collapsed="false">
      <c r="A1203" s="10" t="n">
        <f aca="false">A1202+1</f>
        <v>1202</v>
      </c>
      <c r="B1203" s="11" t="n">
        <f aca="false">B1202+1</f>
        <v>46128</v>
      </c>
      <c r="C1203" s="10" t="n">
        <f aca="false">YEAR(B1203)</f>
        <v>2026</v>
      </c>
      <c r="D1203" s="10" t="n">
        <f aca="false">INT((MONTH(B1203)-1)/3)+1</f>
        <v>2</v>
      </c>
      <c r="E1203" s="10" t="n">
        <f aca="false">MONTH(B1203)</f>
        <v>4</v>
      </c>
      <c r="F1203" s="10" t="str">
        <f aca="false">CHOOSE(MOD(A1203-1,5)+1,"Центр","Юг","Север","Запад","Восток")</f>
        <v>Юг</v>
      </c>
      <c r="G1203" s="10" t="str">
        <f aca="false">"Округ_"&amp;(MOD(A1203-1,5)+1)&amp;"_"&amp;(MOD(INT((A1203-1)/5),5)+1)</f>
        <v>Округ_2_1</v>
      </c>
      <c r="H1203" s="10" t="str">
        <f aca="false">"Город_"&amp;(MOD(A1203-1,5)+1)&amp;"_"&amp;(MOD(INT((A1203-1)/5),5)+1)&amp;"_"&amp;(MOD(INT((A1203-1)/25),10)+1)</f>
        <v>Город_2_1_9</v>
      </c>
      <c r="I1203" s="10" t="str">
        <f aca="false">CHOOSE(MOD(A1203-1,4)+1,"Электроника","Одежда","Продукты","Мебель")</f>
        <v>Одежда</v>
      </c>
      <c r="J1203" s="10" t="str">
        <f aca="false">CHOOSE(MOD(INT((A1203-1)/4),4)+1,CHOOSE(MOD(A1203-1,4)+1,"Смартфоны","Ноутбуки","Аксессуары","Аудио"),CHOOSE(MOD(A1203-1,4)+1,"Верхняя одежда","Спортивная","Повседневная","Обувь"),CHOOSE(MOD(A1203-1,4)+1,"Молочные","Мясные","Бакалея","Напитки"),CHOOSE(MOD(A1203-1,4)+1,"Мягкая мебель","Корпусная","Офисная","Кухонная"))</f>
        <v>Ноутбуки</v>
      </c>
      <c r="K1203" s="12" t="n">
        <f aca="false">1000+MOD(A1203*317+A1203*A1203*7,49001)</f>
        <v>9448</v>
      </c>
      <c r="L1203" s="12" t="n">
        <f aca="false">1+MOD(A1203*131,100)</f>
        <v>63</v>
      </c>
      <c r="M1203" s="12" t="n">
        <f aca="false">INT(K1203*(0.6+MOD(A1203*43,21)/100))</f>
        <v>6141</v>
      </c>
      <c r="N1203" s="12" t="n">
        <f aca="false">K1203-M1203</f>
        <v>3307</v>
      </c>
    </row>
    <row r="1204" customFormat="false" ht="12.8" hidden="false" customHeight="false" outlineLevel="0" collapsed="false">
      <c r="A1204" s="10" t="n">
        <f aca="false">A1203+1</f>
        <v>1203</v>
      </c>
      <c r="B1204" s="11" t="n">
        <f aca="false">B1203+1</f>
        <v>46129</v>
      </c>
      <c r="C1204" s="10" t="n">
        <f aca="false">YEAR(B1204)</f>
        <v>2026</v>
      </c>
      <c r="D1204" s="10" t="n">
        <f aca="false">INT((MONTH(B1204)-1)/3)+1</f>
        <v>2</v>
      </c>
      <c r="E1204" s="10" t="n">
        <f aca="false">MONTH(B1204)</f>
        <v>4</v>
      </c>
      <c r="F1204" s="10" t="str">
        <f aca="false">CHOOSE(MOD(A1204-1,5)+1,"Центр","Юг","Север","Запад","Восток")</f>
        <v>Север</v>
      </c>
      <c r="G1204" s="10" t="str">
        <f aca="false">"Округ_"&amp;(MOD(A1204-1,5)+1)&amp;"_"&amp;(MOD(INT((A1204-1)/5),5)+1)</f>
        <v>Округ_3_1</v>
      </c>
      <c r="H1204" s="10" t="str">
        <f aca="false">"Город_"&amp;(MOD(A1204-1,5)+1)&amp;"_"&amp;(MOD(INT((A1204-1)/5),5)+1)&amp;"_"&amp;(MOD(INT((A1204-1)/25),10)+1)</f>
        <v>Город_3_1_9</v>
      </c>
      <c r="I1204" s="10" t="str">
        <f aca="false">CHOOSE(MOD(A1204-1,4)+1,"Электроника","Одежда","Продукты","Мебель")</f>
        <v>Продукты</v>
      </c>
      <c r="J1204" s="10" t="str">
        <f aca="false">CHOOSE(MOD(INT((A1204-1)/4),4)+1,CHOOSE(MOD(A1204-1,4)+1,"Смартфоны","Ноутбуки","Аксессуары","Аудио"),CHOOSE(MOD(A1204-1,4)+1,"Верхняя одежда","Спортивная","Повседневная","Обувь"),CHOOSE(MOD(A1204-1,4)+1,"Молочные","Мясные","Бакалея","Напитки"),CHOOSE(MOD(A1204-1,4)+1,"Мягкая мебель","Корпусная","Офисная","Кухонная"))</f>
        <v>Аксессуары</v>
      </c>
      <c r="K1204" s="12" t="n">
        <f aca="false">1000+MOD(A1204*317+A1204*A1204*7,49001)</f>
        <v>26600</v>
      </c>
      <c r="L1204" s="12" t="n">
        <f aca="false">1+MOD(A1204*131,100)</f>
        <v>94</v>
      </c>
      <c r="M1204" s="12" t="n">
        <f aca="false">INT(K1204*(0.6+MOD(A1204*43,21)/100))</f>
        <v>17556</v>
      </c>
      <c r="N1204" s="12" t="n">
        <f aca="false">K1204-M1204</f>
        <v>9044</v>
      </c>
    </row>
    <row r="1205" customFormat="false" ht="12.8" hidden="false" customHeight="false" outlineLevel="0" collapsed="false">
      <c r="A1205" s="10" t="n">
        <f aca="false">A1204+1</f>
        <v>1204</v>
      </c>
      <c r="B1205" s="11" t="n">
        <f aca="false">B1204+1</f>
        <v>46130</v>
      </c>
      <c r="C1205" s="10" t="n">
        <f aca="false">YEAR(B1205)</f>
        <v>2026</v>
      </c>
      <c r="D1205" s="10" t="n">
        <f aca="false">INT((MONTH(B1205)-1)/3)+1</f>
        <v>2</v>
      </c>
      <c r="E1205" s="10" t="n">
        <f aca="false">MONTH(B1205)</f>
        <v>4</v>
      </c>
      <c r="F1205" s="10" t="str">
        <f aca="false">CHOOSE(MOD(A1205-1,5)+1,"Центр","Юг","Север","Запад","Восток")</f>
        <v>Запад</v>
      </c>
      <c r="G1205" s="10" t="str">
        <f aca="false">"Округ_"&amp;(MOD(A1205-1,5)+1)&amp;"_"&amp;(MOD(INT((A1205-1)/5),5)+1)</f>
        <v>Округ_4_1</v>
      </c>
      <c r="H1205" s="10" t="str">
        <f aca="false">"Город_"&amp;(MOD(A1205-1,5)+1)&amp;"_"&amp;(MOD(INT((A1205-1)/5),5)+1)&amp;"_"&amp;(MOD(INT((A1205-1)/25),10)+1)</f>
        <v>Город_4_1_9</v>
      </c>
      <c r="I1205" s="10" t="str">
        <f aca="false">CHOOSE(MOD(A1205-1,4)+1,"Электроника","Одежда","Продукты","Мебель")</f>
        <v>Мебель</v>
      </c>
      <c r="J1205" s="10" t="str">
        <f aca="false">CHOOSE(MOD(INT((A1205-1)/4),4)+1,CHOOSE(MOD(A1205-1,4)+1,"Смартфоны","Ноутбуки","Аксессуары","Аудио"),CHOOSE(MOD(A1205-1,4)+1,"Верхняя одежда","Спортивная","Повседневная","Обувь"),CHOOSE(MOD(A1205-1,4)+1,"Молочные","Мясные","Бакалея","Напитки"),CHOOSE(MOD(A1205-1,4)+1,"Мягкая мебель","Корпусная","Офисная","Кухонная"))</f>
        <v>Аудио</v>
      </c>
      <c r="K1205" s="12" t="n">
        <f aca="false">1000+MOD(A1205*317+A1205*A1205*7,49001)</f>
        <v>43766</v>
      </c>
      <c r="L1205" s="12" t="n">
        <f aca="false">1+MOD(A1205*131,100)</f>
        <v>25</v>
      </c>
      <c r="M1205" s="12" t="n">
        <f aca="false">INT(K1205*(0.6+MOD(A1205*43,21)/100))</f>
        <v>29323</v>
      </c>
      <c r="N1205" s="12" t="n">
        <f aca="false">K1205-M1205</f>
        <v>14443</v>
      </c>
    </row>
    <row r="1206" customFormat="false" ht="12.8" hidden="false" customHeight="false" outlineLevel="0" collapsed="false">
      <c r="A1206" s="10" t="n">
        <f aca="false">A1205+1</f>
        <v>1205</v>
      </c>
      <c r="B1206" s="11" t="n">
        <f aca="false">B1205+1</f>
        <v>46131</v>
      </c>
      <c r="C1206" s="10" t="n">
        <f aca="false">YEAR(B1206)</f>
        <v>2026</v>
      </c>
      <c r="D1206" s="10" t="n">
        <f aca="false">INT((MONTH(B1206)-1)/3)+1</f>
        <v>2</v>
      </c>
      <c r="E1206" s="10" t="n">
        <f aca="false">MONTH(B1206)</f>
        <v>4</v>
      </c>
      <c r="F1206" s="10" t="str">
        <f aca="false">CHOOSE(MOD(A1206-1,5)+1,"Центр","Юг","Север","Запад","Восток")</f>
        <v>Восток</v>
      </c>
      <c r="G1206" s="10" t="str">
        <f aca="false">"Округ_"&amp;(MOD(A1206-1,5)+1)&amp;"_"&amp;(MOD(INT((A1206-1)/5),5)+1)</f>
        <v>Округ_5_1</v>
      </c>
      <c r="H1206" s="10" t="str">
        <f aca="false">"Город_"&amp;(MOD(A1206-1,5)+1)&amp;"_"&amp;(MOD(INT((A1206-1)/5),5)+1)&amp;"_"&amp;(MOD(INT((A1206-1)/25),10)+1)</f>
        <v>Город_5_1_9</v>
      </c>
      <c r="I1206" s="10" t="str">
        <f aca="false">CHOOSE(MOD(A1206-1,4)+1,"Электроника","Одежда","Продукты","Мебель")</f>
        <v>Электроника</v>
      </c>
      <c r="J1206" s="10" t="str">
        <f aca="false">CHOOSE(MOD(INT((A1206-1)/4),4)+1,CHOOSE(MOD(A1206-1,4)+1,"Смартфоны","Ноутбуки","Аксессуары","Аудио"),CHOOSE(MOD(A1206-1,4)+1,"Верхняя одежда","Спортивная","Повседневная","Обувь"),CHOOSE(MOD(A1206-1,4)+1,"Молочные","Мясные","Бакалея","Напитки"),CHOOSE(MOD(A1206-1,4)+1,"Мягкая мебель","Корпусная","Офисная","Кухонная"))</f>
        <v>Верхняя одежда</v>
      </c>
      <c r="K1206" s="12" t="n">
        <f aca="false">1000+MOD(A1206*317+A1206*A1206*7,49001)</f>
        <v>11945</v>
      </c>
      <c r="L1206" s="12" t="n">
        <f aca="false">1+MOD(A1206*131,100)</f>
        <v>56</v>
      </c>
      <c r="M1206" s="12" t="n">
        <f aca="false">INT(K1206*(0.6+MOD(A1206*43,21)/100))</f>
        <v>8122</v>
      </c>
      <c r="N1206" s="12" t="n">
        <f aca="false">K1206-M1206</f>
        <v>3823</v>
      </c>
    </row>
    <row r="1207" customFormat="false" ht="12.8" hidden="false" customHeight="false" outlineLevel="0" collapsed="false">
      <c r="A1207" s="10" t="n">
        <f aca="false">A1206+1</f>
        <v>1206</v>
      </c>
      <c r="B1207" s="11" t="n">
        <f aca="false">B1206+1</f>
        <v>46132</v>
      </c>
      <c r="C1207" s="10" t="n">
        <f aca="false">YEAR(B1207)</f>
        <v>2026</v>
      </c>
      <c r="D1207" s="10" t="n">
        <f aca="false">INT((MONTH(B1207)-1)/3)+1</f>
        <v>2</v>
      </c>
      <c r="E1207" s="10" t="n">
        <f aca="false">MONTH(B1207)</f>
        <v>4</v>
      </c>
      <c r="F1207" s="10" t="str">
        <f aca="false">CHOOSE(MOD(A1207-1,5)+1,"Центр","Юг","Север","Запад","Восток")</f>
        <v>Центр</v>
      </c>
      <c r="G1207" s="10" t="str">
        <f aca="false">"Округ_"&amp;(MOD(A1207-1,5)+1)&amp;"_"&amp;(MOD(INT((A1207-1)/5),5)+1)</f>
        <v>Округ_1_2</v>
      </c>
      <c r="H1207" s="10" t="str">
        <f aca="false">"Город_"&amp;(MOD(A1207-1,5)+1)&amp;"_"&amp;(MOD(INT((A1207-1)/5),5)+1)&amp;"_"&amp;(MOD(INT((A1207-1)/25),10)+1)</f>
        <v>Город_1_2_9</v>
      </c>
      <c r="I1207" s="10" t="str">
        <f aca="false">CHOOSE(MOD(A1207-1,4)+1,"Электроника","Одежда","Продукты","Мебель")</f>
        <v>Одежда</v>
      </c>
      <c r="J1207" s="10" t="str">
        <f aca="false">CHOOSE(MOD(INT((A1207-1)/4),4)+1,CHOOSE(MOD(A1207-1,4)+1,"Смартфоны","Ноутбуки","Аксессуары","Аудио"),CHOOSE(MOD(A1207-1,4)+1,"Верхняя одежда","Спортивная","Повседневная","Обувь"),CHOOSE(MOD(A1207-1,4)+1,"Молочные","Мясные","Бакалея","Напитки"),CHOOSE(MOD(A1207-1,4)+1,"Мягкая мебель","Корпусная","Офисная","Кухонная"))</f>
        <v>Спортивная</v>
      </c>
      <c r="K1207" s="12" t="n">
        <f aca="false">1000+MOD(A1207*317+A1207*A1207*7,49001)</f>
        <v>29139</v>
      </c>
      <c r="L1207" s="12" t="n">
        <f aca="false">1+MOD(A1207*131,100)</f>
        <v>87</v>
      </c>
      <c r="M1207" s="12" t="n">
        <f aca="false">INT(K1207*(0.6+MOD(A1207*43,21)/100))</f>
        <v>20105</v>
      </c>
      <c r="N1207" s="12" t="n">
        <f aca="false">K1207-M1207</f>
        <v>9034</v>
      </c>
    </row>
    <row r="1208" customFormat="false" ht="12.8" hidden="false" customHeight="false" outlineLevel="0" collapsed="false">
      <c r="A1208" s="10" t="n">
        <f aca="false">A1207+1</f>
        <v>1207</v>
      </c>
      <c r="B1208" s="11" t="n">
        <f aca="false">B1207+1</f>
        <v>46133</v>
      </c>
      <c r="C1208" s="10" t="n">
        <f aca="false">YEAR(B1208)</f>
        <v>2026</v>
      </c>
      <c r="D1208" s="10" t="n">
        <f aca="false">INT((MONTH(B1208)-1)/3)+1</f>
        <v>2</v>
      </c>
      <c r="E1208" s="10" t="n">
        <f aca="false">MONTH(B1208)</f>
        <v>4</v>
      </c>
      <c r="F1208" s="10" t="str">
        <f aca="false">CHOOSE(MOD(A1208-1,5)+1,"Центр","Юг","Север","Запад","Восток")</f>
        <v>Юг</v>
      </c>
      <c r="G1208" s="10" t="str">
        <f aca="false">"Округ_"&amp;(MOD(A1208-1,5)+1)&amp;"_"&amp;(MOD(INT((A1208-1)/5),5)+1)</f>
        <v>Округ_2_2</v>
      </c>
      <c r="H1208" s="10" t="str">
        <f aca="false">"Город_"&amp;(MOD(A1208-1,5)+1)&amp;"_"&amp;(MOD(INT((A1208-1)/5),5)+1)&amp;"_"&amp;(MOD(INT((A1208-1)/25),10)+1)</f>
        <v>Город_2_2_9</v>
      </c>
      <c r="I1208" s="10" t="str">
        <f aca="false">CHOOSE(MOD(A1208-1,4)+1,"Электроника","Одежда","Продукты","Мебель")</f>
        <v>Продукты</v>
      </c>
      <c r="J1208" s="10" t="str">
        <f aca="false">CHOOSE(MOD(INT((A1208-1)/4),4)+1,CHOOSE(MOD(A1208-1,4)+1,"Смартфоны","Ноутбуки","Аксессуары","Аудио"),CHOOSE(MOD(A1208-1,4)+1,"Верхняя одежда","Спортивная","Повседневная","Обувь"),CHOOSE(MOD(A1208-1,4)+1,"Молочные","Мясные","Бакалея","Напитки"),CHOOSE(MOD(A1208-1,4)+1,"Мягкая мебель","Корпусная","Офисная","Кухонная"))</f>
        <v>Повседневная</v>
      </c>
      <c r="K1208" s="12" t="n">
        <f aca="false">1000+MOD(A1208*317+A1208*A1208*7,49001)</f>
        <v>46347</v>
      </c>
      <c r="L1208" s="12" t="n">
        <f aca="false">1+MOD(A1208*131,100)</f>
        <v>18</v>
      </c>
      <c r="M1208" s="12" t="n">
        <f aca="false">INT(K1208*(0.6+MOD(A1208*43,21)/100))</f>
        <v>32442</v>
      </c>
      <c r="N1208" s="12" t="n">
        <f aca="false">K1208-M1208</f>
        <v>13905</v>
      </c>
    </row>
    <row r="1209" customFormat="false" ht="12.8" hidden="false" customHeight="false" outlineLevel="0" collapsed="false">
      <c r="A1209" s="10" t="n">
        <f aca="false">A1208+1</f>
        <v>1208</v>
      </c>
      <c r="B1209" s="11" t="n">
        <f aca="false">B1208+1</f>
        <v>46134</v>
      </c>
      <c r="C1209" s="10" t="n">
        <f aca="false">YEAR(B1209)</f>
        <v>2026</v>
      </c>
      <c r="D1209" s="10" t="n">
        <f aca="false">INT((MONTH(B1209)-1)/3)+1</f>
        <v>2</v>
      </c>
      <c r="E1209" s="10" t="n">
        <f aca="false">MONTH(B1209)</f>
        <v>4</v>
      </c>
      <c r="F1209" s="10" t="str">
        <f aca="false">CHOOSE(MOD(A1209-1,5)+1,"Центр","Юг","Север","Запад","Восток")</f>
        <v>Север</v>
      </c>
      <c r="G1209" s="10" t="str">
        <f aca="false">"Округ_"&amp;(MOD(A1209-1,5)+1)&amp;"_"&amp;(MOD(INT((A1209-1)/5),5)+1)</f>
        <v>Округ_3_2</v>
      </c>
      <c r="H1209" s="10" t="str">
        <f aca="false">"Город_"&amp;(MOD(A1209-1,5)+1)&amp;"_"&amp;(MOD(INT((A1209-1)/5),5)+1)&amp;"_"&amp;(MOD(INT((A1209-1)/25),10)+1)</f>
        <v>Город_3_2_9</v>
      </c>
      <c r="I1209" s="10" t="str">
        <f aca="false">CHOOSE(MOD(A1209-1,4)+1,"Электроника","Одежда","Продукты","Мебель")</f>
        <v>Мебель</v>
      </c>
      <c r="J1209" s="10" t="str">
        <f aca="false">CHOOSE(MOD(INT((A1209-1)/4),4)+1,CHOOSE(MOD(A1209-1,4)+1,"Смартфоны","Ноутбуки","Аксессуары","Аудио"),CHOOSE(MOD(A1209-1,4)+1,"Верхняя одежда","Спортивная","Повседневная","Обувь"),CHOOSE(MOD(A1209-1,4)+1,"Молочные","Мясные","Бакалея","Напитки"),CHOOSE(MOD(A1209-1,4)+1,"Мягкая мебель","Корпусная","Офисная","Кухонная"))</f>
        <v>Обувь</v>
      </c>
      <c r="K1209" s="12" t="n">
        <f aca="false">1000+MOD(A1209*317+A1209*A1209*7,49001)</f>
        <v>14568</v>
      </c>
      <c r="L1209" s="12" t="n">
        <f aca="false">1+MOD(A1209*131,100)</f>
        <v>49</v>
      </c>
      <c r="M1209" s="12" t="n">
        <f aca="false">INT(K1209*(0.6+MOD(A1209*43,21)/100))</f>
        <v>10343</v>
      </c>
      <c r="N1209" s="12" t="n">
        <f aca="false">K1209-M1209</f>
        <v>4225</v>
      </c>
    </row>
    <row r="1210" customFormat="false" ht="12.8" hidden="false" customHeight="false" outlineLevel="0" collapsed="false">
      <c r="A1210" s="10" t="n">
        <f aca="false">A1209+1</f>
        <v>1209</v>
      </c>
      <c r="B1210" s="11" t="n">
        <f aca="false">B1209+1</f>
        <v>46135</v>
      </c>
      <c r="C1210" s="10" t="n">
        <f aca="false">YEAR(B1210)</f>
        <v>2026</v>
      </c>
      <c r="D1210" s="10" t="n">
        <f aca="false">INT((MONTH(B1210)-1)/3)+1</f>
        <v>2</v>
      </c>
      <c r="E1210" s="10" t="n">
        <f aca="false">MONTH(B1210)</f>
        <v>4</v>
      </c>
      <c r="F1210" s="10" t="str">
        <f aca="false">CHOOSE(MOD(A1210-1,5)+1,"Центр","Юг","Север","Запад","Восток")</f>
        <v>Запад</v>
      </c>
      <c r="G1210" s="10" t="str">
        <f aca="false">"Округ_"&amp;(MOD(A1210-1,5)+1)&amp;"_"&amp;(MOD(INT((A1210-1)/5),5)+1)</f>
        <v>Округ_4_2</v>
      </c>
      <c r="H1210" s="10" t="str">
        <f aca="false">"Город_"&amp;(MOD(A1210-1,5)+1)&amp;"_"&amp;(MOD(INT((A1210-1)/5),5)+1)&amp;"_"&amp;(MOD(INT((A1210-1)/25),10)+1)</f>
        <v>Город_4_2_9</v>
      </c>
      <c r="I1210" s="10" t="str">
        <f aca="false">CHOOSE(MOD(A1210-1,4)+1,"Электроника","Одежда","Продукты","Мебель")</f>
        <v>Электроника</v>
      </c>
      <c r="J1210" s="10" t="str">
        <f aca="false">CHOOSE(MOD(INT((A1210-1)/4),4)+1,CHOOSE(MOD(A1210-1,4)+1,"Смартфоны","Ноутбуки","Аксессуары","Аудио"),CHOOSE(MOD(A1210-1,4)+1,"Верхняя одежда","Спортивная","Повседневная","Обувь"),CHOOSE(MOD(A1210-1,4)+1,"Молочные","Мясные","Бакалея","Напитки"),CHOOSE(MOD(A1210-1,4)+1,"Мягкая мебель","Корпусная","Офисная","Кухонная"))</f>
        <v>Молочные</v>
      </c>
      <c r="K1210" s="12" t="n">
        <f aca="false">1000+MOD(A1210*317+A1210*A1210*7,49001)</f>
        <v>31804</v>
      </c>
      <c r="L1210" s="12" t="n">
        <f aca="false">1+MOD(A1210*131,100)</f>
        <v>80</v>
      </c>
      <c r="M1210" s="12" t="n">
        <f aca="false">INT(K1210*(0.6+MOD(A1210*43,21)/100))</f>
        <v>22898</v>
      </c>
      <c r="N1210" s="12" t="n">
        <f aca="false">K1210-M1210</f>
        <v>8906</v>
      </c>
    </row>
    <row r="1211" customFormat="false" ht="12.8" hidden="false" customHeight="false" outlineLevel="0" collapsed="false">
      <c r="A1211" s="10" t="n">
        <f aca="false">A1210+1</f>
        <v>1210</v>
      </c>
      <c r="B1211" s="11" t="n">
        <f aca="false">B1210+1</f>
        <v>46136</v>
      </c>
      <c r="C1211" s="10" t="n">
        <f aca="false">YEAR(B1211)</f>
        <v>2026</v>
      </c>
      <c r="D1211" s="10" t="n">
        <f aca="false">INT((MONTH(B1211)-1)/3)+1</f>
        <v>2</v>
      </c>
      <c r="E1211" s="10" t="n">
        <f aca="false">MONTH(B1211)</f>
        <v>4</v>
      </c>
      <c r="F1211" s="10" t="str">
        <f aca="false">CHOOSE(MOD(A1211-1,5)+1,"Центр","Юг","Север","Запад","Восток")</f>
        <v>Восток</v>
      </c>
      <c r="G1211" s="10" t="str">
        <f aca="false">"Округ_"&amp;(MOD(A1211-1,5)+1)&amp;"_"&amp;(MOD(INT((A1211-1)/5),5)+1)</f>
        <v>Округ_5_2</v>
      </c>
      <c r="H1211" s="10" t="str">
        <f aca="false">"Город_"&amp;(MOD(A1211-1,5)+1)&amp;"_"&amp;(MOD(INT((A1211-1)/5),5)+1)&amp;"_"&amp;(MOD(INT((A1211-1)/25),10)+1)</f>
        <v>Город_5_2_9</v>
      </c>
      <c r="I1211" s="10" t="str">
        <f aca="false">CHOOSE(MOD(A1211-1,4)+1,"Электроника","Одежда","Продукты","Мебель")</f>
        <v>Одежда</v>
      </c>
      <c r="J1211" s="10" t="str">
        <f aca="false">CHOOSE(MOD(INT((A1211-1)/4),4)+1,CHOOSE(MOD(A1211-1,4)+1,"Смартфоны","Ноутбуки","Аксессуары","Аудио"),CHOOSE(MOD(A1211-1,4)+1,"Верхняя одежда","Спортивная","Повседневная","Обувь"),CHOOSE(MOD(A1211-1,4)+1,"Молочные","Мясные","Бакалея","Напитки"),CHOOSE(MOD(A1211-1,4)+1,"Мягкая мебель","Корпусная","Офисная","Кухонная"))</f>
        <v>Мясные</v>
      </c>
      <c r="K1211" s="12" t="n">
        <f aca="false">1000+MOD(A1211*317+A1211*A1211*7,49001)</f>
        <v>49054</v>
      </c>
      <c r="L1211" s="12" t="n">
        <f aca="false">1+MOD(A1211*131,100)</f>
        <v>11</v>
      </c>
      <c r="M1211" s="12" t="n">
        <f aca="false">INT(K1211*(0.6+MOD(A1211*43,21)/100))</f>
        <v>35809</v>
      </c>
      <c r="N1211" s="12" t="n">
        <f aca="false">K1211-M1211</f>
        <v>13245</v>
      </c>
    </row>
    <row r="1212" customFormat="false" ht="12.8" hidden="false" customHeight="false" outlineLevel="0" collapsed="false">
      <c r="A1212" s="10" t="n">
        <f aca="false">A1211+1</f>
        <v>1211</v>
      </c>
      <c r="B1212" s="11" t="n">
        <f aca="false">B1211+1</f>
        <v>46137</v>
      </c>
      <c r="C1212" s="10" t="n">
        <f aca="false">YEAR(B1212)</f>
        <v>2026</v>
      </c>
      <c r="D1212" s="10" t="n">
        <f aca="false">INT((MONTH(B1212)-1)/3)+1</f>
        <v>2</v>
      </c>
      <c r="E1212" s="10" t="n">
        <f aca="false">MONTH(B1212)</f>
        <v>4</v>
      </c>
      <c r="F1212" s="10" t="str">
        <f aca="false">CHOOSE(MOD(A1212-1,5)+1,"Центр","Юг","Север","Запад","Восток")</f>
        <v>Центр</v>
      </c>
      <c r="G1212" s="10" t="str">
        <f aca="false">"Округ_"&amp;(MOD(A1212-1,5)+1)&amp;"_"&amp;(MOD(INT((A1212-1)/5),5)+1)</f>
        <v>Округ_1_3</v>
      </c>
      <c r="H1212" s="10" t="str">
        <f aca="false">"Город_"&amp;(MOD(A1212-1,5)+1)&amp;"_"&amp;(MOD(INT((A1212-1)/5),5)+1)&amp;"_"&amp;(MOD(INT((A1212-1)/25),10)+1)</f>
        <v>Город_1_3_9</v>
      </c>
      <c r="I1212" s="10" t="str">
        <f aca="false">CHOOSE(MOD(A1212-1,4)+1,"Электроника","Одежда","Продукты","Мебель")</f>
        <v>Продукты</v>
      </c>
      <c r="J1212" s="10" t="str">
        <f aca="false">CHOOSE(MOD(INT((A1212-1)/4),4)+1,CHOOSE(MOD(A1212-1,4)+1,"Смартфоны","Ноутбуки","Аксессуары","Аудио"),CHOOSE(MOD(A1212-1,4)+1,"Верхняя одежда","Спортивная","Повседневная","Обувь"),CHOOSE(MOD(A1212-1,4)+1,"Молочные","Мясные","Бакалея","Напитки"),CHOOSE(MOD(A1212-1,4)+1,"Мягкая мебель","Корпусная","Офисная","Кухонная"))</f>
        <v>Бакалея</v>
      </c>
      <c r="K1212" s="12" t="n">
        <f aca="false">1000+MOD(A1212*317+A1212*A1212*7,49001)</f>
        <v>17317</v>
      </c>
      <c r="L1212" s="12" t="n">
        <f aca="false">1+MOD(A1212*131,100)</f>
        <v>42</v>
      </c>
      <c r="M1212" s="12" t="n">
        <f aca="false">INT(K1212*(0.6+MOD(A1212*43,21)/100))</f>
        <v>12814</v>
      </c>
      <c r="N1212" s="12" t="n">
        <f aca="false">K1212-M1212</f>
        <v>4503</v>
      </c>
    </row>
    <row r="1213" customFormat="false" ht="12.8" hidden="false" customHeight="false" outlineLevel="0" collapsed="false">
      <c r="A1213" s="10" t="n">
        <f aca="false">A1212+1</f>
        <v>1212</v>
      </c>
      <c r="B1213" s="11" t="n">
        <f aca="false">B1212+1</f>
        <v>46138</v>
      </c>
      <c r="C1213" s="10" t="n">
        <f aca="false">YEAR(B1213)</f>
        <v>2026</v>
      </c>
      <c r="D1213" s="10" t="n">
        <f aca="false">INT((MONTH(B1213)-1)/3)+1</f>
        <v>2</v>
      </c>
      <c r="E1213" s="10" t="n">
        <f aca="false">MONTH(B1213)</f>
        <v>4</v>
      </c>
      <c r="F1213" s="10" t="str">
        <f aca="false">CHOOSE(MOD(A1213-1,5)+1,"Центр","Юг","Север","Запад","Восток")</f>
        <v>Юг</v>
      </c>
      <c r="G1213" s="10" t="str">
        <f aca="false">"Округ_"&amp;(MOD(A1213-1,5)+1)&amp;"_"&amp;(MOD(INT((A1213-1)/5),5)+1)</f>
        <v>Округ_2_3</v>
      </c>
      <c r="H1213" s="10" t="str">
        <f aca="false">"Город_"&amp;(MOD(A1213-1,5)+1)&amp;"_"&amp;(MOD(INT((A1213-1)/5),5)+1)&amp;"_"&amp;(MOD(INT((A1213-1)/25),10)+1)</f>
        <v>Город_2_3_9</v>
      </c>
      <c r="I1213" s="10" t="str">
        <f aca="false">CHOOSE(MOD(A1213-1,4)+1,"Электроника","Одежда","Продукты","Мебель")</f>
        <v>Мебель</v>
      </c>
      <c r="J1213" s="10" t="str">
        <f aca="false">CHOOSE(MOD(INT((A1213-1)/4),4)+1,CHOOSE(MOD(A1213-1,4)+1,"Смартфоны","Ноутбуки","Аксессуары","Аудио"),CHOOSE(MOD(A1213-1,4)+1,"Верхняя одежда","Спортивная","Повседневная","Обувь"),CHOOSE(MOD(A1213-1,4)+1,"Молочные","Мясные","Бакалея","Напитки"),CHOOSE(MOD(A1213-1,4)+1,"Мягкая мебель","Корпусная","Офисная","Кухонная"))</f>
        <v>Напитки</v>
      </c>
      <c r="K1213" s="12" t="n">
        <f aca="false">1000+MOD(A1213*317+A1213*A1213*7,49001)</f>
        <v>34595</v>
      </c>
      <c r="L1213" s="12" t="n">
        <f aca="false">1+MOD(A1213*131,100)</f>
        <v>73</v>
      </c>
      <c r="M1213" s="12" t="n">
        <f aca="false">INT(K1213*(0.6+MOD(A1213*43,21)/100))</f>
        <v>25946</v>
      </c>
      <c r="N1213" s="12" t="n">
        <f aca="false">K1213-M1213</f>
        <v>8649</v>
      </c>
    </row>
    <row r="1214" customFormat="false" ht="12.8" hidden="false" customHeight="false" outlineLevel="0" collapsed="false">
      <c r="A1214" s="10" t="n">
        <f aca="false">A1213+1</f>
        <v>1213</v>
      </c>
      <c r="B1214" s="11" t="n">
        <f aca="false">B1213+1</f>
        <v>46139</v>
      </c>
      <c r="C1214" s="10" t="n">
        <f aca="false">YEAR(B1214)</f>
        <v>2026</v>
      </c>
      <c r="D1214" s="10" t="n">
        <f aca="false">INT((MONTH(B1214)-1)/3)+1</f>
        <v>2</v>
      </c>
      <c r="E1214" s="10" t="n">
        <f aca="false">MONTH(B1214)</f>
        <v>4</v>
      </c>
      <c r="F1214" s="10" t="str">
        <f aca="false">CHOOSE(MOD(A1214-1,5)+1,"Центр","Юг","Север","Запад","Восток")</f>
        <v>Север</v>
      </c>
      <c r="G1214" s="10" t="str">
        <f aca="false">"Округ_"&amp;(MOD(A1214-1,5)+1)&amp;"_"&amp;(MOD(INT((A1214-1)/5),5)+1)</f>
        <v>Округ_3_3</v>
      </c>
      <c r="H1214" s="10" t="str">
        <f aca="false">"Город_"&amp;(MOD(A1214-1,5)+1)&amp;"_"&amp;(MOD(INT((A1214-1)/5),5)+1)&amp;"_"&amp;(MOD(INT((A1214-1)/25),10)+1)</f>
        <v>Город_3_3_9</v>
      </c>
      <c r="I1214" s="10" t="str">
        <f aca="false">CHOOSE(MOD(A1214-1,4)+1,"Электроника","Одежда","Продукты","Мебель")</f>
        <v>Электроника</v>
      </c>
      <c r="J1214" s="10" t="str">
        <f aca="false">CHOOSE(MOD(INT((A1214-1)/4),4)+1,CHOOSE(MOD(A1214-1,4)+1,"Смартфоны","Ноутбуки","Аксессуары","Аудио"),CHOOSE(MOD(A1214-1,4)+1,"Верхняя одежда","Спортивная","Повседневная","Обувь"),CHOOSE(MOD(A1214-1,4)+1,"Молочные","Мясные","Бакалея","Напитки"),CHOOSE(MOD(A1214-1,4)+1,"Мягкая мебель","Корпусная","Офисная","Кухонная"))</f>
        <v>Мягкая мебель</v>
      </c>
      <c r="K1214" s="12" t="n">
        <f aca="false">1000+MOD(A1214*317+A1214*A1214*7,49001)</f>
        <v>2886</v>
      </c>
      <c r="L1214" s="12" t="n">
        <f aca="false">1+MOD(A1214*131,100)</f>
        <v>4</v>
      </c>
      <c r="M1214" s="12" t="n">
        <f aca="false">INT(K1214*(0.6+MOD(A1214*43,21)/100))</f>
        <v>2193</v>
      </c>
      <c r="N1214" s="12" t="n">
        <f aca="false">K1214-M1214</f>
        <v>693</v>
      </c>
    </row>
    <row r="1215" customFormat="false" ht="12.8" hidden="false" customHeight="false" outlineLevel="0" collapsed="false">
      <c r="A1215" s="10" t="n">
        <f aca="false">A1214+1</f>
        <v>1214</v>
      </c>
      <c r="B1215" s="11" t="n">
        <f aca="false">B1214+1</f>
        <v>46140</v>
      </c>
      <c r="C1215" s="10" t="n">
        <f aca="false">YEAR(B1215)</f>
        <v>2026</v>
      </c>
      <c r="D1215" s="10" t="n">
        <f aca="false">INT((MONTH(B1215)-1)/3)+1</f>
        <v>2</v>
      </c>
      <c r="E1215" s="10" t="n">
        <f aca="false">MONTH(B1215)</f>
        <v>4</v>
      </c>
      <c r="F1215" s="10" t="str">
        <f aca="false">CHOOSE(MOD(A1215-1,5)+1,"Центр","Юг","Север","Запад","Восток")</f>
        <v>Запад</v>
      </c>
      <c r="G1215" s="10" t="str">
        <f aca="false">"Округ_"&amp;(MOD(A1215-1,5)+1)&amp;"_"&amp;(MOD(INT((A1215-1)/5),5)+1)</f>
        <v>Округ_4_3</v>
      </c>
      <c r="H1215" s="10" t="str">
        <f aca="false">"Город_"&amp;(MOD(A1215-1,5)+1)&amp;"_"&amp;(MOD(INT((A1215-1)/5),5)+1)&amp;"_"&amp;(MOD(INT((A1215-1)/25),10)+1)</f>
        <v>Город_4_3_9</v>
      </c>
      <c r="I1215" s="10" t="str">
        <f aca="false">CHOOSE(MOD(A1215-1,4)+1,"Электроника","Одежда","Продукты","Мебель")</f>
        <v>Одежда</v>
      </c>
      <c r="J1215" s="10" t="str">
        <f aca="false">CHOOSE(MOD(INT((A1215-1)/4),4)+1,CHOOSE(MOD(A1215-1,4)+1,"Смартфоны","Ноутбуки","Аксессуары","Аудио"),CHOOSE(MOD(A1215-1,4)+1,"Верхняя одежда","Спортивная","Повседневная","Обувь"),CHOOSE(MOD(A1215-1,4)+1,"Молочные","Мясные","Бакалея","Напитки"),CHOOSE(MOD(A1215-1,4)+1,"Мягкая мебель","Корпусная","Офисная","Кухонная"))</f>
        <v>Корпусная</v>
      </c>
      <c r="K1215" s="12" t="n">
        <f aca="false">1000+MOD(A1215*317+A1215*A1215*7,49001)</f>
        <v>20192</v>
      </c>
      <c r="L1215" s="12" t="n">
        <f aca="false">1+MOD(A1215*131,100)</f>
        <v>35</v>
      </c>
      <c r="M1215" s="12" t="n">
        <f aca="false">INT(K1215*(0.6+MOD(A1215*43,21)/100))</f>
        <v>15547</v>
      </c>
      <c r="N1215" s="12" t="n">
        <f aca="false">K1215-M1215</f>
        <v>4645</v>
      </c>
    </row>
    <row r="1216" customFormat="false" ht="12.8" hidden="false" customHeight="false" outlineLevel="0" collapsed="false">
      <c r="A1216" s="10" t="n">
        <f aca="false">A1215+1</f>
        <v>1215</v>
      </c>
      <c r="B1216" s="11" t="n">
        <f aca="false">B1215+1</f>
        <v>46141</v>
      </c>
      <c r="C1216" s="10" t="n">
        <f aca="false">YEAR(B1216)</f>
        <v>2026</v>
      </c>
      <c r="D1216" s="10" t="n">
        <f aca="false">INT((MONTH(B1216)-1)/3)+1</f>
        <v>2</v>
      </c>
      <c r="E1216" s="10" t="n">
        <f aca="false">MONTH(B1216)</f>
        <v>4</v>
      </c>
      <c r="F1216" s="10" t="str">
        <f aca="false">CHOOSE(MOD(A1216-1,5)+1,"Центр","Юг","Север","Запад","Восток")</f>
        <v>Восток</v>
      </c>
      <c r="G1216" s="10" t="str">
        <f aca="false">"Округ_"&amp;(MOD(A1216-1,5)+1)&amp;"_"&amp;(MOD(INT((A1216-1)/5),5)+1)</f>
        <v>Округ_5_3</v>
      </c>
      <c r="H1216" s="10" t="str">
        <f aca="false">"Город_"&amp;(MOD(A1216-1,5)+1)&amp;"_"&amp;(MOD(INT((A1216-1)/5),5)+1)&amp;"_"&amp;(MOD(INT((A1216-1)/25),10)+1)</f>
        <v>Город_5_3_9</v>
      </c>
      <c r="I1216" s="10" t="str">
        <f aca="false">CHOOSE(MOD(A1216-1,4)+1,"Электроника","Одежда","Продукты","Мебель")</f>
        <v>Продукты</v>
      </c>
      <c r="J1216" s="10" t="str">
        <f aca="false">CHOOSE(MOD(INT((A1216-1)/4),4)+1,CHOOSE(MOD(A1216-1,4)+1,"Смартфоны","Ноутбуки","Аксессуары","Аудио"),CHOOSE(MOD(A1216-1,4)+1,"Верхняя одежда","Спортивная","Повседневная","Обувь"),CHOOSE(MOD(A1216-1,4)+1,"Молочные","Мясные","Бакалея","Напитки"),CHOOSE(MOD(A1216-1,4)+1,"Мягкая мебель","Корпусная","Офисная","Кухонная"))</f>
        <v>Офисная</v>
      </c>
      <c r="K1216" s="12" t="n">
        <f aca="false">1000+MOD(A1216*317+A1216*A1216*7,49001)</f>
        <v>37512</v>
      </c>
      <c r="L1216" s="12" t="n">
        <f aca="false">1+MOD(A1216*131,100)</f>
        <v>66</v>
      </c>
      <c r="M1216" s="12" t="n">
        <f aca="false">INT(K1216*(0.6+MOD(A1216*43,21)/100))</f>
        <v>29259</v>
      </c>
      <c r="N1216" s="12" t="n">
        <f aca="false">K1216-M1216</f>
        <v>8253</v>
      </c>
    </row>
    <row r="1217" customFormat="false" ht="12.8" hidden="false" customHeight="false" outlineLevel="0" collapsed="false">
      <c r="A1217" s="10" t="n">
        <f aca="false">A1216+1</f>
        <v>1216</v>
      </c>
      <c r="B1217" s="11" t="n">
        <f aca="false">B1216+1</f>
        <v>46142</v>
      </c>
      <c r="C1217" s="10" t="n">
        <f aca="false">YEAR(B1217)</f>
        <v>2026</v>
      </c>
      <c r="D1217" s="10" t="n">
        <f aca="false">INT((MONTH(B1217)-1)/3)+1</f>
        <v>2</v>
      </c>
      <c r="E1217" s="10" t="n">
        <f aca="false">MONTH(B1217)</f>
        <v>4</v>
      </c>
      <c r="F1217" s="10" t="str">
        <f aca="false">CHOOSE(MOD(A1217-1,5)+1,"Центр","Юг","Север","Запад","Восток")</f>
        <v>Центр</v>
      </c>
      <c r="G1217" s="10" t="str">
        <f aca="false">"Округ_"&amp;(MOD(A1217-1,5)+1)&amp;"_"&amp;(MOD(INT((A1217-1)/5),5)+1)</f>
        <v>Округ_1_4</v>
      </c>
      <c r="H1217" s="10" t="str">
        <f aca="false">"Город_"&amp;(MOD(A1217-1,5)+1)&amp;"_"&amp;(MOD(INT((A1217-1)/5),5)+1)&amp;"_"&amp;(MOD(INT((A1217-1)/25),10)+1)</f>
        <v>Город_1_4_9</v>
      </c>
      <c r="I1217" s="10" t="str">
        <f aca="false">CHOOSE(MOD(A1217-1,4)+1,"Электроника","Одежда","Продукты","Мебель")</f>
        <v>Мебель</v>
      </c>
      <c r="J1217" s="10" t="str">
        <f aca="false">CHOOSE(MOD(INT((A1217-1)/4),4)+1,CHOOSE(MOD(A1217-1,4)+1,"Смартфоны","Ноутбуки","Аксессуары","Аудио"),CHOOSE(MOD(A1217-1,4)+1,"Верхняя одежда","Спортивная","Повседневная","Обувь"),CHOOSE(MOD(A1217-1,4)+1,"Молочные","Мясные","Бакалея","Напитки"),CHOOSE(MOD(A1217-1,4)+1,"Мягкая мебель","Корпусная","Офисная","Кухонная"))</f>
        <v>Кухонная</v>
      </c>
      <c r="K1217" s="12" t="n">
        <f aca="false">1000+MOD(A1217*317+A1217*A1217*7,49001)</f>
        <v>5845</v>
      </c>
      <c r="L1217" s="12" t="n">
        <f aca="false">1+MOD(A1217*131,100)</f>
        <v>97</v>
      </c>
      <c r="M1217" s="12" t="n">
        <f aca="false">INT(K1217*(0.6+MOD(A1217*43,21)/100))</f>
        <v>4617</v>
      </c>
      <c r="N1217" s="12" t="n">
        <f aca="false">K1217-M1217</f>
        <v>1228</v>
      </c>
    </row>
    <row r="1218" customFormat="false" ht="12.8" hidden="false" customHeight="false" outlineLevel="0" collapsed="false">
      <c r="A1218" s="10" t="n">
        <f aca="false">A1217+1</f>
        <v>1217</v>
      </c>
      <c r="B1218" s="11" t="n">
        <f aca="false">B1217+1</f>
        <v>46143</v>
      </c>
      <c r="C1218" s="10" t="n">
        <f aca="false">YEAR(B1218)</f>
        <v>2026</v>
      </c>
      <c r="D1218" s="10" t="n">
        <f aca="false">INT((MONTH(B1218)-1)/3)+1</f>
        <v>2</v>
      </c>
      <c r="E1218" s="10" t="n">
        <f aca="false">MONTH(B1218)</f>
        <v>5</v>
      </c>
      <c r="F1218" s="10" t="str">
        <f aca="false">CHOOSE(MOD(A1218-1,5)+1,"Центр","Юг","Север","Запад","Восток")</f>
        <v>Юг</v>
      </c>
      <c r="G1218" s="10" t="str">
        <f aca="false">"Округ_"&amp;(MOD(A1218-1,5)+1)&amp;"_"&amp;(MOD(INT((A1218-1)/5),5)+1)</f>
        <v>Округ_2_4</v>
      </c>
      <c r="H1218" s="10" t="str">
        <f aca="false">"Город_"&amp;(MOD(A1218-1,5)+1)&amp;"_"&amp;(MOD(INT((A1218-1)/5),5)+1)&amp;"_"&amp;(MOD(INT((A1218-1)/25),10)+1)</f>
        <v>Город_2_4_9</v>
      </c>
      <c r="I1218" s="10" t="str">
        <f aca="false">CHOOSE(MOD(A1218-1,4)+1,"Электроника","Одежда","Продукты","Мебель")</f>
        <v>Электроника</v>
      </c>
      <c r="J1218" s="10" t="str">
        <f aca="false">CHOOSE(MOD(INT((A1218-1)/4),4)+1,CHOOSE(MOD(A1218-1,4)+1,"Смартфоны","Ноутбуки","Аксессуары","Аудио"),CHOOSE(MOD(A1218-1,4)+1,"Верхняя одежда","Спортивная","Повседневная","Обувь"),CHOOSE(MOD(A1218-1,4)+1,"Молочные","Мясные","Бакалея","Напитки"),CHOOSE(MOD(A1218-1,4)+1,"Мягкая мебель","Корпусная","Офисная","Кухонная"))</f>
        <v>Смартфоны</v>
      </c>
      <c r="K1218" s="12" t="n">
        <f aca="false">1000+MOD(A1218*317+A1218*A1218*7,49001)</f>
        <v>23193</v>
      </c>
      <c r="L1218" s="12" t="n">
        <f aca="false">1+MOD(A1218*131,100)</f>
        <v>28</v>
      </c>
      <c r="M1218" s="12" t="n">
        <f aca="false">INT(K1218*(0.6+MOD(A1218*43,21)/100))</f>
        <v>18554</v>
      </c>
      <c r="N1218" s="12" t="n">
        <f aca="false">K1218-M1218</f>
        <v>4639</v>
      </c>
    </row>
    <row r="1219" customFormat="false" ht="12.8" hidden="false" customHeight="false" outlineLevel="0" collapsed="false">
      <c r="A1219" s="10" t="n">
        <f aca="false">A1218+1</f>
        <v>1218</v>
      </c>
      <c r="B1219" s="11" t="n">
        <f aca="false">B1218+1</f>
        <v>46144</v>
      </c>
      <c r="C1219" s="10" t="n">
        <f aca="false">YEAR(B1219)</f>
        <v>2026</v>
      </c>
      <c r="D1219" s="10" t="n">
        <f aca="false">INT((MONTH(B1219)-1)/3)+1</f>
        <v>2</v>
      </c>
      <c r="E1219" s="10" t="n">
        <f aca="false">MONTH(B1219)</f>
        <v>5</v>
      </c>
      <c r="F1219" s="10" t="str">
        <f aca="false">CHOOSE(MOD(A1219-1,5)+1,"Центр","Юг","Север","Запад","Восток")</f>
        <v>Север</v>
      </c>
      <c r="G1219" s="10" t="str">
        <f aca="false">"Округ_"&amp;(MOD(A1219-1,5)+1)&amp;"_"&amp;(MOD(INT((A1219-1)/5),5)+1)</f>
        <v>Округ_3_4</v>
      </c>
      <c r="H1219" s="10" t="str">
        <f aca="false">"Город_"&amp;(MOD(A1219-1,5)+1)&amp;"_"&amp;(MOD(INT((A1219-1)/5),5)+1)&amp;"_"&amp;(MOD(INT((A1219-1)/25),10)+1)</f>
        <v>Город_3_4_9</v>
      </c>
      <c r="I1219" s="10" t="str">
        <f aca="false">CHOOSE(MOD(A1219-1,4)+1,"Электроника","Одежда","Продукты","Мебель")</f>
        <v>Одежда</v>
      </c>
      <c r="J1219" s="10" t="str">
        <f aca="false">CHOOSE(MOD(INT((A1219-1)/4),4)+1,CHOOSE(MOD(A1219-1,4)+1,"Смартфоны","Ноутбуки","Аксессуары","Аудио"),CHOOSE(MOD(A1219-1,4)+1,"Верхняя одежда","Спортивная","Повседневная","Обувь"),CHOOSE(MOD(A1219-1,4)+1,"Молочные","Мясные","Бакалея","Напитки"),CHOOSE(MOD(A1219-1,4)+1,"Мягкая мебель","Корпусная","Офисная","Кухонная"))</f>
        <v>Ноутбуки</v>
      </c>
      <c r="K1219" s="12" t="n">
        <f aca="false">1000+MOD(A1219*317+A1219*A1219*7,49001)</f>
        <v>40555</v>
      </c>
      <c r="L1219" s="12" t="n">
        <f aca="false">1+MOD(A1219*131,100)</f>
        <v>59</v>
      </c>
      <c r="M1219" s="12" t="n">
        <f aca="false">INT(K1219*(0.6+MOD(A1219*43,21)/100))</f>
        <v>24333</v>
      </c>
      <c r="N1219" s="12" t="n">
        <f aca="false">K1219-M1219</f>
        <v>16222</v>
      </c>
    </row>
    <row r="1220" customFormat="false" ht="12.8" hidden="false" customHeight="false" outlineLevel="0" collapsed="false">
      <c r="A1220" s="10" t="n">
        <f aca="false">A1219+1</f>
        <v>1219</v>
      </c>
      <c r="B1220" s="11" t="n">
        <f aca="false">B1219+1</f>
        <v>46145</v>
      </c>
      <c r="C1220" s="10" t="n">
        <f aca="false">YEAR(B1220)</f>
        <v>2026</v>
      </c>
      <c r="D1220" s="10" t="n">
        <f aca="false">INT((MONTH(B1220)-1)/3)+1</f>
        <v>2</v>
      </c>
      <c r="E1220" s="10" t="n">
        <f aca="false">MONTH(B1220)</f>
        <v>5</v>
      </c>
      <c r="F1220" s="10" t="str">
        <f aca="false">CHOOSE(MOD(A1220-1,5)+1,"Центр","Юг","Север","Запад","Восток")</f>
        <v>Запад</v>
      </c>
      <c r="G1220" s="10" t="str">
        <f aca="false">"Округ_"&amp;(MOD(A1220-1,5)+1)&amp;"_"&amp;(MOD(INT((A1220-1)/5),5)+1)</f>
        <v>Округ_4_4</v>
      </c>
      <c r="H1220" s="10" t="str">
        <f aca="false">"Город_"&amp;(MOD(A1220-1,5)+1)&amp;"_"&amp;(MOD(INT((A1220-1)/5),5)+1)&amp;"_"&amp;(MOD(INT((A1220-1)/25),10)+1)</f>
        <v>Город_4_4_9</v>
      </c>
      <c r="I1220" s="10" t="str">
        <f aca="false">CHOOSE(MOD(A1220-1,4)+1,"Электроника","Одежда","Продукты","Мебель")</f>
        <v>Продукты</v>
      </c>
      <c r="J1220" s="10" t="str">
        <f aca="false">CHOOSE(MOD(INT((A1220-1)/4),4)+1,CHOOSE(MOD(A1220-1,4)+1,"Смартфоны","Ноутбуки","Аксессуары","Аудио"),CHOOSE(MOD(A1220-1,4)+1,"Верхняя одежда","Спортивная","Повседневная","Обувь"),CHOOSE(MOD(A1220-1,4)+1,"Молочные","Мясные","Бакалея","Напитки"),CHOOSE(MOD(A1220-1,4)+1,"Мягкая мебель","Корпусная","Офисная","Кухонная"))</f>
        <v>Аксессуары</v>
      </c>
      <c r="K1220" s="12" t="n">
        <f aca="false">1000+MOD(A1220*317+A1220*A1220*7,49001)</f>
        <v>8930</v>
      </c>
      <c r="L1220" s="12" t="n">
        <f aca="false">1+MOD(A1220*131,100)</f>
        <v>90</v>
      </c>
      <c r="M1220" s="12" t="n">
        <f aca="false">INT(K1220*(0.6+MOD(A1220*43,21)/100))</f>
        <v>5447</v>
      </c>
      <c r="N1220" s="12" t="n">
        <f aca="false">K1220-M1220</f>
        <v>3483</v>
      </c>
    </row>
    <row r="1221" customFormat="false" ht="12.8" hidden="false" customHeight="false" outlineLevel="0" collapsed="false">
      <c r="A1221" s="10" t="n">
        <f aca="false">A1220+1</f>
        <v>1220</v>
      </c>
      <c r="B1221" s="11" t="n">
        <f aca="false">B1220+1</f>
        <v>46146</v>
      </c>
      <c r="C1221" s="10" t="n">
        <f aca="false">YEAR(B1221)</f>
        <v>2026</v>
      </c>
      <c r="D1221" s="10" t="n">
        <f aca="false">INT((MONTH(B1221)-1)/3)+1</f>
        <v>2</v>
      </c>
      <c r="E1221" s="10" t="n">
        <f aca="false">MONTH(B1221)</f>
        <v>5</v>
      </c>
      <c r="F1221" s="10" t="str">
        <f aca="false">CHOOSE(MOD(A1221-1,5)+1,"Центр","Юг","Север","Запад","Восток")</f>
        <v>Восток</v>
      </c>
      <c r="G1221" s="10" t="str">
        <f aca="false">"Округ_"&amp;(MOD(A1221-1,5)+1)&amp;"_"&amp;(MOD(INT((A1221-1)/5),5)+1)</f>
        <v>Округ_5_4</v>
      </c>
      <c r="H1221" s="10" t="str">
        <f aca="false">"Город_"&amp;(MOD(A1221-1,5)+1)&amp;"_"&amp;(MOD(INT((A1221-1)/5),5)+1)&amp;"_"&amp;(MOD(INT((A1221-1)/25),10)+1)</f>
        <v>Город_5_4_9</v>
      </c>
      <c r="I1221" s="10" t="str">
        <f aca="false">CHOOSE(MOD(A1221-1,4)+1,"Электроника","Одежда","Продукты","Мебель")</f>
        <v>Мебель</v>
      </c>
      <c r="J1221" s="10" t="str">
        <f aca="false">CHOOSE(MOD(INT((A1221-1)/4),4)+1,CHOOSE(MOD(A1221-1,4)+1,"Смартфоны","Ноутбуки","Аксессуары","Аудио"),CHOOSE(MOD(A1221-1,4)+1,"Верхняя одежда","Спортивная","Повседневная","Обувь"),CHOOSE(MOD(A1221-1,4)+1,"Молочные","Мясные","Бакалея","Напитки"),CHOOSE(MOD(A1221-1,4)+1,"Мягкая мебель","Корпусная","Офисная","Кухонная"))</f>
        <v>Аудио</v>
      </c>
      <c r="K1221" s="12" t="n">
        <f aca="false">1000+MOD(A1221*317+A1221*A1221*7,49001)</f>
        <v>26320</v>
      </c>
      <c r="L1221" s="12" t="n">
        <f aca="false">1+MOD(A1221*131,100)</f>
        <v>21</v>
      </c>
      <c r="M1221" s="12" t="n">
        <f aca="false">INT(K1221*(0.6+MOD(A1221*43,21)/100))</f>
        <v>16318</v>
      </c>
      <c r="N1221" s="12" t="n">
        <f aca="false">K1221-M1221</f>
        <v>10002</v>
      </c>
    </row>
    <row r="1222" customFormat="false" ht="12.8" hidden="false" customHeight="false" outlineLevel="0" collapsed="false">
      <c r="A1222" s="10" t="n">
        <f aca="false">A1221+1</f>
        <v>1221</v>
      </c>
      <c r="B1222" s="11" t="n">
        <f aca="false">B1221+1</f>
        <v>46147</v>
      </c>
      <c r="C1222" s="10" t="n">
        <f aca="false">YEAR(B1222)</f>
        <v>2026</v>
      </c>
      <c r="D1222" s="10" t="n">
        <f aca="false">INT((MONTH(B1222)-1)/3)+1</f>
        <v>2</v>
      </c>
      <c r="E1222" s="10" t="n">
        <f aca="false">MONTH(B1222)</f>
        <v>5</v>
      </c>
      <c r="F1222" s="10" t="str">
        <f aca="false">CHOOSE(MOD(A1222-1,5)+1,"Центр","Юг","Север","Запад","Восток")</f>
        <v>Центр</v>
      </c>
      <c r="G1222" s="10" t="str">
        <f aca="false">"Округ_"&amp;(MOD(A1222-1,5)+1)&amp;"_"&amp;(MOD(INT((A1222-1)/5),5)+1)</f>
        <v>Округ_1_5</v>
      </c>
      <c r="H1222" s="10" t="str">
        <f aca="false">"Город_"&amp;(MOD(A1222-1,5)+1)&amp;"_"&amp;(MOD(INT((A1222-1)/5),5)+1)&amp;"_"&amp;(MOD(INT((A1222-1)/25),10)+1)</f>
        <v>Город_1_5_9</v>
      </c>
      <c r="I1222" s="10" t="str">
        <f aca="false">CHOOSE(MOD(A1222-1,4)+1,"Электроника","Одежда","Продукты","Мебель")</f>
        <v>Электроника</v>
      </c>
      <c r="J1222" s="10" t="str">
        <f aca="false">CHOOSE(MOD(INT((A1222-1)/4),4)+1,CHOOSE(MOD(A1222-1,4)+1,"Смартфоны","Ноутбуки","Аксессуары","Аудио"),CHOOSE(MOD(A1222-1,4)+1,"Верхняя одежда","Спортивная","Повседневная","Обувь"),CHOOSE(MOD(A1222-1,4)+1,"Молочные","Мясные","Бакалея","Напитки"),CHOOSE(MOD(A1222-1,4)+1,"Мягкая мебель","Корпусная","Офисная","Кухонная"))</f>
        <v>Верхняя одежда</v>
      </c>
      <c r="K1222" s="12" t="n">
        <f aca="false">1000+MOD(A1222*317+A1222*A1222*7,49001)</f>
        <v>43724</v>
      </c>
      <c r="L1222" s="12" t="n">
        <f aca="false">1+MOD(A1222*131,100)</f>
        <v>52</v>
      </c>
      <c r="M1222" s="12" t="n">
        <f aca="false">INT(K1222*(0.6+MOD(A1222*43,21)/100))</f>
        <v>27546</v>
      </c>
      <c r="N1222" s="12" t="n">
        <f aca="false">K1222-M1222</f>
        <v>16178</v>
      </c>
    </row>
    <row r="1223" customFormat="false" ht="12.8" hidden="false" customHeight="false" outlineLevel="0" collapsed="false">
      <c r="A1223" s="10" t="n">
        <f aca="false">A1222+1</f>
        <v>1222</v>
      </c>
      <c r="B1223" s="11" t="n">
        <f aca="false">B1222+1</f>
        <v>46148</v>
      </c>
      <c r="C1223" s="10" t="n">
        <f aca="false">YEAR(B1223)</f>
        <v>2026</v>
      </c>
      <c r="D1223" s="10" t="n">
        <f aca="false">INT((MONTH(B1223)-1)/3)+1</f>
        <v>2</v>
      </c>
      <c r="E1223" s="10" t="n">
        <f aca="false">MONTH(B1223)</f>
        <v>5</v>
      </c>
      <c r="F1223" s="10" t="str">
        <f aca="false">CHOOSE(MOD(A1223-1,5)+1,"Центр","Юг","Север","Запад","Восток")</f>
        <v>Юг</v>
      </c>
      <c r="G1223" s="10" t="str">
        <f aca="false">"Округ_"&amp;(MOD(A1223-1,5)+1)&amp;"_"&amp;(MOD(INT((A1223-1)/5),5)+1)</f>
        <v>Округ_2_5</v>
      </c>
      <c r="H1223" s="10" t="str">
        <f aca="false">"Город_"&amp;(MOD(A1223-1,5)+1)&amp;"_"&amp;(MOD(INT((A1223-1)/5),5)+1)&amp;"_"&amp;(MOD(INT((A1223-1)/25),10)+1)</f>
        <v>Город_2_5_9</v>
      </c>
      <c r="I1223" s="10" t="str">
        <f aca="false">CHOOSE(MOD(A1223-1,4)+1,"Электроника","Одежда","Продукты","Мебель")</f>
        <v>Одежда</v>
      </c>
      <c r="J1223" s="10" t="str">
        <f aca="false">CHOOSE(MOD(INT((A1223-1)/4),4)+1,CHOOSE(MOD(A1223-1,4)+1,"Смартфоны","Ноутбуки","Аксессуары","Аудио"),CHOOSE(MOD(A1223-1,4)+1,"Верхняя одежда","Спортивная","Повседневная","Обувь"),CHOOSE(MOD(A1223-1,4)+1,"Молочные","Мясные","Бакалея","Напитки"),CHOOSE(MOD(A1223-1,4)+1,"Мягкая мебель","Корпусная","Офисная","Кухонная"))</f>
        <v>Спортивная</v>
      </c>
      <c r="K1223" s="12" t="n">
        <f aca="false">1000+MOD(A1223*317+A1223*A1223*7,49001)</f>
        <v>12141</v>
      </c>
      <c r="L1223" s="12" t="n">
        <f aca="false">1+MOD(A1223*131,100)</f>
        <v>83</v>
      </c>
      <c r="M1223" s="12" t="n">
        <f aca="false">INT(K1223*(0.6+MOD(A1223*43,21)/100))</f>
        <v>7770</v>
      </c>
      <c r="N1223" s="12" t="n">
        <f aca="false">K1223-M1223</f>
        <v>4371</v>
      </c>
    </row>
    <row r="1224" customFormat="false" ht="12.8" hidden="false" customHeight="false" outlineLevel="0" collapsed="false">
      <c r="A1224" s="10" t="n">
        <f aca="false">A1223+1</f>
        <v>1223</v>
      </c>
      <c r="B1224" s="11" t="n">
        <f aca="false">B1223+1</f>
        <v>46149</v>
      </c>
      <c r="C1224" s="10" t="n">
        <f aca="false">YEAR(B1224)</f>
        <v>2026</v>
      </c>
      <c r="D1224" s="10" t="n">
        <f aca="false">INT((MONTH(B1224)-1)/3)+1</f>
        <v>2</v>
      </c>
      <c r="E1224" s="10" t="n">
        <f aca="false">MONTH(B1224)</f>
        <v>5</v>
      </c>
      <c r="F1224" s="10" t="str">
        <f aca="false">CHOOSE(MOD(A1224-1,5)+1,"Центр","Юг","Север","Запад","Восток")</f>
        <v>Север</v>
      </c>
      <c r="G1224" s="10" t="str">
        <f aca="false">"Округ_"&amp;(MOD(A1224-1,5)+1)&amp;"_"&amp;(MOD(INT((A1224-1)/5),5)+1)</f>
        <v>Округ_3_5</v>
      </c>
      <c r="H1224" s="10" t="str">
        <f aca="false">"Город_"&amp;(MOD(A1224-1,5)+1)&amp;"_"&amp;(MOD(INT((A1224-1)/5),5)+1)&amp;"_"&amp;(MOD(INT((A1224-1)/25),10)+1)</f>
        <v>Город_3_5_9</v>
      </c>
      <c r="I1224" s="10" t="str">
        <f aca="false">CHOOSE(MOD(A1224-1,4)+1,"Электроника","Одежда","Продукты","Мебель")</f>
        <v>Продукты</v>
      </c>
      <c r="J1224" s="10" t="str">
        <f aca="false">CHOOSE(MOD(INT((A1224-1)/4),4)+1,CHOOSE(MOD(A1224-1,4)+1,"Смартфоны","Ноутбуки","Аксессуары","Аудио"),CHOOSE(MOD(A1224-1,4)+1,"Верхняя одежда","Спортивная","Повседневная","Обувь"),CHOOSE(MOD(A1224-1,4)+1,"Молочные","Мясные","Бакалея","Напитки"),CHOOSE(MOD(A1224-1,4)+1,"Мягкая мебель","Корпусная","Офисная","Кухонная"))</f>
        <v>Повседневная</v>
      </c>
      <c r="K1224" s="12" t="n">
        <f aca="false">1000+MOD(A1224*317+A1224*A1224*7,49001)</f>
        <v>29573</v>
      </c>
      <c r="L1224" s="12" t="n">
        <f aca="false">1+MOD(A1224*131,100)</f>
        <v>14</v>
      </c>
      <c r="M1224" s="12" t="n">
        <f aca="false">INT(K1224*(0.6+MOD(A1224*43,21)/100))</f>
        <v>19222</v>
      </c>
      <c r="N1224" s="12" t="n">
        <f aca="false">K1224-M1224</f>
        <v>10351</v>
      </c>
    </row>
    <row r="1225" customFormat="false" ht="12.8" hidden="false" customHeight="false" outlineLevel="0" collapsed="false">
      <c r="A1225" s="10" t="n">
        <f aca="false">A1224+1</f>
        <v>1224</v>
      </c>
      <c r="B1225" s="11" t="n">
        <f aca="false">B1224+1</f>
        <v>46150</v>
      </c>
      <c r="C1225" s="10" t="n">
        <f aca="false">YEAR(B1225)</f>
        <v>2026</v>
      </c>
      <c r="D1225" s="10" t="n">
        <f aca="false">INT((MONTH(B1225)-1)/3)+1</f>
        <v>2</v>
      </c>
      <c r="E1225" s="10" t="n">
        <f aca="false">MONTH(B1225)</f>
        <v>5</v>
      </c>
      <c r="F1225" s="10" t="str">
        <f aca="false">CHOOSE(MOD(A1225-1,5)+1,"Центр","Юг","Север","Запад","Восток")</f>
        <v>Запад</v>
      </c>
      <c r="G1225" s="10" t="str">
        <f aca="false">"Округ_"&amp;(MOD(A1225-1,5)+1)&amp;"_"&amp;(MOD(INT((A1225-1)/5),5)+1)</f>
        <v>Округ_4_5</v>
      </c>
      <c r="H1225" s="10" t="str">
        <f aca="false">"Город_"&amp;(MOD(A1225-1,5)+1)&amp;"_"&amp;(MOD(INT((A1225-1)/5),5)+1)&amp;"_"&amp;(MOD(INT((A1225-1)/25),10)+1)</f>
        <v>Город_4_5_9</v>
      </c>
      <c r="I1225" s="10" t="str">
        <f aca="false">CHOOSE(MOD(A1225-1,4)+1,"Электроника","Одежда","Продукты","Мебель")</f>
        <v>Мебель</v>
      </c>
      <c r="J1225" s="10" t="str">
        <f aca="false">CHOOSE(MOD(INT((A1225-1)/4),4)+1,CHOOSE(MOD(A1225-1,4)+1,"Смартфоны","Ноутбуки","Аксессуары","Аудио"),CHOOSE(MOD(A1225-1,4)+1,"Верхняя одежда","Спортивная","Повседневная","Обувь"),CHOOSE(MOD(A1225-1,4)+1,"Молочные","Мясные","Бакалея","Напитки"),CHOOSE(MOD(A1225-1,4)+1,"Мягкая мебель","Корпусная","Офисная","Кухонная"))</f>
        <v>Обувь</v>
      </c>
      <c r="K1225" s="12" t="n">
        <f aca="false">1000+MOD(A1225*317+A1225*A1225*7,49001)</f>
        <v>47019</v>
      </c>
      <c r="L1225" s="12" t="n">
        <f aca="false">1+MOD(A1225*131,100)</f>
        <v>45</v>
      </c>
      <c r="M1225" s="12" t="n">
        <f aca="false">INT(K1225*(0.6+MOD(A1225*43,21)/100))</f>
        <v>31032</v>
      </c>
      <c r="N1225" s="12" t="n">
        <f aca="false">K1225-M1225</f>
        <v>15987</v>
      </c>
    </row>
    <row r="1226" customFormat="false" ht="12.8" hidden="false" customHeight="false" outlineLevel="0" collapsed="false">
      <c r="A1226" s="10" t="n">
        <f aca="false">A1225+1</f>
        <v>1225</v>
      </c>
      <c r="B1226" s="11" t="n">
        <f aca="false">B1225+1</f>
        <v>46151</v>
      </c>
      <c r="C1226" s="10" t="n">
        <f aca="false">YEAR(B1226)</f>
        <v>2026</v>
      </c>
      <c r="D1226" s="10" t="n">
        <f aca="false">INT((MONTH(B1226)-1)/3)+1</f>
        <v>2</v>
      </c>
      <c r="E1226" s="10" t="n">
        <f aca="false">MONTH(B1226)</f>
        <v>5</v>
      </c>
      <c r="F1226" s="10" t="str">
        <f aca="false">CHOOSE(MOD(A1226-1,5)+1,"Центр","Юг","Север","Запад","Восток")</f>
        <v>Восток</v>
      </c>
      <c r="G1226" s="10" t="str">
        <f aca="false">"Округ_"&amp;(MOD(A1226-1,5)+1)&amp;"_"&amp;(MOD(INT((A1226-1)/5),5)+1)</f>
        <v>Округ_5_5</v>
      </c>
      <c r="H1226" s="10" t="str">
        <f aca="false">"Город_"&amp;(MOD(A1226-1,5)+1)&amp;"_"&amp;(MOD(INT((A1226-1)/5),5)+1)&amp;"_"&amp;(MOD(INT((A1226-1)/25),10)+1)</f>
        <v>Город_5_5_9</v>
      </c>
      <c r="I1226" s="10" t="str">
        <f aca="false">CHOOSE(MOD(A1226-1,4)+1,"Электроника","Одежда","Продукты","Мебель")</f>
        <v>Электроника</v>
      </c>
      <c r="J1226" s="10" t="str">
        <f aca="false">CHOOSE(MOD(INT((A1226-1)/4),4)+1,CHOOSE(MOD(A1226-1,4)+1,"Смартфоны","Ноутбуки","Аксессуары","Аудио"),CHOOSE(MOD(A1226-1,4)+1,"Верхняя одежда","Спортивная","Повседневная","Обувь"),CHOOSE(MOD(A1226-1,4)+1,"Молочные","Мясные","Бакалея","Напитки"),CHOOSE(MOD(A1226-1,4)+1,"Мягкая мебель","Корпусная","Офисная","Кухонная"))</f>
        <v>Молочные</v>
      </c>
      <c r="K1226" s="12" t="n">
        <f aca="false">1000+MOD(A1226*317+A1226*A1226*7,49001)</f>
        <v>15478</v>
      </c>
      <c r="L1226" s="12" t="n">
        <f aca="false">1+MOD(A1226*131,100)</f>
        <v>76</v>
      </c>
      <c r="M1226" s="12" t="n">
        <f aca="false">INT(K1226*(0.6+MOD(A1226*43,21)/100))</f>
        <v>10370</v>
      </c>
      <c r="N1226" s="12" t="n">
        <f aca="false">K1226-M1226</f>
        <v>5108</v>
      </c>
    </row>
    <row r="1227" customFormat="false" ht="12.8" hidden="false" customHeight="false" outlineLevel="0" collapsed="false">
      <c r="A1227" s="10" t="n">
        <f aca="false">A1226+1</f>
        <v>1226</v>
      </c>
      <c r="B1227" s="11" t="n">
        <f aca="false">B1226+1</f>
        <v>46152</v>
      </c>
      <c r="C1227" s="10" t="n">
        <f aca="false">YEAR(B1227)</f>
        <v>2026</v>
      </c>
      <c r="D1227" s="10" t="n">
        <f aca="false">INT((MONTH(B1227)-1)/3)+1</f>
        <v>2</v>
      </c>
      <c r="E1227" s="10" t="n">
        <f aca="false">MONTH(B1227)</f>
        <v>5</v>
      </c>
      <c r="F1227" s="10" t="str">
        <f aca="false">CHOOSE(MOD(A1227-1,5)+1,"Центр","Юг","Север","Запад","Восток")</f>
        <v>Центр</v>
      </c>
      <c r="G1227" s="10" t="str">
        <f aca="false">"Округ_"&amp;(MOD(A1227-1,5)+1)&amp;"_"&amp;(MOD(INT((A1227-1)/5),5)+1)</f>
        <v>Округ_1_1</v>
      </c>
      <c r="H1227" s="10" t="str">
        <f aca="false">"Город_"&amp;(MOD(A1227-1,5)+1)&amp;"_"&amp;(MOD(INT((A1227-1)/5),5)+1)&amp;"_"&amp;(MOD(INT((A1227-1)/25),10)+1)</f>
        <v>Город_1_1_10</v>
      </c>
      <c r="I1227" s="10" t="str">
        <f aca="false">CHOOSE(MOD(A1227-1,4)+1,"Электроника","Одежда","Продукты","Мебель")</f>
        <v>Одежда</v>
      </c>
      <c r="J1227" s="10" t="str">
        <f aca="false">CHOOSE(MOD(INT((A1227-1)/4),4)+1,CHOOSE(MOD(A1227-1,4)+1,"Смартфоны","Ноутбуки","Аксессуары","Аудио"),CHOOSE(MOD(A1227-1,4)+1,"Верхняя одежда","Спортивная","Повседневная","Обувь"),CHOOSE(MOD(A1227-1,4)+1,"Молочные","Мясные","Бакалея","Напитки"),CHOOSE(MOD(A1227-1,4)+1,"Мягкая мебель","Корпусная","Офисная","Кухонная"))</f>
        <v>Мясные</v>
      </c>
      <c r="K1227" s="12" t="n">
        <f aca="false">1000+MOD(A1227*317+A1227*A1227*7,49001)</f>
        <v>32952</v>
      </c>
      <c r="L1227" s="12" t="n">
        <f aca="false">1+MOD(A1227*131,100)</f>
        <v>7</v>
      </c>
      <c r="M1227" s="12" t="n">
        <f aca="false">INT(K1227*(0.6+MOD(A1227*43,21)/100))</f>
        <v>22407</v>
      </c>
      <c r="N1227" s="12" t="n">
        <f aca="false">K1227-M1227</f>
        <v>10545</v>
      </c>
    </row>
    <row r="1228" customFormat="false" ht="12.8" hidden="false" customHeight="false" outlineLevel="0" collapsed="false">
      <c r="A1228" s="10" t="n">
        <f aca="false">A1227+1</f>
        <v>1227</v>
      </c>
      <c r="B1228" s="11" t="n">
        <f aca="false">B1227+1</f>
        <v>46153</v>
      </c>
      <c r="C1228" s="10" t="n">
        <f aca="false">YEAR(B1228)</f>
        <v>2026</v>
      </c>
      <c r="D1228" s="10" t="n">
        <f aca="false">INT((MONTH(B1228)-1)/3)+1</f>
        <v>2</v>
      </c>
      <c r="E1228" s="10" t="n">
        <f aca="false">MONTH(B1228)</f>
        <v>5</v>
      </c>
      <c r="F1228" s="10" t="str">
        <f aca="false">CHOOSE(MOD(A1228-1,5)+1,"Центр","Юг","Север","Запад","Восток")</f>
        <v>Юг</v>
      </c>
      <c r="G1228" s="10" t="str">
        <f aca="false">"Округ_"&amp;(MOD(A1228-1,5)+1)&amp;"_"&amp;(MOD(INT((A1228-1)/5),5)+1)</f>
        <v>Округ_2_1</v>
      </c>
      <c r="H1228" s="10" t="str">
        <f aca="false">"Город_"&amp;(MOD(A1228-1,5)+1)&amp;"_"&amp;(MOD(INT((A1228-1)/5),5)+1)&amp;"_"&amp;(MOD(INT((A1228-1)/25),10)+1)</f>
        <v>Город_2_1_10</v>
      </c>
      <c r="I1228" s="10" t="str">
        <f aca="false">CHOOSE(MOD(A1228-1,4)+1,"Электроника","Одежда","Продукты","Мебель")</f>
        <v>Продукты</v>
      </c>
      <c r="J1228" s="10" t="str">
        <f aca="false">CHOOSE(MOD(INT((A1228-1)/4),4)+1,CHOOSE(MOD(A1228-1,4)+1,"Смартфоны","Ноутбуки","Аксессуары","Аудио"),CHOOSE(MOD(A1228-1,4)+1,"Верхняя одежда","Спортивная","Повседневная","Обувь"),CHOOSE(MOD(A1228-1,4)+1,"Молочные","Мясные","Бакалея","Напитки"),CHOOSE(MOD(A1228-1,4)+1,"Мягкая мебель","Корпусная","Офисная","Кухонная"))</f>
        <v>Бакалея</v>
      </c>
      <c r="K1228" s="12" t="n">
        <f aca="false">1000+MOD(A1228*317+A1228*A1228*7,49001)</f>
        <v>1439</v>
      </c>
      <c r="L1228" s="12" t="n">
        <f aca="false">1+MOD(A1228*131,100)</f>
        <v>38</v>
      </c>
      <c r="M1228" s="12" t="n">
        <f aca="false">INT(K1228*(0.6+MOD(A1228*43,21)/100))</f>
        <v>992</v>
      </c>
      <c r="N1228" s="12" t="n">
        <f aca="false">K1228-M1228</f>
        <v>447</v>
      </c>
    </row>
    <row r="1229" customFormat="false" ht="12.8" hidden="false" customHeight="false" outlineLevel="0" collapsed="false">
      <c r="A1229" s="10" t="n">
        <f aca="false">A1228+1</f>
        <v>1228</v>
      </c>
      <c r="B1229" s="11" t="n">
        <f aca="false">B1228+1</f>
        <v>46154</v>
      </c>
      <c r="C1229" s="10" t="n">
        <f aca="false">YEAR(B1229)</f>
        <v>2026</v>
      </c>
      <c r="D1229" s="10" t="n">
        <f aca="false">INT((MONTH(B1229)-1)/3)+1</f>
        <v>2</v>
      </c>
      <c r="E1229" s="10" t="n">
        <f aca="false">MONTH(B1229)</f>
        <v>5</v>
      </c>
      <c r="F1229" s="10" t="str">
        <f aca="false">CHOOSE(MOD(A1229-1,5)+1,"Центр","Юг","Север","Запад","Восток")</f>
        <v>Север</v>
      </c>
      <c r="G1229" s="10" t="str">
        <f aca="false">"Округ_"&amp;(MOD(A1229-1,5)+1)&amp;"_"&amp;(MOD(INT((A1229-1)/5),5)+1)</f>
        <v>Округ_3_1</v>
      </c>
      <c r="H1229" s="10" t="str">
        <f aca="false">"Город_"&amp;(MOD(A1229-1,5)+1)&amp;"_"&amp;(MOD(INT((A1229-1)/5),5)+1)&amp;"_"&amp;(MOD(INT((A1229-1)/25),10)+1)</f>
        <v>Город_3_1_10</v>
      </c>
      <c r="I1229" s="10" t="str">
        <f aca="false">CHOOSE(MOD(A1229-1,4)+1,"Электроника","Одежда","Продукты","Мебель")</f>
        <v>Мебель</v>
      </c>
      <c r="J1229" s="10" t="str">
        <f aca="false">CHOOSE(MOD(INT((A1229-1)/4),4)+1,CHOOSE(MOD(A1229-1,4)+1,"Смартфоны","Ноутбуки","Аксессуары","Аудио"),CHOOSE(MOD(A1229-1,4)+1,"Верхняя одежда","Спортивная","Повседневная","Обувь"),CHOOSE(MOD(A1229-1,4)+1,"Молочные","Мясные","Бакалея","Напитки"),CHOOSE(MOD(A1229-1,4)+1,"Мягкая мебель","Корпусная","Офисная","Кухонная"))</f>
        <v>Напитки</v>
      </c>
      <c r="K1229" s="12" t="n">
        <f aca="false">1000+MOD(A1229*317+A1229*A1229*7,49001)</f>
        <v>18941</v>
      </c>
      <c r="L1229" s="12" t="n">
        <f aca="false">1+MOD(A1229*131,100)</f>
        <v>69</v>
      </c>
      <c r="M1229" s="12" t="n">
        <f aca="false">INT(K1229*(0.6+MOD(A1229*43,21)/100))</f>
        <v>13258</v>
      </c>
      <c r="N1229" s="12" t="n">
        <f aca="false">K1229-M1229</f>
        <v>5683</v>
      </c>
    </row>
    <row r="1230" customFormat="false" ht="12.8" hidden="false" customHeight="false" outlineLevel="0" collapsed="false">
      <c r="A1230" s="10" t="n">
        <f aca="false">A1229+1</f>
        <v>1229</v>
      </c>
      <c r="B1230" s="11" t="n">
        <f aca="false">B1229+1</f>
        <v>46155</v>
      </c>
      <c r="C1230" s="10" t="n">
        <f aca="false">YEAR(B1230)</f>
        <v>2026</v>
      </c>
      <c r="D1230" s="10" t="n">
        <f aca="false">INT((MONTH(B1230)-1)/3)+1</f>
        <v>2</v>
      </c>
      <c r="E1230" s="10" t="n">
        <f aca="false">MONTH(B1230)</f>
        <v>5</v>
      </c>
      <c r="F1230" s="10" t="str">
        <f aca="false">CHOOSE(MOD(A1230-1,5)+1,"Центр","Юг","Север","Запад","Восток")</f>
        <v>Запад</v>
      </c>
      <c r="G1230" s="10" t="str">
        <f aca="false">"Округ_"&amp;(MOD(A1230-1,5)+1)&amp;"_"&amp;(MOD(INT((A1230-1)/5),5)+1)</f>
        <v>Округ_4_1</v>
      </c>
      <c r="H1230" s="10" t="str">
        <f aca="false">"Город_"&amp;(MOD(A1230-1,5)+1)&amp;"_"&amp;(MOD(INT((A1230-1)/5),5)+1)&amp;"_"&amp;(MOD(INT((A1230-1)/25),10)+1)</f>
        <v>Город_4_1_10</v>
      </c>
      <c r="I1230" s="10" t="str">
        <f aca="false">CHOOSE(MOD(A1230-1,4)+1,"Электроника","Одежда","Продукты","Мебель")</f>
        <v>Электроника</v>
      </c>
      <c r="J1230" s="10" t="str">
        <f aca="false">CHOOSE(MOD(INT((A1230-1)/4),4)+1,CHOOSE(MOD(A1230-1,4)+1,"Смартфоны","Ноутбуки","Аксессуары","Аудио"),CHOOSE(MOD(A1230-1,4)+1,"Верхняя одежда","Спортивная","Повседневная","Обувь"),CHOOSE(MOD(A1230-1,4)+1,"Молочные","Мясные","Бакалея","Напитки"),CHOOSE(MOD(A1230-1,4)+1,"Мягкая мебель","Корпусная","Офисная","Кухонная"))</f>
        <v>Мягкая мебель</v>
      </c>
      <c r="K1230" s="12" t="n">
        <f aca="false">1000+MOD(A1230*317+A1230*A1230*7,49001)</f>
        <v>36457</v>
      </c>
      <c r="L1230" s="12" t="n">
        <f aca="false">1+MOD(A1230*131,100)</f>
        <v>100</v>
      </c>
      <c r="M1230" s="12" t="n">
        <f aca="false">INT(K1230*(0.6+MOD(A1230*43,21)/100))</f>
        <v>25884</v>
      </c>
      <c r="N1230" s="12" t="n">
        <f aca="false">K1230-M1230</f>
        <v>10573</v>
      </c>
    </row>
    <row r="1231" customFormat="false" ht="12.8" hidden="false" customHeight="false" outlineLevel="0" collapsed="false">
      <c r="A1231" s="10" t="n">
        <f aca="false">A1230+1</f>
        <v>1230</v>
      </c>
      <c r="B1231" s="11" t="n">
        <f aca="false">B1230+1</f>
        <v>46156</v>
      </c>
      <c r="C1231" s="10" t="n">
        <f aca="false">YEAR(B1231)</f>
        <v>2026</v>
      </c>
      <c r="D1231" s="10" t="n">
        <f aca="false">INT((MONTH(B1231)-1)/3)+1</f>
        <v>2</v>
      </c>
      <c r="E1231" s="10" t="n">
        <f aca="false">MONTH(B1231)</f>
        <v>5</v>
      </c>
      <c r="F1231" s="10" t="str">
        <f aca="false">CHOOSE(MOD(A1231-1,5)+1,"Центр","Юг","Север","Запад","Восток")</f>
        <v>Восток</v>
      </c>
      <c r="G1231" s="10" t="str">
        <f aca="false">"Округ_"&amp;(MOD(A1231-1,5)+1)&amp;"_"&amp;(MOD(INT((A1231-1)/5),5)+1)</f>
        <v>Округ_5_1</v>
      </c>
      <c r="H1231" s="10" t="str">
        <f aca="false">"Город_"&amp;(MOD(A1231-1,5)+1)&amp;"_"&amp;(MOD(INT((A1231-1)/5),5)+1)&amp;"_"&amp;(MOD(INT((A1231-1)/25),10)+1)</f>
        <v>Город_5_1_10</v>
      </c>
      <c r="I1231" s="10" t="str">
        <f aca="false">CHOOSE(MOD(A1231-1,4)+1,"Электроника","Одежда","Продукты","Мебель")</f>
        <v>Одежда</v>
      </c>
      <c r="J1231" s="10" t="str">
        <f aca="false">CHOOSE(MOD(INT((A1231-1)/4),4)+1,CHOOSE(MOD(A1231-1,4)+1,"Смартфоны","Ноутбуки","Аксессуары","Аудио"),CHOOSE(MOD(A1231-1,4)+1,"Верхняя одежда","Спортивная","Повседневная","Обувь"),CHOOSE(MOD(A1231-1,4)+1,"Молочные","Мясные","Бакалея","Напитки"),CHOOSE(MOD(A1231-1,4)+1,"Мягкая мебель","Корпусная","Офисная","Кухонная"))</f>
        <v>Корпусная</v>
      </c>
      <c r="K1231" s="12" t="n">
        <f aca="false">1000+MOD(A1231*317+A1231*A1231*7,49001)</f>
        <v>4986</v>
      </c>
      <c r="L1231" s="12" t="n">
        <f aca="false">1+MOD(A1231*131,100)</f>
        <v>31</v>
      </c>
      <c r="M1231" s="12" t="n">
        <f aca="false">INT(K1231*(0.6+MOD(A1231*43,21)/100))</f>
        <v>3589</v>
      </c>
      <c r="N1231" s="12" t="n">
        <f aca="false">K1231-M1231</f>
        <v>1397</v>
      </c>
    </row>
    <row r="1232" customFormat="false" ht="12.8" hidden="false" customHeight="false" outlineLevel="0" collapsed="false">
      <c r="A1232" s="10" t="n">
        <f aca="false">A1231+1</f>
        <v>1231</v>
      </c>
      <c r="B1232" s="11" t="n">
        <f aca="false">B1231+1</f>
        <v>46157</v>
      </c>
      <c r="C1232" s="10" t="n">
        <f aca="false">YEAR(B1232)</f>
        <v>2026</v>
      </c>
      <c r="D1232" s="10" t="n">
        <f aca="false">INT((MONTH(B1232)-1)/3)+1</f>
        <v>2</v>
      </c>
      <c r="E1232" s="10" t="n">
        <f aca="false">MONTH(B1232)</f>
        <v>5</v>
      </c>
      <c r="F1232" s="10" t="str">
        <f aca="false">CHOOSE(MOD(A1232-1,5)+1,"Центр","Юг","Север","Запад","Восток")</f>
        <v>Центр</v>
      </c>
      <c r="G1232" s="10" t="str">
        <f aca="false">"Округ_"&amp;(MOD(A1232-1,5)+1)&amp;"_"&amp;(MOD(INT((A1232-1)/5),5)+1)</f>
        <v>Округ_1_2</v>
      </c>
      <c r="H1232" s="10" t="str">
        <f aca="false">"Город_"&amp;(MOD(A1232-1,5)+1)&amp;"_"&amp;(MOD(INT((A1232-1)/5),5)+1)&amp;"_"&amp;(MOD(INT((A1232-1)/25),10)+1)</f>
        <v>Город_1_2_10</v>
      </c>
      <c r="I1232" s="10" t="str">
        <f aca="false">CHOOSE(MOD(A1232-1,4)+1,"Электроника","Одежда","Продукты","Мебель")</f>
        <v>Продукты</v>
      </c>
      <c r="J1232" s="10" t="str">
        <f aca="false">CHOOSE(MOD(INT((A1232-1)/4),4)+1,CHOOSE(MOD(A1232-1,4)+1,"Смартфоны","Ноутбуки","Аксессуары","Аудио"),CHOOSE(MOD(A1232-1,4)+1,"Верхняя одежда","Спортивная","Повседневная","Обувь"),CHOOSE(MOD(A1232-1,4)+1,"Молочные","Мясные","Бакалея","Напитки"),CHOOSE(MOD(A1232-1,4)+1,"Мягкая мебель","Корпусная","Офисная","Кухонная"))</f>
        <v>Офисная</v>
      </c>
      <c r="K1232" s="12" t="n">
        <f aca="false">1000+MOD(A1232*317+A1232*A1232*7,49001)</f>
        <v>22530</v>
      </c>
      <c r="L1232" s="12" t="n">
        <f aca="false">1+MOD(A1232*131,100)</f>
        <v>62</v>
      </c>
      <c r="M1232" s="12" t="n">
        <f aca="false">INT(K1232*(0.6+MOD(A1232*43,21)/100))</f>
        <v>16446</v>
      </c>
      <c r="N1232" s="12" t="n">
        <f aca="false">K1232-M1232</f>
        <v>6084</v>
      </c>
    </row>
    <row r="1233" customFormat="false" ht="12.8" hidden="false" customHeight="false" outlineLevel="0" collapsed="false">
      <c r="A1233" s="10" t="n">
        <f aca="false">A1232+1</f>
        <v>1232</v>
      </c>
      <c r="B1233" s="11" t="n">
        <f aca="false">B1232+1</f>
        <v>46158</v>
      </c>
      <c r="C1233" s="10" t="n">
        <f aca="false">YEAR(B1233)</f>
        <v>2026</v>
      </c>
      <c r="D1233" s="10" t="n">
        <f aca="false">INT((MONTH(B1233)-1)/3)+1</f>
        <v>2</v>
      </c>
      <c r="E1233" s="10" t="n">
        <f aca="false">MONTH(B1233)</f>
        <v>5</v>
      </c>
      <c r="F1233" s="10" t="str">
        <f aca="false">CHOOSE(MOD(A1233-1,5)+1,"Центр","Юг","Север","Запад","Восток")</f>
        <v>Юг</v>
      </c>
      <c r="G1233" s="10" t="str">
        <f aca="false">"Округ_"&amp;(MOD(A1233-1,5)+1)&amp;"_"&amp;(MOD(INT((A1233-1)/5),5)+1)</f>
        <v>Округ_2_2</v>
      </c>
      <c r="H1233" s="10" t="str">
        <f aca="false">"Город_"&amp;(MOD(A1233-1,5)+1)&amp;"_"&amp;(MOD(INT((A1233-1)/5),5)+1)&amp;"_"&amp;(MOD(INT((A1233-1)/25),10)+1)</f>
        <v>Город_2_2_10</v>
      </c>
      <c r="I1233" s="10" t="str">
        <f aca="false">CHOOSE(MOD(A1233-1,4)+1,"Электроника","Одежда","Продукты","Мебель")</f>
        <v>Мебель</v>
      </c>
      <c r="J1233" s="10" t="str">
        <f aca="false">CHOOSE(MOD(INT((A1233-1)/4),4)+1,CHOOSE(MOD(A1233-1,4)+1,"Смартфоны","Ноутбуки","Аксессуары","Аудио"),CHOOSE(MOD(A1233-1,4)+1,"Верхняя одежда","Спортивная","Повседневная","Обувь"),CHOOSE(MOD(A1233-1,4)+1,"Молочные","Мясные","Бакалея","Напитки"),CHOOSE(MOD(A1233-1,4)+1,"Мягкая мебель","Корпусная","Офисная","Кухонная"))</f>
        <v>Кухонная</v>
      </c>
      <c r="K1233" s="12" t="n">
        <f aca="false">1000+MOD(A1233*317+A1233*A1233*7,49001)</f>
        <v>40088</v>
      </c>
      <c r="L1233" s="12" t="n">
        <f aca="false">1+MOD(A1233*131,100)</f>
        <v>93</v>
      </c>
      <c r="M1233" s="12" t="n">
        <f aca="false">INT(K1233*(0.6+MOD(A1233*43,21)/100))</f>
        <v>29665</v>
      </c>
      <c r="N1233" s="12" t="n">
        <f aca="false">K1233-M1233</f>
        <v>10423</v>
      </c>
    </row>
    <row r="1234" customFormat="false" ht="12.8" hidden="false" customHeight="false" outlineLevel="0" collapsed="false">
      <c r="A1234" s="10" t="n">
        <f aca="false">A1233+1</f>
        <v>1233</v>
      </c>
      <c r="B1234" s="11" t="n">
        <f aca="false">B1233+1</f>
        <v>46159</v>
      </c>
      <c r="C1234" s="10" t="n">
        <f aca="false">YEAR(B1234)</f>
        <v>2026</v>
      </c>
      <c r="D1234" s="10" t="n">
        <f aca="false">INT((MONTH(B1234)-1)/3)+1</f>
        <v>2</v>
      </c>
      <c r="E1234" s="10" t="n">
        <f aca="false">MONTH(B1234)</f>
        <v>5</v>
      </c>
      <c r="F1234" s="10" t="str">
        <f aca="false">CHOOSE(MOD(A1234-1,5)+1,"Центр","Юг","Север","Запад","Восток")</f>
        <v>Север</v>
      </c>
      <c r="G1234" s="10" t="str">
        <f aca="false">"Округ_"&amp;(MOD(A1234-1,5)+1)&amp;"_"&amp;(MOD(INT((A1234-1)/5),5)+1)</f>
        <v>Округ_3_2</v>
      </c>
      <c r="H1234" s="10" t="str">
        <f aca="false">"Город_"&amp;(MOD(A1234-1,5)+1)&amp;"_"&amp;(MOD(INT((A1234-1)/5),5)+1)&amp;"_"&amp;(MOD(INT((A1234-1)/25),10)+1)</f>
        <v>Город_3_2_10</v>
      </c>
      <c r="I1234" s="10" t="str">
        <f aca="false">CHOOSE(MOD(A1234-1,4)+1,"Электроника","Одежда","Продукты","Мебель")</f>
        <v>Электроника</v>
      </c>
      <c r="J1234" s="10" t="str">
        <f aca="false">CHOOSE(MOD(INT((A1234-1)/4),4)+1,CHOOSE(MOD(A1234-1,4)+1,"Смартфоны","Ноутбуки","Аксессуары","Аудио"),CHOOSE(MOD(A1234-1,4)+1,"Верхняя одежда","Спортивная","Повседневная","Обувь"),CHOOSE(MOD(A1234-1,4)+1,"Молочные","Мясные","Бакалея","Напитки"),CHOOSE(MOD(A1234-1,4)+1,"Мягкая мебель","Корпусная","Офисная","Кухонная"))</f>
        <v>Смартфоны</v>
      </c>
      <c r="K1234" s="12" t="n">
        <f aca="false">1000+MOD(A1234*317+A1234*A1234*7,49001)</f>
        <v>8659</v>
      </c>
      <c r="L1234" s="12" t="n">
        <f aca="false">1+MOD(A1234*131,100)</f>
        <v>24</v>
      </c>
      <c r="M1234" s="12" t="n">
        <f aca="false">INT(K1234*(0.6+MOD(A1234*43,21)/100))</f>
        <v>6494</v>
      </c>
      <c r="N1234" s="12" t="n">
        <f aca="false">K1234-M1234</f>
        <v>2165</v>
      </c>
    </row>
    <row r="1235" customFormat="false" ht="12.8" hidden="false" customHeight="false" outlineLevel="0" collapsed="false">
      <c r="A1235" s="10" t="n">
        <f aca="false">A1234+1</f>
        <v>1234</v>
      </c>
      <c r="B1235" s="11" t="n">
        <f aca="false">B1234+1</f>
        <v>46160</v>
      </c>
      <c r="C1235" s="10" t="n">
        <f aca="false">YEAR(B1235)</f>
        <v>2026</v>
      </c>
      <c r="D1235" s="10" t="n">
        <f aca="false">INT((MONTH(B1235)-1)/3)+1</f>
        <v>2</v>
      </c>
      <c r="E1235" s="10" t="n">
        <f aca="false">MONTH(B1235)</f>
        <v>5</v>
      </c>
      <c r="F1235" s="10" t="str">
        <f aca="false">CHOOSE(MOD(A1235-1,5)+1,"Центр","Юг","Север","Запад","Восток")</f>
        <v>Запад</v>
      </c>
      <c r="G1235" s="10" t="str">
        <f aca="false">"Округ_"&amp;(MOD(A1235-1,5)+1)&amp;"_"&amp;(MOD(INT((A1235-1)/5),5)+1)</f>
        <v>Округ_4_2</v>
      </c>
      <c r="H1235" s="10" t="str">
        <f aca="false">"Город_"&amp;(MOD(A1235-1,5)+1)&amp;"_"&amp;(MOD(INT((A1235-1)/5),5)+1)&amp;"_"&amp;(MOD(INT((A1235-1)/25),10)+1)</f>
        <v>Город_4_2_10</v>
      </c>
      <c r="I1235" s="10" t="str">
        <f aca="false">CHOOSE(MOD(A1235-1,4)+1,"Электроника","Одежда","Продукты","Мебель")</f>
        <v>Одежда</v>
      </c>
      <c r="J1235" s="10" t="str">
        <f aca="false">CHOOSE(MOD(INT((A1235-1)/4),4)+1,CHOOSE(MOD(A1235-1,4)+1,"Смартфоны","Ноутбуки","Аксессуары","Аудио"),CHOOSE(MOD(A1235-1,4)+1,"Верхняя одежда","Спортивная","Повседневная","Обувь"),CHOOSE(MOD(A1235-1,4)+1,"Молочные","Мясные","Бакалея","Напитки"),CHOOSE(MOD(A1235-1,4)+1,"Мягкая мебель","Корпусная","Офисная","Кухонная"))</f>
        <v>Ноутбуки</v>
      </c>
      <c r="K1235" s="12" t="n">
        <f aca="false">1000+MOD(A1235*317+A1235*A1235*7,49001)</f>
        <v>26245</v>
      </c>
      <c r="L1235" s="12" t="n">
        <f aca="false">1+MOD(A1235*131,100)</f>
        <v>55</v>
      </c>
      <c r="M1235" s="12" t="n">
        <f aca="false">INT(K1235*(0.6+MOD(A1235*43,21)/100))</f>
        <v>19946</v>
      </c>
      <c r="N1235" s="12" t="n">
        <f aca="false">K1235-M1235</f>
        <v>6299</v>
      </c>
    </row>
    <row r="1236" customFormat="false" ht="12.8" hidden="false" customHeight="false" outlineLevel="0" collapsed="false">
      <c r="A1236" s="10" t="n">
        <f aca="false">A1235+1</f>
        <v>1235</v>
      </c>
      <c r="B1236" s="11" t="n">
        <f aca="false">B1235+1</f>
        <v>46161</v>
      </c>
      <c r="C1236" s="10" t="n">
        <f aca="false">YEAR(B1236)</f>
        <v>2026</v>
      </c>
      <c r="D1236" s="10" t="n">
        <f aca="false">INT((MONTH(B1236)-1)/3)+1</f>
        <v>2</v>
      </c>
      <c r="E1236" s="10" t="n">
        <f aca="false">MONTH(B1236)</f>
        <v>5</v>
      </c>
      <c r="F1236" s="10" t="str">
        <f aca="false">CHOOSE(MOD(A1236-1,5)+1,"Центр","Юг","Север","Запад","Восток")</f>
        <v>Восток</v>
      </c>
      <c r="G1236" s="10" t="str">
        <f aca="false">"Округ_"&amp;(MOD(A1236-1,5)+1)&amp;"_"&amp;(MOD(INT((A1236-1)/5),5)+1)</f>
        <v>Округ_5_2</v>
      </c>
      <c r="H1236" s="10" t="str">
        <f aca="false">"Город_"&amp;(MOD(A1236-1,5)+1)&amp;"_"&amp;(MOD(INT((A1236-1)/5),5)+1)&amp;"_"&amp;(MOD(INT((A1236-1)/25),10)+1)</f>
        <v>Город_5_2_10</v>
      </c>
      <c r="I1236" s="10" t="str">
        <f aca="false">CHOOSE(MOD(A1236-1,4)+1,"Электроника","Одежда","Продукты","Мебель")</f>
        <v>Продукты</v>
      </c>
      <c r="J1236" s="10" t="str">
        <f aca="false">CHOOSE(MOD(INT((A1236-1)/4),4)+1,CHOOSE(MOD(A1236-1,4)+1,"Смартфоны","Ноутбуки","Аксессуары","Аудио"),CHOOSE(MOD(A1236-1,4)+1,"Верхняя одежда","Спортивная","Повседневная","Обувь"),CHOOSE(MOD(A1236-1,4)+1,"Молочные","Мясные","Бакалея","Напитки"),CHOOSE(MOD(A1236-1,4)+1,"Мягкая мебель","Корпусная","Офисная","Кухонная"))</f>
        <v>Аксессуары</v>
      </c>
      <c r="K1236" s="12" t="n">
        <f aca="false">1000+MOD(A1236*317+A1236*A1236*7,49001)</f>
        <v>43845</v>
      </c>
      <c r="L1236" s="12" t="n">
        <f aca="false">1+MOD(A1236*131,100)</f>
        <v>86</v>
      </c>
      <c r="M1236" s="12" t="n">
        <f aca="false">INT(K1236*(0.6+MOD(A1236*43,21)/100))</f>
        <v>33760</v>
      </c>
      <c r="N1236" s="12" t="n">
        <f aca="false">K1236-M1236</f>
        <v>10085</v>
      </c>
    </row>
    <row r="1237" customFormat="false" ht="12.8" hidden="false" customHeight="false" outlineLevel="0" collapsed="false">
      <c r="A1237" s="10" t="n">
        <f aca="false">A1236+1</f>
        <v>1236</v>
      </c>
      <c r="B1237" s="11" t="n">
        <f aca="false">B1236+1</f>
        <v>46162</v>
      </c>
      <c r="C1237" s="10" t="n">
        <f aca="false">YEAR(B1237)</f>
        <v>2026</v>
      </c>
      <c r="D1237" s="10" t="n">
        <f aca="false">INT((MONTH(B1237)-1)/3)+1</f>
        <v>2</v>
      </c>
      <c r="E1237" s="10" t="n">
        <f aca="false">MONTH(B1237)</f>
        <v>5</v>
      </c>
      <c r="F1237" s="10" t="str">
        <f aca="false">CHOOSE(MOD(A1237-1,5)+1,"Центр","Юг","Север","Запад","Восток")</f>
        <v>Центр</v>
      </c>
      <c r="G1237" s="10" t="str">
        <f aca="false">"Округ_"&amp;(MOD(A1237-1,5)+1)&amp;"_"&amp;(MOD(INT((A1237-1)/5),5)+1)</f>
        <v>Округ_1_3</v>
      </c>
      <c r="H1237" s="10" t="str">
        <f aca="false">"Город_"&amp;(MOD(A1237-1,5)+1)&amp;"_"&amp;(MOD(INT((A1237-1)/5),5)+1)&amp;"_"&amp;(MOD(INT((A1237-1)/25),10)+1)</f>
        <v>Город_1_3_10</v>
      </c>
      <c r="I1237" s="10" t="str">
        <f aca="false">CHOOSE(MOD(A1237-1,4)+1,"Электроника","Одежда","Продукты","Мебель")</f>
        <v>Мебель</v>
      </c>
      <c r="J1237" s="10" t="str">
        <f aca="false">CHOOSE(MOD(INT((A1237-1)/4),4)+1,CHOOSE(MOD(A1237-1,4)+1,"Смартфоны","Ноутбуки","Аксессуары","Аудио"),CHOOSE(MOD(A1237-1,4)+1,"Верхняя одежда","Спортивная","Повседневная","Обувь"),CHOOSE(MOD(A1237-1,4)+1,"Молочные","Мясные","Бакалея","Напитки"),CHOOSE(MOD(A1237-1,4)+1,"Мягкая мебель","Корпусная","Офисная","Кухонная"))</f>
        <v>Аудио</v>
      </c>
      <c r="K1237" s="12" t="n">
        <f aca="false">1000+MOD(A1237*317+A1237*A1237*7,49001)</f>
        <v>12458</v>
      </c>
      <c r="L1237" s="12" t="n">
        <f aca="false">1+MOD(A1237*131,100)</f>
        <v>17</v>
      </c>
      <c r="M1237" s="12" t="n">
        <f aca="false">INT(K1237*(0.6+MOD(A1237*43,21)/100))</f>
        <v>9717</v>
      </c>
      <c r="N1237" s="12" t="n">
        <f aca="false">K1237-M1237</f>
        <v>2741</v>
      </c>
    </row>
    <row r="1238" customFormat="false" ht="12.8" hidden="false" customHeight="false" outlineLevel="0" collapsed="false">
      <c r="A1238" s="10" t="n">
        <f aca="false">A1237+1</f>
        <v>1237</v>
      </c>
      <c r="B1238" s="11" t="n">
        <f aca="false">B1237+1</f>
        <v>46163</v>
      </c>
      <c r="C1238" s="10" t="n">
        <f aca="false">YEAR(B1238)</f>
        <v>2026</v>
      </c>
      <c r="D1238" s="10" t="n">
        <f aca="false">INT((MONTH(B1238)-1)/3)+1</f>
        <v>2</v>
      </c>
      <c r="E1238" s="10" t="n">
        <f aca="false">MONTH(B1238)</f>
        <v>5</v>
      </c>
      <c r="F1238" s="10" t="str">
        <f aca="false">CHOOSE(MOD(A1238-1,5)+1,"Центр","Юг","Север","Запад","Восток")</f>
        <v>Юг</v>
      </c>
      <c r="G1238" s="10" t="str">
        <f aca="false">"Округ_"&amp;(MOD(A1238-1,5)+1)&amp;"_"&amp;(MOD(INT((A1238-1)/5),5)+1)</f>
        <v>Округ_2_3</v>
      </c>
      <c r="H1238" s="10" t="str">
        <f aca="false">"Город_"&amp;(MOD(A1238-1,5)+1)&amp;"_"&amp;(MOD(INT((A1238-1)/5),5)+1)&amp;"_"&amp;(MOD(INT((A1238-1)/25),10)+1)</f>
        <v>Город_2_3_10</v>
      </c>
      <c r="I1238" s="10" t="str">
        <f aca="false">CHOOSE(MOD(A1238-1,4)+1,"Электроника","Одежда","Продукты","Мебель")</f>
        <v>Электроника</v>
      </c>
      <c r="J1238" s="10" t="str">
        <f aca="false">CHOOSE(MOD(INT((A1238-1)/4),4)+1,CHOOSE(MOD(A1238-1,4)+1,"Смартфоны","Ноутбуки","Аксессуары","Аудио"),CHOOSE(MOD(A1238-1,4)+1,"Верхняя одежда","Спортивная","Повседневная","Обувь"),CHOOSE(MOD(A1238-1,4)+1,"Молочные","Мясные","Бакалея","Напитки"),CHOOSE(MOD(A1238-1,4)+1,"Мягкая мебель","Корпусная","Офисная","Кухонная"))</f>
        <v>Верхняя одежда</v>
      </c>
      <c r="K1238" s="12" t="n">
        <f aca="false">1000+MOD(A1238*317+A1238*A1238*7,49001)</f>
        <v>30086</v>
      </c>
      <c r="L1238" s="12" t="n">
        <f aca="false">1+MOD(A1238*131,100)</f>
        <v>48</v>
      </c>
      <c r="M1238" s="12" t="n">
        <f aca="false">INT(K1238*(0.6+MOD(A1238*43,21)/100))</f>
        <v>23767</v>
      </c>
      <c r="N1238" s="12" t="n">
        <f aca="false">K1238-M1238</f>
        <v>6319</v>
      </c>
    </row>
    <row r="1239" customFormat="false" ht="12.8" hidden="false" customHeight="false" outlineLevel="0" collapsed="false">
      <c r="A1239" s="10" t="n">
        <f aca="false">A1238+1</f>
        <v>1238</v>
      </c>
      <c r="B1239" s="11" t="n">
        <f aca="false">B1238+1</f>
        <v>46164</v>
      </c>
      <c r="C1239" s="10" t="n">
        <f aca="false">YEAR(B1239)</f>
        <v>2026</v>
      </c>
      <c r="D1239" s="10" t="n">
        <f aca="false">INT((MONTH(B1239)-1)/3)+1</f>
        <v>2</v>
      </c>
      <c r="E1239" s="10" t="n">
        <f aca="false">MONTH(B1239)</f>
        <v>5</v>
      </c>
      <c r="F1239" s="10" t="str">
        <f aca="false">CHOOSE(MOD(A1239-1,5)+1,"Центр","Юг","Север","Запад","Восток")</f>
        <v>Север</v>
      </c>
      <c r="G1239" s="10" t="str">
        <f aca="false">"Округ_"&amp;(MOD(A1239-1,5)+1)&amp;"_"&amp;(MOD(INT((A1239-1)/5),5)+1)</f>
        <v>Округ_3_3</v>
      </c>
      <c r="H1239" s="10" t="str">
        <f aca="false">"Город_"&amp;(MOD(A1239-1,5)+1)&amp;"_"&amp;(MOD(INT((A1239-1)/5),5)+1)&amp;"_"&amp;(MOD(INT((A1239-1)/25),10)+1)</f>
        <v>Город_3_3_10</v>
      </c>
      <c r="I1239" s="10" t="str">
        <f aca="false">CHOOSE(MOD(A1239-1,4)+1,"Электроника","Одежда","Продукты","Мебель")</f>
        <v>Одежда</v>
      </c>
      <c r="J1239" s="10" t="str">
        <f aca="false">CHOOSE(MOD(INT((A1239-1)/4),4)+1,CHOOSE(MOD(A1239-1,4)+1,"Смартфоны","Ноутбуки","Аксессуары","Аудио"),CHOOSE(MOD(A1239-1,4)+1,"Верхняя одежда","Спортивная","Повседневная","Обувь"),CHOOSE(MOD(A1239-1,4)+1,"Молочные","Мясные","Бакалея","Напитки"),CHOOSE(MOD(A1239-1,4)+1,"Мягкая мебель","Корпусная","Офисная","Кухонная"))</f>
        <v>Спортивная</v>
      </c>
      <c r="K1239" s="12" t="n">
        <f aca="false">1000+MOD(A1239*317+A1239*A1239*7,49001)</f>
        <v>47728</v>
      </c>
      <c r="L1239" s="12" t="n">
        <f aca="false">1+MOD(A1239*131,100)</f>
        <v>79</v>
      </c>
      <c r="M1239" s="12" t="n">
        <f aca="false">INT(K1239*(0.6+MOD(A1239*43,21)/100))</f>
        <v>38182</v>
      </c>
      <c r="N1239" s="12" t="n">
        <f aca="false">K1239-M1239</f>
        <v>9546</v>
      </c>
    </row>
    <row r="1240" customFormat="false" ht="12.8" hidden="false" customHeight="false" outlineLevel="0" collapsed="false">
      <c r="A1240" s="10" t="n">
        <f aca="false">A1239+1</f>
        <v>1239</v>
      </c>
      <c r="B1240" s="11" t="n">
        <f aca="false">B1239+1</f>
        <v>46165</v>
      </c>
      <c r="C1240" s="10" t="n">
        <f aca="false">YEAR(B1240)</f>
        <v>2026</v>
      </c>
      <c r="D1240" s="10" t="n">
        <f aca="false">INT((MONTH(B1240)-1)/3)+1</f>
        <v>2</v>
      </c>
      <c r="E1240" s="10" t="n">
        <f aca="false">MONTH(B1240)</f>
        <v>5</v>
      </c>
      <c r="F1240" s="10" t="str">
        <f aca="false">CHOOSE(MOD(A1240-1,5)+1,"Центр","Юг","Север","Запад","Восток")</f>
        <v>Запад</v>
      </c>
      <c r="G1240" s="10" t="str">
        <f aca="false">"Округ_"&amp;(MOD(A1240-1,5)+1)&amp;"_"&amp;(MOD(INT((A1240-1)/5),5)+1)</f>
        <v>Округ_4_3</v>
      </c>
      <c r="H1240" s="10" t="str">
        <f aca="false">"Город_"&amp;(MOD(A1240-1,5)+1)&amp;"_"&amp;(MOD(INT((A1240-1)/5),5)+1)&amp;"_"&amp;(MOD(INT((A1240-1)/25),10)+1)</f>
        <v>Город_4_3_10</v>
      </c>
      <c r="I1240" s="10" t="str">
        <f aca="false">CHOOSE(MOD(A1240-1,4)+1,"Электроника","Одежда","Продукты","Мебель")</f>
        <v>Продукты</v>
      </c>
      <c r="J1240" s="10" t="str">
        <f aca="false">CHOOSE(MOD(INT((A1240-1)/4),4)+1,CHOOSE(MOD(A1240-1,4)+1,"Смартфоны","Ноутбуки","Аксессуары","Аудио"),CHOOSE(MOD(A1240-1,4)+1,"Верхняя одежда","Спортивная","Повседневная","Обувь"),CHOOSE(MOD(A1240-1,4)+1,"Молочные","Мясные","Бакалея","Напитки"),CHOOSE(MOD(A1240-1,4)+1,"Мягкая мебель","Корпусная","Офисная","Кухонная"))</f>
        <v>Повседневная</v>
      </c>
      <c r="K1240" s="12" t="n">
        <f aca="false">1000+MOD(A1240*317+A1240*A1240*7,49001)</f>
        <v>16383</v>
      </c>
      <c r="L1240" s="12" t="n">
        <f aca="false">1+MOD(A1240*131,100)</f>
        <v>10</v>
      </c>
      <c r="M1240" s="12" t="n">
        <f aca="false">INT(K1240*(0.6+MOD(A1240*43,21)/100))</f>
        <v>9829</v>
      </c>
      <c r="N1240" s="12" t="n">
        <f aca="false">K1240-M1240</f>
        <v>6554</v>
      </c>
    </row>
    <row r="1241" customFormat="false" ht="12.8" hidden="false" customHeight="false" outlineLevel="0" collapsed="false">
      <c r="A1241" s="10" t="n">
        <f aca="false">A1240+1</f>
        <v>1240</v>
      </c>
      <c r="B1241" s="11" t="n">
        <f aca="false">B1240+1</f>
        <v>46166</v>
      </c>
      <c r="C1241" s="10" t="n">
        <f aca="false">YEAR(B1241)</f>
        <v>2026</v>
      </c>
      <c r="D1241" s="10" t="n">
        <f aca="false">INT((MONTH(B1241)-1)/3)+1</f>
        <v>2</v>
      </c>
      <c r="E1241" s="10" t="n">
        <f aca="false">MONTH(B1241)</f>
        <v>5</v>
      </c>
      <c r="F1241" s="10" t="str">
        <f aca="false">CHOOSE(MOD(A1241-1,5)+1,"Центр","Юг","Север","Запад","Восток")</f>
        <v>Восток</v>
      </c>
      <c r="G1241" s="10" t="str">
        <f aca="false">"Округ_"&amp;(MOD(A1241-1,5)+1)&amp;"_"&amp;(MOD(INT((A1241-1)/5),5)+1)</f>
        <v>Округ_5_3</v>
      </c>
      <c r="H1241" s="10" t="str">
        <f aca="false">"Город_"&amp;(MOD(A1241-1,5)+1)&amp;"_"&amp;(MOD(INT((A1241-1)/5),5)+1)&amp;"_"&amp;(MOD(INT((A1241-1)/25),10)+1)</f>
        <v>Город_5_3_10</v>
      </c>
      <c r="I1241" s="10" t="str">
        <f aca="false">CHOOSE(MOD(A1241-1,4)+1,"Электроника","Одежда","Продукты","Мебель")</f>
        <v>Мебель</v>
      </c>
      <c r="J1241" s="10" t="str">
        <f aca="false">CHOOSE(MOD(INT((A1241-1)/4),4)+1,CHOOSE(MOD(A1241-1,4)+1,"Смартфоны","Ноутбуки","Аксессуары","Аудио"),CHOOSE(MOD(A1241-1,4)+1,"Верхняя одежда","Спортивная","Повседневная","Обувь"),CHOOSE(MOD(A1241-1,4)+1,"Молочные","Мясные","Бакалея","Напитки"),CHOOSE(MOD(A1241-1,4)+1,"Мягкая мебель","Корпусная","Офисная","Кухонная"))</f>
        <v>Обувь</v>
      </c>
      <c r="K1241" s="12" t="n">
        <f aca="false">1000+MOD(A1241*317+A1241*A1241*7,49001)</f>
        <v>34053</v>
      </c>
      <c r="L1241" s="12" t="n">
        <f aca="false">1+MOD(A1241*131,100)</f>
        <v>41</v>
      </c>
      <c r="M1241" s="12" t="n">
        <f aca="false">INT(K1241*(0.6+MOD(A1241*43,21)/100))</f>
        <v>20772</v>
      </c>
      <c r="N1241" s="12" t="n">
        <f aca="false">K1241-M1241</f>
        <v>13281</v>
      </c>
    </row>
    <row r="1242" customFormat="false" ht="12.8" hidden="false" customHeight="false" outlineLevel="0" collapsed="false">
      <c r="A1242" s="10" t="n">
        <f aca="false">A1241+1</f>
        <v>1241</v>
      </c>
      <c r="B1242" s="11" t="n">
        <f aca="false">B1241+1</f>
        <v>46167</v>
      </c>
      <c r="C1242" s="10" t="n">
        <f aca="false">YEAR(B1242)</f>
        <v>2026</v>
      </c>
      <c r="D1242" s="10" t="n">
        <f aca="false">INT((MONTH(B1242)-1)/3)+1</f>
        <v>2</v>
      </c>
      <c r="E1242" s="10" t="n">
        <f aca="false">MONTH(B1242)</f>
        <v>5</v>
      </c>
      <c r="F1242" s="10" t="str">
        <f aca="false">CHOOSE(MOD(A1242-1,5)+1,"Центр","Юг","Север","Запад","Восток")</f>
        <v>Центр</v>
      </c>
      <c r="G1242" s="10" t="str">
        <f aca="false">"Округ_"&amp;(MOD(A1242-1,5)+1)&amp;"_"&amp;(MOD(INT((A1242-1)/5),5)+1)</f>
        <v>Округ_1_4</v>
      </c>
      <c r="H1242" s="10" t="str">
        <f aca="false">"Город_"&amp;(MOD(A1242-1,5)+1)&amp;"_"&amp;(MOD(INT((A1242-1)/5),5)+1)&amp;"_"&amp;(MOD(INT((A1242-1)/25),10)+1)</f>
        <v>Город_1_4_10</v>
      </c>
      <c r="I1242" s="10" t="str">
        <f aca="false">CHOOSE(MOD(A1242-1,4)+1,"Электроника","Одежда","Продукты","Мебель")</f>
        <v>Электроника</v>
      </c>
      <c r="J1242" s="10" t="str">
        <f aca="false">CHOOSE(MOD(INT((A1242-1)/4),4)+1,CHOOSE(MOD(A1242-1,4)+1,"Смартфоны","Ноутбуки","Аксессуары","Аудио"),CHOOSE(MOD(A1242-1,4)+1,"Верхняя одежда","Спортивная","Повседневная","Обувь"),CHOOSE(MOD(A1242-1,4)+1,"Молочные","Мясные","Бакалея","Напитки"),CHOOSE(MOD(A1242-1,4)+1,"Мягкая мебель","Корпусная","Офисная","Кухонная"))</f>
        <v>Молочные</v>
      </c>
      <c r="K1242" s="12" t="n">
        <f aca="false">1000+MOD(A1242*317+A1242*A1242*7,49001)</f>
        <v>2736</v>
      </c>
      <c r="L1242" s="12" t="n">
        <f aca="false">1+MOD(A1242*131,100)</f>
        <v>72</v>
      </c>
      <c r="M1242" s="12" t="n">
        <f aca="false">INT(K1242*(0.6+MOD(A1242*43,21)/100))</f>
        <v>1696</v>
      </c>
      <c r="N1242" s="12" t="n">
        <f aca="false">K1242-M1242</f>
        <v>1040</v>
      </c>
    </row>
    <row r="1243" customFormat="false" ht="12.8" hidden="false" customHeight="false" outlineLevel="0" collapsed="false">
      <c r="A1243" s="10" t="n">
        <f aca="false">A1242+1</f>
        <v>1242</v>
      </c>
      <c r="B1243" s="11" t="n">
        <f aca="false">B1242+1</f>
        <v>46168</v>
      </c>
      <c r="C1243" s="10" t="n">
        <f aca="false">YEAR(B1243)</f>
        <v>2026</v>
      </c>
      <c r="D1243" s="10" t="n">
        <f aca="false">INT((MONTH(B1243)-1)/3)+1</f>
        <v>2</v>
      </c>
      <c r="E1243" s="10" t="n">
        <f aca="false">MONTH(B1243)</f>
        <v>5</v>
      </c>
      <c r="F1243" s="10" t="str">
        <f aca="false">CHOOSE(MOD(A1243-1,5)+1,"Центр","Юг","Север","Запад","Восток")</f>
        <v>Юг</v>
      </c>
      <c r="G1243" s="10" t="str">
        <f aca="false">"Округ_"&amp;(MOD(A1243-1,5)+1)&amp;"_"&amp;(MOD(INT((A1243-1)/5),5)+1)</f>
        <v>Округ_2_4</v>
      </c>
      <c r="H1243" s="10" t="str">
        <f aca="false">"Город_"&amp;(MOD(A1243-1,5)+1)&amp;"_"&amp;(MOD(INT((A1243-1)/5),5)+1)&amp;"_"&amp;(MOD(INT((A1243-1)/25),10)+1)</f>
        <v>Город_2_4_10</v>
      </c>
      <c r="I1243" s="10" t="str">
        <f aca="false">CHOOSE(MOD(A1243-1,4)+1,"Электроника","Одежда","Продукты","Мебель")</f>
        <v>Одежда</v>
      </c>
      <c r="J1243" s="10" t="str">
        <f aca="false">CHOOSE(MOD(INT((A1243-1)/4),4)+1,CHOOSE(MOD(A1243-1,4)+1,"Смартфоны","Ноутбуки","Аксессуары","Аудио"),CHOOSE(MOD(A1243-1,4)+1,"Верхняя одежда","Спортивная","Повседневная","Обувь"),CHOOSE(MOD(A1243-1,4)+1,"Молочные","Мясные","Бакалея","Напитки"),CHOOSE(MOD(A1243-1,4)+1,"Мягкая мебель","Корпусная","Офисная","Кухонная"))</f>
        <v>Мясные</v>
      </c>
      <c r="K1243" s="12" t="n">
        <f aca="false">1000+MOD(A1243*317+A1243*A1243*7,49001)</f>
        <v>20434</v>
      </c>
      <c r="L1243" s="12" t="n">
        <f aca="false">1+MOD(A1243*131,100)</f>
        <v>3</v>
      </c>
      <c r="M1243" s="12" t="n">
        <f aca="false">INT(K1243*(0.6+MOD(A1243*43,21)/100))</f>
        <v>12873</v>
      </c>
      <c r="N1243" s="12" t="n">
        <f aca="false">K1243-M1243</f>
        <v>7561</v>
      </c>
    </row>
    <row r="1244" customFormat="false" ht="12.8" hidden="false" customHeight="false" outlineLevel="0" collapsed="false">
      <c r="A1244" s="10" t="n">
        <f aca="false">A1243+1</f>
        <v>1243</v>
      </c>
      <c r="B1244" s="11" t="n">
        <f aca="false">B1243+1</f>
        <v>46169</v>
      </c>
      <c r="C1244" s="10" t="n">
        <f aca="false">YEAR(B1244)</f>
        <v>2026</v>
      </c>
      <c r="D1244" s="10" t="n">
        <f aca="false">INT((MONTH(B1244)-1)/3)+1</f>
        <v>2</v>
      </c>
      <c r="E1244" s="10" t="n">
        <f aca="false">MONTH(B1244)</f>
        <v>5</v>
      </c>
      <c r="F1244" s="10" t="str">
        <f aca="false">CHOOSE(MOD(A1244-1,5)+1,"Центр","Юг","Север","Запад","Восток")</f>
        <v>Север</v>
      </c>
      <c r="G1244" s="10" t="str">
        <f aca="false">"Округ_"&amp;(MOD(A1244-1,5)+1)&amp;"_"&amp;(MOD(INT((A1244-1)/5),5)+1)</f>
        <v>Округ_3_4</v>
      </c>
      <c r="H1244" s="10" t="str">
        <f aca="false">"Город_"&amp;(MOD(A1244-1,5)+1)&amp;"_"&amp;(MOD(INT((A1244-1)/5),5)+1)&amp;"_"&amp;(MOD(INT((A1244-1)/25),10)+1)</f>
        <v>Город_3_4_10</v>
      </c>
      <c r="I1244" s="10" t="str">
        <f aca="false">CHOOSE(MOD(A1244-1,4)+1,"Электроника","Одежда","Продукты","Мебель")</f>
        <v>Продукты</v>
      </c>
      <c r="J1244" s="10" t="str">
        <f aca="false">CHOOSE(MOD(INT((A1244-1)/4),4)+1,CHOOSE(MOD(A1244-1,4)+1,"Смартфоны","Ноутбуки","Аксессуары","Аудио"),CHOOSE(MOD(A1244-1,4)+1,"Верхняя одежда","Спортивная","Повседневная","Обувь"),CHOOSE(MOD(A1244-1,4)+1,"Молочные","Мясные","Бакалея","Напитки"),CHOOSE(MOD(A1244-1,4)+1,"Мягкая мебель","Корпусная","Офисная","Кухонная"))</f>
        <v>Бакалея</v>
      </c>
      <c r="K1244" s="12" t="n">
        <f aca="false">1000+MOD(A1244*317+A1244*A1244*7,49001)</f>
        <v>38146</v>
      </c>
      <c r="L1244" s="12" t="n">
        <f aca="false">1+MOD(A1244*131,100)</f>
        <v>34</v>
      </c>
      <c r="M1244" s="12" t="n">
        <f aca="false">INT(K1244*(0.6+MOD(A1244*43,21)/100))</f>
        <v>24413</v>
      </c>
      <c r="N1244" s="12" t="n">
        <f aca="false">K1244-M1244</f>
        <v>13733</v>
      </c>
    </row>
    <row r="1245" customFormat="false" ht="12.8" hidden="false" customHeight="false" outlineLevel="0" collapsed="false">
      <c r="A1245" s="10" t="n">
        <f aca="false">A1244+1</f>
        <v>1244</v>
      </c>
      <c r="B1245" s="11" t="n">
        <f aca="false">B1244+1</f>
        <v>46170</v>
      </c>
      <c r="C1245" s="10" t="n">
        <f aca="false">YEAR(B1245)</f>
        <v>2026</v>
      </c>
      <c r="D1245" s="10" t="n">
        <f aca="false">INT((MONTH(B1245)-1)/3)+1</f>
        <v>2</v>
      </c>
      <c r="E1245" s="10" t="n">
        <f aca="false">MONTH(B1245)</f>
        <v>5</v>
      </c>
      <c r="F1245" s="10" t="str">
        <f aca="false">CHOOSE(MOD(A1245-1,5)+1,"Центр","Юг","Север","Запад","Восток")</f>
        <v>Запад</v>
      </c>
      <c r="G1245" s="10" t="str">
        <f aca="false">"Округ_"&amp;(MOD(A1245-1,5)+1)&amp;"_"&amp;(MOD(INT((A1245-1)/5),5)+1)</f>
        <v>Округ_4_4</v>
      </c>
      <c r="H1245" s="10" t="str">
        <f aca="false">"Город_"&amp;(MOD(A1245-1,5)+1)&amp;"_"&amp;(MOD(INT((A1245-1)/5),5)+1)&amp;"_"&amp;(MOD(INT((A1245-1)/25),10)+1)</f>
        <v>Город_4_4_10</v>
      </c>
      <c r="I1245" s="10" t="str">
        <f aca="false">CHOOSE(MOD(A1245-1,4)+1,"Электроника","Одежда","Продукты","Мебель")</f>
        <v>Мебель</v>
      </c>
      <c r="J1245" s="10" t="str">
        <f aca="false">CHOOSE(MOD(INT((A1245-1)/4),4)+1,CHOOSE(MOD(A1245-1,4)+1,"Смартфоны","Ноутбуки","Аксессуары","Аудио"),CHOOSE(MOD(A1245-1,4)+1,"Верхняя одежда","Спортивная","Повседневная","Обувь"),CHOOSE(MOD(A1245-1,4)+1,"Молочные","Мясные","Бакалея","Напитки"),CHOOSE(MOD(A1245-1,4)+1,"Мягкая мебель","Корпусная","Офисная","Кухонная"))</f>
        <v>Напитки</v>
      </c>
      <c r="K1245" s="12" t="n">
        <f aca="false">1000+MOD(A1245*317+A1245*A1245*7,49001)</f>
        <v>6871</v>
      </c>
      <c r="L1245" s="12" t="n">
        <f aca="false">1+MOD(A1245*131,100)</f>
        <v>65</v>
      </c>
      <c r="M1245" s="12" t="n">
        <f aca="false">INT(K1245*(0.6+MOD(A1245*43,21)/100))</f>
        <v>4466</v>
      </c>
      <c r="N1245" s="12" t="n">
        <f aca="false">K1245-M1245</f>
        <v>2405</v>
      </c>
    </row>
    <row r="1246" customFormat="false" ht="12.8" hidden="false" customHeight="false" outlineLevel="0" collapsed="false">
      <c r="A1246" s="10" t="n">
        <f aca="false">A1245+1</f>
        <v>1245</v>
      </c>
      <c r="B1246" s="11" t="n">
        <f aca="false">B1245+1</f>
        <v>46171</v>
      </c>
      <c r="C1246" s="10" t="n">
        <f aca="false">YEAR(B1246)</f>
        <v>2026</v>
      </c>
      <c r="D1246" s="10" t="n">
        <f aca="false">INT((MONTH(B1246)-1)/3)+1</f>
        <v>2</v>
      </c>
      <c r="E1246" s="10" t="n">
        <f aca="false">MONTH(B1246)</f>
        <v>5</v>
      </c>
      <c r="F1246" s="10" t="str">
        <f aca="false">CHOOSE(MOD(A1246-1,5)+1,"Центр","Юг","Север","Запад","Восток")</f>
        <v>Восток</v>
      </c>
      <c r="G1246" s="10" t="str">
        <f aca="false">"Округ_"&amp;(MOD(A1246-1,5)+1)&amp;"_"&amp;(MOD(INT((A1246-1)/5),5)+1)</f>
        <v>Округ_5_4</v>
      </c>
      <c r="H1246" s="10" t="str">
        <f aca="false">"Город_"&amp;(MOD(A1246-1,5)+1)&amp;"_"&amp;(MOD(INT((A1246-1)/5),5)+1)&amp;"_"&amp;(MOD(INT((A1246-1)/25),10)+1)</f>
        <v>Город_5_4_10</v>
      </c>
      <c r="I1246" s="10" t="str">
        <f aca="false">CHOOSE(MOD(A1246-1,4)+1,"Электроника","Одежда","Продукты","Мебель")</f>
        <v>Электроника</v>
      </c>
      <c r="J1246" s="10" t="str">
        <f aca="false">CHOOSE(MOD(INT((A1246-1)/4),4)+1,CHOOSE(MOD(A1246-1,4)+1,"Смартфоны","Ноутбуки","Аксессуары","Аудио"),CHOOSE(MOD(A1246-1,4)+1,"Верхняя одежда","Спортивная","Повседневная","Обувь"),CHOOSE(MOD(A1246-1,4)+1,"Молочные","Мясные","Бакалея","Напитки"),CHOOSE(MOD(A1246-1,4)+1,"Мягкая мебель","Корпусная","Офисная","Кухонная"))</f>
        <v>Мягкая мебель</v>
      </c>
      <c r="K1246" s="12" t="n">
        <f aca="false">1000+MOD(A1246*317+A1246*A1246*7,49001)</f>
        <v>24611</v>
      </c>
      <c r="L1246" s="12" t="n">
        <f aca="false">1+MOD(A1246*131,100)</f>
        <v>96</v>
      </c>
      <c r="M1246" s="12" t="n">
        <f aca="false">INT(K1246*(0.6+MOD(A1246*43,21)/100))</f>
        <v>16243</v>
      </c>
      <c r="N1246" s="12" t="n">
        <f aca="false">K1246-M1246</f>
        <v>8368</v>
      </c>
    </row>
    <row r="1247" customFormat="false" ht="12.8" hidden="false" customHeight="false" outlineLevel="0" collapsed="false">
      <c r="A1247" s="10" t="n">
        <f aca="false">A1246+1</f>
        <v>1246</v>
      </c>
      <c r="B1247" s="11" t="n">
        <f aca="false">B1246+1</f>
        <v>46172</v>
      </c>
      <c r="C1247" s="10" t="n">
        <f aca="false">YEAR(B1247)</f>
        <v>2026</v>
      </c>
      <c r="D1247" s="10" t="n">
        <f aca="false">INT((MONTH(B1247)-1)/3)+1</f>
        <v>2</v>
      </c>
      <c r="E1247" s="10" t="n">
        <f aca="false">MONTH(B1247)</f>
        <v>5</v>
      </c>
      <c r="F1247" s="10" t="str">
        <f aca="false">CHOOSE(MOD(A1247-1,5)+1,"Центр","Юг","Север","Запад","Восток")</f>
        <v>Центр</v>
      </c>
      <c r="G1247" s="10" t="str">
        <f aca="false">"Округ_"&amp;(MOD(A1247-1,5)+1)&amp;"_"&amp;(MOD(INT((A1247-1)/5),5)+1)</f>
        <v>Округ_1_5</v>
      </c>
      <c r="H1247" s="10" t="str">
        <f aca="false">"Город_"&amp;(MOD(A1247-1,5)+1)&amp;"_"&amp;(MOD(INT((A1247-1)/5),5)+1)&amp;"_"&amp;(MOD(INT((A1247-1)/25),10)+1)</f>
        <v>Город_1_5_10</v>
      </c>
      <c r="I1247" s="10" t="str">
        <f aca="false">CHOOSE(MOD(A1247-1,4)+1,"Электроника","Одежда","Продукты","Мебель")</f>
        <v>Одежда</v>
      </c>
      <c r="J1247" s="10" t="str">
        <f aca="false">CHOOSE(MOD(INT((A1247-1)/4),4)+1,CHOOSE(MOD(A1247-1,4)+1,"Смартфоны","Ноутбуки","Аксессуары","Аудио"),CHOOSE(MOD(A1247-1,4)+1,"Верхняя одежда","Спортивная","Повседневная","Обувь"),CHOOSE(MOD(A1247-1,4)+1,"Молочные","Мясные","Бакалея","Напитки"),CHOOSE(MOD(A1247-1,4)+1,"Мягкая мебель","Корпусная","Офисная","Кухонная"))</f>
        <v>Корпусная</v>
      </c>
      <c r="K1247" s="12" t="n">
        <f aca="false">1000+MOD(A1247*317+A1247*A1247*7,49001)</f>
        <v>42365</v>
      </c>
      <c r="L1247" s="12" t="n">
        <f aca="false">1+MOD(A1247*131,100)</f>
        <v>27</v>
      </c>
      <c r="M1247" s="12" t="n">
        <f aca="false">INT(K1247*(0.6+MOD(A1247*43,21)/100))</f>
        <v>28384</v>
      </c>
      <c r="N1247" s="12" t="n">
        <f aca="false">K1247-M1247</f>
        <v>13981</v>
      </c>
    </row>
    <row r="1248" customFormat="false" ht="12.8" hidden="false" customHeight="false" outlineLevel="0" collapsed="false">
      <c r="A1248" s="10" t="n">
        <f aca="false">A1247+1</f>
        <v>1247</v>
      </c>
      <c r="B1248" s="11" t="n">
        <f aca="false">B1247+1</f>
        <v>46173</v>
      </c>
      <c r="C1248" s="10" t="n">
        <f aca="false">YEAR(B1248)</f>
        <v>2026</v>
      </c>
      <c r="D1248" s="10" t="n">
        <f aca="false">INT((MONTH(B1248)-1)/3)+1</f>
        <v>2</v>
      </c>
      <c r="E1248" s="10" t="n">
        <f aca="false">MONTH(B1248)</f>
        <v>5</v>
      </c>
      <c r="F1248" s="10" t="str">
        <f aca="false">CHOOSE(MOD(A1248-1,5)+1,"Центр","Юг","Север","Запад","Восток")</f>
        <v>Юг</v>
      </c>
      <c r="G1248" s="10" t="str">
        <f aca="false">"Округ_"&amp;(MOD(A1248-1,5)+1)&amp;"_"&amp;(MOD(INT((A1248-1)/5),5)+1)</f>
        <v>Округ_2_5</v>
      </c>
      <c r="H1248" s="10" t="str">
        <f aca="false">"Город_"&amp;(MOD(A1248-1,5)+1)&amp;"_"&amp;(MOD(INT((A1248-1)/5),5)+1)&amp;"_"&amp;(MOD(INT((A1248-1)/25),10)+1)</f>
        <v>Город_2_5_10</v>
      </c>
      <c r="I1248" s="10" t="str">
        <f aca="false">CHOOSE(MOD(A1248-1,4)+1,"Электроника","Одежда","Продукты","Мебель")</f>
        <v>Продукты</v>
      </c>
      <c r="J1248" s="10" t="str">
        <f aca="false">CHOOSE(MOD(INT((A1248-1)/4),4)+1,CHOOSE(MOD(A1248-1,4)+1,"Смартфоны","Ноутбуки","Аксессуары","Аудио"),CHOOSE(MOD(A1248-1,4)+1,"Верхняя одежда","Спортивная","Повседневная","Обувь"),CHOOSE(MOD(A1248-1,4)+1,"Молочные","Мясные","Бакалея","Напитки"),CHOOSE(MOD(A1248-1,4)+1,"Мягкая мебель","Корпусная","Офисная","Кухонная"))</f>
        <v>Офисная</v>
      </c>
      <c r="K1248" s="12" t="n">
        <f aca="false">1000+MOD(A1248*317+A1248*A1248*7,49001)</f>
        <v>11132</v>
      </c>
      <c r="L1248" s="12" t="n">
        <f aca="false">1+MOD(A1248*131,100)</f>
        <v>58</v>
      </c>
      <c r="M1248" s="12" t="n">
        <f aca="false">INT(K1248*(0.6+MOD(A1248*43,21)/100))</f>
        <v>7569</v>
      </c>
      <c r="N1248" s="12" t="n">
        <f aca="false">K1248-M1248</f>
        <v>3563</v>
      </c>
    </row>
    <row r="1249" customFormat="false" ht="12.8" hidden="false" customHeight="false" outlineLevel="0" collapsed="false">
      <c r="A1249" s="10" t="n">
        <f aca="false">A1248+1</f>
        <v>1248</v>
      </c>
      <c r="B1249" s="11" t="n">
        <f aca="false">B1248+1</f>
        <v>46174</v>
      </c>
      <c r="C1249" s="10" t="n">
        <f aca="false">YEAR(B1249)</f>
        <v>2026</v>
      </c>
      <c r="D1249" s="10" t="n">
        <f aca="false">INT((MONTH(B1249)-1)/3)+1</f>
        <v>2</v>
      </c>
      <c r="E1249" s="10" t="n">
        <f aca="false">MONTH(B1249)</f>
        <v>6</v>
      </c>
      <c r="F1249" s="10" t="str">
        <f aca="false">CHOOSE(MOD(A1249-1,5)+1,"Центр","Юг","Север","Запад","Восток")</f>
        <v>Север</v>
      </c>
      <c r="G1249" s="10" t="str">
        <f aca="false">"Округ_"&amp;(MOD(A1249-1,5)+1)&amp;"_"&amp;(MOD(INT((A1249-1)/5),5)+1)</f>
        <v>Округ_3_5</v>
      </c>
      <c r="H1249" s="10" t="str">
        <f aca="false">"Город_"&amp;(MOD(A1249-1,5)+1)&amp;"_"&amp;(MOD(INT((A1249-1)/5),5)+1)&amp;"_"&amp;(MOD(INT((A1249-1)/25),10)+1)</f>
        <v>Город_3_5_10</v>
      </c>
      <c r="I1249" s="10" t="str">
        <f aca="false">CHOOSE(MOD(A1249-1,4)+1,"Электроника","Одежда","Продукты","Мебель")</f>
        <v>Мебель</v>
      </c>
      <c r="J1249" s="10" t="str">
        <f aca="false">CHOOSE(MOD(INT((A1249-1)/4),4)+1,CHOOSE(MOD(A1249-1,4)+1,"Смартфоны","Ноутбуки","Аксессуары","Аудио"),CHOOSE(MOD(A1249-1,4)+1,"Верхняя одежда","Спортивная","Повседневная","Обувь"),CHOOSE(MOD(A1249-1,4)+1,"Молочные","Мясные","Бакалея","Напитки"),CHOOSE(MOD(A1249-1,4)+1,"Мягкая мебель","Корпусная","Офисная","Кухонная"))</f>
        <v>Кухонная</v>
      </c>
      <c r="K1249" s="12" t="n">
        <f aca="false">1000+MOD(A1249*317+A1249*A1249*7,49001)</f>
        <v>28914</v>
      </c>
      <c r="L1249" s="12" t="n">
        <f aca="false">1+MOD(A1249*131,100)</f>
        <v>89</v>
      </c>
      <c r="M1249" s="12" t="n">
        <f aca="false">INT(K1249*(0.6+MOD(A1249*43,21)/100))</f>
        <v>19950</v>
      </c>
      <c r="N1249" s="12" t="n">
        <f aca="false">K1249-M1249</f>
        <v>8964</v>
      </c>
    </row>
    <row r="1250" customFormat="false" ht="12.8" hidden="false" customHeight="false" outlineLevel="0" collapsed="false">
      <c r="A1250" s="10" t="n">
        <f aca="false">A1249+1</f>
        <v>1249</v>
      </c>
      <c r="B1250" s="11" t="n">
        <f aca="false">B1249+1</f>
        <v>46175</v>
      </c>
      <c r="C1250" s="10" t="n">
        <f aca="false">YEAR(B1250)</f>
        <v>2026</v>
      </c>
      <c r="D1250" s="10" t="n">
        <f aca="false">INT((MONTH(B1250)-1)/3)+1</f>
        <v>2</v>
      </c>
      <c r="E1250" s="10" t="n">
        <f aca="false">MONTH(B1250)</f>
        <v>6</v>
      </c>
      <c r="F1250" s="10" t="str">
        <f aca="false">CHOOSE(MOD(A1250-1,5)+1,"Центр","Юг","Север","Запад","Восток")</f>
        <v>Запад</v>
      </c>
      <c r="G1250" s="10" t="str">
        <f aca="false">"Округ_"&amp;(MOD(A1250-1,5)+1)&amp;"_"&amp;(MOD(INT((A1250-1)/5),5)+1)</f>
        <v>Округ_4_5</v>
      </c>
      <c r="H1250" s="10" t="str">
        <f aca="false">"Город_"&amp;(MOD(A1250-1,5)+1)&amp;"_"&amp;(MOD(INT((A1250-1)/5),5)+1)&amp;"_"&amp;(MOD(INT((A1250-1)/25),10)+1)</f>
        <v>Город_4_5_10</v>
      </c>
      <c r="I1250" s="10" t="str">
        <f aca="false">CHOOSE(MOD(A1250-1,4)+1,"Электроника","Одежда","Продукты","Мебель")</f>
        <v>Электроника</v>
      </c>
      <c r="J1250" s="10" t="str">
        <f aca="false">CHOOSE(MOD(INT((A1250-1)/4),4)+1,CHOOSE(MOD(A1250-1,4)+1,"Смартфоны","Ноутбуки","Аксессуары","Аудио"),CHOOSE(MOD(A1250-1,4)+1,"Верхняя одежда","Спортивная","Повседневная","Обувь"),CHOOSE(MOD(A1250-1,4)+1,"Молочные","Мясные","Бакалея","Напитки"),CHOOSE(MOD(A1250-1,4)+1,"Мягкая мебель","Корпусная","Офисная","Кухонная"))</f>
        <v>Смартфоны</v>
      </c>
      <c r="K1250" s="12" t="n">
        <f aca="false">1000+MOD(A1250*317+A1250*A1250*7,49001)</f>
        <v>46710</v>
      </c>
      <c r="L1250" s="12" t="n">
        <f aca="false">1+MOD(A1250*131,100)</f>
        <v>20</v>
      </c>
      <c r="M1250" s="12" t="n">
        <f aca="false">INT(K1250*(0.6+MOD(A1250*43,21)/100))</f>
        <v>32697</v>
      </c>
      <c r="N1250" s="12" t="n">
        <f aca="false">K1250-M1250</f>
        <v>14013</v>
      </c>
    </row>
    <row r="1251" customFormat="false" ht="12.8" hidden="false" customHeight="false" outlineLevel="0" collapsed="false">
      <c r="A1251" s="10" t="n">
        <f aca="false">A1250+1</f>
        <v>1250</v>
      </c>
      <c r="B1251" s="11" t="n">
        <f aca="false">B1250+1</f>
        <v>46176</v>
      </c>
      <c r="C1251" s="10" t="n">
        <f aca="false">YEAR(B1251)</f>
        <v>2026</v>
      </c>
      <c r="D1251" s="10" t="n">
        <f aca="false">INT((MONTH(B1251)-1)/3)+1</f>
        <v>2</v>
      </c>
      <c r="E1251" s="10" t="n">
        <f aca="false">MONTH(B1251)</f>
        <v>6</v>
      </c>
      <c r="F1251" s="10" t="str">
        <f aca="false">CHOOSE(MOD(A1251-1,5)+1,"Центр","Юг","Север","Запад","Восток")</f>
        <v>Восток</v>
      </c>
      <c r="G1251" s="10" t="str">
        <f aca="false">"Округ_"&amp;(MOD(A1251-1,5)+1)&amp;"_"&amp;(MOD(INT((A1251-1)/5),5)+1)</f>
        <v>Округ_5_5</v>
      </c>
      <c r="H1251" s="10" t="str">
        <f aca="false">"Город_"&amp;(MOD(A1251-1,5)+1)&amp;"_"&amp;(MOD(INT((A1251-1)/5),5)+1)&amp;"_"&amp;(MOD(INT((A1251-1)/25),10)+1)</f>
        <v>Город_5_5_10</v>
      </c>
      <c r="I1251" s="10" t="str">
        <f aca="false">CHOOSE(MOD(A1251-1,4)+1,"Электроника","Одежда","Продукты","Мебель")</f>
        <v>Одежда</v>
      </c>
      <c r="J1251" s="10" t="str">
        <f aca="false">CHOOSE(MOD(INT((A1251-1)/4),4)+1,CHOOSE(MOD(A1251-1,4)+1,"Смартфоны","Ноутбуки","Аксессуары","Аудио"),CHOOSE(MOD(A1251-1,4)+1,"Верхняя одежда","Спортивная","Повседневная","Обувь"),CHOOSE(MOD(A1251-1,4)+1,"Молочные","Мясные","Бакалея","Напитки"),CHOOSE(MOD(A1251-1,4)+1,"Мягкая мебель","Корпусная","Офисная","Кухонная"))</f>
        <v>Ноутбуки</v>
      </c>
      <c r="K1251" s="12" t="n">
        <f aca="false">1000+MOD(A1251*317+A1251*A1251*7,49001)</f>
        <v>15519</v>
      </c>
      <c r="L1251" s="12" t="n">
        <f aca="false">1+MOD(A1251*131,100)</f>
        <v>51</v>
      </c>
      <c r="M1251" s="12" t="n">
        <f aca="false">INT(K1251*(0.6+MOD(A1251*43,21)/100))</f>
        <v>11018</v>
      </c>
      <c r="N1251" s="12" t="n">
        <f aca="false">K1251-M1251</f>
        <v>4501</v>
      </c>
    </row>
    <row r="1252" customFormat="false" ht="12.8" hidden="false" customHeight="false" outlineLevel="0" collapsed="false">
      <c r="A1252" s="10" t="n">
        <f aca="false">A1251+1</f>
        <v>1251</v>
      </c>
      <c r="B1252" s="11" t="n">
        <f aca="false">B1251+1</f>
        <v>46177</v>
      </c>
      <c r="C1252" s="10" t="n">
        <f aca="false">YEAR(B1252)</f>
        <v>2026</v>
      </c>
      <c r="D1252" s="10" t="n">
        <f aca="false">INT((MONTH(B1252)-1)/3)+1</f>
        <v>2</v>
      </c>
      <c r="E1252" s="10" t="n">
        <f aca="false">MONTH(B1252)</f>
        <v>6</v>
      </c>
      <c r="F1252" s="10" t="str">
        <f aca="false">CHOOSE(MOD(A1252-1,5)+1,"Центр","Юг","Север","Запад","Восток")</f>
        <v>Центр</v>
      </c>
      <c r="G1252" s="10" t="str">
        <f aca="false">"Округ_"&amp;(MOD(A1252-1,5)+1)&amp;"_"&amp;(MOD(INT((A1252-1)/5),5)+1)</f>
        <v>Округ_1_1</v>
      </c>
      <c r="H1252" s="10" t="str">
        <f aca="false">"Город_"&amp;(MOD(A1252-1,5)+1)&amp;"_"&amp;(MOD(INT((A1252-1)/5),5)+1)&amp;"_"&amp;(MOD(INT((A1252-1)/25),10)+1)</f>
        <v>Город_1_1_1</v>
      </c>
      <c r="I1252" s="10" t="str">
        <f aca="false">CHOOSE(MOD(A1252-1,4)+1,"Электроника","Одежда","Продукты","Мебель")</f>
        <v>Продукты</v>
      </c>
      <c r="J1252" s="10" t="str">
        <f aca="false">CHOOSE(MOD(INT((A1252-1)/4),4)+1,CHOOSE(MOD(A1252-1,4)+1,"Смартфоны","Ноутбуки","Аксессуары","Аудио"),CHOOSE(MOD(A1252-1,4)+1,"Верхняя одежда","Спортивная","Повседневная","Обувь"),CHOOSE(MOD(A1252-1,4)+1,"Молочные","Мясные","Бакалея","Напитки"),CHOOSE(MOD(A1252-1,4)+1,"Мягкая мебель","Корпусная","Офисная","Кухонная"))</f>
        <v>Аксессуары</v>
      </c>
      <c r="K1252" s="12" t="n">
        <f aca="false">1000+MOD(A1252*317+A1252*A1252*7,49001)</f>
        <v>33343</v>
      </c>
      <c r="L1252" s="12" t="n">
        <f aca="false">1+MOD(A1252*131,100)</f>
        <v>82</v>
      </c>
      <c r="M1252" s="12" t="n">
        <f aca="false">INT(K1252*(0.6+MOD(A1252*43,21)/100))</f>
        <v>24006</v>
      </c>
      <c r="N1252" s="12" t="n">
        <f aca="false">K1252-M1252</f>
        <v>9337</v>
      </c>
    </row>
    <row r="1253" customFormat="false" ht="12.8" hidden="false" customHeight="false" outlineLevel="0" collapsed="false">
      <c r="A1253" s="10" t="n">
        <f aca="false">A1252+1</f>
        <v>1252</v>
      </c>
      <c r="B1253" s="11" t="n">
        <f aca="false">B1252+1</f>
        <v>46178</v>
      </c>
      <c r="C1253" s="10" t="n">
        <f aca="false">YEAR(B1253)</f>
        <v>2026</v>
      </c>
      <c r="D1253" s="10" t="n">
        <f aca="false">INT((MONTH(B1253)-1)/3)+1</f>
        <v>2</v>
      </c>
      <c r="E1253" s="10" t="n">
        <f aca="false">MONTH(B1253)</f>
        <v>6</v>
      </c>
      <c r="F1253" s="10" t="str">
        <f aca="false">CHOOSE(MOD(A1253-1,5)+1,"Центр","Юг","Север","Запад","Восток")</f>
        <v>Юг</v>
      </c>
      <c r="G1253" s="10" t="str">
        <f aca="false">"Округ_"&amp;(MOD(A1253-1,5)+1)&amp;"_"&amp;(MOD(INT((A1253-1)/5),5)+1)</f>
        <v>Округ_2_1</v>
      </c>
      <c r="H1253" s="10" t="str">
        <f aca="false">"Город_"&amp;(MOD(A1253-1,5)+1)&amp;"_"&amp;(MOD(INT((A1253-1)/5),5)+1)&amp;"_"&amp;(MOD(INT((A1253-1)/25),10)+1)</f>
        <v>Город_2_1_1</v>
      </c>
      <c r="I1253" s="10" t="str">
        <f aca="false">CHOOSE(MOD(A1253-1,4)+1,"Электроника","Одежда","Продукты","Мебель")</f>
        <v>Мебель</v>
      </c>
      <c r="J1253" s="10" t="str">
        <f aca="false">CHOOSE(MOD(INT((A1253-1)/4),4)+1,CHOOSE(MOD(A1253-1,4)+1,"Смартфоны","Ноутбуки","Аксессуары","Аудио"),CHOOSE(MOD(A1253-1,4)+1,"Верхняя одежда","Спортивная","Повседневная","Обувь"),CHOOSE(MOD(A1253-1,4)+1,"Молочные","Мясные","Бакалея","Напитки"),CHOOSE(MOD(A1253-1,4)+1,"Мягкая мебель","Корпусная","Офисная","Кухонная"))</f>
        <v>Аудио</v>
      </c>
      <c r="K1253" s="12" t="n">
        <f aca="false">1000+MOD(A1253*317+A1253*A1253*7,49001)</f>
        <v>2180</v>
      </c>
      <c r="L1253" s="12" t="n">
        <f aca="false">1+MOD(A1253*131,100)</f>
        <v>13</v>
      </c>
      <c r="M1253" s="12" t="n">
        <f aca="false">INT(K1253*(0.6+MOD(A1253*43,21)/100))</f>
        <v>1591</v>
      </c>
      <c r="N1253" s="12" t="n">
        <f aca="false">K1253-M1253</f>
        <v>589</v>
      </c>
    </row>
    <row r="1254" customFormat="false" ht="12.8" hidden="false" customHeight="false" outlineLevel="0" collapsed="false">
      <c r="A1254" s="10" t="n">
        <f aca="false">A1253+1</f>
        <v>1253</v>
      </c>
      <c r="B1254" s="11" t="n">
        <f aca="false">B1253+1</f>
        <v>46179</v>
      </c>
      <c r="C1254" s="10" t="n">
        <f aca="false">YEAR(B1254)</f>
        <v>2026</v>
      </c>
      <c r="D1254" s="10" t="n">
        <f aca="false">INT((MONTH(B1254)-1)/3)+1</f>
        <v>2</v>
      </c>
      <c r="E1254" s="10" t="n">
        <f aca="false">MONTH(B1254)</f>
        <v>6</v>
      </c>
      <c r="F1254" s="10" t="str">
        <f aca="false">CHOOSE(MOD(A1254-1,5)+1,"Центр","Юг","Север","Запад","Восток")</f>
        <v>Север</v>
      </c>
      <c r="G1254" s="10" t="str">
        <f aca="false">"Округ_"&amp;(MOD(A1254-1,5)+1)&amp;"_"&amp;(MOD(INT((A1254-1)/5),5)+1)</f>
        <v>Округ_3_1</v>
      </c>
      <c r="H1254" s="10" t="str">
        <f aca="false">"Город_"&amp;(MOD(A1254-1,5)+1)&amp;"_"&amp;(MOD(INT((A1254-1)/5),5)+1)&amp;"_"&amp;(MOD(INT((A1254-1)/25),10)+1)</f>
        <v>Город_3_1_1</v>
      </c>
      <c r="I1254" s="10" t="str">
        <f aca="false">CHOOSE(MOD(A1254-1,4)+1,"Электроника","Одежда","Продукты","Мебель")</f>
        <v>Электроника</v>
      </c>
      <c r="J1254" s="10" t="str">
        <f aca="false">CHOOSE(MOD(INT((A1254-1)/4),4)+1,CHOOSE(MOD(A1254-1,4)+1,"Смартфоны","Ноутбуки","Аксессуары","Аудио"),CHOOSE(MOD(A1254-1,4)+1,"Верхняя одежда","Спортивная","Повседневная","Обувь"),CHOOSE(MOD(A1254-1,4)+1,"Молочные","Мясные","Бакалея","Напитки"),CHOOSE(MOD(A1254-1,4)+1,"Мягкая мебель","Корпусная","Офисная","Кухонная"))</f>
        <v>Верхняя одежда</v>
      </c>
      <c r="K1254" s="12" t="n">
        <f aca="false">1000+MOD(A1254*317+A1254*A1254*7,49001)</f>
        <v>20032</v>
      </c>
      <c r="L1254" s="12" t="n">
        <f aca="false">1+MOD(A1254*131,100)</f>
        <v>44</v>
      </c>
      <c r="M1254" s="12" t="n">
        <f aca="false">INT(K1254*(0.6+MOD(A1254*43,21)/100))</f>
        <v>14823</v>
      </c>
      <c r="N1254" s="12" t="n">
        <f aca="false">K1254-M1254</f>
        <v>5209</v>
      </c>
    </row>
    <row r="1255" customFormat="false" ht="12.8" hidden="false" customHeight="false" outlineLevel="0" collapsed="false">
      <c r="A1255" s="10" t="n">
        <f aca="false">A1254+1</f>
        <v>1254</v>
      </c>
      <c r="B1255" s="11" t="n">
        <f aca="false">B1254+1</f>
        <v>46180</v>
      </c>
      <c r="C1255" s="10" t="n">
        <f aca="false">YEAR(B1255)</f>
        <v>2026</v>
      </c>
      <c r="D1255" s="10" t="n">
        <f aca="false">INT((MONTH(B1255)-1)/3)+1</f>
        <v>2</v>
      </c>
      <c r="E1255" s="10" t="n">
        <f aca="false">MONTH(B1255)</f>
        <v>6</v>
      </c>
      <c r="F1255" s="10" t="str">
        <f aca="false">CHOOSE(MOD(A1255-1,5)+1,"Центр","Юг","Север","Запад","Восток")</f>
        <v>Запад</v>
      </c>
      <c r="G1255" s="10" t="str">
        <f aca="false">"Округ_"&amp;(MOD(A1255-1,5)+1)&amp;"_"&amp;(MOD(INT((A1255-1)/5),5)+1)</f>
        <v>Округ_4_1</v>
      </c>
      <c r="H1255" s="10" t="str">
        <f aca="false">"Город_"&amp;(MOD(A1255-1,5)+1)&amp;"_"&amp;(MOD(INT((A1255-1)/5),5)+1)&amp;"_"&amp;(MOD(INT((A1255-1)/25),10)+1)</f>
        <v>Город_4_1_1</v>
      </c>
      <c r="I1255" s="10" t="str">
        <f aca="false">CHOOSE(MOD(A1255-1,4)+1,"Электроника","Одежда","Продукты","Мебель")</f>
        <v>Одежда</v>
      </c>
      <c r="J1255" s="10" t="str">
        <f aca="false">CHOOSE(MOD(INT((A1255-1)/4),4)+1,CHOOSE(MOD(A1255-1,4)+1,"Смартфоны","Ноутбуки","Аксессуары","Аудио"),CHOOSE(MOD(A1255-1,4)+1,"Верхняя одежда","Спортивная","Повседневная","Обувь"),CHOOSE(MOD(A1255-1,4)+1,"Молочные","Мясные","Бакалея","Напитки"),CHOOSE(MOD(A1255-1,4)+1,"Мягкая мебель","Корпусная","Офисная","Кухонная"))</f>
        <v>Спортивная</v>
      </c>
      <c r="K1255" s="12" t="n">
        <f aca="false">1000+MOD(A1255*317+A1255*A1255*7,49001)</f>
        <v>37898</v>
      </c>
      <c r="L1255" s="12" t="n">
        <f aca="false">1+MOD(A1255*131,100)</f>
        <v>75</v>
      </c>
      <c r="M1255" s="12" t="n">
        <f aca="false">INT(K1255*(0.6+MOD(A1255*43,21)/100))</f>
        <v>28423</v>
      </c>
      <c r="N1255" s="12" t="n">
        <f aca="false">K1255-M1255</f>
        <v>9475</v>
      </c>
    </row>
    <row r="1256" customFormat="false" ht="12.8" hidden="false" customHeight="false" outlineLevel="0" collapsed="false">
      <c r="A1256" s="10" t="n">
        <f aca="false">A1255+1</f>
        <v>1255</v>
      </c>
      <c r="B1256" s="11" t="n">
        <f aca="false">B1255+1</f>
        <v>46181</v>
      </c>
      <c r="C1256" s="10" t="n">
        <f aca="false">YEAR(B1256)</f>
        <v>2026</v>
      </c>
      <c r="D1256" s="10" t="n">
        <f aca="false">INT((MONTH(B1256)-1)/3)+1</f>
        <v>2</v>
      </c>
      <c r="E1256" s="10" t="n">
        <f aca="false">MONTH(B1256)</f>
        <v>6</v>
      </c>
      <c r="F1256" s="10" t="str">
        <f aca="false">CHOOSE(MOD(A1256-1,5)+1,"Центр","Юг","Север","Запад","Восток")</f>
        <v>Восток</v>
      </c>
      <c r="G1256" s="10" t="str">
        <f aca="false">"Округ_"&amp;(MOD(A1256-1,5)+1)&amp;"_"&amp;(MOD(INT((A1256-1)/5),5)+1)</f>
        <v>Округ_5_1</v>
      </c>
      <c r="H1256" s="10" t="str">
        <f aca="false">"Город_"&amp;(MOD(A1256-1,5)+1)&amp;"_"&amp;(MOD(INT((A1256-1)/5),5)+1)&amp;"_"&amp;(MOD(INT((A1256-1)/25),10)+1)</f>
        <v>Город_5_1_1</v>
      </c>
      <c r="I1256" s="10" t="str">
        <f aca="false">CHOOSE(MOD(A1256-1,4)+1,"Электроника","Одежда","Продукты","Мебель")</f>
        <v>Продукты</v>
      </c>
      <c r="J1256" s="10" t="str">
        <f aca="false">CHOOSE(MOD(INT((A1256-1)/4),4)+1,CHOOSE(MOD(A1256-1,4)+1,"Смартфоны","Ноутбуки","Аксессуары","Аудио"),CHOOSE(MOD(A1256-1,4)+1,"Верхняя одежда","Спортивная","Повседневная","Обувь"),CHOOSE(MOD(A1256-1,4)+1,"Молочные","Мясные","Бакалея","Напитки"),CHOOSE(MOD(A1256-1,4)+1,"Мягкая мебель","Корпусная","Офисная","Кухонная"))</f>
        <v>Повседневная</v>
      </c>
      <c r="K1256" s="12" t="n">
        <f aca="false">1000+MOD(A1256*317+A1256*A1256*7,49001)</f>
        <v>6777</v>
      </c>
      <c r="L1256" s="12" t="n">
        <f aca="false">1+MOD(A1256*131,100)</f>
        <v>6</v>
      </c>
      <c r="M1256" s="12" t="n">
        <f aca="false">INT(K1256*(0.6+MOD(A1256*43,21)/100))</f>
        <v>5150</v>
      </c>
      <c r="N1256" s="12" t="n">
        <f aca="false">K1256-M1256</f>
        <v>1627</v>
      </c>
    </row>
    <row r="1257" customFormat="false" ht="12.8" hidden="false" customHeight="false" outlineLevel="0" collapsed="false">
      <c r="A1257" s="10" t="n">
        <f aca="false">A1256+1</f>
        <v>1256</v>
      </c>
      <c r="B1257" s="11" t="n">
        <f aca="false">B1256+1</f>
        <v>46182</v>
      </c>
      <c r="C1257" s="10" t="n">
        <f aca="false">YEAR(B1257)</f>
        <v>2026</v>
      </c>
      <c r="D1257" s="10" t="n">
        <f aca="false">INT((MONTH(B1257)-1)/3)+1</f>
        <v>2</v>
      </c>
      <c r="E1257" s="10" t="n">
        <f aca="false">MONTH(B1257)</f>
        <v>6</v>
      </c>
      <c r="F1257" s="10" t="str">
        <f aca="false">CHOOSE(MOD(A1257-1,5)+1,"Центр","Юг","Север","Запад","Восток")</f>
        <v>Центр</v>
      </c>
      <c r="G1257" s="10" t="str">
        <f aca="false">"Округ_"&amp;(MOD(A1257-1,5)+1)&amp;"_"&amp;(MOD(INT((A1257-1)/5),5)+1)</f>
        <v>Округ_1_2</v>
      </c>
      <c r="H1257" s="10" t="str">
        <f aca="false">"Город_"&amp;(MOD(A1257-1,5)+1)&amp;"_"&amp;(MOD(INT((A1257-1)/5),5)+1)&amp;"_"&amp;(MOD(INT((A1257-1)/25),10)+1)</f>
        <v>Город_1_2_1</v>
      </c>
      <c r="I1257" s="10" t="str">
        <f aca="false">CHOOSE(MOD(A1257-1,4)+1,"Электроника","Одежда","Продукты","Мебель")</f>
        <v>Мебель</v>
      </c>
      <c r="J1257" s="10" t="str">
        <f aca="false">CHOOSE(MOD(INT((A1257-1)/4),4)+1,CHOOSE(MOD(A1257-1,4)+1,"Смартфоны","Ноутбуки","Аксессуары","Аудио"),CHOOSE(MOD(A1257-1,4)+1,"Верхняя одежда","Спортивная","Повседневная","Обувь"),CHOOSE(MOD(A1257-1,4)+1,"Молочные","Мясные","Бакалея","Напитки"),CHOOSE(MOD(A1257-1,4)+1,"Мягкая мебель","Корпусная","Офисная","Кухонная"))</f>
        <v>Обувь</v>
      </c>
      <c r="K1257" s="12" t="n">
        <f aca="false">1000+MOD(A1257*317+A1257*A1257*7,49001)</f>
        <v>24671</v>
      </c>
      <c r="L1257" s="12" t="n">
        <f aca="false">1+MOD(A1257*131,100)</f>
        <v>37</v>
      </c>
      <c r="M1257" s="12" t="n">
        <f aca="false">INT(K1257*(0.6+MOD(A1257*43,21)/100))</f>
        <v>18996</v>
      </c>
      <c r="N1257" s="12" t="n">
        <f aca="false">K1257-M1257</f>
        <v>5675</v>
      </c>
    </row>
    <row r="1258" customFormat="false" ht="12.8" hidden="false" customHeight="false" outlineLevel="0" collapsed="false">
      <c r="A1258" s="10" t="n">
        <f aca="false">A1257+1</f>
        <v>1257</v>
      </c>
      <c r="B1258" s="11" t="n">
        <f aca="false">B1257+1</f>
        <v>46183</v>
      </c>
      <c r="C1258" s="10" t="n">
        <f aca="false">YEAR(B1258)</f>
        <v>2026</v>
      </c>
      <c r="D1258" s="10" t="n">
        <f aca="false">INT((MONTH(B1258)-1)/3)+1</f>
        <v>2</v>
      </c>
      <c r="E1258" s="10" t="n">
        <f aca="false">MONTH(B1258)</f>
        <v>6</v>
      </c>
      <c r="F1258" s="10" t="str">
        <f aca="false">CHOOSE(MOD(A1258-1,5)+1,"Центр","Юг","Север","Запад","Восток")</f>
        <v>Юг</v>
      </c>
      <c r="G1258" s="10" t="str">
        <f aca="false">"Округ_"&amp;(MOD(A1258-1,5)+1)&amp;"_"&amp;(MOD(INT((A1258-1)/5),5)+1)</f>
        <v>Округ_2_2</v>
      </c>
      <c r="H1258" s="10" t="str">
        <f aca="false">"Город_"&amp;(MOD(A1258-1,5)+1)&amp;"_"&amp;(MOD(INT((A1258-1)/5),5)+1)&amp;"_"&amp;(MOD(INT((A1258-1)/25),10)+1)</f>
        <v>Город_2_2_1</v>
      </c>
      <c r="I1258" s="10" t="str">
        <f aca="false">CHOOSE(MOD(A1258-1,4)+1,"Электроника","Одежда","Продукты","Мебель")</f>
        <v>Электроника</v>
      </c>
      <c r="J1258" s="10" t="str">
        <f aca="false">CHOOSE(MOD(INT((A1258-1)/4),4)+1,CHOOSE(MOD(A1258-1,4)+1,"Смартфоны","Ноутбуки","Аксессуары","Аудио"),CHOOSE(MOD(A1258-1,4)+1,"Верхняя одежда","Спортивная","Повседневная","Обувь"),CHOOSE(MOD(A1258-1,4)+1,"Молочные","Мясные","Бакалея","Напитки"),CHOOSE(MOD(A1258-1,4)+1,"Мягкая мебель","Корпусная","Офисная","Кухонная"))</f>
        <v>Молочные</v>
      </c>
      <c r="K1258" s="12" t="n">
        <f aca="false">1000+MOD(A1258*317+A1258*A1258*7,49001)</f>
        <v>42579</v>
      </c>
      <c r="L1258" s="12" t="n">
        <f aca="false">1+MOD(A1258*131,100)</f>
        <v>68</v>
      </c>
      <c r="M1258" s="12" t="n">
        <f aca="false">INT(K1258*(0.6+MOD(A1258*43,21)/100))</f>
        <v>33211</v>
      </c>
      <c r="N1258" s="12" t="n">
        <f aca="false">K1258-M1258</f>
        <v>9368</v>
      </c>
    </row>
    <row r="1259" customFormat="false" ht="12.8" hidden="false" customHeight="false" outlineLevel="0" collapsed="false">
      <c r="A1259" s="10" t="n">
        <f aca="false">A1258+1</f>
        <v>1258</v>
      </c>
      <c r="B1259" s="11" t="n">
        <f aca="false">B1258+1</f>
        <v>46184</v>
      </c>
      <c r="C1259" s="10" t="n">
        <f aca="false">YEAR(B1259)</f>
        <v>2026</v>
      </c>
      <c r="D1259" s="10" t="n">
        <f aca="false">INT((MONTH(B1259)-1)/3)+1</f>
        <v>2</v>
      </c>
      <c r="E1259" s="10" t="n">
        <f aca="false">MONTH(B1259)</f>
        <v>6</v>
      </c>
      <c r="F1259" s="10" t="str">
        <f aca="false">CHOOSE(MOD(A1259-1,5)+1,"Центр","Юг","Север","Запад","Восток")</f>
        <v>Север</v>
      </c>
      <c r="G1259" s="10" t="str">
        <f aca="false">"Округ_"&amp;(MOD(A1259-1,5)+1)&amp;"_"&amp;(MOD(INT((A1259-1)/5),5)+1)</f>
        <v>Округ_3_2</v>
      </c>
      <c r="H1259" s="10" t="str">
        <f aca="false">"Город_"&amp;(MOD(A1259-1,5)+1)&amp;"_"&amp;(MOD(INT((A1259-1)/5),5)+1)&amp;"_"&amp;(MOD(INT((A1259-1)/25),10)+1)</f>
        <v>Город_3_2_1</v>
      </c>
      <c r="I1259" s="10" t="str">
        <f aca="false">CHOOSE(MOD(A1259-1,4)+1,"Электроника","Одежда","Продукты","Мебель")</f>
        <v>Одежда</v>
      </c>
      <c r="J1259" s="10" t="str">
        <f aca="false">CHOOSE(MOD(INT((A1259-1)/4),4)+1,CHOOSE(MOD(A1259-1,4)+1,"Смартфоны","Ноутбуки","Аксессуары","Аудио"),CHOOSE(MOD(A1259-1,4)+1,"Верхняя одежда","Спортивная","Повседневная","Обувь"),CHOOSE(MOD(A1259-1,4)+1,"Молочные","Мясные","Бакалея","Напитки"),CHOOSE(MOD(A1259-1,4)+1,"Мягкая мебель","Корпусная","Офисная","Кухонная"))</f>
        <v>Мясные</v>
      </c>
      <c r="K1259" s="12" t="n">
        <f aca="false">1000+MOD(A1259*317+A1259*A1259*7,49001)</f>
        <v>11500</v>
      </c>
      <c r="L1259" s="12" t="n">
        <f aca="false">1+MOD(A1259*131,100)</f>
        <v>99</v>
      </c>
      <c r="M1259" s="12" t="n">
        <f aca="false">INT(K1259*(0.6+MOD(A1259*43,21)/100))</f>
        <v>9085</v>
      </c>
      <c r="N1259" s="12" t="n">
        <f aca="false">K1259-M1259</f>
        <v>2415</v>
      </c>
    </row>
    <row r="1260" customFormat="false" ht="12.8" hidden="false" customHeight="false" outlineLevel="0" collapsed="false">
      <c r="A1260" s="10" t="n">
        <f aca="false">A1259+1</f>
        <v>1259</v>
      </c>
      <c r="B1260" s="11" t="n">
        <f aca="false">B1259+1</f>
        <v>46185</v>
      </c>
      <c r="C1260" s="10" t="n">
        <f aca="false">YEAR(B1260)</f>
        <v>2026</v>
      </c>
      <c r="D1260" s="10" t="n">
        <f aca="false">INT((MONTH(B1260)-1)/3)+1</f>
        <v>2</v>
      </c>
      <c r="E1260" s="10" t="n">
        <f aca="false">MONTH(B1260)</f>
        <v>6</v>
      </c>
      <c r="F1260" s="10" t="str">
        <f aca="false">CHOOSE(MOD(A1260-1,5)+1,"Центр","Юг","Север","Запад","Восток")</f>
        <v>Запад</v>
      </c>
      <c r="G1260" s="10" t="str">
        <f aca="false">"Округ_"&amp;(MOD(A1260-1,5)+1)&amp;"_"&amp;(MOD(INT((A1260-1)/5),5)+1)</f>
        <v>Округ_4_2</v>
      </c>
      <c r="H1260" s="10" t="str">
        <f aca="false">"Город_"&amp;(MOD(A1260-1,5)+1)&amp;"_"&amp;(MOD(INT((A1260-1)/5),5)+1)&amp;"_"&amp;(MOD(INT((A1260-1)/25),10)+1)</f>
        <v>Город_4_2_1</v>
      </c>
      <c r="I1260" s="10" t="str">
        <f aca="false">CHOOSE(MOD(A1260-1,4)+1,"Электроника","Одежда","Продукты","Мебель")</f>
        <v>Продукты</v>
      </c>
      <c r="J1260" s="10" t="str">
        <f aca="false">CHOOSE(MOD(INT((A1260-1)/4),4)+1,CHOOSE(MOD(A1260-1,4)+1,"Смартфоны","Ноутбуки","Аксессуары","Аудио"),CHOOSE(MOD(A1260-1,4)+1,"Верхняя одежда","Спортивная","Повседневная","Обувь"),CHOOSE(MOD(A1260-1,4)+1,"Молочные","Мясные","Бакалея","Напитки"),CHOOSE(MOD(A1260-1,4)+1,"Мягкая мебель","Корпусная","Офисная","Кухонная"))</f>
        <v>Бакалея</v>
      </c>
      <c r="K1260" s="12" t="n">
        <f aca="false">1000+MOD(A1260*317+A1260*A1260*7,49001)</f>
        <v>29436</v>
      </c>
      <c r="L1260" s="12" t="n">
        <f aca="false">1+MOD(A1260*131,100)</f>
        <v>30</v>
      </c>
      <c r="M1260" s="12" t="n">
        <f aca="false">INT(K1260*(0.6+MOD(A1260*43,21)/100))</f>
        <v>23548</v>
      </c>
      <c r="N1260" s="12" t="n">
        <f aca="false">K1260-M1260</f>
        <v>5888</v>
      </c>
    </row>
    <row r="1261" customFormat="false" ht="12.8" hidden="false" customHeight="false" outlineLevel="0" collapsed="false">
      <c r="A1261" s="10" t="n">
        <f aca="false">A1260+1</f>
        <v>1260</v>
      </c>
      <c r="B1261" s="11" t="n">
        <f aca="false">B1260+1</f>
        <v>46186</v>
      </c>
      <c r="C1261" s="10" t="n">
        <f aca="false">YEAR(B1261)</f>
        <v>2026</v>
      </c>
      <c r="D1261" s="10" t="n">
        <f aca="false">INT((MONTH(B1261)-1)/3)+1</f>
        <v>2</v>
      </c>
      <c r="E1261" s="10" t="n">
        <f aca="false">MONTH(B1261)</f>
        <v>6</v>
      </c>
      <c r="F1261" s="10" t="str">
        <f aca="false">CHOOSE(MOD(A1261-1,5)+1,"Центр","Юг","Север","Запад","Восток")</f>
        <v>Восток</v>
      </c>
      <c r="G1261" s="10" t="str">
        <f aca="false">"Округ_"&amp;(MOD(A1261-1,5)+1)&amp;"_"&amp;(MOD(INT((A1261-1)/5),5)+1)</f>
        <v>Округ_5_2</v>
      </c>
      <c r="H1261" s="10" t="str">
        <f aca="false">"Город_"&amp;(MOD(A1261-1,5)+1)&amp;"_"&amp;(MOD(INT((A1261-1)/5),5)+1)&amp;"_"&amp;(MOD(INT((A1261-1)/25),10)+1)</f>
        <v>Город_5_2_1</v>
      </c>
      <c r="I1261" s="10" t="str">
        <f aca="false">CHOOSE(MOD(A1261-1,4)+1,"Электроника","Одежда","Продукты","Мебель")</f>
        <v>Мебель</v>
      </c>
      <c r="J1261" s="10" t="str">
        <f aca="false">CHOOSE(MOD(INT((A1261-1)/4),4)+1,CHOOSE(MOD(A1261-1,4)+1,"Смартфоны","Ноутбуки","Аксессуары","Аудио"),CHOOSE(MOD(A1261-1,4)+1,"Верхняя одежда","Спортивная","Повседневная","Обувь"),CHOOSE(MOD(A1261-1,4)+1,"Молочные","Мясные","Бакалея","Напитки"),CHOOSE(MOD(A1261-1,4)+1,"Мягкая мебель","Корпусная","Офисная","Кухонная"))</f>
        <v>Напитки</v>
      </c>
      <c r="K1261" s="12" t="n">
        <f aca="false">1000+MOD(A1261*317+A1261*A1261*7,49001)</f>
        <v>47386</v>
      </c>
      <c r="L1261" s="12" t="n">
        <f aca="false">1+MOD(A1261*131,100)</f>
        <v>61</v>
      </c>
      <c r="M1261" s="12" t="n">
        <f aca="false">INT(K1261*(0.6+MOD(A1261*43,21)/100))</f>
        <v>28431</v>
      </c>
      <c r="N1261" s="12" t="n">
        <f aca="false">K1261-M1261</f>
        <v>18955</v>
      </c>
    </row>
    <row r="1262" customFormat="false" ht="12.8" hidden="false" customHeight="false" outlineLevel="0" collapsed="false">
      <c r="A1262" s="10" t="n">
        <f aca="false">A1261+1</f>
        <v>1261</v>
      </c>
      <c r="B1262" s="11" t="n">
        <f aca="false">B1261+1</f>
        <v>46187</v>
      </c>
      <c r="C1262" s="10" t="n">
        <f aca="false">YEAR(B1262)</f>
        <v>2026</v>
      </c>
      <c r="D1262" s="10" t="n">
        <f aca="false">INT((MONTH(B1262)-1)/3)+1</f>
        <v>2</v>
      </c>
      <c r="E1262" s="10" t="n">
        <f aca="false">MONTH(B1262)</f>
        <v>6</v>
      </c>
      <c r="F1262" s="10" t="str">
        <f aca="false">CHOOSE(MOD(A1262-1,5)+1,"Центр","Юг","Север","Запад","Восток")</f>
        <v>Центр</v>
      </c>
      <c r="G1262" s="10" t="str">
        <f aca="false">"Округ_"&amp;(MOD(A1262-1,5)+1)&amp;"_"&amp;(MOD(INT((A1262-1)/5),5)+1)</f>
        <v>Округ_1_3</v>
      </c>
      <c r="H1262" s="10" t="str">
        <f aca="false">"Город_"&amp;(MOD(A1262-1,5)+1)&amp;"_"&amp;(MOD(INT((A1262-1)/5),5)+1)&amp;"_"&amp;(MOD(INT((A1262-1)/25),10)+1)</f>
        <v>Город_1_3_1</v>
      </c>
      <c r="I1262" s="10" t="str">
        <f aca="false">CHOOSE(MOD(A1262-1,4)+1,"Электроника","Одежда","Продукты","Мебель")</f>
        <v>Электроника</v>
      </c>
      <c r="J1262" s="10" t="str">
        <f aca="false">CHOOSE(MOD(INT((A1262-1)/4),4)+1,CHOOSE(MOD(A1262-1,4)+1,"Смартфоны","Ноутбуки","Аксессуары","Аудио"),CHOOSE(MOD(A1262-1,4)+1,"Верхняя одежда","Спортивная","Повседневная","Обувь"),CHOOSE(MOD(A1262-1,4)+1,"Молочные","Мясные","Бакалея","Напитки"),CHOOSE(MOD(A1262-1,4)+1,"Мягкая мебель","Корпусная","Офисная","Кухонная"))</f>
        <v>Мягкая мебель</v>
      </c>
      <c r="K1262" s="12" t="n">
        <f aca="false">1000+MOD(A1262*317+A1262*A1262*7,49001)</f>
        <v>16349</v>
      </c>
      <c r="L1262" s="12" t="n">
        <f aca="false">1+MOD(A1262*131,100)</f>
        <v>92</v>
      </c>
      <c r="M1262" s="12" t="n">
        <f aca="false">INT(K1262*(0.6+MOD(A1262*43,21)/100))</f>
        <v>9972</v>
      </c>
      <c r="N1262" s="12" t="n">
        <f aca="false">K1262-M1262</f>
        <v>6377</v>
      </c>
    </row>
    <row r="1263" customFormat="false" ht="12.8" hidden="false" customHeight="false" outlineLevel="0" collapsed="false">
      <c r="A1263" s="10" t="n">
        <f aca="false">A1262+1</f>
        <v>1262</v>
      </c>
      <c r="B1263" s="11" t="n">
        <f aca="false">B1262+1</f>
        <v>46188</v>
      </c>
      <c r="C1263" s="10" t="n">
        <f aca="false">YEAR(B1263)</f>
        <v>2026</v>
      </c>
      <c r="D1263" s="10" t="n">
        <f aca="false">INT((MONTH(B1263)-1)/3)+1</f>
        <v>2</v>
      </c>
      <c r="E1263" s="10" t="n">
        <f aca="false">MONTH(B1263)</f>
        <v>6</v>
      </c>
      <c r="F1263" s="10" t="str">
        <f aca="false">CHOOSE(MOD(A1263-1,5)+1,"Центр","Юг","Север","Запад","Восток")</f>
        <v>Юг</v>
      </c>
      <c r="G1263" s="10" t="str">
        <f aca="false">"Округ_"&amp;(MOD(A1263-1,5)+1)&amp;"_"&amp;(MOD(INT((A1263-1)/5),5)+1)</f>
        <v>Округ_2_3</v>
      </c>
      <c r="H1263" s="10" t="str">
        <f aca="false">"Город_"&amp;(MOD(A1263-1,5)+1)&amp;"_"&amp;(MOD(INT((A1263-1)/5),5)+1)&amp;"_"&amp;(MOD(INT((A1263-1)/25),10)+1)</f>
        <v>Город_2_3_1</v>
      </c>
      <c r="I1263" s="10" t="str">
        <f aca="false">CHOOSE(MOD(A1263-1,4)+1,"Электроника","Одежда","Продукты","Мебель")</f>
        <v>Одежда</v>
      </c>
      <c r="J1263" s="10" t="str">
        <f aca="false">CHOOSE(MOD(INT((A1263-1)/4),4)+1,CHOOSE(MOD(A1263-1,4)+1,"Смартфоны","Ноутбуки","Аксессуары","Аудио"),CHOOSE(MOD(A1263-1,4)+1,"Верхняя одежда","Спортивная","Повседневная","Обувь"),CHOOSE(MOD(A1263-1,4)+1,"Молочные","Мясные","Бакалея","Напитки"),CHOOSE(MOD(A1263-1,4)+1,"Мягкая мебель","Корпусная","Офисная","Кухонная"))</f>
        <v>Корпусная</v>
      </c>
      <c r="K1263" s="12" t="n">
        <f aca="false">1000+MOD(A1263*317+A1263*A1263*7,49001)</f>
        <v>34327</v>
      </c>
      <c r="L1263" s="12" t="n">
        <f aca="false">1+MOD(A1263*131,100)</f>
        <v>23</v>
      </c>
      <c r="M1263" s="12" t="n">
        <f aca="false">INT(K1263*(0.6+MOD(A1263*43,21)/100))</f>
        <v>21282</v>
      </c>
      <c r="N1263" s="12" t="n">
        <f aca="false">K1263-M1263</f>
        <v>13045</v>
      </c>
    </row>
    <row r="1264" customFormat="false" ht="12.8" hidden="false" customHeight="false" outlineLevel="0" collapsed="false">
      <c r="A1264" s="10" t="n">
        <f aca="false">A1263+1</f>
        <v>1263</v>
      </c>
      <c r="B1264" s="11" t="n">
        <f aca="false">B1263+1</f>
        <v>46189</v>
      </c>
      <c r="C1264" s="10" t="n">
        <f aca="false">YEAR(B1264)</f>
        <v>2026</v>
      </c>
      <c r="D1264" s="10" t="n">
        <f aca="false">INT((MONTH(B1264)-1)/3)+1</f>
        <v>2</v>
      </c>
      <c r="E1264" s="10" t="n">
        <f aca="false">MONTH(B1264)</f>
        <v>6</v>
      </c>
      <c r="F1264" s="10" t="str">
        <f aca="false">CHOOSE(MOD(A1264-1,5)+1,"Центр","Юг","Север","Запад","Восток")</f>
        <v>Север</v>
      </c>
      <c r="G1264" s="10" t="str">
        <f aca="false">"Округ_"&amp;(MOD(A1264-1,5)+1)&amp;"_"&amp;(MOD(INT((A1264-1)/5),5)+1)</f>
        <v>Округ_3_3</v>
      </c>
      <c r="H1264" s="10" t="str">
        <f aca="false">"Город_"&amp;(MOD(A1264-1,5)+1)&amp;"_"&amp;(MOD(INT((A1264-1)/5),5)+1)&amp;"_"&amp;(MOD(INT((A1264-1)/25),10)+1)</f>
        <v>Город_3_3_1</v>
      </c>
      <c r="I1264" s="10" t="str">
        <f aca="false">CHOOSE(MOD(A1264-1,4)+1,"Электроника","Одежда","Продукты","Мебель")</f>
        <v>Продукты</v>
      </c>
      <c r="J1264" s="10" t="str">
        <f aca="false">CHOOSE(MOD(INT((A1264-1)/4),4)+1,CHOOSE(MOD(A1264-1,4)+1,"Смартфоны","Ноутбуки","Аксессуары","Аудио"),CHOOSE(MOD(A1264-1,4)+1,"Верхняя одежда","Спортивная","Повседневная","Обувь"),CHOOSE(MOD(A1264-1,4)+1,"Молочные","Мясные","Бакалея","Напитки"),CHOOSE(MOD(A1264-1,4)+1,"Мягкая мебель","Корпусная","Офисная","Кухонная"))</f>
        <v>Офисная</v>
      </c>
      <c r="K1264" s="12" t="n">
        <f aca="false">1000+MOD(A1264*317+A1264*A1264*7,49001)</f>
        <v>3318</v>
      </c>
      <c r="L1264" s="12" t="n">
        <f aca="false">1+MOD(A1264*131,100)</f>
        <v>54</v>
      </c>
      <c r="M1264" s="12" t="n">
        <f aca="false">INT(K1264*(0.6+MOD(A1264*43,21)/100))</f>
        <v>2090</v>
      </c>
      <c r="N1264" s="12" t="n">
        <f aca="false">K1264-M1264</f>
        <v>1228</v>
      </c>
    </row>
    <row r="1265" customFormat="false" ht="12.8" hidden="false" customHeight="false" outlineLevel="0" collapsed="false">
      <c r="A1265" s="10" t="n">
        <f aca="false">A1264+1</f>
        <v>1264</v>
      </c>
      <c r="B1265" s="11" t="n">
        <f aca="false">B1264+1</f>
        <v>46190</v>
      </c>
      <c r="C1265" s="10" t="n">
        <f aca="false">YEAR(B1265)</f>
        <v>2026</v>
      </c>
      <c r="D1265" s="10" t="n">
        <f aca="false">INT((MONTH(B1265)-1)/3)+1</f>
        <v>2</v>
      </c>
      <c r="E1265" s="10" t="n">
        <f aca="false">MONTH(B1265)</f>
        <v>6</v>
      </c>
      <c r="F1265" s="10" t="str">
        <f aca="false">CHOOSE(MOD(A1265-1,5)+1,"Центр","Юг","Север","Запад","Восток")</f>
        <v>Запад</v>
      </c>
      <c r="G1265" s="10" t="str">
        <f aca="false">"Округ_"&amp;(MOD(A1265-1,5)+1)&amp;"_"&amp;(MOD(INT((A1265-1)/5),5)+1)</f>
        <v>Округ_4_3</v>
      </c>
      <c r="H1265" s="10" t="str">
        <f aca="false">"Город_"&amp;(MOD(A1265-1,5)+1)&amp;"_"&amp;(MOD(INT((A1265-1)/5),5)+1)&amp;"_"&amp;(MOD(INT((A1265-1)/25),10)+1)</f>
        <v>Город_4_3_1</v>
      </c>
      <c r="I1265" s="10" t="str">
        <f aca="false">CHOOSE(MOD(A1265-1,4)+1,"Электроника","Одежда","Продукты","Мебель")</f>
        <v>Мебель</v>
      </c>
      <c r="J1265" s="10" t="str">
        <f aca="false">CHOOSE(MOD(INT((A1265-1)/4),4)+1,CHOOSE(MOD(A1265-1,4)+1,"Смартфоны","Ноутбуки","Аксессуары","Аудио"),CHOOSE(MOD(A1265-1,4)+1,"Верхняя одежда","Спортивная","Повседневная","Обувь"),CHOOSE(MOD(A1265-1,4)+1,"Молочные","Мясные","Бакалея","Напитки"),CHOOSE(MOD(A1265-1,4)+1,"Мягкая мебель","Корпусная","Офисная","Кухонная"))</f>
        <v>Кухонная</v>
      </c>
      <c r="K1265" s="12" t="n">
        <f aca="false">1000+MOD(A1265*317+A1265*A1265*7,49001)</f>
        <v>21324</v>
      </c>
      <c r="L1265" s="12" t="n">
        <f aca="false">1+MOD(A1265*131,100)</f>
        <v>85</v>
      </c>
      <c r="M1265" s="12" t="n">
        <f aca="false">INT(K1265*(0.6+MOD(A1265*43,21)/100))</f>
        <v>13647</v>
      </c>
      <c r="N1265" s="12" t="n">
        <f aca="false">K1265-M1265</f>
        <v>7677</v>
      </c>
    </row>
    <row r="1266" customFormat="false" ht="12.8" hidden="false" customHeight="false" outlineLevel="0" collapsed="false">
      <c r="A1266" s="10" t="n">
        <f aca="false">A1265+1</f>
        <v>1265</v>
      </c>
      <c r="B1266" s="11" t="n">
        <f aca="false">B1265+1</f>
        <v>46191</v>
      </c>
      <c r="C1266" s="10" t="n">
        <f aca="false">YEAR(B1266)</f>
        <v>2026</v>
      </c>
      <c r="D1266" s="10" t="n">
        <f aca="false">INT((MONTH(B1266)-1)/3)+1</f>
        <v>2</v>
      </c>
      <c r="E1266" s="10" t="n">
        <f aca="false">MONTH(B1266)</f>
        <v>6</v>
      </c>
      <c r="F1266" s="10" t="str">
        <f aca="false">CHOOSE(MOD(A1266-1,5)+1,"Центр","Юг","Север","Запад","Восток")</f>
        <v>Восток</v>
      </c>
      <c r="G1266" s="10" t="str">
        <f aca="false">"Округ_"&amp;(MOD(A1266-1,5)+1)&amp;"_"&amp;(MOD(INT((A1266-1)/5),5)+1)</f>
        <v>Округ_5_3</v>
      </c>
      <c r="H1266" s="10" t="str">
        <f aca="false">"Город_"&amp;(MOD(A1266-1,5)+1)&amp;"_"&amp;(MOD(INT((A1266-1)/5),5)+1)&amp;"_"&amp;(MOD(INT((A1266-1)/25),10)+1)</f>
        <v>Город_5_3_1</v>
      </c>
      <c r="I1266" s="10" t="str">
        <f aca="false">CHOOSE(MOD(A1266-1,4)+1,"Электроника","Одежда","Продукты","Мебель")</f>
        <v>Электроника</v>
      </c>
      <c r="J1266" s="10" t="str">
        <f aca="false">CHOOSE(MOD(INT((A1266-1)/4),4)+1,CHOOSE(MOD(A1266-1,4)+1,"Смартфоны","Ноутбуки","Аксессуары","Аудио"),CHOOSE(MOD(A1266-1,4)+1,"Верхняя одежда","Спортивная","Повседневная","Обувь"),CHOOSE(MOD(A1266-1,4)+1,"Молочные","Мясные","Бакалея","Напитки"),CHOOSE(MOD(A1266-1,4)+1,"Мягкая мебель","Корпусная","Офисная","Кухонная"))</f>
        <v>Смартфоны</v>
      </c>
      <c r="K1266" s="12" t="n">
        <f aca="false">1000+MOD(A1266*317+A1266*A1266*7,49001)</f>
        <v>39344</v>
      </c>
      <c r="L1266" s="12" t="n">
        <f aca="false">1+MOD(A1266*131,100)</f>
        <v>16</v>
      </c>
      <c r="M1266" s="12" t="n">
        <f aca="false">INT(K1266*(0.6+MOD(A1266*43,21)/100))</f>
        <v>25573</v>
      </c>
      <c r="N1266" s="12" t="n">
        <f aca="false">K1266-M1266</f>
        <v>13771</v>
      </c>
    </row>
    <row r="1267" customFormat="false" ht="12.8" hidden="false" customHeight="false" outlineLevel="0" collapsed="false">
      <c r="A1267" s="10" t="n">
        <f aca="false">A1266+1</f>
        <v>1266</v>
      </c>
      <c r="B1267" s="11" t="n">
        <f aca="false">B1266+1</f>
        <v>46192</v>
      </c>
      <c r="C1267" s="10" t="n">
        <f aca="false">YEAR(B1267)</f>
        <v>2026</v>
      </c>
      <c r="D1267" s="10" t="n">
        <f aca="false">INT((MONTH(B1267)-1)/3)+1</f>
        <v>2</v>
      </c>
      <c r="E1267" s="10" t="n">
        <f aca="false">MONTH(B1267)</f>
        <v>6</v>
      </c>
      <c r="F1267" s="10" t="str">
        <f aca="false">CHOOSE(MOD(A1267-1,5)+1,"Центр","Юг","Север","Запад","Восток")</f>
        <v>Центр</v>
      </c>
      <c r="G1267" s="10" t="str">
        <f aca="false">"Округ_"&amp;(MOD(A1267-1,5)+1)&amp;"_"&amp;(MOD(INT((A1267-1)/5),5)+1)</f>
        <v>Округ_1_4</v>
      </c>
      <c r="H1267" s="10" t="str">
        <f aca="false">"Город_"&amp;(MOD(A1267-1,5)+1)&amp;"_"&amp;(MOD(INT((A1267-1)/5),5)+1)&amp;"_"&amp;(MOD(INT((A1267-1)/25),10)+1)</f>
        <v>Город_1_4_1</v>
      </c>
      <c r="I1267" s="10" t="str">
        <f aca="false">CHOOSE(MOD(A1267-1,4)+1,"Электроника","Одежда","Продукты","Мебель")</f>
        <v>Одежда</v>
      </c>
      <c r="J1267" s="10" t="str">
        <f aca="false">CHOOSE(MOD(INT((A1267-1)/4),4)+1,CHOOSE(MOD(A1267-1,4)+1,"Смартфоны","Ноутбуки","Аксессуары","Аудио"),CHOOSE(MOD(A1267-1,4)+1,"Верхняя одежда","Спортивная","Повседневная","Обувь"),CHOOSE(MOD(A1267-1,4)+1,"Молочные","Мясные","Бакалея","Напитки"),CHOOSE(MOD(A1267-1,4)+1,"Мягкая мебель","Корпусная","Офисная","Кухонная"))</f>
        <v>Ноутбуки</v>
      </c>
      <c r="K1267" s="12" t="n">
        <f aca="false">1000+MOD(A1267*317+A1267*A1267*7,49001)</f>
        <v>8377</v>
      </c>
      <c r="L1267" s="12" t="n">
        <f aca="false">1+MOD(A1267*131,100)</f>
        <v>47</v>
      </c>
      <c r="M1267" s="12" t="n">
        <f aca="false">INT(K1267*(0.6+MOD(A1267*43,21)/100))</f>
        <v>5528</v>
      </c>
      <c r="N1267" s="12" t="n">
        <f aca="false">K1267-M1267</f>
        <v>2849</v>
      </c>
    </row>
    <row r="1268" customFormat="false" ht="12.8" hidden="false" customHeight="false" outlineLevel="0" collapsed="false">
      <c r="A1268" s="10" t="n">
        <f aca="false">A1267+1</f>
        <v>1267</v>
      </c>
      <c r="B1268" s="11" t="n">
        <f aca="false">B1267+1</f>
        <v>46193</v>
      </c>
      <c r="C1268" s="10" t="n">
        <f aca="false">YEAR(B1268)</f>
        <v>2026</v>
      </c>
      <c r="D1268" s="10" t="n">
        <f aca="false">INT((MONTH(B1268)-1)/3)+1</f>
        <v>2</v>
      </c>
      <c r="E1268" s="10" t="n">
        <f aca="false">MONTH(B1268)</f>
        <v>6</v>
      </c>
      <c r="F1268" s="10" t="str">
        <f aca="false">CHOOSE(MOD(A1268-1,5)+1,"Центр","Юг","Север","Запад","Восток")</f>
        <v>Юг</v>
      </c>
      <c r="G1268" s="10" t="str">
        <f aca="false">"Округ_"&amp;(MOD(A1268-1,5)+1)&amp;"_"&amp;(MOD(INT((A1268-1)/5),5)+1)</f>
        <v>Округ_2_4</v>
      </c>
      <c r="H1268" s="10" t="str">
        <f aca="false">"Город_"&amp;(MOD(A1268-1,5)+1)&amp;"_"&amp;(MOD(INT((A1268-1)/5),5)+1)&amp;"_"&amp;(MOD(INT((A1268-1)/25),10)+1)</f>
        <v>Город_2_4_1</v>
      </c>
      <c r="I1268" s="10" t="str">
        <f aca="false">CHOOSE(MOD(A1268-1,4)+1,"Электроника","Одежда","Продукты","Мебель")</f>
        <v>Продукты</v>
      </c>
      <c r="J1268" s="10" t="str">
        <f aca="false">CHOOSE(MOD(INT((A1268-1)/4),4)+1,CHOOSE(MOD(A1268-1,4)+1,"Смартфоны","Ноутбуки","Аксессуары","Аудио"),CHOOSE(MOD(A1268-1,4)+1,"Верхняя одежда","Спортивная","Повседневная","Обувь"),CHOOSE(MOD(A1268-1,4)+1,"Молочные","Мясные","Бакалея","Напитки"),CHOOSE(MOD(A1268-1,4)+1,"Мягкая мебель","Корпусная","Офисная","Кухонная"))</f>
        <v>Аксессуары</v>
      </c>
      <c r="K1268" s="12" t="n">
        <f aca="false">1000+MOD(A1268*317+A1268*A1268*7,49001)</f>
        <v>26425</v>
      </c>
      <c r="L1268" s="12" t="n">
        <f aca="false">1+MOD(A1268*131,100)</f>
        <v>78</v>
      </c>
      <c r="M1268" s="12" t="n">
        <f aca="false">INT(K1268*(0.6+MOD(A1268*43,21)/100))</f>
        <v>17704</v>
      </c>
      <c r="N1268" s="12" t="n">
        <f aca="false">K1268-M1268</f>
        <v>8721</v>
      </c>
    </row>
    <row r="1269" customFormat="false" ht="12.8" hidden="false" customHeight="false" outlineLevel="0" collapsed="false">
      <c r="A1269" s="10" t="n">
        <f aca="false">A1268+1</f>
        <v>1268</v>
      </c>
      <c r="B1269" s="11" t="n">
        <f aca="false">B1268+1</f>
        <v>46194</v>
      </c>
      <c r="C1269" s="10" t="n">
        <f aca="false">YEAR(B1269)</f>
        <v>2026</v>
      </c>
      <c r="D1269" s="10" t="n">
        <f aca="false">INT((MONTH(B1269)-1)/3)+1</f>
        <v>2</v>
      </c>
      <c r="E1269" s="10" t="n">
        <f aca="false">MONTH(B1269)</f>
        <v>6</v>
      </c>
      <c r="F1269" s="10" t="str">
        <f aca="false">CHOOSE(MOD(A1269-1,5)+1,"Центр","Юг","Север","Запад","Восток")</f>
        <v>Север</v>
      </c>
      <c r="G1269" s="10" t="str">
        <f aca="false">"Округ_"&amp;(MOD(A1269-1,5)+1)&amp;"_"&amp;(MOD(INT((A1269-1)/5),5)+1)</f>
        <v>Округ_3_4</v>
      </c>
      <c r="H1269" s="10" t="str">
        <f aca="false">"Город_"&amp;(MOD(A1269-1,5)+1)&amp;"_"&amp;(MOD(INT((A1269-1)/5),5)+1)&amp;"_"&amp;(MOD(INT((A1269-1)/25),10)+1)</f>
        <v>Город_3_4_1</v>
      </c>
      <c r="I1269" s="10" t="str">
        <f aca="false">CHOOSE(MOD(A1269-1,4)+1,"Электроника","Одежда","Продукты","Мебель")</f>
        <v>Мебель</v>
      </c>
      <c r="J1269" s="10" t="str">
        <f aca="false">CHOOSE(MOD(INT((A1269-1)/4),4)+1,CHOOSE(MOD(A1269-1,4)+1,"Смартфоны","Ноутбуки","Аксессуары","Аудио"),CHOOSE(MOD(A1269-1,4)+1,"Верхняя одежда","Спортивная","Повседневная","Обувь"),CHOOSE(MOD(A1269-1,4)+1,"Молочные","Мясные","Бакалея","Напитки"),CHOOSE(MOD(A1269-1,4)+1,"Мягкая мебель","Корпусная","Офисная","Кухонная"))</f>
        <v>Аудио</v>
      </c>
      <c r="K1269" s="12" t="n">
        <f aca="false">1000+MOD(A1269*317+A1269*A1269*7,49001)</f>
        <v>44487</v>
      </c>
      <c r="L1269" s="12" t="n">
        <f aca="false">1+MOD(A1269*131,100)</f>
        <v>9</v>
      </c>
      <c r="M1269" s="12" t="n">
        <f aca="false">INT(K1269*(0.6+MOD(A1269*43,21)/100))</f>
        <v>30251</v>
      </c>
      <c r="N1269" s="12" t="n">
        <f aca="false">K1269-M1269</f>
        <v>14236</v>
      </c>
    </row>
    <row r="1270" customFormat="false" ht="12.8" hidden="false" customHeight="false" outlineLevel="0" collapsed="false">
      <c r="A1270" s="10" t="n">
        <f aca="false">A1269+1</f>
        <v>1269</v>
      </c>
      <c r="B1270" s="11" t="n">
        <f aca="false">B1269+1</f>
        <v>46195</v>
      </c>
      <c r="C1270" s="10" t="n">
        <f aca="false">YEAR(B1270)</f>
        <v>2026</v>
      </c>
      <c r="D1270" s="10" t="n">
        <f aca="false">INT((MONTH(B1270)-1)/3)+1</f>
        <v>2</v>
      </c>
      <c r="E1270" s="10" t="n">
        <f aca="false">MONTH(B1270)</f>
        <v>6</v>
      </c>
      <c r="F1270" s="10" t="str">
        <f aca="false">CHOOSE(MOD(A1270-1,5)+1,"Центр","Юг","Север","Запад","Восток")</f>
        <v>Запад</v>
      </c>
      <c r="G1270" s="10" t="str">
        <f aca="false">"Округ_"&amp;(MOD(A1270-1,5)+1)&amp;"_"&amp;(MOD(INT((A1270-1)/5),5)+1)</f>
        <v>Округ_4_4</v>
      </c>
      <c r="H1270" s="10" t="str">
        <f aca="false">"Город_"&amp;(MOD(A1270-1,5)+1)&amp;"_"&amp;(MOD(INT((A1270-1)/5),5)+1)&amp;"_"&amp;(MOD(INT((A1270-1)/25),10)+1)</f>
        <v>Город_4_4_1</v>
      </c>
      <c r="I1270" s="10" t="str">
        <f aca="false">CHOOSE(MOD(A1270-1,4)+1,"Электроника","Одежда","Продукты","Мебель")</f>
        <v>Электроника</v>
      </c>
      <c r="J1270" s="10" t="str">
        <f aca="false">CHOOSE(MOD(INT((A1270-1)/4),4)+1,CHOOSE(MOD(A1270-1,4)+1,"Смартфоны","Ноутбуки","Аксессуары","Аудио"),CHOOSE(MOD(A1270-1,4)+1,"Верхняя одежда","Спортивная","Повседневная","Обувь"),CHOOSE(MOD(A1270-1,4)+1,"Молочные","Мясные","Бакалея","Напитки"),CHOOSE(MOD(A1270-1,4)+1,"Мягкая мебель","Корпусная","Офисная","Кухонная"))</f>
        <v>Верхняя одежда</v>
      </c>
      <c r="K1270" s="12" t="n">
        <f aca="false">1000+MOD(A1270*317+A1270*A1270*7,49001)</f>
        <v>13562</v>
      </c>
      <c r="L1270" s="12" t="n">
        <f aca="false">1+MOD(A1270*131,100)</f>
        <v>40</v>
      </c>
      <c r="M1270" s="12" t="n">
        <f aca="false">INT(K1270*(0.6+MOD(A1270*43,21)/100))</f>
        <v>9357</v>
      </c>
      <c r="N1270" s="12" t="n">
        <f aca="false">K1270-M1270</f>
        <v>4205</v>
      </c>
    </row>
    <row r="1271" customFormat="false" ht="12.8" hidden="false" customHeight="false" outlineLevel="0" collapsed="false">
      <c r="A1271" s="10" t="n">
        <f aca="false">A1270+1</f>
        <v>1270</v>
      </c>
      <c r="B1271" s="11" t="n">
        <f aca="false">B1270+1</f>
        <v>46196</v>
      </c>
      <c r="C1271" s="10" t="n">
        <f aca="false">YEAR(B1271)</f>
        <v>2026</v>
      </c>
      <c r="D1271" s="10" t="n">
        <f aca="false">INT((MONTH(B1271)-1)/3)+1</f>
        <v>2</v>
      </c>
      <c r="E1271" s="10" t="n">
        <f aca="false">MONTH(B1271)</f>
        <v>6</v>
      </c>
      <c r="F1271" s="10" t="str">
        <f aca="false">CHOOSE(MOD(A1271-1,5)+1,"Центр","Юг","Север","Запад","Восток")</f>
        <v>Восток</v>
      </c>
      <c r="G1271" s="10" t="str">
        <f aca="false">"Округ_"&amp;(MOD(A1271-1,5)+1)&amp;"_"&amp;(MOD(INT((A1271-1)/5),5)+1)</f>
        <v>Округ_5_4</v>
      </c>
      <c r="H1271" s="10" t="str">
        <f aca="false">"Город_"&amp;(MOD(A1271-1,5)+1)&amp;"_"&amp;(MOD(INT((A1271-1)/5),5)+1)&amp;"_"&amp;(MOD(INT((A1271-1)/25),10)+1)</f>
        <v>Город_5_4_1</v>
      </c>
      <c r="I1271" s="10" t="str">
        <f aca="false">CHOOSE(MOD(A1271-1,4)+1,"Электроника","Одежда","Продукты","Мебель")</f>
        <v>Одежда</v>
      </c>
      <c r="J1271" s="10" t="str">
        <f aca="false">CHOOSE(MOD(INT((A1271-1)/4),4)+1,CHOOSE(MOD(A1271-1,4)+1,"Смартфоны","Ноутбуки","Аксессуары","Аудио"),CHOOSE(MOD(A1271-1,4)+1,"Верхняя одежда","Спортивная","Повседневная","Обувь"),CHOOSE(MOD(A1271-1,4)+1,"Молочные","Мясные","Бакалея","Напитки"),CHOOSE(MOD(A1271-1,4)+1,"Мягкая мебель","Корпусная","Офисная","Кухонная"))</f>
        <v>Спортивная</v>
      </c>
      <c r="K1271" s="12" t="n">
        <f aca="false">1000+MOD(A1271*317+A1271*A1271*7,49001)</f>
        <v>31652</v>
      </c>
      <c r="L1271" s="12" t="n">
        <f aca="false">1+MOD(A1271*131,100)</f>
        <v>71</v>
      </c>
      <c r="M1271" s="12" t="n">
        <f aca="false">INT(K1271*(0.6+MOD(A1271*43,21)/100))</f>
        <v>22156</v>
      </c>
      <c r="N1271" s="12" t="n">
        <f aca="false">K1271-M1271</f>
        <v>9496</v>
      </c>
    </row>
    <row r="1272" customFormat="false" ht="12.8" hidden="false" customHeight="false" outlineLevel="0" collapsed="false">
      <c r="A1272" s="10" t="n">
        <f aca="false">A1271+1</f>
        <v>1271</v>
      </c>
      <c r="B1272" s="11" t="n">
        <f aca="false">B1271+1</f>
        <v>46197</v>
      </c>
      <c r="C1272" s="10" t="n">
        <f aca="false">YEAR(B1272)</f>
        <v>2026</v>
      </c>
      <c r="D1272" s="10" t="n">
        <f aca="false">INT((MONTH(B1272)-1)/3)+1</f>
        <v>2</v>
      </c>
      <c r="E1272" s="10" t="n">
        <f aca="false">MONTH(B1272)</f>
        <v>6</v>
      </c>
      <c r="F1272" s="10" t="str">
        <f aca="false">CHOOSE(MOD(A1272-1,5)+1,"Центр","Юг","Север","Запад","Восток")</f>
        <v>Центр</v>
      </c>
      <c r="G1272" s="10" t="str">
        <f aca="false">"Округ_"&amp;(MOD(A1272-1,5)+1)&amp;"_"&amp;(MOD(INT((A1272-1)/5),5)+1)</f>
        <v>Округ_1_5</v>
      </c>
      <c r="H1272" s="10" t="str">
        <f aca="false">"Город_"&amp;(MOD(A1272-1,5)+1)&amp;"_"&amp;(MOD(INT((A1272-1)/5),5)+1)&amp;"_"&amp;(MOD(INT((A1272-1)/25),10)+1)</f>
        <v>Город_1_5_1</v>
      </c>
      <c r="I1272" s="10" t="str">
        <f aca="false">CHOOSE(MOD(A1272-1,4)+1,"Электроника","Одежда","Продукты","Мебель")</f>
        <v>Продукты</v>
      </c>
      <c r="J1272" s="10" t="str">
        <f aca="false">CHOOSE(MOD(INT((A1272-1)/4),4)+1,CHOOSE(MOD(A1272-1,4)+1,"Смартфоны","Ноутбуки","Аксессуары","Аудио"),CHOOSE(MOD(A1272-1,4)+1,"Верхняя одежда","Спортивная","Повседневная","Обувь"),CHOOSE(MOD(A1272-1,4)+1,"Молочные","Мясные","Бакалея","Напитки"),CHOOSE(MOD(A1272-1,4)+1,"Мягкая мебель","Корпусная","Офисная","Кухонная"))</f>
        <v>Повседневная</v>
      </c>
      <c r="K1272" s="12" t="n">
        <f aca="false">1000+MOD(A1272*317+A1272*A1272*7,49001)</f>
        <v>49756</v>
      </c>
      <c r="L1272" s="12" t="n">
        <f aca="false">1+MOD(A1272*131,100)</f>
        <v>2</v>
      </c>
      <c r="M1272" s="12" t="n">
        <f aca="false">INT(K1272*(0.6+MOD(A1272*43,21)/100))</f>
        <v>35326</v>
      </c>
      <c r="N1272" s="12" t="n">
        <f aca="false">K1272-M1272</f>
        <v>14430</v>
      </c>
    </row>
    <row r="1273" customFormat="false" ht="12.8" hidden="false" customHeight="false" outlineLevel="0" collapsed="false">
      <c r="A1273" s="10" t="n">
        <f aca="false">A1272+1</f>
        <v>1272</v>
      </c>
      <c r="B1273" s="11" t="n">
        <f aca="false">B1272+1</f>
        <v>46198</v>
      </c>
      <c r="C1273" s="10" t="n">
        <f aca="false">YEAR(B1273)</f>
        <v>2026</v>
      </c>
      <c r="D1273" s="10" t="n">
        <f aca="false">INT((MONTH(B1273)-1)/3)+1</f>
        <v>2</v>
      </c>
      <c r="E1273" s="10" t="n">
        <f aca="false">MONTH(B1273)</f>
        <v>6</v>
      </c>
      <c r="F1273" s="10" t="str">
        <f aca="false">CHOOSE(MOD(A1273-1,5)+1,"Центр","Юг","Север","Запад","Восток")</f>
        <v>Юг</v>
      </c>
      <c r="G1273" s="10" t="str">
        <f aca="false">"Округ_"&amp;(MOD(A1273-1,5)+1)&amp;"_"&amp;(MOD(INT((A1273-1)/5),5)+1)</f>
        <v>Округ_2_5</v>
      </c>
      <c r="H1273" s="10" t="str">
        <f aca="false">"Город_"&amp;(MOD(A1273-1,5)+1)&amp;"_"&amp;(MOD(INT((A1273-1)/5),5)+1)&amp;"_"&amp;(MOD(INT((A1273-1)/25),10)+1)</f>
        <v>Город_2_5_1</v>
      </c>
      <c r="I1273" s="10" t="str">
        <f aca="false">CHOOSE(MOD(A1273-1,4)+1,"Электроника","Одежда","Продукты","Мебель")</f>
        <v>Мебель</v>
      </c>
      <c r="J1273" s="10" t="str">
        <f aca="false">CHOOSE(MOD(INT((A1273-1)/4),4)+1,CHOOSE(MOD(A1273-1,4)+1,"Смартфоны","Ноутбуки","Аксессуары","Аудио"),CHOOSE(MOD(A1273-1,4)+1,"Верхняя одежда","Спортивная","Повседневная","Обувь"),CHOOSE(MOD(A1273-1,4)+1,"Молочные","Мясные","Бакалея","Напитки"),CHOOSE(MOD(A1273-1,4)+1,"Мягкая мебель","Корпусная","Офисная","Кухонная"))</f>
        <v>Обувь</v>
      </c>
      <c r="K1273" s="12" t="n">
        <f aca="false">1000+MOD(A1273*317+A1273*A1273*7,49001)</f>
        <v>18873</v>
      </c>
      <c r="L1273" s="12" t="n">
        <f aca="false">1+MOD(A1273*131,100)</f>
        <v>33</v>
      </c>
      <c r="M1273" s="12" t="n">
        <f aca="false">INT(K1273*(0.6+MOD(A1273*43,21)/100))</f>
        <v>13588</v>
      </c>
      <c r="N1273" s="12" t="n">
        <f aca="false">K1273-M1273</f>
        <v>5285</v>
      </c>
    </row>
    <row r="1274" customFormat="false" ht="12.8" hidden="false" customHeight="false" outlineLevel="0" collapsed="false">
      <c r="A1274" s="10" t="n">
        <f aca="false">A1273+1</f>
        <v>1273</v>
      </c>
      <c r="B1274" s="11" t="n">
        <f aca="false">B1273+1</f>
        <v>46199</v>
      </c>
      <c r="C1274" s="10" t="n">
        <f aca="false">YEAR(B1274)</f>
        <v>2026</v>
      </c>
      <c r="D1274" s="10" t="n">
        <f aca="false">INT((MONTH(B1274)-1)/3)+1</f>
        <v>2</v>
      </c>
      <c r="E1274" s="10" t="n">
        <f aca="false">MONTH(B1274)</f>
        <v>6</v>
      </c>
      <c r="F1274" s="10" t="str">
        <f aca="false">CHOOSE(MOD(A1274-1,5)+1,"Центр","Юг","Север","Запад","Восток")</f>
        <v>Север</v>
      </c>
      <c r="G1274" s="10" t="str">
        <f aca="false">"Округ_"&amp;(MOD(A1274-1,5)+1)&amp;"_"&amp;(MOD(INT((A1274-1)/5),5)+1)</f>
        <v>Округ_3_5</v>
      </c>
      <c r="H1274" s="10" t="str">
        <f aca="false">"Город_"&amp;(MOD(A1274-1,5)+1)&amp;"_"&amp;(MOD(INT((A1274-1)/5),5)+1)&amp;"_"&amp;(MOD(INT((A1274-1)/25),10)+1)</f>
        <v>Город_3_5_1</v>
      </c>
      <c r="I1274" s="10" t="str">
        <f aca="false">CHOOSE(MOD(A1274-1,4)+1,"Электроника","Одежда","Продукты","Мебель")</f>
        <v>Электроника</v>
      </c>
      <c r="J1274" s="10" t="str">
        <f aca="false">CHOOSE(MOD(INT((A1274-1)/4),4)+1,CHOOSE(MOD(A1274-1,4)+1,"Смартфоны","Ноутбуки","Аксессуары","Аудио"),CHOOSE(MOD(A1274-1,4)+1,"Верхняя одежда","Спортивная","Повседневная","Обувь"),CHOOSE(MOD(A1274-1,4)+1,"Молочные","Мясные","Бакалея","Напитки"),CHOOSE(MOD(A1274-1,4)+1,"Мягкая мебель","Корпусная","Офисная","Кухонная"))</f>
        <v>Молочные</v>
      </c>
      <c r="K1274" s="12" t="n">
        <f aca="false">1000+MOD(A1274*317+A1274*A1274*7,49001)</f>
        <v>37005</v>
      </c>
      <c r="L1274" s="12" t="n">
        <f aca="false">1+MOD(A1274*131,100)</f>
        <v>64</v>
      </c>
      <c r="M1274" s="12" t="n">
        <f aca="false">INT(K1274*(0.6+MOD(A1274*43,21)/100))</f>
        <v>27013</v>
      </c>
      <c r="N1274" s="12" t="n">
        <f aca="false">K1274-M1274</f>
        <v>9992</v>
      </c>
    </row>
    <row r="1275" customFormat="false" ht="12.8" hidden="false" customHeight="false" outlineLevel="0" collapsed="false">
      <c r="A1275" s="10" t="n">
        <f aca="false">A1274+1</f>
        <v>1274</v>
      </c>
      <c r="B1275" s="11" t="n">
        <f aca="false">B1274+1</f>
        <v>46200</v>
      </c>
      <c r="C1275" s="10" t="n">
        <f aca="false">YEAR(B1275)</f>
        <v>2026</v>
      </c>
      <c r="D1275" s="10" t="n">
        <f aca="false">INT((MONTH(B1275)-1)/3)+1</f>
        <v>2</v>
      </c>
      <c r="E1275" s="10" t="n">
        <f aca="false">MONTH(B1275)</f>
        <v>6</v>
      </c>
      <c r="F1275" s="10" t="str">
        <f aca="false">CHOOSE(MOD(A1275-1,5)+1,"Центр","Юг","Север","Запад","Восток")</f>
        <v>Запад</v>
      </c>
      <c r="G1275" s="10" t="str">
        <f aca="false">"Округ_"&amp;(MOD(A1275-1,5)+1)&amp;"_"&amp;(MOD(INT((A1275-1)/5),5)+1)</f>
        <v>Округ_4_5</v>
      </c>
      <c r="H1275" s="10" t="str">
        <f aca="false">"Город_"&amp;(MOD(A1275-1,5)+1)&amp;"_"&amp;(MOD(INT((A1275-1)/5),5)+1)&amp;"_"&amp;(MOD(INT((A1275-1)/25),10)+1)</f>
        <v>Город_4_5_1</v>
      </c>
      <c r="I1275" s="10" t="str">
        <f aca="false">CHOOSE(MOD(A1275-1,4)+1,"Электроника","Одежда","Продукты","Мебель")</f>
        <v>Одежда</v>
      </c>
      <c r="J1275" s="10" t="str">
        <f aca="false">CHOOSE(MOD(INT((A1275-1)/4),4)+1,CHOOSE(MOD(A1275-1,4)+1,"Смартфоны","Ноутбуки","Аксессуары","Аудио"),CHOOSE(MOD(A1275-1,4)+1,"Верхняя одежда","Спортивная","Повседневная","Обувь"),CHOOSE(MOD(A1275-1,4)+1,"Молочные","Мясные","Бакалея","Напитки"),CHOOSE(MOD(A1275-1,4)+1,"Мягкая мебель","Корпусная","Офисная","Кухонная"))</f>
        <v>Мясные</v>
      </c>
      <c r="K1275" s="12" t="n">
        <f aca="false">1000+MOD(A1275*317+A1275*A1275*7,49001)</f>
        <v>6150</v>
      </c>
      <c r="L1275" s="12" t="n">
        <f aca="false">1+MOD(A1275*131,100)</f>
        <v>95</v>
      </c>
      <c r="M1275" s="12" t="n">
        <f aca="false">INT(K1275*(0.6+MOD(A1275*43,21)/100))</f>
        <v>4551</v>
      </c>
      <c r="N1275" s="12" t="n">
        <f aca="false">K1275-M1275</f>
        <v>1599</v>
      </c>
    </row>
    <row r="1276" customFormat="false" ht="12.8" hidden="false" customHeight="false" outlineLevel="0" collapsed="false">
      <c r="A1276" s="10" t="n">
        <f aca="false">A1275+1</f>
        <v>1275</v>
      </c>
      <c r="B1276" s="11" t="n">
        <f aca="false">B1275+1</f>
        <v>46201</v>
      </c>
      <c r="C1276" s="10" t="n">
        <f aca="false">YEAR(B1276)</f>
        <v>2026</v>
      </c>
      <c r="D1276" s="10" t="n">
        <f aca="false">INT((MONTH(B1276)-1)/3)+1</f>
        <v>2</v>
      </c>
      <c r="E1276" s="10" t="n">
        <f aca="false">MONTH(B1276)</f>
        <v>6</v>
      </c>
      <c r="F1276" s="10" t="str">
        <f aca="false">CHOOSE(MOD(A1276-1,5)+1,"Центр","Юг","Север","Запад","Восток")</f>
        <v>Восток</v>
      </c>
      <c r="G1276" s="10" t="str">
        <f aca="false">"Округ_"&amp;(MOD(A1276-1,5)+1)&amp;"_"&amp;(MOD(INT((A1276-1)/5),5)+1)</f>
        <v>Округ_5_5</v>
      </c>
      <c r="H1276" s="10" t="str">
        <f aca="false">"Город_"&amp;(MOD(A1276-1,5)+1)&amp;"_"&amp;(MOD(INT((A1276-1)/5),5)+1)&amp;"_"&amp;(MOD(INT((A1276-1)/25),10)+1)</f>
        <v>Город_5_5_1</v>
      </c>
      <c r="I1276" s="10" t="str">
        <f aca="false">CHOOSE(MOD(A1276-1,4)+1,"Электроника","Одежда","Продукты","Мебель")</f>
        <v>Продукты</v>
      </c>
      <c r="J1276" s="10" t="str">
        <f aca="false">CHOOSE(MOD(INT((A1276-1)/4),4)+1,CHOOSE(MOD(A1276-1,4)+1,"Смартфоны","Ноутбуки","Аксессуары","Аудио"),CHOOSE(MOD(A1276-1,4)+1,"Верхняя одежда","Спортивная","Повседневная","Обувь"),CHOOSE(MOD(A1276-1,4)+1,"Молочные","Мясные","Бакалея","Напитки"),CHOOSE(MOD(A1276-1,4)+1,"Мягкая мебель","Корпусная","Офисная","Кухонная"))</f>
        <v>Бакалея</v>
      </c>
      <c r="K1276" s="12" t="n">
        <f aca="false">1000+MOD(A1276*317+A1276*A1276*7,49001)</f>
        <v>24310</v>
      </c>
      <c r="L1276" s="12" t="n">
        <f aca="false">1+MOD(A1276*131,100)</f>
        <v>26</v>
      </c>
      <c r="M1276" s="12" t="n">
        <f aca="false">INT(K1276*(0.6+MOD(A1276*43,21)/100))</f>
        <v>18232</v>
      </c>
      <c r="N1276" s="12" t="n">
        <f aca="false">K1276-M1276</f>
        <v>6078</v>
      </c>
    </row>
    <row r="1277" customFormat="false" ht="12.8" hidden="false" customHeight="false" outlineLevel="0" collapsed="false">
      <c r="A1277" s="10" t="n">
        <f aca="false">A1276+1</f>
        <v>1276</v>
      </c>
      <c r="B1277" s="11" t="n">
        <f aca="false">B1276+1</f>
        <v>46202</v>
      </c>
      <c r="C1277" s="10" t="n">
        <f aca="false">YEAR(B1277)</f>
        <v>2026</v>
      </c>
      <c r="D1277" s="10" t="n">
        <f aca="false">INT((MONTH(B1277)-1)/3)+1</f>
        <v>2</v>
      </c>
      <c r="E1277" s="10" t="n">
        <f aca="false">MONTH(B1277)</f>
        <v>6</v>
      </c>
      <c r="F1277" s="10" t="str">
        <f aca="false">CHOOSE(MOD(A1277-1,5)+1,"Центр","Юг","Север","Запад","Восток")</f>
        <v>Центр</v>
      </c>
      <c r="G1277" s="10" t="str">
        <f aca="false">"Округ_"&amp;(MOD(A1277-1,5)+1)&amp;"_"&amp;(MOD(INT((A1277-1)/5),5)+1)</f>
        <v>Округ_1_1</v>
      </c>
      <c r="H1277" s="10" t="str">
        <f aca="false">"Город_"&amp;(MOD(A1277-1,5)+1)&amp;"_"&amp;(MOD(INT((A1277-1)/5),5)+1)&amp;"_"&amp;(MOD(INT((A1277-1)/25),10)+1)</f>
        <v>Город_1_1_2</v>
      </c>
      <c r="I1277" s="10" t="str">
        <f aca="false">CHOOSE(MOD(A1277-1,4)+1,"Электроника","Одежда","Продукты","Мебель")</f>
        <v>Мебель</v>
      </c>
      <c r="J1277" s="10" t="str">
        <f aca="false">CHOOSE(MOD(INT((A1277-1)/4),4)+1,CHOOSE(MOD(A1277-1,4)+1,"Смартфоны","Ноутбуки","Аксессуары","Аудио"),CHOOSE(MOD(A1277-1,4)+1,"Верхняя одежда","Спортивная","Повседневная","Обувь"),CHOOSE(MOD(A1277-1,4)+1,"Молочные","Мясные","Бакалея","Напитки"),CHOOSE(MOD(A1277-1,4)+1,"Мягкая мебель","Корпусная","Офисная","Кухонная"))</f>
        <v>Напитки</v>
      </c>
      <c r="K1277" s="12" t="n">
        <f aca="false">1000+MOD(A1277*317+A1277*A1277*7,49001)</f>
        <v>42484</v>
      </c>
      <c r="L1277" s="12" t="n">
        <f aca="false">1+MOD(A1277*131,100)</f>
        <v>57</v>
      </c>
      <c r="M1277" s="12" t="n">
        <f aca="false">INT(K1277*(0.6+MOD(A1277*43,21)/100))</f>
        <v>32287</v>
      </c>
      <c r="N1277" s="12" t="n">
        <f aca="false">K1277-M1277</f>
        <v>10197</v>
      </c>
    </row>
    <row r="1278" customFormat="false" ht="12.8" hidden="false" customHeight="false" outlineLevel="0" collapsed="false">
      <c r="A1278" s="10" t="n">
        <f aca="false">A1277+1</f>
        <v>1277</v>
      </c>
      <c r="B1278" s="11" t="n">
        <f aca="false">B1277+1</f>
        <v>46203</v>
      </c>
      <c r="C1278" s="10" t="n">
        <f aca="false">YEAR(B1278)</f>
        <v>2026</v>
      </c>
      <c r="D1278" s="10" t="n">
        <f aca="false">INT((MONTH(B1278)-1)/3)+1</f>
        <v>2</v>
      </c>
      <c r="E1278" s="10" t="n">
        <f aca="false">MONTH(B1278)</f>
        <v>6</v>
      </c>
      <c r="F1278" s="10" t="str">
        <f aca="false">CHOOSE(MOD(A1278-1,5)+1,"Центр","Юг","Север","Запад","Восток")</f>
        <v>Юг</v>
      </c>
      <c r="G1278" s="10" t="str">
        <f aca="false">"Округ_"&amp;(MOD(A1278-1,5)+1)&amp;"_"&amp;(MOD(INT((A1278-1)/5),5)+1)</f>
        <v>Округ_2_1</v>
      </c>
      <c r="H1278" s="10" t="str">
        <f aca="false">"Город_"&amp;(MOD(A1278-1,5)+1)&amp;"_"&amp;(MOD(INT((A1278-1)/5),5)+1)&amp;"_"&amp;(MOD(INT((A1278-1)/25),10)+1)</f>
        <v>Город_2_1_2</v>
      </c>
      <c r="I1278" s="10" t="str">
        <f aca="false">CHOOSE(MOD(A1278-1,4)+1,"Электроника","Одежда","Продукты","Мебель")</f>
        <v>Электроника</v>
      </c>
      <c r="J1278" s="10" t="str">
        <f aca="false">CHOOSE(MOD(INT((A1278-1)/4),4)+1,CHOOSE(MOD(A1278-1,4)+1,"Смартфоны","Ноутбуки","Аксессуары","Аудио"),CHOOSE(MOD(A1278-1,4)+1,"Верхняя одежда","Спортивная","Повседневная","Обувь"),CHOOSE(MOD(A1278-1,4)+1,"Молочные","Мясные","Бакалея","Напитки"),CHOOSE(MOD(A1278-1,4)+1,"Мягкая мебель","Корпусная","Офисная","Кухонная"))</f>
        <v>Мягкая мебель</v>
      </c>
      <c r="K1278" s="12" t="n">
        <f aca="false">1000+MOD(A1278*317+A1278*A1278*7,49001)</f>
        <v>11671</v>
      </c>
      <c r="L1278" s="12" t="n">
        <f aca="false">1+MOD(A1278*131,100)</f>
        <v>88</v>
      </c>
      <c r="M1278" s="12" t="n">
        <f aca="false">INT(K1278*(0.6+MOD(A1278*43,21)/100))</f>
        <v>8986</v>
      </c>
      <c r="N1278" s="12" t="n">
        <f aca="false">K1278-M1278</f>
        <v>2685</v>
      </c>
    </row>
    <row r="1279" customFormat="false" ht="12.8" hidden="false" customHeight="false" outlineLevel="0" collapsed="false">
      <c r="A1279" s="10" t="n">
        <f aca="false">A1278+1</f>
        <v>1278</v>
      </c>
      <c r="B1279" s="11" t="n">
        <f aca="false">B1278+1</f>
        <v>46204</v>
      </c>
      <c r="C1279" s="10" t="n">
        <f aca="false">YEAR(B1279)</f>
        <v>2026</v>
      </c>
      <c r="D1279" s="10" t="n">
        <f aca="false">INT((MONTH(B1279)-1)/3)+1</f>
        <v>3</v>
      </c>
      <c r="E1279" s="10" t="n">
        <f aca="false">MONTH(B1279)</f>
        <v>7</v>
      </c>
      <c r="F1279" s="10" t="str">
        <f aca="false">CHOOSE(MOD(A1279-1,5)+1,"Центр","Юг","Север","Запад","Восток")</f>
        <v>Север</v>
      </c>
      <c r="G1279" s="10" t="str">
        <f aca="false">"Округ_"&amp;(MOD(A1279-1,5)+1)&amp;"_"&amp;(MOD(INT((A1279-1)/5),5)+1)</f>
        <v>Округ_3_1</v>
      </c>
      <c r="H1279" s="10" t="str">
        <f aca="false">"Город_"&amp;(MOD(A1279-1,5)+1)&amp;"_"&amp;(MOD(INT((A1279-1)/5),5)+1)&amp;"_"&amp;(MOD(INT((A1279-1)/25),10)+1)</f>
        <v>Город_3_1_2</v>
      </c>
      <c r="I1279" s="10" t="str">
        <f aca="false">CHOOSE(MOD(A1279-1,4)+1,"Электроника","Одежда","Продукты","Мебель")</f>
        <v>Одежда</v>
      </c>
      <c r="J1279" s="10" t="str">
        <f aca="false">CHOOSE(MOD(INT((A1279-1)/4),4)+1,CHOOSE(MOD(A1279-1,4)+1,"Смартфоны","Ноутбуки","Аксессуары","Аудио"),CHOOSE(MOD(A1279-1,4)+1,"Верхняя одежда","Спортивная","Повседневная","Обувь"),CHOOSE(MOD(A1279-1,4)+1,"Молочные","Мясные","Бакалея","Напитки"),CHOOSE(MOD(A1279-1,4)+1,"Мягкая мебель","Корпусная","Офисная","Кухонная"))</f>
        <v>Корпусная</v>
      </c>
      <c r="K1279" s="12" t="n">
        <f aca="false">1000+MOD(A1279*317+A1279*A1279*7,49001)</f>
        <v>29873</v>
      </c>
      <c r="L1279" s="12" t="n">
        <f aca="false">1+MOD(A1279*131,100)</f>
        <v>19</v>
      </c>
      <c r="M1279" s="12" t="n">
        <f aca="false">INT(K1279*(0.6+MOD(A1279*43,21)/100))</f>
        <v>23300</v>
      </c>
      <c r="N1279" s="12" t="n">
        <f aca="false">K1279-M1279</f>
        <v>6573</v>
      </c>
    </row>
    <row r="1280" customFormat="false" ht="12.8" hidden="false" customHeight="false" outlineLevel="0" collapsed="false">
      <c r="A1280" s="10" t="n">
        <f aca="false">A1279+1</f>
        <v>1279</v>
      </c>
      <c r="B1280" s="11" t="n">
        <f aca="false">B1279+1</f>
        <v>46205</v>
      </c>
      <c r="C1280" s="10" t="n">
        <f aca="false">YEAR(B1280)</f>
        <v>2026</v>
      </c>
      <c r="D1280" s="10" t="n">
        <f aca="false">INT((MONTH(B1280)-1)/3)+1</f>
        <v>3</v>
      </c>
      <c r="E1280" s="10" t="n">
        <f aca="false">MONTH(B1280)</f>
        <v>7</v>
      </c>
      <c r="F1280" s="10" t="str">
        <f aca="false">CHOOSE(MOD(A1280-1,5)+1,"Центр","Юг","Север","Запад","Восток")</f>
        <v>Запад</v>
      </c>
      <c r="G1280" s="10" t="str">
        <f aca="false">"Округ_"&amp;(MOD(A1280-1,5)+1)&amp;"_"&amp;(MOD(INT((A1280-1)/5),5)+1)</f>
        <v>Округ_4_1</v>
      </c>
      <c r="H1280" s="10" t="str">
        <f aca="false">"Город_"&amp;(MOD(A1280-1,5)+1)&amp;"_"&amp;(MOD(INT((A1280-1)/5),5)+1)&amp;"_"&amp;(MOD(INT((A1280-1)/25),10)+1)</f>
        <v>Город_4_1_2</v>
      </c>
      <c r="I1280" s="10" t="str">
        <f aca="false">CHOOSE(MOD(A1280-1,4)+1,"Электроника","Одежда","Продукты","Мебель")</f>
        <v>Продукты</v>
      </c>
      <c r="J1280" s="10" t="str">
        <f aca="false">CHOOSE(MOD(INT((A1280-1)/4),4)+1,CHOOSE(MOD(A1280-1,4)+1,"Смартфоны","Ноутбуки","Аксессуары","Аудио"),CHOOSE(MOD(A1280-1,4)+1,"Верхняя одежда","Спортивная","Повседневная","Обувь"),CHOOSE(MOD(A1280-1,4)+1,"Молочные","Мясные","Бакалея","Напитки"),CHOOSE(MOD(A1280-1,4)+1,"Мягкая мебель","Корпусная","Офисная","Кухонная"))</f>
        <v>Офисная</v>
      </c>
      <c r="K1280" s="12" t="n">
        <f aca="false">1000+MOD(A1280*317+A1280*A1280*7,49001)</f>
        <v>48089</v>
      </c>
      <c r="L1280" s="12" t="n">
        <f aca="false">1+MOD(A1280*131,100)</f>
        <v>50</v>
      </c>
      <c r="M1280" s="12" t="n">
        <f aca="false">INT(K1280*(0.6+MOD(A1280*43,21)/100))</f>
        <v>37990</v>
      </c>
      <c r="N1280" s="12" t="n">
        <f aca="false">K1280-M1280</f>
        <v>10099</v>
      </c>
    </row>
    <row r="1281" customFormat="false" ht="12.8" hidden="false" customHeight="false" outlineLevel="0" collapsed="false">
      <c r="A1281" s="10" t="n">
        <f aca="false">A1280+1</f>
        <v>1280</v>
      </c>
      <c r="B1281" s="11" t="n">
        <f aca="false">B1280+1</f>
        <v>46206</v>
      </c>
      <c r="C1281" s="10" t="n">
        <f aca="false">YEAR(B1281)</f>
        <v>2026</v>
      </c>
      <c r="D1281" s="10" t="n">
        <f aca="false">INT((MONTH(B1281)-1)/3)+1</f>
        <v>3</v>
      </c>
      <c r="E1281" s="10" t="n">
        <f aca="false">MONTH(B1281)</f>
        <v>7</v>
      </c>
      <c r="F1281" s="10" t="str">
        <f aca="false">CHOOSE(MOD(A1281-1,5)+1,"Центр","Юг","Север","Запад","Восток")</f>
        <v>Восток</v>
      </c>
      <c r="G1281" s="10" t="str">
        <f aca="false">"Округ_"&amp;(MOD(A1281-1,5)+1)&amp;"_"&amp;(MOD(INT((A1281-1)/5),5)+1)</f>
        <v>Округ_5_1</v>
      </c>
      <c r="H1281" s="10" t="str">
        <f aca="false">"Город_"&amp;(MOD(A1281-1,5)+1)&amp;"_"&amp;(MOD(INT((A1281-1)/5),5)+1)&amp;"_"&amp;(MOD(INT((A1281-1)/25),10)+1)</f>
        <v>Город_5_1_2</v>
      </c>
      <c r="I1281" s="10" t="str">
        <f aca="false">CHOOSE(MOD(A1281-1,4)+1,"Электроника","Одежда","Продукты","Мебель")</f>
        <v>Мебель</v>
      </c>
      <c r="J1281" s="10" t="str">
        <f aca="false">CHOOSE(MOD(INT((A1281-1)/4),4)+1,CHOOSE(MOD(A1281-1,4)+1,"Смартфоны","Ноутбуки","Аксессуары","Аудио"),CHOOSE(MOD(A1281-1,4)+1,"Верхняя одежда","Спортивная","Повседневная","Обувь"),CHOOSE(MOD(A1281-1,4)+1,"Молочные","Мясные","Бакалея","Напитки"),CHOOSE(MOD(A1281-1,4)+1,"Мягкая мебель","Корпусная","Офисная","Кухонная"))</f>
        <v>Кухонная</v>
      </c>
      <c r="K1281" s="12" t="n">
        <f aca="false">1000+MOD(A1281*317+A1281*A1281*7,49001)</f>
        <v>17318</v>
      </c>
      <c r="L1281" s="12" t="n">
        <f aca="false">1+MOD(A1281*131,100)</f>
        <v>81</v>
      </c>
      <c r="M1281" s="12" t="n">
        <f aca="false">INT(K1281*(0.6+MOD(A1281*43,21)/100))</f>
        <v>13854</v>
      </c>
      <c r="N1281" s="12" t="n">
        <f aca="false">K1281-M1281</f>
        <v>3464</v>
      </c>
    </row>
    <row r="1282" customFormat="false" ht="12.8" hidden="false" customHeight="false" outlineLevel="0" collapsed="false">
      <c r="A1282" s="10" t="n">
        <f aca="false">A1281+1</f>
        <v>1281</v>
      </c>
      <c r="B1282" s="11" t="n">
        <f aca="false">B1281+1</f>
        <v>46207</v>
      </c>
      <c r="C1282" s="10" t="n">
        <f aca="false">YEAR(B1282)</f>
        <v>2026</v>
      </c>
      <c r="D1282" s="10" t="n">
        <f aca="false">INT((MONTH(B1282)-1)/3)+1</f>
        <v>3</v>
      </c>
      <c r="E1282" s="10" t="n">
        <f aca="false">MONTH(B1282)</f>
        <v>7</v>
      </c>
      <c r="F1282" s="10" t="str">
        <f aca="false">CHOOSE(MOD(A1282-1,5)+1,"Центр","Юг","Север","Запад","Восток")</f>
        <v>Центр</v>
      </c>
      <c r="G1282" s="10" t="str">
        <f aca="false">"Округ_"&amp;(MOD(A1282-1,5)+1)&amp;"_"&amp;(MOD(INT((A1282-1)/5),5)+1)</f>
        <v>Округ_1_2</v>
      </c>
      <c r="H1282" s="10" t="str">
        <f aca="false">"Город_"&amp;(MOD(A1282-1,5)+1)&amp;"_"&amp;(MOD(INT((A1282-1)/5),5)+1)&amp;"_"&amp;(MOD(INT((A1282-1)/25),10)+1)</f>
        <v>Город_1_2_2</v>
      </c>
      <c r="I1282" s="10" t="str">
        <f aca="false">CHOOSE(MOD(A1282-1,4)+1,"Электроника","Одежда","Продукты","Мебель")</f>
        <v>Электроника</v>
      </c>
      <c r="J1282" s="10" t="str">
        <f aca="false">CHOOSE(MOD(INT((A1282-1)/4),4)+1,CHOOSE(MOD(A1282-1,4)+1,"Смартфоны","Ноутбуки","Аксессуары","Аудио"),CHOOSE(MOD(A1282-1,4)+1,"Верхняя одежда","Спортивная","Повседневная","Обувь"),CHOOSE(MOD(A1282-1,4)+1,"Молочные","Мясные","Бакалея","Напитки"),CHOOSE(MOD(A1282-1,4)+1,"Мягкая мебель","Корпусная","Офисная","Кухонная"))</f>
        <v>Смартфоны</v>
      </c>
      <c r="K1282" s="12" t="n">
        <f aca="false">1000+MOD(A1282*317+A1282*A1282*7,49001)</f>
        <v>35562</v>
      </c>
      <c r="L1282" s="12" t="n">
        <f aca="false">1+MOD(A1282*131,100)</f>
        <v>12</v>
      </c>
      <c r="M1282" s="12" t="n">
        <f aca="false">INT(K1282*(0.6+MOD(A1282*43,21)/100))</f>
        <v>21337</v>
      </c>
      <c r="N1282" s="12" t="n">
        <f aca="false">K1282-M1282</f>
        <v>14225</v>
      </c>
    </row>
    <row r="1283" customFormat="false" ht="12.8" hidden="false" customHeight="false" outlineLevel="0" collapsed="false">
      <c r="A1283" s="10" t="n">
        <f aca="false">A1282+1</f>
        <v>1282</v>
      </c>
      <c r="B1283" s="11" t="n">
        <f aca="false">B1282+1</f>
        <v>46208</v>
      </c>
      <c r="C1283" s="10" t="n">
        <f aca="false">YEAR(B1283)</f>
        <v>2026</v>
      </c>
      <c r="D1283" s="10" t="n">
        <f aca="false">INT((MONTH(B1283)-1)/3)+1</f>
        <v>3</v>
      </c>
      <c r="E1283" s="10" t="n">
        <f aca="false">MONTH(B1283)</f>
        <v>7</v>
      </c>
      <c r="F1283" s="10" t="str">
        <f aca="false">CHOOSE(MOD(A1283-1,5)+1,"Центр","Юг","Север","Запад","Восток")</f>
        <v>Юг</v>
      </c>
      <c r="G1283" s="10" t="str">
        <f aca="false">"Округ_"&amp;(MOD(A1283-1,5)+1)&amp;"_"&amp;(MOD(INT((A1283-1)/5),5)+1)</f>
        <v>Округ_2_2</v>
      </c>
      <c r="H1283" s="10" t="str">
        <f aca="false">"Город_"&amp;(MOD(A1283-1,5)+1)&amp;"_"&amp;(MOD(INT((A1283-1)/5),5)+1)&amp;"_"&amp;(MOD(INT((A1283-1)/25),10)+1)</f>
        <v>Город_2_2_2</v>
      </c>
      <c r="I1283" s="10" t="str">
        <f aca="false">CHOOSE(MOD(A1283-1,4)+1,"Электроника","Одежда","Продукты","Мебель")</f>
        <v>Одежда</v>
      </c>
      <c r="J1283" s="10" t="str">
        <f aca="false">CHOOSE(MOD(INT((A1283-1)/4),4)+1,CHOOSE(MOD(A1283-1,4)+1,"Смартфоны","Ноутбуки","Аксессуары","Аудио"),CHOOSE(MOD(A1283-1,4)+1,"Верхняя одежда","Спортивная","Повседневная","Обувь"),CHOOSE(MOD(A1283-1,4)+1,"Молочные","Мясные","Бакалея","Напитки"),CHOOSE(MOD(A1283-1,4)+1,"Мягкая мебель","Корпусная","Офисная","Кухонная"))</f>
        <v>Ноутбуки</v>
      </c>
      <c r="K1283" s="12" t="n">
        <f aca="false">1000+MOD(A1283*317+A1283*A1283*7,49001)</f>
        <v>4819</v>
      </c>
      <c r="L1283" s="12" t="n">
        <f aca="false">1+MOD(A1283*131,100)</f>
        <v>43</v>
      </c>
      <c r="M1283" s="12" t="n">
        <f aca="false">INT(K1283*(0.6+MOD(A1283*43,21)/100))</f>
        <v>2939</v>
      </c>
      <c r="N1283" s="12" t="n">
        <f aca="false">K1283-M1283</f>
        <v>1880</v>
      </c>
    </row>
    <row r="1284" customFormat="false" ht="12.8" hidden="false" customHeight="false" outlineLevel="0" collapsed="false">
      <c r="A1284" s="10" t="n">
        <f aca="false">A1283+1</f>
        <v>1283</v>
      </c>
      <c r="B1284" s="11" t="n">
        <f aca="false">B1283+1</f>
        <v>46209</v>
      </c>
      <c r="C1284" s="10" t="n">
        <f aca="false">YEAR(B1284)</f>
        <v>2026</v>
      </c>
      <c r="D1284" s="10" t="n">
        <f aca="false">INT((MONTH(B1284)-1)/3)+1</f>
        <v>3</v>
      </c>
      <c r="E1284" s="10" t="n">
        <f aca="false">MONTH(B1284)</f>
        <v>7</v>
      </c>
      <c r="F1284" s="10" t="str">
        <f aca="false">CHOOSE(MOD(A1284-1,5)+1,"Центр","Юг","Север","Запад","Восток")</f>
        <v>Север</v>
      </c>
      <c r="G1284" s="10" t="str">
        <f aca="false">"Округ_"&amp;(MOD(A1284-1,5)+1)&amp;"_"&amp;(MOD(INT((A1284-1)/5),5)+1)</f>
        <v>Округ_3_2</v>
      </c>
      <c r="H1284" s="10" t="str">
        <f aca="false">"Город_"&amp;(MOD(A1284-1,5)+1)&amp;"_"&amp;(MOD(INT((A1284-1)/5),5)+1)&amp;"_"&amp;(MOD(INT((A1284-1)/25),10)+1)</f>
        <v>Город_3_2_2</v>
      </c>
      <c r="I1284" s="10" t="str">
        <f aca="false">CHOOSE(MOD(A1284-1,4)+1,"Электроника","Одежда","Продукты","Мебель")</f>
        <v>Продукты</v>
      </c>
      <c r="J1284" s="10" t="str">
        <f aca="false">CHOOSE(MOD(INT((A1284-1)/4),4)+1,CHOOSE(MOD(A1284-1,4)+1,"Смартфоны","Ноутбуки","Аксессуары","Аудио"),CHOOSE(MOD(A1284-1,4)+1,"Верхняя одежда","Спортивная","Повседневная","Обувь"),CHOOSE(MOD(A1284-1,4)+1,"Молочные","Мясные","Бакалея","Напитки"),CHOOSE(MOD(A1284-1,4)+1,"Мягкая мебель","Корпусная","Офисная","Кухонная"))</f>
        <v>Аксессуары</v>
      </c>
      <c r="K1284" s="12" t="n">
        <f aca="false">1000+MOD(A1284*317+A1284*A1284*7,49001)</f>
        <v>23091</v>
      </c>
      <c r="L1284" s="12" t="n">
        <f aca="false">1+MOD(A1284*131,100)</f>
        <v>74</v>
      </c>
      <c r="M1284" s="12" t="n">
        <f aca="false">INT(K1284*(0.6+MOD(A1284*43,21)/100))</f>
        <v>14316</v>
      </c>
      <c r="N1284" s="12" t="n">
        <f aca="false">K1284-M1284</f>
        <v>8775</v>
      </c>
    </row>
    <row r="1285" customFormat="false" ht="12.8" hidden="false" customHeight="false" outlineLevel="0" collapsed="false">
      <c r="A1285" s="10" t="n">
        <f aca="false">A1284+1</f>
        <v>1284</v>
      </c>
      <c r="B1285" s="11" t="n">
        <f aca="false">B1284+1</f>
        <v>46210</v>
      </c>
      <c r="C1285" s="10" t="n">
        <f aca="false">YEAR(B1285)</f>
        <v>2026</v>
      </c>
      <c r="D1285" s="10" t="n">
        <f aca="false">INT((MONTH(B1285)-1)/3)+1</f>
        <v>3</v>
      </c>
      <c r="E1285" s="10" t="n">
        <f aca="false">MONTH(B1285)</f>
        <v>7</v>
      </c>
      <c r="F1285" s="10" t="str">
        <f aca="false">CHOOSE(MOD(A1285-1,5)+1,"Центр","Юг","Север","Запад","Восток")</f>
        <v>Запад</v>
      </c>
      <c r="G1285" s="10" t="str">
        <f aca="false">"Округ_"&amp;(MOD(A1285-1,5)+1)&amp;"_"&amp;(MOD(INT((A1285-1)/5),5)+1)</f>
        <v>Округ_4_2</v>
      </c>
      <c r="H1285" s="10" t="str">
        <f aca="false">"Город_"&amp;(MOD(A1285-1,5)+1)&amp;"_"&amp;(MOD(INT((A1285-1)/5),5)+1)&amp;"_"&amp;(MOD(INT((A1285-1)/25),10)+1)</f>
        <v>Город_4_2_2</v>
      </c>
      <c r="I1285" s="10" t="str">
        <f aca="false">CHOOSE(MOD(A1285-1,4)+1,"Электроника","Одежда","Продукты","Мебель")</f>
        <v>Мебель</v>
      </c>
      <c r="J1285" s="10" t="str">
        <f aca="false">CHOOSE(MOD(INT((A1285-1)/4),4)+1,CHOOSE(MOD(A1285-1,4)+1,"Смартфоны","Ноутбуки","Аксессуары","Аудио"),CHOOSE(MOD(A1285-1,4)+1,"Верхняя одежда","Спортивная","Повседневная","Обувь"),CHOOSE(MOD(A1285-1,4)+1,"Молочные","Мясные","Бакалея","Напитки"),CHOOSE(MOD(A1285-1,4)+1,"Мягкая мебель","Корпусная","Офисная","Кухонная"))</f>
        <v>Аудио</v>
      </c>
      <c r="K1285" s="12" t="n">
        <f aca="false">1000+MOD(A1285*317+A1285*A1285*7,49001)</f>
        <v>41377</v>
      </c>
      <c r="L1285" s="12" t="n">
        <f aca="false">1+MOD(A1285*131,100)</f>
        <v>5</v>
      </c>
      <c r="M1285" s="12" t="n">
        <f aca="false">INT(K1285*(0.6+MOD(A1285*43,21)/100))</f>
        <v>26067</v>
      </c>
      <c r="N1285" s="12" t="n">
        <f aca="false">K1285-M1285</f>
        <v>15310</v>
      </c>
    </row>
    <row r="1286" customFormat="false" ht="12.8" hidden="false" customHeight="false" outlineLevel="0" collapsed="false">
      <c r="A1286" s="10" t="n">
        <f aca="false">A1285+1</f>
        <v>1285</v>
      </c>
      <c r="B1286" s="11" t="n">
        <f aca="false">B1285+1</f>
        <v>46211</v>
      </c>
      <c r="C1286" s="10" t="n">
        <f aca="false">YEAR(B1286)</f>
        <v>2026</v>
      </c>
      <c r="D1286" s="10" t="n">
        <f aca="false">INT((MONTH(B1286)-1)/3)+1</f>
        <v>3</v>
      </c>
      <c r="E1286" s="10" t="n">
        <f aca="false">MONTH(B1286)</f>
        <v>7</v>
      </c>
      <c r="F1286" s="10" t="str">
        <f aca="false">CHOOSE(MOD(A1286-1,5)+1,"Центр","Юг","Север","Запад","Восток")</f>
        <v>Восток</v>
      </c>
      <c r="G1286" s="10" t="str">
        <f aca="false">"Округ_"&amp;(MOD(A1286-1,5)+1)&amp;"_"&amp;(MOD(INT((A1286-1)/5),5)+1)</f>
        <v>Округ_5_2</v>
      </c>
      <c r="H1286" s="10" t="str">
        <f aca="false">"Город_"&amp;(MOD(A1286-1,5)+1)&amp;"_"&amp;(MOD(INT((A1286-1)/5),5)+1)&amp;"_"&amp;(MOD(INT((A1286-1)/25),10)+1)</f>
        <v>Город_5_2_2</v>
      </c>
      <c r="I1286" s="10" t="str">
        <f aca="false">CHOOSE(MOD(A1286-1,4)+1,"Электроника","Одежда","Продукты","Мебель")</f>
        <v>Электроника</v>
      </c>
      <c r="J1286" s="10" t="str">
        <f aca="false">CHOOSE(MOD(INT((A1286-1)/4),4)+1,CHOOSE(MOD(A1286-1,4)+1,"Смартфоны","Ноутбуки","Аксессуары","Аудио"),CHOOSE(MOD(A1286-1,4)+1,"Верхняя одежда","Спортивная","Повседневная","Обувь"),CHOOSE(MOD(A1286-1,4)+1,"Молочные","Мясные","Бакалея","Напитки"),CHOOSE(MOD(A1286-1,4)+1,"Мягкая мебель","Корпусная","Офисная","Кухонная"))</f>
        <v>Верхняя одежда</v>
      </c>
      <c r="K1286" s="12" t="n">
        <f aca="false">1000+MOD(A1286*317+A1286*A1286*7,49001)</f>
        <v>10676</v>
      </c>
      <c r="L1286" s="12" t="n">
        <f aca="false">1+MOD(A1286*131,100)</f>
        <v>36</v>
      </c>
      <c r="M1286" s="12" t="n">
        <f aca="false">INT(K1286*(0.6+MOD(A1286*43,21)/100))</f>
        <v>6832</v>
      </c>
      <c r="N1286" s="12" t="n">
        <f aca="false">K1286-M1286</f>
        <v>3844</v>
      </c>
    </row>
    <row r="1287" customFormat="false" ht="12.8" hidden="false" customHeight="false" outlineLevel="0" collapsed="false">
      <c r="A1287" s="10" t="n">
        <f aca="false">A1286+1</f>
        <v>1286</v>
      </c>
      <c r="B1287" s="11" t="n">
        <f aca="false">B1286+1</f>
        <v>46212</v>
      </c>
      <c r="C1287" s="10" t="n">
        <f aca="false">YEAR(B1287)</f>
        <v>2026</v>
      </c>
      <c r="D1287" s="10" t="n">
        <f aca="false">INT((MONTH(B1287)-1)/3)+1</f>
        <v>3</v>
      </c>
      <c r="E1287" s="10" t="n">
        <f aca="false">MONTH(B1287)</f>
        <v>7</v>
      </c>
      <c r="F1287" s="10" t="str">
        <f aca="false">CHOOSE(MOD(A1287-1,5)+1,"Центр","Юг","Север","Запад","Восток")</f>
        <v>Центр</v>
      </c>
      <c r="G1287" s="10" t="str">
        <f aca="false">"Округ_"&amp;(MOD(A1287-1,5)+1)&amp;"_"&amp;(MOD(INT((A1287-1)/5),5)+1)</f>
        <v>Округ_1_3</v>
      </c>
      <c r="H1287" s="10" t="str">
        <f aca="false">"Город_"&amp;(MOD(A1287-1,5)+1)&amp;"_"&amp;(MOD(INT((A1287-1)/5),5)+1)&amp;"_"&amp;(MOD(INT((A1287-1)/25),10)+1)</f>
        <v>Город_1_3_2</v>
      </c>
      <c r="I1287" s="10" t="str">
        <f aca="false">CHOOSE(MOD(A1287-1,4)+1,"Электроника","Одежда","Продукты","Мебель")</f>
        <v>Одежда</v>
      </c>
      <c r="J1287" s="10" t="str">
        <f aca="false">CHOOSE(MOD(INT((A1287-1)/4),4)+1,CHOOSE(MOD(A1287-1,4)+1,"Смартфоны","Ноутбуки","Аксессуары","Аудио"),CHOOSE(MOD(A1287-1,4)+1,"Верхняя одежда","Спортивная","Повседневная","Обувь"),CHOOSE(MOD(A1287-1,4)+1,"Молочные","Мясные","Бакалея","Напитки"),CHOOSE(MOD(A1287-1,4)+1,"Мягкая мебель","Корпусная","Офисная","Кухонная"))</f>
        <v>Спортивная</v>
      </c>
      <c r="K1287" s="12" t="n">
        <f aca="false">1000+MOD(A1287*317+A1287*A1287*7,49001)</f>
        <v>28990</v>
      </c>
      <c r="L1287" s="12" t="n">
        <f aca="false">1+MOD(A1287*131,100)</f>
        <v>67</v>
      </c>
      <c r="M1287" s="12" t="n">
        <f aca="false">INT(K1287*(0.6+MOD(A1287*43,21)/100))</f>
        <v>18843</v>
      </c>
      <c r="N1287" s="12" t="n">
        <f aca="false">K1287-M1287</f>
        <v>10147</v>
      </c>
    </row>
    <row r="1288" customFormat="false" ht="12.8" hidden="false" customHeight="false" outlineLevel="0" collapsed="false">
      <c r="A1288" s="10" t="n">
        <f aca="false">A1287+1</f>
        <v>1287</v>
      </c>
      <c r="B1288" s="11" t="n">
        <f aca="false">B1287+1</f>
        <v>46213</v>
      </c>
      <c r="C1288" s="10" t="n">
        <f aca="false">YEAR(B1288)</f>
        <v>2026</v>
      </c>
      <c r="D1288" s="10" t="n">
        <f aca="false">INT((MONTH(B1288)-1)/3)+1</f>
        <v>3</v>
      </c>
      <c r="E1288" s="10" t="n">
        <f aca="false">MONTH(B1288)</f>
        <v>7</v>
      </c>
      <c r="F1288" s="10" t="str">
        <f aca="false">CHOOSE(MOD(A1288-1,5)+1,"Центр","Юг","Север","Запад","Восток")</f>
        <v>Юг</v>
      </c>
      <c r="G1288" s="10" t="str">
        <f aca="false">"Округ_"&amp;(MOD(A1288-1,5)+1)&amp;"_"&amp;(MOD(INT((A1288-1)/5),5)+1)</f>
        <v>Округ_2_3</v>
      </c>
      <c r="H1288" s="10" t="str">
        <f aca="false">"Город_"&amp;(MOD(A1288-1,5)+1)&amp;"_"&amp;(MOD(INT((A1288-1)/5),5)+1)&amp;"_"&amp;(MOD(INT((A1288-1)/25),10)+1)</f>
        <v>Город_2_3_2</v>
      </c>
      <c r="I1288" s="10" t="str">
        <f aca="false">CHOOSE(MOD(A1288-1,4)+1,"Электроника","Одежда","Продукты","Мебель")</f>
        <v>Продукты</v>
      </c>
      <c r="J1288" s="10" t="str">
        <f aca="false">CHOOSE(MOD(INT((A1288-1)/4),4)+1,CHOOSE(MOD(A1288-1,4)+1,"Смартфоны","Ноутбуки","Аксессуары","Аудио"),CHOOSE(MOD(A1288-1,4)+1,"Верхняя одежда","Спортивная","Повседневная","Обувь"),CHOOSE(MOD(A1288-1,4)+1,"Молочные","Мясные","Бакалея","Напитки"),CHOOSE(MOD(A1288-1,4)+1,"Мягкая мебель","Корпусная","Офисная","Кухонная"))</f>
        <v>Повседневная</v>
      </c>
      <c r="K1288" s="12" t="n">
        <f aca="false">1000+MOD(A1288*317+A1288*A1288*7,49001)</f>
        <v>47318</v>
      </c>
      <c r="L1288" s="12" t="n">
        <f aca="false">1+MOD(A1288*131,100)</f>
        <v>98</v>
      </c>
      <c r="M1288" s="12" t="n">
        <f aca="false">INT(K1288*(0.6+MOD(A1288*43,21)/100))</f>
        <v>31229</v>
      </c>
      <c r="N1288" s="12" t="n">
        <f aca="false">K1288-M1288</f>
        <v>16089</v>
      </c>
    </row>
    <row r="1289" customFormat="false" ht="12.8" hidden="false" customHeight="false" outlineLevel="0" collapsed="false">
      <c r="A1289" s="10" t="n">
        <f aca="false">A1288+1</f>
        <v>1288</v>
      </c>
      <c r="B1289" s="11" t="n">
        <f aca="false">B1288+1</f>
        <v>46214</v>
      </c>
      <c r="C1289" s="10" t="n">
        <f aca="false">YEAR(B1289)</f>
        <v>2026</v>
      </c>
      <c r="D1289" s="10" t="n">
        <f aca="false">INT((MONTH(B1289)-1)/3)+1</f>
        <v>3</v>
      </c>
      <c r="E1289" s="10" t="n">
        <f aca="false">MONTH(B1289)</f>
        <v>7</v>
      </c>
      <c r="F1289" s="10" t="str">
        <f aca="false">CHOOSE(MOD(A1289-1,5)+1,"Центр","Юг","Север","Запад","Восток")</f>
        <v>Север</v>
      </c>
      <c r="G1289" s="10" t="str">
        <f aca="false">"Округ_"&amp;(MOD(A1289-1,5)+1)&amp;"_"&amp;(MOD(INT((A1289-1)/5),5)+1)</f>
        <v>Округ_3_3</v>
      </c>
      <c r="H1289" s="10" t="str">
        <f aca="false">"Город_"&amp;(MOD(A1289-1,5)+1)&amp;"_"&amp;(MOD(INT((A1289-1)/5),5)+1)&amp;"_"&amp;(MOD(INT((A1289-1)/25),10)+1)</f>
        <v>Город_3_3_2</v>
      </c>
      <c r="I1289" s="10" t="str">
        <f aca="false">CHOOSE(MOD(A1289-1,4)+1,"Электроника","Одежда","Продукты","Мебель")</f>
        <v>Мебель</v>
      </c>
      <c r="J1289" s="10" t="str">
        <f aca="false">CHOOSE(MOD(INT((A1289-1)/4),4)+1,CHOOSE(MOD(A1289-1,4)+1,"Смартфоны","Ноутбуки","Аксессуары","Аудио"),CHOOSE(MOD(A1289-1,4)+1,"Верхняя одежда","Спортивная","Повседневная","Обувь"),CHOOSE(MOD(A1289-1,4)+1,"Молочные","Мясные","Бакалея","Напитки"),CHOOSE(MOD(A1289-1,4)+1,"Мягкая мебель","Корпусная","Офисная","Кухонная"))</f>
        <v>Обувь</v>
      </c>
      <c r="K1289" s="12" t="n">
        <f aca="false">1000+MOD(A1289*317+A1289*A1289*7,49001)</f>
        <v>16659</v>
      </c>
      <c r="L1289" s="12" t="n">
        <f aca="false">1+MOD(A1289*131,100)</f>
        <v>29</v>
      </c>
      <c r="M1289" s="12" t="n">
        <f aca="false">INT(K1289*(0.6+MOD(A1289*43,21)/100))</f>
        <v>11161</v>
      </c>
      <c r="N1289" s="12" t="n">
        <f aca="false">K1289-M1289</f>
        <v>5498</v>
      </c>
    </row>
    <row r="1290" customFormat="false" ht="12.8" hidden="false" customHeight="false" outlineLevel="0" collapsed="false">
      <c r="A1290" s="10" t="n">
        <f aca="false">A1289+1</f>
        <v>1289</v>
      </c>
      <c r="B1290" s="11" t="n">
        <f aca="false">B1289+1</f>
        <v>46215</v>
      </c>
      <c r="C1290" s="10" t="n">
        <f aca="false">YEAR(B1290)</f>
        <v>2026</v>
      </c>
      <c r="D1290" s="10" t="n">
        <f aca="false">INT((MONTH(B1290)-1)/3)+1</f>
        <v>3</v>
      </c>
      <c r="E1290" s="10" t="n">
        <f aca="false">MONTH(B1290)</f>
        <v>7</v>
      </c>
      <c r="F1290" s="10" t="str">
        <f aca="false">CHOOSE(MOD(A1290-1,5)+1,"Центр","Юг","Север","Запад","Восток")</f>
        <v>Запад</v>
      </c>
      <c r="G1290" s="10" t="str">
        <f aca="false">"Округ_"&amp;(MOD(A1290-1,5)+1)&amp;"_"&amp;(MOD(INT((A1290-1)/5),5)+1)</f>
        <v>Округ_4_3</v>
      </c>
      <c r="H1290" s="10" t="str">
        <f aca="false">"Город_"&amp;(MOD(A1290-1,5)+1)&amp;"_"&amp;(MOD(INT((A1290-1)/5),5)+1)&amp;"_"&amp;(MOD(INT((A1290-1)/25),10)+1)</f>
        <v>Город_4_3_2</v>
      </c>
      <c r="I1290" s="10" t="str">
        <f aca="false">CHOOSE(MOD(A1290-1,4)+1,"Электроника","Одежда","Продукты","Мебель")</f>
        <v>Электроника</v>
      </c>
      <c r="J1290" s="10" t="str">
        <f aca="false">CHOOSE(MOD(INT((A1290-1)/4),4)+1,CHOOSE(MOD(A1290-1,4)+1,"Смартфоны","Ноутбуки","Аксессуары","Аудио"),CHOOSE(MOD(A1290-1,4)+1,"Верхняя одежда","Спортивная","Повседневная","Обувь"),CHOOSE(MOD(A1290-1,4)+1,"Молочные","Мясные","Бакалея","Напитки"),CHOOSE(MOD(A1290-1,4)+1,"Мягкая мебель","Корпусная","Офисная","Кухонная"))</f>
        <v>Молочные</v>
      </c>
      <c r="K1290" s="12" t="n">
        <f aca="false">1000+MOD(A1290*317+A1290*A1290*7,49001)</f>
        <v>35015</v>
      </c>
      <c r="L1290" s="12" t="n">
        <f aca="false">1+MOD(A1290*131,100)</f>
        <v>60</v>
      </c>
      <c r="M1290" s="12" t="n">
        <f aca="false">INT(K1290*(0.6+MOD(A1290*43,21)/100))</f>
        <v>23810</v>
      </c>
      <c r="N1290" s="12" t="n">
        <f aca="false">K1290-M1290</f>
        <v>11205</v>
      </c>
    </row>
    <row r="1291" customFormat="false" ht="12.8" hidden="false" customHeight="false" outlineLevel="0" collapsed="false">
      <c r="A1291" s="10" t="n">
        <f aca="false">A1290+1</f>
        <v>1290</v>
      </c>
      <c r="B1291" s="11" t="n">
        <f aca="false">B1290+1</f>
        <v>46216</v>
      </c>
      <c r="C1291" s="10" t="n">
        <f aca="false">YEAR(B1291)</f>
        <v>2026</v>
      </c>
      <c r="D1291" s="10" t="n">
        <f aca="false">INT((MONTH(B1291)-1)/3)+1</f>
        <v>3</v>
      </c>
      <c r="E1291" s="10" t="n">
        <f aca="false">MONTH(B1291)</f>
        <v>7</v>
      </c>
      <c r="F1291" s="10" t="str">
        <f aca="false">CHOOSE(MOD(A1291-1,5)+1,"Центр","Юг","Север","Запад","Восток")</f>
        <v>Восток</v>
      </c>
      <c r="G1291" s="10" t="str">
        <f aca="false">"Округ_"&amp;(MOD(A1291-1,5)+1)&amp;"_"&amp;(MOD(INT((A1291-1)/5),5)+1)</f>
        <v>Округ_5_3</v>
      </c>
      <c r="H1291" s="10" t="str">
        <f aca="false">"Город_"&amp;(MOD(A1291-1,5)+1)&amp;"_"&amp;(MOD(INT((A1291-1)/5),5)+1)&amp;"_"&amp;(MOD(INT((A1291-1)/25),10)+1)</f>
        <v>Город_5_3_2</v>
      </c>
      <c r="I1291" s="10" t="str">
        <f aca="false">CHOOSE(MOD(A1291-1,4)+1,"Электроника","Одежда","Продукты","Мебель")</f>
        <v>Одежда</v>
      </c>
      <c r="J1291" s="10" t="str">
        <f aca="false">CHOOSE(MOD(INT((A1291-1)/4),4)+1,CHOOSE(MOD(A1291-1,4)+1,"Смартфоны","Ноутбуки","Аксессуары","Аудио"),CHOOSE(MOD(A1291-1,4)+1,"Верхняя одежда","Спортивная","Повседневная","Обувь"),CHOOSE(MOD(A1291-1,4)+1,"Молочные","Мясные","Бакалея","Напитки"),CHOOSE(MOD(A1291-1,4)+1,"Мягкая мебель","Корпусная","Офисная","Кухонная"))</f>
        <v>Мясные</v>
      </c>
      <c r="K1291" s="12" t="n">
        <f aca="false">1000+MOD(A1291*317+A1291*A1291*7,49001)</f>
        <v>4384</v>
      </c>
      <c r="L1291" s="12" t="n">
        <f aca="false">1+MOD(A1291*131,100)</f>
        <v>91</v>
      </c>
      <c r="M1291" s="12" t="n">
        <f aca="false">INT(K1291*(0.6+MOD(A1291*43,21)/100))</f>
        <v>3024</v>
      </c>
      <c r="N1291" s="12" t="n">
        <f aca="false">K1291-M1291</f>
        <v>1360</v>
      </c>
    </row>
    <row r="1292" customFormat="false" ht="12.8" hidden="false" customHeight="false" outlineLevel="0" collapsed="false">
      <c r="A1292" s="10" t="n">
        <f aca="false">A1291+1</f>
        <v>1291</v>
      </c>
      <c r="B1292" s="11" t="n">
        <f aca="false">B1291+1</f>
        <v>46217</v>
      </c>
      <c r="C1292" s="10" t="n">
        <f aca="false">YEAR(B1292)</f>
        <v>2026</v>
      </c>
      <c r="D1292" s="10" t="n">
        <f aca="false">INT((MONTH(B1292)-1)/3)+1</f>
        <v>3</v>
      </c>
      <c r="E1292" s="10" t="n">
        <f aca="false">MONTH(B1292)</f>
        <v>7</v>
      </c>
      <c r="F1292" s="10" t="str">
        <f aca="false">CHOOSE(MOD(A1292-1,5)+1,"Центр","Юг","Север","Запад","Восток")</f>
        <v>Центр</v>
      </c>
      <c r="G1292" s="10" t="str">
        <f aca="false">"Округ_"&amp;(MOD(A1292-1,5)+1)&amp;"_"&amp;(MOD(INT((A1292-1)/5),5)+1)</f>
        <v>Округ_1_4</v>
      </c>
      <c r="H1292" s="10" t="str">
        <f aca="false">"Город_"&amp;(MOD(A1292-1,5)+1)&amp;"_"&amp;(MOD(INT((A1292-1)/5),5)+1)&amp;"_"&amp;(MOD(INT((A1292-1)/25),10)+1)</f>
        <v>Город_1_4_2</v>
      </c>
      <c r="I1292" s="10" t="str">
        <f aca="false">CHOOSE(MOD(A1292-1,4)+1,"Электроника","Одежда","Продукты","Мебель")</f>
        <v>Продукты</v>
      </c>
      <c r="J1292" s="10" t="str">
        <f aca="false">CHOOSE(MOD(INT((A1292-1)/4),4)+1,CHOOSE(MOD(A1292-1,4)+1,"Смартфоны","Ноутбуки","Аксессуары","Аудио"),CHOOSE(MOD(A1292-1,4)+1,"Верхняя одежда","Спортивная","Повседневная","Обувь"),CHOOSE(MOD(A1292-1,4)+1,"Молочные","Мясные","Бакалея","Напитки"),CHOOSE(MOD(A1292-1,4)+1,"Мягкая мебель","Корпусная","Офисная","Кухонная"))</f>
        <v>Бакалея</v>
      </c>
      <c r="K1292" s="12" t="n">
        <f aca="false">1000+MOD(A1292*317+A1292*A1292*7,49001)</f>
        <v>22768</v>
      </c>
      <c r="L1292" s="12" t="n">
        <f aca="false">1+MOD(A1292*131,100)</f>
        <v>22</v>
      </c>
      <c r="M1292" s="12" t="n">
        <f aca="false">INT(K1292*(0.6+MOD(A1292*43,21)/100))</f>
        <v>15937</v>
      </c>
      <c r="N1292" s="12" t="n">
        <f aca="false">K1292-M1292</f>
        <v>6831</v>
      </c>
    </row>
    <row r="1293" customFormat="false" ht="12.8" hidden="false" customHeight="false" outlineLevel="0" collapsed="false">
      <c r="A1293" s="10" t="n">
        <f aca="false">A1292+1</f>
        <v>1292</v>
      </c>
      <c r="B1293" s="11" t="n">
        <f aca="false">B1292+1</f>
        <v>46218</v>
      </c>
      <c r="C1293" s="10" t="n">
        <f aca="false">YEAR(B1293)</f>
        <v>2026</v>
      </c>
      <c r="D1293" s="10" t="n">
        <f aca="false">INT((MONTH(B1293)-1)/3)+1</f>
        <v>3</v>
      </c>
      <c r="E1293" s="10" t="n">
        <f aca="false">MONTH(B1293)</f>
        <v>7</v>
      </c>
      <c r="F1293" s="10" t="str">
        <f aca="false">CHOOSE(MOD(A1293-1,5)+1,"Центр","Юг","Север","Запад","Восток")</f>
        <v>Юг</v>
      </c>
      <c r="G1293" s="10" t="str">
        <f aca="false">"Округ_"&amp;(MOD(A1293-1,5)+1)&amp;"_"&amp;(MOD(INT((A1293-1)/5),5)+1)</f>
        <v>Округ_2_4</v>
      </c>
      <c r="H1293" s="10" t="str">
        <f aca="false">"Город_"&amp;(MOD(A1293-1,5)+1)&amp;"_"&amp;(MOD(INT((A1293-1)/5),5)+1)&amp;"_"&amp;(MOD(INT((A1293-1)/25),10)+1)</f>
        <v>Город_2_4_2</v>
      </c>
      <c r="I1293" s="10" t="str">
        <f aca="false">CHOOSE(MOD(A1293-1,4)+1,"Электроника","Одежда","Продукты","Мебель")</f>
        <v>Мебель</v>
      </c>
      <c r="J1293" s="10" t="str">
        <f aca="false">CHOOSE(MOD(INT((A1293-1)/4),4)+1,CHOOSE(MOD(A1293-1,4)+1,"Смартфоны","Ноутбуки","Аксессуары","Аудио"),CHOOSE(MOD(A1293-1,4)+1,"Верхняя одежда","Спортивная","Повседневная","Обувь"),CHOOSE(MOD(A1293-1,4)+1,"Молочные","Мясные","Бакалея","Напитки"),CHOOSE(MOD(A1293-1,4)+1,"Мягкая мебель","Корпусная","Офисная","Кухонная"))</f>
        <v>Напитки</v>
      </c>
      <c r="K1293" s="12" t="n">
        <f aca="false">1000+MOD(A1293*317+A1293*A1293*7,49001)</f>
        <v>41166</v>
      </c>
      <c r="L1293" s="12" t="n">
        <f aca="false">1+MOD(A1293*131,100)</f>
        <v>53</v>
      </c>
      <c r="M1293" s="12" t="n">
        <f aca="false">INT(K1293*(0.6+MOD(A1293*43,21)/100))</f>
        <v>29227</v>
      </c>
      <c r="N1293" s="12" t="n">
        <f aca="false">K1293-M1293</f>
        <v>11939</v>
      </c>
    </row>
    <row r="1294" customFormat="false" ht="12.8" hidden="false" customHeight="false" outlineLevel="0" collapsed="false">
      <c r="A1294" s="10" t="n">
        <f aca="false">A1293+1</f>
        <v>1293</v>
      </c>
      <c r="B1294" s="11" t="n">
        <f aca="false">B1293+1</f>
        <v>46219</v>
      </c>
      <c r="C1294" s="10" t="n">
        <f aca="false">YEAR(B1294)</f>
        <v>2026</v>
      </c>
      <c r="D1294" s="10" t="n">
        <f aca="false">INT((MONTH(B1294)-1)/3)+1</f>
        <v>3</v>
      </c>
      <c r="E1294" s="10" t="n">
        <f aca="false">MONTH(B1294)</f>
        <v>7</v>
      </c>
      <c r="F1294" s="10" t="str">
        <f aca="false">CHOOSE(MOD(A1294-1,5)+1,"Центр","Юг","Север","Запад","Восток")</f>
        <v>Север</v>
      </c>
      <c r="G1294" s="10" t="str">
        <f aca="false">"Округ_"&amp;(MOD(A1294-1,5)+1)&amp;"_"&amp;(MOD(INT((A1294-1)/5),5)+1)</f>
        <v>Округ_3_4</v>
      </c>
      <c r="H1294" s="10" t="str">
        <f aca="false">"Город_"&amp;(MOD(A1294-1,5)+1)&amp;"_"&amp;(MOD(INT((A1294-1)/5),5)+1)&amp;"_"&amp;(MOD(INT((A1294-1)/25),10)+1)</f>
        <v>Город_3_4_2</v>
      </c>
      <c r="I1294" s="10" t="str">
        <f aca="false">CHOOSE(MOD(A1294-1,4)+1,"Электроника","Одежда","Продукты","Мебель")</f>
        <v>Электроника</v>
      </c>
      <c r="J1294" s="10" t="str">
        <f aca="false">CHOOSE(MOD(INT((A1294-1)/4),4)+1,CHOOSE(MOD(A1294-1,4)+1,"Смартфоны","Ноутбуки","Аксессуары","Аудио"),CHOOSE(MOD(A1294-1,4)+1,"Верхняя одежда","Спортивная","Повседневная","Обувь"),CHOOSE(MOD(A1294-1,4)+1,"Молочные","Мясные","Бакалея","Напитки"),CHOOSE(MOD(A1294-1,4)+1,"Мягкая мебель","Корпусная","Офисная","Кухонная"))</f>
        <v>Мягкая мебель</v>
      </c>
      <c r="K1294" s="12" t="n">
        <f aca="false">1000+MOD(A1294*317+A1294*A1294*7,49001)</f>
        <v>10577</v>
      </c>
      <c r="L1294" s="12" t="n">
        <f aca="false">1+MOD(A1294*131,100)</f>
        <v>84</v>
      </c>
      <c r="M1294" s="12" t="n">
        <f aca="false">INT(K1294*(0.6+MOD(A1294*43,21)/100))</f>
        <v>7615</v>
      </c>
      <c r="N1294" s="12" t="n">
        <f aca="false">K1294-M1294</f>
        <v>2962</v>
      </c>
    </row>
    <row r="1295" customFormat="false" ht="12.8" hidden="false" customHeight="false" outlineLevel="0" collapsed="false">
      <c r="A1295" s="10" t="n">
        <f aca="false">A1294+1</f>
        <v>1294</v>
      </c>
      <c r="B1295" s="11" t="n">
        <f aca="false">B1294+1</f>
        <v>46220</v>
      </c>
      <c r="C1295" s="10" t="n">
        <f aca="false">YEAR(B1295)</f>
        <v>2026</v>
      </c>
      <c r="D1295" s="10" t="n">
        <f aca="false">INT((MONTH(B1295)-1)/3)+1</f>
        <v>3</v>
      </c>
      <c r="E1295" s="10" t="n">
        <f aca="false">MONTH(B1295)</f>
        <v>7</v>
      </c>
      <c r="F1295" s="10" t="str">
        <f aca="false">CHOOSE(MOD(A1295-1,5)+1,"Центр","Юг","Север","Запад","Восток")</f>
        <v>Запад</v>
      </c>
      <c r="G1295" s="10" t="str">
        <f aca="false">"Округ_"&amp;(MOD(A1295-1,5)+1)&amp;"_"&amp;(MOD(INT((A1295-1)/5),5)+1)</f>
        <v>Округ_4_4</v>
      </c>
      <c r="H1295" s="10" t="str">
        <f aca="false">"Город_"&amp;(MOD(A1295-1,5)+1)&amp;"_"&amp;(MOD(INT((A1295-1)/5),5)+1)&amp;"_"&amp;(MOD(INT((A1295-1)/25),10)+1)</f>
        <v>Город_4_4_2</v>
      </c>
      <c r="I1295" s="10" t="str">
        <f aca="false">CHOOSE(MOD(A1295-1,4)+1,"Электроника","Одежда","Продукты","Мебель")</f>
        <v>Одежда</v>
      </c>
      <c r="J1295" s="10" t="str">
        <f aca="false">CHOOSE(MOD(INT((A1295-1)/4),4)+1,CHOOSE(MOD(A1295-1,4)+1,"Смартфоны","Ноутбуки","Аксессуары","Аудио"),CHOOSE(MOD(A1295-1,4)+1,"Верхняя одежда","Спортивная","Повседневная","Обувь"),CHOOSE(MOD(A1295-1,4)+1,"Молочные","Мясные","Бакалея","Напитки"),CHOOSE(MOD(A1295-1,4)+1,"Мягкая мебель","Корпусная","Офисная","Кухонная"))</f>
        <v>Корпусная</v>
      </c>
      <c r="K1295" s="12" t="n">
        <f aca="false">1000+MOD(A1295*317+A1295*A1295*7,49001)</f>
        <v>29003</v>
      </c>
      <c r="L1295" s="12" t="n">
        <f aca="false">1+MOD(A1295*131,100)</f>
        <v>15</v>
      </c>
      <c r="M1295" s="12" t="n">
        <f aca="false">INT(K1295*(0.6+MOD(A1295*43,21)/100))</f>
        <v>21172</v>
      </c>
      <c r="N1295" s="12" t="n">
        <f aca="false">K1295-M1295</f>
        <v>7831</v>
      </c>
    </row>
    <row r="1296" customFormat="false" ht="12.8" hidden="false" customHeight="false" outlineLevel="0" collapsed="false">
      <c r="A1296" s="10" t="n">
        <f aca="false">A1295+1</f>
        <v>1295</v>
      </c>
      <c r="B1296" s="11" t="n">
        <f aca="false">B1295+1</f>
        <v>46221</v>
      </c>
      <c r="C1296" s="10" t="n">
        <f aca="false">YEAR(B1296)</f>
        <v>2026</v>
      </c>
      <c r="D1296" s="10" t="n">
        <f aca="false">INT((MONTH(B1296)-1)/3)+1</f>
        <v>3</v>
      </c>
      <c r="E1296" s="10" t="n">
        <f aca="false">MONTH(B1296)</f>
        <v>7</v>
      </c>
      <c r="F1296" s="10" t="str">
        <f aca="false">CHOOSE(MOD(A1296-1,5)+1,"Центр","Юг","Север","Запад","Восток")</f>
        <v>Восток</v>
      </c>
      <c r="G1296" s="10" t="str">
        <f aca="false">"Округ_"&amp;(MOD(A1296-1,5)+1)&amp;"_"&amp;(MOD(INT((A1296-1)/5),5)+1)</f>
        <v>Округ_5_4</v>
      </c>
      <c r="H1296" s="10" t="str">
        <f aca="false">"Город_"&amp;(MOD(A1296-1,5)+1)&amp;"_"&amp;(MOD(INT((A1296-1)/5),5)+1)&amp;"_"&amp;(MOD(INT((A1296-1)/25),10)+1)</f>
        <v>Город_5_4_2</v>
      </c>
      <c r="I1296" s="10" t="str">
        <f aca="false">CHOOSE(MOD(A1296-1,4)+1,"Электроника","Одежда","Продукты","Мебель")</f>
        <v>Продукты</v>
      </c>
      <c r="J1296" s="10" t="str">
        <f aca="false">CHOOSE(MOD(INT((A1296-1)/4),4)+1,CHOOSE(MOD(A1296-1,4)+1,"Смартфоны","Ноутбуки","Аксессуары","Аудио"),CHOOSE(MOD(A1296-1,4)+1,"Верхняя одежда","Спортивная","Повседневная","Обувь"),CHOOSE(MOD(A1296-1,4)+1,"Молочные","Мясные","Бакалея","Напитки"),CHOOSE(MOD(A1296-1,4)+1,"Мягкая мебель","Корпусная","Офисная","Кухонная"))</f>
        <v>Офисная</v>
      </c>
      <c r="K1296" s="12" t="n">
        <f aca="false">1000+MOD(A1296*317+A1296*A1296*7,49001)</f>
        <v>47443</v>
      </c>
      <c r="L1296" s="12" t="n">
        <f aca="false">1+MOD(A1296*131,100)</f>
        <v>46</v>
      </c>
      <c r="M1296" s="12" t="n">
        <f aca="false">INT(K1296*(0.6+MOD(A1296*43,21)/100))</f>
        <v>35107</v>
      </c>
      <c r="N1296" s="12" t="n">
        <f aca="false">K1296-M1296</f>
        <v>12336</v>
      </c>
    </row>
    <row r="1297" customFormat="false" ht="12.8" hidden="false" customHeight="false" outlineLevel="0" collapsed="false">
      <c r="A1297" s="10" t="n">
        <f aca="false">A1296+1</f>
        <v>1296</v>
      </c>
      <c r="B1297" s="11" t="n">
        <f aca="false">B1296+1</f>
        <v>46222</v>
      </c>
      <c r="C1297" s="10" t="n">
        <f aca="false">YEAR(B1297)</f>
        <v>2026</v>
      </c>
      <c r="D1297" s="10" t="n">
        <f aca="false">INT((MONTH(B1297)-1)/3)+1</f>
        <v>3</v>
      </c>
      <c r="E1297" s="10" t="n">
        <f aca="false">MONTH(B1297)</f>
        <v>7</v>
      </c>
      <c r="F1297" s="10" t="str">
        <f aca="false">CHOOSE(MOD(A1297-1,5)+1,"Центр","Юг","Север","Запад","Восток")</f>
        <v>Центр</v>
      </c>
      <c r="G1297" s="10" t="str">
        <f aca="false">"Округ_"&amp;(MOD(A1297-1,5)+1)&amp;"_"&amp;(MOD(INT((A1297-1)/5),5)+1)</f>
        <v>Округ_1_5</v>
      </c>
      <c r="H1297" s="10" t="str">
        <f aca="false">"Город_"&amp;(MOD(A1297-1,5)+1)&amp;"_"&amp;(MOD(INT((A1297-1)/5),5)+1)&amp;"_"&amp;(MOD(INT((A1297-1)/25),10)+1)</f>
        <v>Город_1_5_2</v>
      </c>
      <c r="I1297" s="10" t="str">
        <f aca="false">CHOOSE(MOD(A1297-1,4)+1,"Электроника","Одежда","Продукты","Мебель")</f>
        <v>Мебель</v>
      </c>
      <c r="J1297" s="10" t="str">
        <f aca="false">CHOOSE(MOD(INT((A1297-1)/4),4)+1,CHOOSE(MOD(A1297-1,4)+1,"Смартфоны","Ноутбуки","Аксессуары","Аудио"),CHOOSE(MOD(A1297-1,4)+1,"Верхняя одежда","Спортивная","Повседневная","Обувь"),CHOOSE(MOD(A1297-1,4)+1,"Молочные","Мясные","Бакалея","Напитки"),CHOOSE(MOD(A1297-1,4)+1,"Мягкая мебель","Корпусная","Офисная","Кухонная"))</f>
        <v>Кухонная</v>
      </c>
      <c r="K1297" s="12" t="n">
        <f aca="false">1000+MOD(A1297*317+A1297*A1297*7,49001)</f>
        <v>16896</v>
      </c>
      <c r="L1297" s="12" t="n">
        <f aca="false">1+MOD(A1297*131,100)</f>
        <v>77</v>
      </c>
      <c r="M1297" s="12" t="n">
        <f aca="false">INT(K1297*(0.6+MOD(A1297*43,21)/100))</f>
        <v>12672</v>
      </c>
      <c r="N1297" s="12" t="n">
        <f aca="false">K1297-M1297</f>
        <v>4224</v>
      </c>
    </row>
    <row r="1298" customFormat="false" ht="12.8" hidden="false" customHeight="false" outlineLevel="0" collapsed="false">
      <c r="A1298" s="10" t="n">
        <f aca="false">A1297+1</f>
        <v>1297</v>
      </c>
      <c r="B1298" s="11" t="n">
        <f aca="false">B1297+1</f>
        <v>46223</v>
      </c>
      <c r="C1298" s="10" t="n">
        <f aca="false">YEAR(B1298)</f>
        <v>2026</v>
      </c>
      <c r="D1298" s="10" t="n">
        <f aca="false">INT((MONTH(B1298)-1)/3)+1</f>
        <v>3</v>
      </c>
      <c r="E1298" s="10" t="n">
        <f aca="false">MONTH(B1298)</f>
        <v>7</v>
      </c>
      <c r="F1298" s="10" t="str">
        <f aca="false">CHOOSE(MOD(A1298-1,5)+1,"Центр","Юг","Север","Запад","Восток")</f>
        <v>Юг</v>
      </c>
      <c r="G1298" s="10" t="str">
        <f aca="false">"Округ_"&amp;(MOD(A1298-1,5)+1)&amp;"_"&amp;(MOD(INT((A1298-1)/5),5)+1)</f>
        <v>Округ_2_5</v>
      </c>
      <c r="H1298" s="10" t="str">
        <f aca="false">"Город_"&amp;(MOD(A1298-1,5)+1)&amp;"_"&amp;(MOD(INT((A1298-1)/5),5)+1)&amp;"_"&amp;(MOD(INT((A1298-1)/25),10)+1)</f>
        <v>Город_2_5_2</v>
      </c>
      <c r="I1298" s="10" t="str">
        <f aca="false">CHOOSE(MOD(A1298-1,4)+1,"Электроника","Одежда","Продукты","Мебель")</f>
        <v>Электроника</v>
      </c>
      <c r="J1298" s="10" t="str">
        <f aca="false">CHOOSE(MOD(INT((A1298-1)/4),4)+1,CHOOSE(MOD(A1298-1,4)+1,"Смартфоны","Ноутбуки","Аксессуары","Аудио"),CHOOSE(MOD(A1298-1,4)+1,"Верхняя одежда","Спортивная","Повседневная","Обувь"),CHOOSE(MOD(A1298-1,4)+1,"Молочные","Мясные","Бакалея","Напитки"),CHOOSE(MOD(A1298-1,4)+1,"Мягкая мебель","Корпусная","Офисная","Кухонная"))</f>
        <v>Смартфоны</v>
      </c>
      <c r="K1298" s="12" t="n">
        <f aca="false">1000+MOD(A1298*317+A1298*A1298*7,49001)</f>
        <v>35364</v>
      </c>
      <c r="L1298" s="12" t="n">
        <f aca="false">1+MOD(A1298*131,100)</f>
        <v>8</v>
      </c>
      <c r="M1298" s="12" t="n">
        <f aca="false">INT(K1298*(0.6+MOD(A1298*43,21)/100))</f>
        <v>26876</v>
      </c>
      <c r="N1298" s="12" t="n">
        <f aca="false">K1298-M1298</f>
        <v>8488</v>
      </c>
    </row>
    <row r="1299" customFormat="false" ht="12.8" hidden="false" customHeight="false" outlineLevel="0" collapsed="false">
      <c r="A1299" s="10" t="n">
        <f aca="false">A1298+1</f>
        <v>1298</v>
      </c>
      <c r="B1299" s="11" t="n">
        <f aca="false">B1298+1</f>
        <v>46224</v>
      </c>
      <c r="C1299" s="10" t="n">
        <f aca="false">YEAR(B1299)</f>
        <v>2026</v>
      </c>
      <c r="D1299" s="10" t="n">
        <f aca="false">INT((MONTH(B1299)-1)/3)+1</f>
        <v>3</v>
      </c>
      <c r="E1299" s="10" t="n">
        <f aca="false">MONTH(B1299)</f>
        <v>7</v>
      </c>
      <c r="F1299" s="10" t="str">
        <f aca="false">CHOOSE(MOD(A1299-1,5)+1,"Центр","Юг","Север","Запад","Восток")</f>
        <v>Север</v>
      </c>
      <c r="G1299" s="10" t="str">
        <f aca="false">"Округ_"&amp;(MOD(A1299-1,5)+1)&amp;"_"&amp;(MOD(INT((A1299-1)/5),5)+1)</f>
        <v>Округ_3_5</v>
      </c>
      <c r="H1299" s="10" t="str">
        <f aca="false">"Город_"&amp;(MOD(A1299-1,5)+1)&amp;"_"&amp;(MOD(INT((A1299-1)/5),5)+1)&amp;"_"&amp;(MOD(INT((A1299-1)/25),10)+1)</f>
        <v>Город_3_5_2</v>
      </c>
      <c r="I1299" s="10" t="str">
        <f aca="false">CHOOSE(MOD(A1299-1,4)+1,"Электроника","Одежда","Продукты","Мебель")</f>
        <v>Одежда</v>
      </c>
      <c r="J1299" s="10" t="str">
        <f aca="false">CHOOSE(MOD(INT((A1299-1)/4),4)+1,CHOOSE(MOD(A1299-1,4)+1,"Смартфоны","Ноутбуки","Аксессуары","Аудио"),CHOOSE(MOD(A1299-1,4)+1,"Верхняя одежда","Спортивная","Повседневная","Обувь"),CHOOSE(MOD(A1299-1,4)+1,"Молочные","Мясные","Бакалея","Напитки"),CHOOSE(MOD(A1299-1,4)+1,"Мягкая мебель","Корпусная","Офисная","Кухонная"))</f>
        <v>Ноутбуки</v>
      </c>
      <c r="K1299" s="12" t="n">
        <f aca="false">1000+MOD(A1299*317+A1299*A1299*7,49001)</f>
        <v>4845</v>
      </c>
      <c r="L1299" s="12" t="n">
        <f aca="false">1+MOD(A1299*131,100)</f>
        <v>39</v>
      </c>
      <c r="M1299" s="12" t="n">
        <f aca="false">INT(K1299*(0.6+MOD(A1299*43,21)/100))</f>
        <v>3730</v>
      </c>
      <c r="N1299" s="12" t="n">
        <f aca="false">K1299-M1299</f>
        <v>1115</v>
      </c>
    </row>
    <row r="1300" customFormat="false" ht="12.8" hidden="false" customHeight="false" outlineLevel="0" collapsed="false">
      <c r="A1300" s="10" t="n">
        <f aca="false">A1299+1</f>
        <v>1299</v>
      </c>
      <c r="B1300" s="11" t="n">
        <f aca="false">B1299+1</f>
        <v>46225</v>
      </c>
      <c r="C1300" s="10" t="n">
        <f aca="false">YEAR(B1300)</f>
        <v>2026</v>
      </c>
      <c r="D1300" s="10" t="n">
        <f aca="false">INT((MONTH(B1300)-1)/3)+1</f>
        <v>3</v>
      </c>
      <c r="E1300" s="10" t="n">
        <f aca="false">MONTH(B1300)</f>
        <v>7</v>
      </c>
      <c r="F1300" s="10" t="str">
        <f aca="false">CHOOSE(MOD(A1300-1,5)+1,"Центр","Юг","Север","Запад","Восток")</f>
        <v>Запад</v>
      </c>
      <c r="G1300" s="10" t="str">
        <f aca="false">"Округ_"&amp;(MOD(A1300-1,5)+1)&amp;"_"&amp;(MOD(INT((A1300-1)/5),5)+1)</f>
        <v>Округ_4_5</v>
      </c>
      <c r="H1300" s="10" t="str">
        <f aca="false">"Город_"&amp;(MOD(A1300-1,5)+1)&amp;"_"&amp;(MOD(INT((A1300-1)/5),5)+1)&amp;"_"&amp;(MOD(INT((A1300-1)/25),10)+1)</f>
        <v>Город_4_5_2</v>
      </c>
      <c r="I1300" s="10" t="str">
        <f aca="false">CHOOSE(MOD(A1300-1,4)+1,"Электроника","Одежда","Продукты","Мебель")</f>
        <v>Продукты</v>
      </c>
      <c r="J1300" s="10" t="str">
        <f aca="false">CHOOSE(MOD(INT((A1300-1)/4),4)+1,CHOOSE(MOD(A1300-1,4)+1,"Смартфоны","Ноутбуки","Аксессуары","Аудио"),CHOOSE(MOD(A1300-1,4)+1,"Верхняя одежда","Спортивная","Повседневная","Обувь"),CHOOSE(MOD(A1300-1,4)+1,"Молочные","Мясные","Бакалея","Напитки"),CHOOSE(MOD(A1300-1,4)+1,"Мягкая мебель","Корпусная","Офисная","Кухонная"))</f>
        <v>Аксессуары</v>
      </c>
      <c r="K1300" s="12" t="n">
        <f aca="false">1000+MOD(A1300*317+A1300*A1300*7,49001)</f>
        <v>23341</v>
      </c>
      <c r="L1300" s="12" t="n">
        <f aca="false">1+MOD(A1300*131,100)</f>
        <v>70</v>
      </c>
      <c r="M1300" s="12" t="n">
        <f aca="false">INT(K1300*(0.6+MOD(A1300*43,21)/100))</f>
        <v>18205</v>
      </c>
      <c r="N1300" s="12" t="n">
        <f aca="false">K1300-M1300</f>
        <v>5136</v>
      </c>
    </row>
    <row r="1301" customFormat="false" ht="12.8" hidden="false" customHeight="false" outlineLevel="0" collapsed="false">
      <c r="A1301" s="10" t="n">
        <f aca="false">A1300+1</f>
        <v>1300</v>
      </c>
      <c r="B1301" s="11" t="n">
        <f aca="false">B1300+1</f>
        <v>46226</v>
      </c>
      <c r="C1301" s="10" t="n">
        <f aca="false">YEAR(B1301)</f>
        <v>2026</v>
      </c>
      <c r="D1301" s="10" t="n">
        <f aca="false">INT((MONTH(B1301)-1)/3)+1</f>
        <v>3</v>
      </c>
      <c r="E1301" s="10" t="n">
        <f aca="false">MONTH(B1301)</f>
        <v>7</v>
      </c>
      <c r="F1301" s="10" t="str">
        <f aca="false">CHOOSE(MOD(A1301-1,5)+1,"Центр","Юг","Север","Запад","Восток")</f>
        <v>Восток</v>
      </c>
      <c r="G1301" s="10" t="str">
        <f aca="false">"Округ_"&amp;(MOD(A1301-1,5)+1)&amp;"_"&amp;(MOD(INT((A1301-1)/5),5)+1)</f>
        <v>Округ_5_5</v>
      </c>
      <c r="H1301" s="10" t="str">
        <f aca="false">"Город_"&amp;(MOD(A1301-1,5)+1)&amp;"_"&amp;(MOD(INT((A1301-1)/5),5)+1)&amp;"_"&amp;(MOD(INT((A1301-1)/25),10)+1)</f>
        <v>Город_5_5_2</v>
      </c>
      <c r="I1301" s="10" t="str">
        <f aca="false">CHOOSE(MOD(A1301-1,4)+1,"Электроника","Одежда","Продукты","Мебель")</f>
        <v>Мебель</v>
      </c>
      <c r="J1301" s="10" t="str">
        <f aca="false">CHOOSE(MOD(INT((A1301-1)/4),4)+1,CHOOSE(MOD(A1301-1,4)+1,"Смартфоны","Ноутбуки","Аксессуары","Аудио"),CHOOSE(MOD(A1301-1,4)+1,"Верхняя одежда","Спортивная","Повседневная","Обувь"),CHOOSE(MOD(A1301-1,4)+1,"Молочные","Мясные","Бакалея","Напитки"),CHOOSE(MOD(A1301-1,4)+1,"Мягкая мебель","Корпусная","Офисная","Кухонная"))</f>
        <v>Аудио</v>
      </c>
      <c r="K1301" s="12" t="n">
        <f aca="false">1000+MOD(A1301*317+A1301*A1301*7,49001)</f>
        <v>41851</v>
      </c>
      <c r="L1301" s="12" t="n">
        <f aca="false">1+MOD(A1301*131,100)</f>
        <v>1</v>
      </c>
      <c r="M1301" s="12" t="n">
        <f aca="false">INT(K1301*(0.6+MOD(A1301*43,21)/100))</f>
        <v>33062</v>
      </c>
      <c r="N1301" s="12" t="n">
        <f aca="false">K1301-M1301</f>
        <v>8789</v>
      </c>
    </row>
    <row r="1302" customFormat="false" ht="12.8" hidden="false" customHeight="false" outlineLevel="0" collapsed="false">
      <c r="A1302" s="10" t="n">
        <f aca="false">A1301+1</f>
        <v>1301</v>
      </c>
      <c r="B1302" s="11" t="n">
        <f aca="false">B1301+1</f>
        <v>46227</v>
      </c>
      <c r="C1302" s="10" t="n">
        <f aca="false">YEAR(B1302)</f>
        <v>2026</v>
      </c>
      <c r="D1302" s="10" t="n">
        <f aca="false">INT((MONTH(B1302)-1)/3)+1</f>
        <v>3</v>
      </c>
      <c r="E1302" s="10" t="n">
        <f aca="false">MONTH(B1302)</f>
        <v>7</v>
      </c>
      <c r="F1302" s="10" t="str">
        <f aca="false">CHOOSE(MOD(A1302-1,5)+1,"Центр","Юг","Север","Запад","Восток")</f>
        <v>Центр</v>
      </c>
      <c r="G1302" s="10" t="str">
        <f aca="false">"Округ_"&amp;(MOD(A1302-1,5)+1)&amp;"_"&amp;(MOD(INT((A1302-1)/5),5)+1)</f>
        <v>Округ_1_1</v>
      </c>
      <c r="H1302" s="10" t="str">
        <f aca="false">"Город_"&amp;(MOD(A1302-1,5)+1)&amp;"_"&amp;(MOD(INT((A1302-1)/5),5)+1)&amp;"_"&amp;(MOD(INT((A1302-1)/25),10)+1)</f>
        <v>Город_1_1_3</v>
      </c>
      <c r="I1302" s="10" t="str">
        <f aca="false">CHOOSE(MOD(A1302-1,4)+1,"Электроника","Одежда","Продукты","Мебель")</f>
        <v>Электроника</v>
      </c>
      <c r="J1302" s="10" t="str">
        <f aca="false">CHOOSE(MOD(INT((A1302-1)/4),4)+1,CHOOSE(MOD(A1302-1,4)+1,"Смартфоны","Ноутбуки","Аксессуары","Аудио"),CHOOSE(MOD(A1302-1,4)+1,"Верхняя одежда","Спортивная","Повседневная","Обувь"),CHOOSE(MOD(A1302-1,4)+1,"Молочные","Мясные","Бакалея","Напитки"),CHOOSE(MOD(A1302-1,4)+1,"Мягкая мебель","Корпусная","Офисная","Кухонная"))</f>
        <v>Верхняя одежда</v>
      </c>
      <c r="K1302" s="12" t="n">
        <f aca="false">1000+MOD(A1302*317+A1302*A1302*7,49001)</f>
        <v>11374</v>
      </c>
      <c r="L1302" s="12" t="n">
        <f aca="false">1+MOD(A1302*131,100)</f>
        <v>32</v>
      </c>
      <c r="M1302" s="12" t="n">
        <f aca="false">INT(K1302*(0.6+MOD(A1302*43,21)/100))</f>
        <v>9099</v>
      </c>
      <c r="N1302" s="12" t="n">
        <f aca="false">K1302-M1302</f>
        <v>2275</v>
      </c>
    </row>
    <row r="1303" customFormat="false" ht="12.8" hidden="false" customHeight="false" outlineLevel="0" collapsed="false">
      <c r="A1303" s="10" t="n">
        <f aca="false">A1302+1</f>
        <v>1302</v>
      </c>
      <c r="B1303" s="11" t="n">
        <f aca="false">B1302+1</f>
        <v>46228</v>
      </c>
      <c r="C1303" s="10" t="n">
        <f aca="false">YEAR(B1303)</f>
        <v>2026</v>
      </c>
      <c r="D1303" s="10" t="n">
        <f aca="false">INT((MONTH(B1303)-1)/3)+1</f>
        <v>3</v>
      </c>
      <c r="E1303" s="10" t="n">
        <f aca="false">MONTH(B1303)</f>
        <v>7</v>
      </c>
      <c r="F1303" s="10" t="str">
        <f aca="false">CHOOSE(MOD(A1303-1,5)+1,"Центр","Юг","Север","Запад","Восток")</f>
        <v>Юг</v>
      </c>
      <c r="G1303" s="10" t="str">
        <f aca="false">"Округ_"&amp;(MOD(A1303-1,5)+1)&amp;"_"&amp;(MOD(INT((A1303-1)/5),5)+1)</f>
        <v>Округ_2_1</v>
      </c>
      <c r="H1303" s="10" t="str">
        <f aca="false">"Город_"&amp;(MOD(A1303-1,5)+1)&amp;"_"&amp;(MOD(INT((A1303-1)/5),5)+1)&amp;"_"&amp;(MOD(INT((A1303-1)/25),10)+1)</f>
        <v>Город_2_1_3</v>
      </c>
      <c r="I1303" s="10" t="str">
        <f aca="false">CHOOSE(MOD(A1303-1,4)+1,"Электроника","Одежда","Продукты","Мебель")</f>
        <v>Одежда</v>
      </c>
      <c r="J1303" s="10" t="str">
        <f aca="false">CHOOSE(MOD(INT((A1303-1)/4),4)+1,CHOOSE(MOD(A1303-1,4)+1,"Смартфоны","Ноутбуки","Аксессуары","Аудио"),CHOOSE(MOD(A1303-1,4)+1,"Верхняя одежда","Спортивная","Повседневная","Обувь"),CHOOSE(MOD(A1303-1,4)+1,"Молочные","Мясные","Бакалея","Напитки"),CHOOSE(MOD(A1303-1,4)+1,"Мягкая мебель","Корпусная","Офисная","Кухонная"))</f>
        <v>Спортивная</v>
      </c>
      <c r="K1303" s="12" t="n">
        <f aca="false">1000+MOD(A1303*317+A1303*A1303*7,49001)</f>
        <v>29912</v>
      </c>
      <c r="L1303" s="12" t="n">
        <f aca="false">1+MOD(A1303*131,100)</f>
        <v>63</v>
      </c>
      <c r="M1303" s="12" t="n">
        <f aca="false">INT(K1303*(0.6+MOD(A1303*43,21)/100))</f>
        <v>17947</v>
      </c>
      <c r="N1303" s="12" t="n">
        <f aca="false">K1303-M1303</f>
        <v>11965</v>
      </c>
    </row>
    <row r="1304" customFormat="false" ht="12.8" hidden="false" customHeight="false" outlineLevel="0" collapsed="false">
      <c r="A1304" s="10" t="n">
        <f aca="false">A1303+1</f>
        <v>1303</v>
      </c>
      <c r="B1304" s="11" t="n">
        <f aca="false">B1303+1</f>
        <v>46229</v>
      </c>
      <c r="C1304" s="10" t="n">
        <f aca="false">YEAR(B1304)</f>
        <v>2026</v>
      </c>
      <c r="D1304" s="10" t="n">
        <f aca="false">INT((MONTH(B1304)-1)/3)+1</f>
        <v>3</v>
      </c>
      <c r="E1304" s="10" t="n">
        <f aca="false">MONTH(B1304)</f>
        <v>7</v>
      </c>
      <c r="F1304" s="10" t="str">
        <f aca="false">CHOOSE(MOD(A1304-1,5)+1,"Центр","Юг","Север","Запад","Восток")</f>
        <v>Север</v>
      </c>
      <c r="G1304" s="10" t="str">
        <f aca="false">"Округ_"&amp;(MOD(A1304-1,5)+1)&amp;"_"&amp;(MOD(INT((A1304-1)/5),5)+1)</f>
        <v>Округ_3_1</v>
      </c>
      <c r="H1304" s="10" t="str">
        <f aca="false">"Город_"&amp;(MOD(A1304-1,5)+1)&amp;"_"&amp;(MOD(INT((A1304-1)/5),5)+1)&amp;"_"&amp;(MOD(INT((A1304-1)/25),10)+1)</f>
        <v>Город_3_1_3</v>
      </c>
      <c r="I1304" s="10" t="str">
        <f aca="false">CHOOSE(MOD(A1304-1,4)+1,"Электроника","Одежда","Продукты","Мебель")</f>
        <v>Продукты</v>
      </c>
      <c r="J1304" s="10" t="str">
        <f aca="false">CHOOSE(MOD(INT((A1304-1)/4),4)+1,CHOOSE(MOD(A1304-1,4)+1,"Смартфоны","Ноутбуки","Аксессуары","Аудио"),CHOOSE(MOD(A1304-1,4)+1,"Верхняя одежда","Спортивная","Повседневная","Обувь"),CHOOSE(MOD(A1304-1,4)+1,"Молочные","Мясные","Бакалея","Напитки"),CHOOSE(MOD(A1304-1,4)+1,"Мягкая мебель","Корпусная","Офисная","Кухонная"))</f>
        <v>Повседневная</v>
      </c>
      <c r="K1304" s="12" t="n">
        <f aca="false">1000+MOD(A1304*317+A1304*A1304*7,49001)</f>
        <v>48464</v>
      </c>
      <c r="L1304" s="12" t="n">
        <f aca="false">1+MOD(A1304*131,100)</f>
        <v>94</v>
      </c>
      <c r="M1304" s="12" t="n">
        <f aca="false">INT(K1304*(0.6+MOD(A1304*43,21)/100))</f>
        <v>29563</v>
      </c>
      <c r="N1304" s="12" t="n">
        <f aca="false">K1304-M1304</f>
        <v>18901</v>
      </c>
    </row>
    <row r="1305" customFormat="false" ht="12.8" hidden="false" customHeight="false" outlineLevel="0" collapsed="false">
      <c r="A1305" s="10" t="n">
        <f aca="false">A1304+1</f>
        <v>1304</v>
      </c>
      <c r="B1305" s="11" t="n">
        <f aca="false">B1304+1</f>
        <v>46230</v>
      </c>
      <c r="C1305" s="10" t="n">
        <f aca="false">YEAR(B1305)</f>
        <v>2026</v>
      </c>
      <c r="D1305" s="10" t="n">
        <f aca="false">INT((MONTH(B1305)-1)/3)+1</f>
        <v>3</v>
      </c>
      <c r="E1305" s="10" t="n">
        <f aca="false">MONTH(B1305)</f>
        <v>7</v>
      </c>
      <c r="F1305" s="10" t="str">
        <f aca="false">CHOOSE(MOD(A1305-1,5)+1,"Центр","Юг","Север","Запад","Восток")</f>
        <v>Запад</v>
      </c>
      <c r="G1305" s="10" t="str">
        <f aca="false">"Округ_"&amp;(MOD(A1305-1,5)+1)&amp;"_"&amp;(MOD(INT((A1305-1)/5),5)+1)</f>
        <v>Округ_4_1</v>
      </c>
      <c r="H1305" s="10" t="str">
        <f aca="false">"Город_"&amp;(MOD(A1305-1,5)+1)&amp;"_"&amp;(MOD(INT((A1305-1)/5),5)+1)&amp;"_"&amp;(MOD(INT((A1305-1)/25),10)+1)</f>
        <v>Город_4_1_3</v>
      </c>
      <c r="I1305" s="10" t="str">
        <f aca="false">CHOOSE(MOD(A1305-1,4)+1,"Электроника","Одежда","Продукты","Мебель")</f>
        <v>Мебель</v>
      </c>
      <c r="J1305" s="10" t="str">
        <f aca="false">CHOOSE(MOD(INT((A1305-1)/4),4)+1,CHOOSE(MOD(A1305-1,4)+1,"Смартфоны","Ноутбуки","Аксессуары","Аудио"),CHOOSE(MOD(A1305-1,4)+1,"Верхняя одежда","Спортивная","Повседневная","Обувь"),CHOOSE(MOD(A1305-1,4)+1,"Молочные","Мясные","Бакалея","Напитки"),CHOOSE(MOD(A1305-1,4)+1,"Мягкая мебель","Корпусная","Офисная","Кухонная"))</f>
        <v>Обувь</v>
      </c>
      <c r="K1305" s="12" t="n">
        <f aca="false">1000+MOD(A1305*317+A1305*A1305*7,49001)</f>
        <v>18029</v>
      </c>
      <c r="L1305" s="12" t="n">
        <f aca="false">1+MOD(A1305*131,100)</f>
        <v>25</v>
      </c>
      <c r="M1305" s="12" t="n">
        <f aca="false">INT(K1305*(0.6+MOD(A1305*43,21)/100))</f>
        <v>11177</v>
      </c>
      <c r="N1305" s="12" t="n">
        <f aca="false">K1305-M1305</f>
        <v>6852</v>
      </c>
    </row>
    <row r="1306" customFormat="false" ht="12.8" hidden="false" customHeight="false" outlineLevel="0" collapsed="false">
      <c r="A1306" s="10" t="n">
        <f aca="false">A1305+1</f>
        <v>1305</v>
      </c>
      <c r="B1306" s="11" t="n">
        <f aca="false">B1305+1</f>
        <v>46231</v>
      </c>
      <c r="C1306" s="10" t="n">
        <f aca="false">YEAR(B1306)</f>
        <v>2026</v>
      </c>
      <c r="D1306" s="10" t="n">
        <f aca="false">INT((MONTH(B1306)-1)/3)+1</f>
        <v>3</v>
      </c>
      <c r="E1306" s="10" t="n">
        <f aca="false">MONTH(B1306)</f>
        <v>7</v>
      </c>
      <c r="F1306" s="10" t="str">
        <f aca="false">CHOOSE(MOD(A1306-1,5)+1,"Центр","Юг","Север","Запад","Восток")</f>
        <v>Восток</v>
      </c>
      <c r="G1306" s="10" t="str">
        <f aca="false">"Округ_"&amp;(MOD(A1306-1,5)+1)&amp;"_"&amp;(MOD(INT((A1306-1)/5),5)+1)</f>
        <v>Округ_5_1</v>
      </c>
      <c r="H1306" s="10" t="str">
        <f aca="false">"Город_"&amp;(MOD(A1306-1,5)+1)&amp;"_"&amp;(MOD(INT((A1306-1)/5),5)+1)&amp;"_"&amp;(MOD(INT((A1306-1)/25),10)+1)</f>
        <v>Город_5_1_3</v>
      </c>
      <c r="I1306" s="10" t="str">
        <f aca="false">CHOOSE(MOD(A1306-1,4)+1,"Электроника","Одежда","Продукты","Мебель")</f>
        <v>Электроника</v>
      </c>
      <c r="J1306" s="10" t="str">
        <f aca="false">CHOOSE(MOD(INT((A1306-1)/4),4)+1,CHOOSE(MOD(A1306-1,4)+1,"Смартфоны","Ноутбуки","Аксессуары","Аудио"),CHOOSE(MOD(A1306-1,4)+1,"Верхняя одежда","Спортивная","Повседневная","Обувь"),CHOOSE(MOD(A1306-1,4)+1,"Молочные","Мясные","Бакалея","Напитки"),CHOOSE(MOD(A1306-1,4)+1,"Мягкая мебель","Корпусная","Офисная","Кухонная"))</f>
        <v>Молочные</v>
      </c>
      <c r="K1306" s="12" t="n">
        <f aca="false">1000+MOD(A1306*317+A1306*A1306*7,49001)</f>
        <v>36609</v>
      </c>
      <c r="L1306" s="12" t="n">
        <f aca="false">1+MOD(A1306*131,100)</f>
        <v>56</v>
      </c>
      <c r="M1306" s="12" t="n">
        <f aca="false">INT(K1306*(0.6+MOD(A1306*43,21)/100))</f>
        <v>23063</v>
      </c>
      <c r="N1306" s="12" t="n">
        <f aca="false">K1306-M1306</f>
        <v>13546</v>
      </c>
    </row>
    <row r="1307" customFormat="false" ht="12.8" hidden="false" customHeight="false" outlineLevel="0" collapsed="false">
      <c r="A1307" s="10" t="n">
        <f aca="false">A1306+1</f>
        <v>1306</v>
      </c>
      <c r="B1307" s="11" t="n">
        <f aca="false">B1306+1</f>
        <v>46232</v>
      </c>
      <c r="C1307" s="10" t="n">
        <f aca="false">YEAR(B1307)</f>
        <v>2026</v>
      </c>
      <c r="D1307" s="10" t="n">
        <f aca="false">INT((MONTH(B1307)-1)/3)+1</f>
        <v>3</v>
      </c>
      <c r="E1307" s="10" t="n">
        <f aca="false">MONTH(B1307)</f>
        <v>7</v>
      </c>
      <c r="F1307" s="10" t="str">
        <f aca="false">CHOOSE(MOD(A1307-1,5)+1,"Центр","Юг","Север","Запад","Восток")</f>
        <v>Центр</v>
      </c>
      <c r="G1307" s="10" t="str">
        <f aca="false">"Округ_"&amp;(MOD(A1307-1,5)+1)&amp;"_"&amp;(MOD(INT((A1307-1)/5),5)+1)</f>
        <v>Округ_1_2</v>
      </c>
      <c r="H1307" s="10" t="str">
        <f aca="false">"Город_"&amp;(MOD(A1307-1,5)+1)&amp;"_"&amp;(MOD(INT((A1307-1)/5),5)+1)&amp;"_"&amp;(MOD(INT((A1307-1)/25),10)+1)</f>
        <v>Город_1_2_3</v>
      </c>
      <c r="I1307" s="10" t="str">
        <f aca="false">CHOOSE(MOD(A1307-1,4)+1,"Электроника","Одежда","Продукты","Мебель")</f>
        <v>Одежда</v>
      </c>
      <c r="J1307" s="10" t="str">
        <f aca="false">CHOOSE(MOD(INT((A1307-1)/4),4)+1,CHOOSE(MOD(A1307-1,4)+1,"Смартфоны","Ноутбуки","Аксессуары","Аудио"),CHOOSE(MOD(A1307-1,4)+1,"Верхняя одежда","Спортивная","Повседневная","Обувь"),CHOOSE(MOD(A1307-1,4)+1,"Молочные","Мясные","Бакалея","Напитки"),CHOOSE(MOD(A1307-1,4)+1,"Мягкая мебель","Корпусная","Офисная","Кухонная"))</f>
        <v>Мясные</v>
      </c>
      <c r="K1307" s="12" t="n">
        <f aca="false">1000+MOD(A1307*317+A1307*A1307*7,49001)</f>
        <v>6202</v>
      </c>
      <c r="L1307" s="12" t="n">
        <f aca="false">1+MOD(A1307*131,100)</f>
        <v>87</v>
      </c>
      <c r="M1307" s="12" t="n">
        <f aca="false">INT(K1307*(0.6+MOD(A1307*43,21)/100))</f>
        <v>3969</v>
      </c>
      <c r="N1307" s="12" t="n">
        <f aca="false">K1307-M1307</f>
        <v>2233</v>
      </c>
    </row>
    <row r="1308" customFormat="false" ht="12.8" hidden="false" customHeight="false" outlineLevel="0" collapsed="false">
      <c r="A1308" s="10" t="n">
        <f aca="false">A1307+1</f>
        <v>1307</v>
      </c>
      <c r="B1308" s="11" t="n">
        <f aca="false">B1307+1</f>
        <v>46233</v>
      </c>
      <c r="C1308" s="10" t="n">
        <f aca="false">YEAR(B1308)</f>
        <v>2026</v>
      </c>
      <c r="D1308" s="10" t="n">
        <f aca="false">INT((MONTH(B1308)-1)/3)+1</f>
        <v>3</v>
      </c>
      <c r="E1308" s="10" t="n">
        <f aca="false">MONTH(B1308)</f>
        <v>7</v>
      </c>
      <c r="F1308" s="10" t="str">
        <f aca="false">CHOOSE(MOD(A1308-1,5)+1,"Центр","Юг","Север","Запад","Восток")</f>
        <v>Юг</v>
      </c>
      <c r="G1308" s="10" t="str">
        <f aca="false">"Округ_"&amp;(MOD(A1308-1,5)+1)&amp;"_"&amp;(MOD(INT((A1308-1)/5),5)+1)</f>
        <v>Округ_2_2</v>
      </c>
      <c r="H1308" s="10" t="str">
        <f aca="false">"Город_"&amp;(MOD(A1308-1,5)+1)&amp;"_"&amp;(MOD(INT((A1308-1)/5),5)+1)&amp;"_"&amp;(MOD(INT((A1308-1)/25),10)+1)</f>
        <v>Город_2_2_3</v>
      </c>
      <c r="I1308" s="10" t="str">
        <f aca="false">CHOOSE(MOD(A1308-1,4)+1,"Электроника","Одежда","Продукты","Мебель")</f>
        <v>Продукты</v>
      </c>
      <c r="J1308" s="10" t="str">
        <f aca="false">CHOOSE(MOD(INT((A1308-1)/4),4)+1,CHOOSE(MOD(A1308-1,4)+1,"Смартфоны","Ноутбуки","Аксессуары","Аудио"),CHOOSE(MOD(A1308-1,4)+1,"Верхняя одежда","Спортивная","Повседневная","Обувь"),CHOOSE(MOD(A1308-1,4)+1,"Молочные","Мясные","Бакалея","Напитки"),CHOOSE(MOD(A1308-1,4)+1,"Мягкая мебель","Корпусная","Офисная","Кухонная"))</f>
        <v>Бакалея</v>
      </c>
      <c r="K1308" s="12" t="n">
        <f aca="false">1000+MOD(A1308*317+A1308*A1308*7,49001)</f>
        <v>24810</v>
      </c>
      <c r="L1308" s="12" t="n">
        <f aca="false">1+MOD(A1308*131,100)</f>
        <v>18</v>
      </c>
      <c r="M1308" s="12" t="n">
        <f aca="false">INT(K1308*(0.6+MOD(A1308*43,21)/100))</f>
        <v>16126</v>
      </c>
      <c r="N1308" s="12" t="n">
        <f aca="false">K1308-M1308</f>
        <v>8684</v>
      </c>
    </row>
    <row r="1309" customFormat="false" ht="12.8" hidden="false" customHeight="false" outlineLevel="0" collapsed="false">
      <c r="A1309" s="10" t="n">
        <f aca="false">A1308+1</f>
        <v>1308</v>
      </c>
      <c r="B1309" s="11" t="n">
        <f aca="false">B1308+1</f>
        <v>46234</v>
      </c>
      <c r="C1309" s="10" t="n">
        <f aca="false">YEAR(B1309)</f>
        <v>2026</v>
      </c>
      <c r="D1309" s="10" t="n">
        <f aca="false">INT((MONTH(B1309)-1)/3)+1</f>
        <v>3</v>
      </c>
      <c r="E1309" s="10" t="n">
        <f aca="false">MONTH(B1309)</f>
        <v>7</v>
      </c>
      <c r="F1309" s="10" t="str">
        <f aca="false">CHOOSE(MOD(A1309-1,5)+1,"Центр","Юг","Север","Запад","Восток")</f>
        <v>Север</v>
      </c>
      <c r="G1309" s="10" t="str">
        <f aca="false">"Округ_"&amp;(MOD(A1309-1,5)+1)&amp;"_"&amp;(MOD(INT((A1309-1)/5),5)+1)</f>
        <v>Округ_3_2</v>
      </c>
      <c r="H1309" s="10" t="str">
        <f aca="false">"Город_"&amp;(MOD(A1309-1,5)+1)&amp;"_"&amp;(MOD(INT((A1309-1)/5),5)+1)&amp;"_"&amp;(MOD(INT((A1309-1)/25),10)+1)</f>
        <v>Город_3_2_3</v>
      </c>
      <c r="I1309" s="10" t="str">
        <f aca="false">CHOOSE(MOD(A1309-1,4)+1,"Электроника","Одежда","Продукты","Мебель")</f>
        <v>Мебель</v>
      </c>
      <c r="J1309" s="10" t="str">
        <f aca="false">CHOOSE(MOD(INT((A1309-1)/4),4)+1,CHOOSE(MOD(A1309-1,4)+1,"Смартфоны","Ноутбуки","Аксессуары","Аудио"),CHOOSE(MOD(A1309-1,4)+1,"Верхняя одежда","Спортивная","Повседневная","Обувь"),CHOOSE(MOD(A1309-1,4)+1,"Молочные","Мясные","Бакалея","Напитки"),CHOOSE(MOD(A1309-1,4)+1,"Мягкая мебель","Корпусная","Офисная","Кухонная"))</f>
        <v>Напитки</v>
      </c>
      <c r="K1309" s="12" t="n">
        <f aca="false">1000+MOD(A1309*317+A1309*A1309*7,49001)</f>
        <v>43432</v>
      </c>
      <c r="L1309" s="12" t="n">
        <f aca="false">1+MOD(A1309*131,100)</f>
        <v>49</v>
      </c>
      <c r="M1309" s="12" t="n">
        <f aca="false">INT(K1309*(0.6+MOD(A1309*43,21)/100))</f>
        <v>28665</v>
      </c>
      <c r="N1309" s="12" t="n">
        <f aca="false">K1309-M1309</f>
        <v>14767</v>
      </c>
    </row>
    <row r="1310" customFormat="false" ht="12.8" hidden="false" customHeight="false" outlineLevel="0" collapsed="false">
      <c r="A1310" s="10" t="n">
        <f aca="false">A1309+1</f>
        <v>1309</v>
      </c>
      <c r="B1310" s="11" t="n">
        <f aca="false">B1309+1</f>
        <v>46235</v>
      </c>
      <c r="C1310" s="10" t="n">
        <f aca="false">YEAR(B1310)</f>
        <v>2026</v>
      </c>
      <c r="D1310" s="10" t="n">
        <f aca="false">INT((MONTH(B1310)-1)/3)+1</f>
        <v>3</v>
      </c>
      <c r="E1310" s="10" t="n">
        <f aca="false">MONTH(B1310)</f>
        <v>8</v>
      </c>
      <c r="F1310" s="10" t="str">
        <f aca="false">CHOOSE(MOD(A1310-1,5)+1,"Центр","Юг","Север","Запад","Восток")</f>
        <v>Запад</v>
      </c>
      <c r="G1310" s="10" t="str">
        <f aca="false">"Округ_"&amp;(MOD(A1310-1,5)+1)&amp;"_"&amp;(MOD(INT((A1310-1)/5),5)+1)</f>
        <v>Округ_4_2</v>
      </c>
      <c r="H1310" s="10" t="str">
        <f aca="false">"Город_"&amp;(MOD(A1310-1,5)+1)&amp;"_"&amp;(MOD(INT((A1310-1)/5),5)+1)&amp;"_"&amp;(MOD(INT((A1310-1)/25),10)+1)</f>
        <v>Город_4_2_3</v>
      </c>
      <c r="I1310" s="10" t="str">
        <f aca="false">CHOOSE(MOD(A1310-1,4)+1,"Электроника","Одежда","Продукты","Мебель")</f>
        <v>Электроника</v>
      </c>
      <c r="J1310" s="10" t="str">
        <f aca="false">CHOOSE(MOD(INT((A1310-1)/4),4)+1,CHOOSE(MOD(A1310-1,4)+1,"Смартфоны","Ноутбуки","Аксессуары","Аудио"),CHOOSE(MOD(A1310-1,4)+1,"Верхняя одежда","Спортивная","Повседневная","Обувь"),CHOOSE(MOD(A1310-1,4)+1,"Молочные","Мясные","Бакалея","Напитки"),CHOOSE(MOD(A1310-1,4)+1,"Мягкая мебель","Корпусная","Офисная","Кухонная"))</f>
        <v>Мягкая мебель</v>
      </c>
      <c r="K1310" s="12" t="n">
        <f aca="false">1000+MOD(A1310*317+A1310*A1310*7,49001)</f>
        <v>13067</v>
      </c>
      <c r="L1310" s="12" t="n">
        <f aca="false">1+MOD(A1310*131,100)</f>
        <v>80</v>
      </c>
      <c r="M1310" s="12" t="n">
        <f aca="false">INT(K1310*(0.6+MOD(A1310*43,21)/100))</f>
        <v>8754</v>
      </c>
      <c r="N1310" s="12" t="n">
        <f aca="false">K1310-M1310</f>
        <v>4313</v>
      </c>
    </row>
    <row r="1311" customFormat="false" ht="12.8" hidden="false" customHeight="false" outlineLevel="0" collapsed="false">
      <c r="A1311" s="10" t="n">
        <f aca="false">A1310+1</f>
        <v>1310</v>
      </c>
      <c r="B1311" s="11" t="n">
        <f aca="false">B1310+1</f>
        <v>46236</v>
      </c>
      <c r="C1311" s="10" t="n">
        <f aca="false">YEAR(B1311)</f>
        <v>2026</v>
      </c>
      <c r="D1311" s="10" t="n">
        <f aca="false">INT((MONTH(B1311)-1)/3)+1</f>
        <v>3</v>
      </c>
      <c r="E1311" s="10" t="n">
        <f aca="false">MONTH(B1311)</f>
        <v>8</v>
      </c>
      <c r="F1311" s="10" t="str">
        <f aca="false">CHOOSE(MOD(A1311-1,5)+1,"Центр","Юг","Север","Запад","Восток")</f>
        <v>Восток</v>
      </c>
      <c r="G1311" s="10" t="str">
        <f aca="false">"Округ_"&amp;(MOD(A1311-1,5)+1)&amp;"_"&amp;(MOD(INT((A1311-1)/5),5)+1)</f>
        <v>Округ_5_2</v>
      </c>
      <c r="H1311" s="10" t="str">
        <f aca="false">"Город_"&amp;(MOD(A1311-1,5)+1)&amp;"_"&amp;(MOD(INT((A1311-1)/5),5)+1)&amp;"_"&amp;(MOD(INT((A1311-1)/25),10)+1)</f>
        <v>Город_5_2_3</v>
      </c>
      <c r="I1311" s="10" t="str">
        <f aca="false">CHOOSE(MOD(A1311-1,4)+1,"Электроника","Одежда","Продукты","Мебель")</f>
        <v>Одежда</v>
      </c>
      <c r="J1311" s="10" t="str">
        <f aca="false">CHOOSE(MOD(INT((A1311-1)/4),4)+1,CHOOSE(MOD(A1311-1,4)+1,"Смартфоны","Ноутбуки","Аксессуары","Аудио"),CHOOSE(MOD(A1311-1,4)+1,"Верхняя одежда","Спортивная","Повседневная","Обувь"),CHOOSE(MOD(A1311-1,4)+1,"Молочные","Мясные","Бакалея","Напитки"),CHOOSE(MOD(A1311-1,4)+1,"Мягкая мебель","Корпусная","Офисная","Кухонная"))</f>
        <v>Корпусная</v>
      </c>
      <c r="K1311" s="12" t="n">
        <f aca="false">1000+MOD(A1311*317+A1311*A1311*7,49001)</f>
        <v>31717</v>
      </c>
      <c r="L1311" s="12" t="n">
        <f aca="false">1+MOD(A1311*131,100)</f>
        <v>11</v>
      </c>
      <c r="M1311" s="12" t="n">
        <f aca="false">INT(K1311*(0.6+MOD(A1311*43,21)/100))</f>
        <v>21567</v>
      </c>
      <c r="N1311" s="12" t="n">
        <f aca="false">K1311-M1311</f>
        <v>10150</v>
      </c>
    </row>
    <row r="1312" customFormat="false" ht="12.8" hidden="false" customHeight="false" outlineLevel="0" collapsed="false">
      <c r="A1312" s="10" t="n">
        <f aca="false">A1311+1</f>
        <v>1311</v>
      </c>
      <c r="B1312" s="11" t="n">
        <f aca="false">B1311+1</f>
        <v>46237</v>
      </c>
      <c r="C1312" s="10" t="n">
        <f aca="false">YEAR(B1312)</f>
        <v>2026</v>
      </c>
      <c r="D1312" s="10" t="n">
        <f aca="false">INT((MONTH(B1312)-1)/3)+1</f>
        <v>3</v>
      </c>
      <c r="E1312" s="10" t="n">
        <f aca="false">MONTH(B1312)</f>
        <v>8</v>
      </c>
      <c r="F1312" s="10" t="str">
        <f aca="false">CHOOSE(MOD(A1312-1,5)+1,"Центр","Юг","Север","Запад","Восток")</f>
        <v>Центр</v>
      </c>
      <c r="G1312" s="10" t="str">
        <f aca="false">"Округ_"&amp;(MOD(A1312-1,5)+1)&amp;"_"&amp;(MOD(INT((A1312-1)/5),5)+1)</f>
        <v>Округ_1_3</v>
      </c>
      <c r="H1312" s="10" t="str">
        <f aca="false">"Город_"&amp;(MOD(A1312-1,5)+1)&amp;"_"&amp;(MOD(INT((A1312-1)/5),5)+1)&amp;"_"&amp;(MOD(INT((A1312-1)/25),10)+1)</f>
        <v>Город_1_3_3</v>
      </c>
      <c r="I1312" s="10" t="str">
        <f aca="false">CHOOSE(MOD(A1312-1,4)+1,"Электроника","Одежда","Продукты","Мебель")</f>
        <v>Продукты</v>
      </c>
      <c r="J1312" s="10" t="str">
        <f aca="false">CHOOSE(MOD(INT((A1312-1)/4),4)+1,CHOOSE(MOD(A1312-1,4)+1,"Смартфоны","Ноутбуки","Аксессуары","Аудио"),CHOOSE(MOD(A1312-1,4)+1,"Верхняя одежда","Спортивная","Повседневная","Обувь"),CHOOSE(MOD(A1312-1,4)+1,"Молочные","Мясные","Бакалея","Напитки"),CHOOSE(MOD(A1312-1,4)+1,"Мягкая мебель","Корпусная","Офисная","Кухонная"))</f>
        <v>Офисная</v>
      </c>
      <c r="K1312" s="12" t="n">
        <f aca="false">1000+MOD(A1312*317+A1312*A1312*7,49001)</f>
        <v>1380</v>
      </c>
      <c r="L1312" s="12" t="n">
        <f aca="false">1+MOD(A1312*131,100)</f>
        <v>42</v>
      </c>
      <c r="M1312" s="12" t="n">
        <f aca="false">INT(K1312*(0.6+MOD(A1312*43,21)/100))</f>
        <v>952</v>
      </c>
      <c r="N1312" s="12" t="n">
        <f aca="false">K1312-M1312</f>
        <v>428</v>
      </c>
    </row>
    <row r="1313" customFormat="false" ht="12.8" hidden="false" customHeight="false" outlineLevel="0" collapsed="false">
      <c r="A1313" s="10" t="n">
        <f aca="false">A1312+1</f>
        <v>1312</v>
      </c>
      <c r="B1313" s="11" t="n">
        <f aca="false">B1312+1</f>
        <v>46238</v>
      </c>
      <c r="C1313" s="10" t="n">
        <f aca="false">YEAR(B1313)</f>
        <v>2026</v>
      </c>
      <c r="D1313" s="10" t="n">
        <f aca="false">INT((MONTH(B1313)-1)/3)+1</f>
        <v>3</v>
      </c>
      <c r="E1313" s="10" t="n">
        <f aca="false">MONTH(B1313)</f>
        <v>8</v>
      </c>
      <c r="F1313" s="10" t="str">
        <f aca="false">CHOOSE(MOD(A1313-1,5)+1,"Центр","Юг","Север","Запад","Восток")</f>
        <v>Юг</v>
      </c>
      <c r="G1313" s="10" t="str">
        <f aca="false">"Округ_"&amp;(MOD(A1313-1,5)+1)&amp;"_"&amp;(MOD(INT((A1313-1)/5),5)+1)</f>
        <v>Округ_2_3</v>
      </c>
      <c r="H1313" s="10" t="str">
        <f aca="false">"Город_"&amp;(MOD(A1313-1,5)+1)&amp;"_"&amp;(MOD(INT((A1313-1)/5),5)+1)&amp;"_"&amp;(MOD(INT((A1313-1)/25),10)+1)</f>
        <v>Город_2_3_3</v>
      </c>
      <c r="I1313" s="10" t="str">
        <f aca="false">CHOOSE(MOD(A1313-1,4)+1,"Электроника","Одежда","Продукты","Мебель")</f>
        <v>Мебель</v>
      </c>
      <c r="J1313" s="10" t="str">
        <f aca="false">CHOOSE(MOD(INT((A1313-1)/4),4)+1,CHOOSE(MOD(A1313-1,4)+1,"Смартфоны","Ноутбуки","Аксессуары","Аудио"),CHOOSE(MOD(A1313-1,4)+1,"Верхняя одежда","Спортивная","Повседневная","Обувь"),CHOOSE(MOD(A1313-1,4)+1,"Молочные","Мясные","Бакалея","Напитки"),CHOOSE(MOD(A1313-1,4)+1,"Мягкая мебель","Корпусная","Офисная","Кухонная"))</f>
        <v>Кухонная</v>
      </c>
      <c r="K1313" s="12" t="n">
        <f aca="false">1000+MOD(A1313*317+A1313*A1313*7,49001)</f>
        <v>20058</v>
      </c>
      <c r="L1313" s="12" t="n">
        <f aca="false">1+MOD(A1313*131,100)</f>
        <v>73</v>
      </c>
      <c r="M1313" s="12" t="n">
        <f aca="false">INT(K1313*(0.6+MOD(A1313*43,21)/100))</f>
        <v>14040</v>
      </c>
      <c r="N1313" s="12" t="n">
        <f aca="false">K1313-M1313</f>
        <v>6018</v>
      </c>
    </row>
    <row r="1314" customFormat="false" ht="12.8" hidden="false" customHeight="false" outlineLevel="0" collapsed="false">
      <c r="A1314" s="10" t="n">
        <f aca="false">A1313+1</f>
        <v>1313</v>
      </c>
      <c r="B1314" s="11" t="n">
        <f aca="false">B1313+1</f>
        <v>46239</v>
      </c>
      <c r="C1314" s="10" t="n">
        <f aca="false">YEAR(B1314)</f>
        <v>2026</v>
      </c>
      <c r="D1314" s="10" t="n">
        <f aca="false">INT((MONTH(B1314)-1)/3)+1</f>
        <v>3</v>
      </c>
      <c r="E1314" s="10" t="n">
        <f aca="false">MONTH(B1314)</f>
        <v>8</v>
      </c>
      <c r="F1314" s="10" t="str">
        <f aca="false">CHOOSE(MOD(A1314-1,5)+1,"Центр","Юг","Север","Запад","Восток")</f>
        <v>Север</v>
      </c>
      <c r="G1314" s="10" t="str">
        <f aca="false">"Округ_"&amp;(MOD(A1314-1,5)+1)&amp;"_"&amp;(MOD(INT((A1314-1)/5),5)+1)</f>
        <v>Округ_3_3</v>
      </c>
      <c r="H1314" s="10" t="str">
        <f aca="false">"Город_"&amp;(MOD(A1314-1,5)+1)&amp;"_"&amp;(MOD(INT((A1314-1)/5),5)+1)&amp;"_"&amp;(MOD(INT((A1314-1)/25),10)+1)</f>
        <v>Город_3_3_3</v>
      </c>
      <c r="I1314" s="10" t="str">
        <f aca="false">CHOOSE(MOD(A1314-1,4)+1,"Электроника","Одежда","Продукты","Мебель")</f>
        <v>Электроника</v>
      </c>
      <c r="J1314" s="10" t="str">
        <f aca="false">CHOOSE(MOD(INT((A1314-1)/4),4)+1,CHOOSE(MOD(A1314-1,4)+1,"Смартфоны","Ноутбуки","Аксессуары","Аудио"),CHOOSE(MOD(A1314-1,4)+1,"Верхняя одежда","Спортивная","Повседневная","Обувь"),CHOOSE(MOD(A1314-1,4)+1,"Молочные","Мясные","Бакалея","Напитки"),CHOOSE(MOD(A1314-1,4)+1,"Мягкая мебель","Корпусная","Офисная","Кухонная"))</f>
        <v>Смартфоны</v>
      </c>
      <c r="K1314" s="12" t="n">
        <f aca="false">1000+MOD(A1314*317+A1314*A1314*7,49001)</f>
        <v>38750</v>
      </c>
      <c r="L1314" s="12" t="n">
        <f aca="false">1+MOD(A1314*131,100)</f>
        <v>4</v>
      </c>
      <c r="M1314" s="12" t="n">
        <f aca="false">INT(K1314*(0.6+MOD(A1314*43,21)/100))</f>
        <v>27512</v>
      </c>
      <c r="N1314" s="12" t="n">
        <f aca="false">K1314-M1314</f>
        <v>11238</v>
      </c>
    </row>
    <row r="1315" customFormat="false" ht="12.8" hidden="false" customHeight="false" outlineLevel="0" collapsed="false">
      <c r="A1315" s="10" t="n">
        <f aca="false">A1314+1</f>
        <v>1314</v>
      </c>
      <c r="B1315" s="11" t="n">
        <f aca="false">B1314+1</f>
        <v>46240</v>
      </c>
      <c r="C1315" s="10" t="n">
        <f aca="false">YEAR(B1315)</f>
        <v>2026</v>
      </c>
      <c r="D1315" s="10" t="n">
        <f aca="false">INT((MONTH(B1315)-1)/3)+1</f>
        <v>3</v>
      </c>
      <c r="E1315" s="10" t="n">
        <f aca="false">MONTH(B1315)</f>
        <v>8</v>
      </c>
      <c r="F1315" s="10" t="str">
        <f aca="false">CHOOSE(MOD(A1315-1,5)+1,"Центр","Юг","Север","Запад","Восток")</f>
        <v>Запад</v>
      </c>
      <c r="G1315" s="10" t="str">
        <f aca="false">"Округ_"&amp;(MOD(A1315-1,5)+1)&amp;"_"&amp;(MOD(INT((A1315-1)/5),5)+1)</f>
        <v>Округ_4_3</v>
      </c>
      <c r="H1315" s="10" t="str">
        <f aca="false">"Город_"&amp;(MOD(A1315-1,5)+1)&amp;"_"&amp;(MOD(INT((A1315-1)/5),5)+1)&amp;"_"&amp;(MOD(INT((A1315-1)/25),10)+1)</f>
        <v>Город_4_3_3</v>
      </c>
      <c r="I1315" s="10" t="str">
        <f aca="false">CHOOSE(MOD(A1315-1,4)+1,"Электроника","Одежда","Продукты","Мебель")</f>
        <v>Одежда</v>
      </c>
      <c r="J1315" s="10" t="str">
        <f aca="false">CHOOSE(MOD(INT((A1315-1)/4),4)+1,CHOOSE(MOD(A1315-1,4)+1,"Смартфоны","Ноутбуки","Аксессуары","Аудио"),CHOOSE(MOD(A1315-1,4)+1,"Верхняя одежда","Спортивная","Повседневная","Обувь"),CHOOSE(MOD(A1315-1,4)+1,"Молочные","Мясные","Бакалея","Напитки"),CHOOSE(MOD(A1315-1,4)+1,"Мягкая мебель","Корпусная","Офисная","Кухонная"))</f>
        <v>Ноутбуки</v>
      </c>
      <c r="K1315" s="12" t="n">
        <f aca="false">1000+MOD(A1315*317+A1315*A1315*7,49001)</f>
        <v>8455</v>
      </c>
      <c r="L1315" s="12" t="n">
        <f aca="false">1+MOD(A1315*131,100)</f>
        <v>35</v>
      </c>
      <c r="M1315" s="12" t="n">
        <f aca="false">INT(K1315*(0.6+MOD(A1315*43,21)/100))</f>
        <v>6087</v>
      </c>
      <c r="N1315" s="12" t="n">
        <f aca="false">K1315-M1315</f>
        <v>2368</v>
      </c>
    </row>
    <row r="1316" customFormat="false" ht="12.8" hidden="false" customHeight="false" outlineLevel="0" collapsed="false">
      <c r="A1316" s="10" t="n">
        <f aca="false">A1315+1</f>
        <v>1315</v>
      </c>
      <c r="B1316" s="11" t="n">
        <f aca="false">B1315+1</f>
        <v>46241</v>
      </c>
      <c r="C1316" s="10" t="n">
        <f aca="false">YEAR(B1316)</f>
        <v>2026</v>
      </c>
      <c r="D1316" s="10" t="n">
        <f aca="false">INT((MONTH(B1316)-1)/3)+1</f>
        <v>3</v>
      </c>
      <c r="E1316" s="10" t="n">
        <f aca="false">MONTH(B1316)</f>
        <v>8</v>
      </c>
      <c r="F1316" s="10" t="str">
        <f aca="false">CHOOSE(MOD(A1316-1,5)+1,"Центр","Юг","Север","Запад","Восток")</f>
        <v>Восток</v>
      </c>
      <c r="G1316" s="10" t="str">
        <f aca="false">"Округ_"&amp;(MOD(A1316-1,5)+1)&amp;"_"&amp;(MOD(INT((A1316-1)/5),5)+1)</f>
        <v>Округ_5_3</v>
      </c>
      <c r="H1316" s="10" t="str">
        <f aca="false">"Город_"&amp;(MOD(A1316-1,5)+1)&amp;"_"&amp;(MOD(INT((A1316-1)/5),5)+1)&amp;"_"&amp;(MOD(INT((A1316-1)/25),10)+1)</f>
        <v>Город_5_3_3</v>
      </c>
      <c r="I1316" s="10" t="str">
        <f aca="false">CHOOSE(MOD(A1316-1,4)+1,"Электроника","Одежда","Продукты","Мебель")</f>
        <v>Продукты</v>
      </c>
      <c r="J1316" s="10" t="str">
        <f aca="false">CHOOSE(MOD(INT((A1316-1)/4),4)+1,CHOOSE(MOD(A1316-1,4)+1,"Смартфоны","Ноутбуки","Аксессуары","Аудио"),CHOOSE(MOD(A1316-1,4)+1,"Верхняя одежда","Спортивная","Повседневная","Обувь"),CHOOSE(MOD(A1316-1,4)+1,"Молочные","Мясные","Бакалея","Напитки"),CHOOSE(MOD(A1316-1,4)+1,"Мягкая мебель","Корпусная","Офисная","Кухонная"))</f>
        <v>Аксессуары</v>
      </c>
      <c r="K1316" s="12" t="n">
        <f aca="false">1000+MOD(A1316*317+A1316*A1316*7,49001)</f>
        <v>27175</v>
      </c>
      <c r="L1316" s="12" t="n">
        <f aca="false">1+MOD(A1316*131,100)</f>
        <v>66</v>
      </c>
      <c r="M1316" s="12" t="n">
        <f aca="false">INT(K1316*(0.6+MOD(A1316*43,21)/100))</f>
        <v>19837</v>
      </c>
      <c r="N1316" s="12" t="n">
        <f aca="false">K1316-M1316</f>
        <v>7338</v>
      </c>
    </row>
    <row r="1317" customFormat="false" ht="12.8" hidden="false" customHeight="false" outlineLevel="0" collapsed="false">
      <c r="A1317" s="10" t="n">
        <f aca="false">A1316+1</f>
        <v>1316</v>
      </c>
      <c r="B1317" s="11" t="n">
        <f aca="false">B1316+1</f>
        <v>46242</v>
      </c>
      <c r="C1317" s="10" t="n">
        <f aca="false">YEAR(B1317)</f>
        <v>2026</v>
      </c>
      <c r="D1317" s="10" t="n">
        <f aca="false">INT((MONTH(B1317)-1)/3)+1</f>
        <v>3</v>
      </c>
      <c r="E1317" s="10" t="n">
        <f aca="false">MONTH(B1317)</f>
        <v>8</v>
      </c>
      <c r="F1317" s="10" t="str">
        <f aca="false">CHOOSE(MOD(A1317-1,5)+1,"Центр","Юг","Север","Запад","Восток")</f>
        <v>Центр</v>
      </c>
      <c r="G1317" s="10" t="str">
        <f aca="false">"Округ_"&amp;(MOD(A1317-1,5)+1)&amp;"_"&amp;(MOD(INT((A1317-1)/5),5)+1)</f>
        <v>Округ_1_4</v>
      </c>
      <c r="H1317" s="10" t="str">
        <f aca="false">"Город_"&amp;(MOD(A1317-1,5)+1)&amp;"_"&amp;(MOD(INT((A1317-1)/5),5)+1)&amp;"_"&amp;(MOD(INT((A1317-1)/25),10)+1)</f>
        <v>Город_1_4_3</v>
      </c>
      <c r="I1317" s="10" t="str">
        <f aca="false">CHOOSE(MOD(A1317-1,4)+1,"Электроника","Одежда","Продукты","Мебель")</f>
        <v>Мебель</v>
      </c>
      <c r="J1317" s="10" t="str">
        <f aca="false">CHOOSE(MOD(INT((A1317-1)/4),4)+1,CHOOSE(MOD(A1317-1,4)+1,"Смартфоны","Ноутбуки","Аксессуары","Аудио"),CHOOSE(MOD(A1317-1,4)+1,"Верхняя одежда","Спортивная","Повседневная","Обувь"),CHOOSE(MOD(A1317-1,4)+1,"Молочные","Мясные","Бакалея","Напитки"),CHOOSE(MOD(A1317-1,4)+1,"Мягкая мебель","Корпусная","Офисная","Кухонная"))</f>
        <v>Аудио</v>
      </c>
      <c r="K1317" s="12" t="n">
        <f aca="false">1000+MOD(A1317*317+A1317*A1317*7,49001)</f>
        <v>45909</v>
      </c>
      <c r="L1317" s="12" t="n">
        <f aca="false">1+MOD(A1317*131,100)</f>
        <v>97</v>
      </c>
      <c r="M1317" s="12" t="n">
        <f aca="false">INT(K1317*(0.6+MOD(A1317*43,21)/100))</f>
        <v>33972</v>
      </c>
      <c r="N1317" s="12" t="n">
        <f aca="false">K1317-M1317</f>
        <v>11937</v>
      </c>
    </row>
    <row r="1318" customFormat="false" ht="12.8" hidden="false" customHeight="false" outlineLevel="0" collapsed="false">
      <c r="A1318" s="10" t="n">
        <f aca="false">A1317+1</f>
        <v>1317</v>
      </c>
      <c r="B1318" s="11" t="n">
        <f aca="false">B1317+1</f>
        <v>46243</v>
      </c>
      <c r="C1318" s="10" t="n">
        <f aca="false">YEAR(B1318)</f>
        <v>2026</v>
      </c>
      <c r="D1318" s="10" t="n">
        <f aca="false">INT((MONTH(B1318)-1)/3)+1</f>
        <v>3</v>
      </c>
      <c r="E1318" s="10" t="n">
        <f aca="false">MONTH(B1318)</f>
        <v>8</v>
      </c>
      <c r="F1318" s="10" t="str">
        <f aca="false">CHOOSE(MOD(A1318-1,5)+1,"Центр","Юг","Север","Запад","Восток")</f>
        <v>Юг</v>
      </c>
      <c r="G1318" s="10" t="str">
        <f aca="false">"Округ_"&amp;(MOD(A1318-1,5)+1)&amp;"_"&amp;(MOD(INT((A1318-1)/5),5)+1)</f>
        <v>Округ_2_4</v>
      </c>
      <c r="H1318" s="10" t="str">
        <f aca="false">"Город_"&amp;(MOD(A1318-1,5)+1)&amp;"_"&amp;(MOD(INT((A1318-1)/5),5)+1)&amp;"_"&amp;(MOD(INT((A1318-1)/25),10)+1)</f>
        <v>Город_2_4_3</v>
      </c>
      <c r="I1318" s="10" t="str">
        <f aca="false">CHOOSE(MOD(A1318-1,4)+1,"Электроника","Одежда","Продукты","Мебель")</f>
        <v>Электроника</v>
      </c>
      <c r="J1318" s="10" t="str">
        <f aca="false">CHOOSE(MOD(INT((A1318-1)/4),4)+1,CHOOSE(MOD(A1318-1,4)+1,"Смартфоны","Ноутбуки","Аксессуары","Аудио"),CHOOSE(MOD(A1318-1,4)+1,"Верхняя одежда","Спортивная","Повседневная","Обувь"),CHOOSE(MOD(A1318-1,4)+1,"Молочные","Мясные","Бакалея","Напитки"),CHOOSE(MOD(A1318-1,4)+1,"Мягкая мебель","Корпусная","Офисная","Кухонная"))</f>
        <v>Верхняя одежда</v>
      </c>
      <c r="K1318" s="12" t="n">
        <f aca="false">1000+MOD(A1318*317+A1318*A1318*7,49001)</f>
        <v>15656</v>
      </c>
      <c r="L1318" s="12" t="n">
        <f aca="false">1+MOD(A1318*131,100)</f>
        <v>28</v>
      </c>
      <c r="M1318" s="12" t="n">
        <f aca="false">INT(K1318*(0.6+MOD(A1318*43,21)/100))</f>
        <v>11742</v>
      </c>
      <c r="N1318" s="12" t="n">
        <f aca="false">K1318-M1318</f>
        <v>3914</v>
      </c>
    </row>
    <row r="1319" customFormat="false" ht="12.8" hidden="false" customHeight="false" outlineLevel="0" collapsed="false">
      <c r="A1319" s="10" t="n">
        <f aca="false">A1318+1</f>
        <v>1318</v>
      </c>
      <c r="B1319" s="11" t="n">
        <f aca="false">B1318+1</f>
        <v>46244</v>
      </c>
      <c r="C1319" s="10" t="n">
        <f aca="false">YEAR(B1319)</f>
        <v>2026</v>
      </c>
      <c r="D1319" s="10" t="n">
        <f aca="false">INT((MONTH(B1319)-1)/3)+1</f>
        <v>3</v>
      </c>
      <c r="E1319" s="10" t="n">
        <f aca="false">MONTH(B1319)</f>
        <v>8</v>
      </c>
      <c r="F1319" s="10" t="str">
        <f aca="false">CHOOSE(MOD(A1319-1,5)+1,"Центр","Юг","Север","Запад","Восток")</f>
        <v>Север</v>
      </c>
      <c r="G1319" s="10" t="str">
        <f aca="false">"Округ_"&amp;(MOD(A1319-1,5)+1)&amp;"_"&amp;(MOD(INT((A1319-1)/5),5)+1)</f>
        <v>Округ_3_4</v>
      </c>
      <c r="H1319" s="10" t="str">
        <f aca="false">"Город_"&amp;(MOD(A1319-1,5)+1)&amp;"_"&amp;(MOD(INT((A1319-1)/5),5)+1)&amp;"_"&amp;(MOD(INT((A1319-1)/25),10)+1)</f>
        <v>Город_3_4_3</v>
      </c>
      <c r="I1319" s="10" t="str">
        <f aca="false">CHOOSE(MOD(A1319-1,4)+1,"Электроника","Одежда","Продукты","Мебель")</f>
        <v>Одежда</v>
      </c>
      <c r="J1319" s="10" t="str">
        <f aca="false">CHOOSE(MOD(INT((A1319-1)/4),4)+1,CHOOSE(MOD(A1319-1,4)+1,"Смартфоны","Ноутбуки","Аксессуары","Аудио"),CHOOSE(MOD(A1319-1,4)+1,"Верхняя одежда","Спортивная","Повседневная","Обувь"),CHOOSE(MOD(A1319-1,4)+1,"Молочные","Мясные","Бакалея","Напитки"),CHOOSE(MOD(A1319-1,4)+1,"Мягкая мебель","Корпусная","Офисная","Кухонная"))</f>
        <v>Спортивная</v>
      </c>
      <c r="K1319" s="12" t="n">
        <f aca="false">1000+MOD(A1319*317+A1319*A1319*7,49001)</f>
        <v>34418</v>
      </c>
      <c r="L1319" s="12" t="n">
        <f aca="false">1+MOD(A1319*131,100)</f>
        <v>59</v>
      </c>
      <c r="M1319" s="12" t="n">
        <f aca="false">INT(K1319*(0.6+MOD(A1319*43,21)/100))</f>
        <v>26157</v>
      </c>
      <c r="N1319" s="12" t="n">
        <f aca="false">K1319-M1319</f>
        <v>8261</v>
      </c>
    </row>
    <row r="1320" customFormat="false" ht="12.8" hidden="false" customHeight="false" outlineLevel="0" collapsed="false">
      <c r="A1320" s="10" t="n">
        <f aca="false">A1319+1</f>
        <v>1319</v>
      </c>
      <c r="B1320" s="11" t="n">
        <f aca="false">B1319+1</f>
        <v>46245</v>
      </c>
      <c r="C1320" s="10" t="n">
        <f aca="false">YEAR(B1320)</f>
        <v>2026</v>
      </c>
      <c r="D1320" s="10" t="n">
        <f aca="false">INT((MONTH(B1320)-1)/3)+1</f>
        <v>3</v>
      </c>
      <c r="E1320" s="10" t="n">
        <f aca="false">MONTH(B1320)</f>
        <v>8</v>
      </c>
      <c r="F1320" s="10" t="str">
        <f aca="false">CHOOSE(MOD(A1320-1,5)+1,"Центр","Юг","Север","Запад","Восток")</f>
        <v>Запад</v>
      </c>
      <c r="G1320" s="10" t="str">
        <f aca="false">"Округ_"&amp;(MOD(A1320-1,5)+1)&amp;"_"&amp;(MOD(INT((A1320-1)/5),5)+1)</f>
        <v>Округ_4_4</v>
      </c>
      <c r="H1320" s="10" t="str">
        <f aca="false">"Город_"&amp;(MOD(A1320-1,5)+1)&amp;"_"&amp;(MOD(INT((A1320-1)/5),5)+1)&amp;"_"&amp;(MOD(INT((A1320-1)/25),10)+1)</f>
        <v>Город_4_4_3</v>
      </c>
      <c r="I1320" s="10" t="str">
        <f aca="false">CHOOSE(MOD(A1320-1,4)+1,"Электроника","Одежда","Продукты","Мебель")</f>
        <v>Продукты</v>
      </c>
      <c r="J1320" s="10" t="str">
        <f aca="false">CHOOSE(MOD(INT((A1320-1)/4),4)+1,CHOOSE(MOD(A1320-1,4)+1,"Смартфоны","Ноутбуки","Аксессуары","Аудио"),CHOOSE(MOD(A1320-1,4)+1,"Верхняя одежда","Спортивная","Повседневная","Обувь"),CHOOSE(MOD(A1320-1,4)+1,"Молочные","Мясные","Бакалея","Напитки"),CHOOSE(MOD(A1320-1,4)+1,"Мягкая мебель","Корпусная","Офисная","Кухонная"))</f>
        <v>Повседневная</v>
      </c>
      <c r="K1320" s="12" t="n">
        <f aca="false">1000+MOD(A1320*317+A1320*A1320*7,49001)</f>
        <v>4193</v>
      </c>
      <c r="L1320" s="12" t="n">
        <f aca="false">1+MOD(A1320*131,100)</f>
        <v>90</v>
      </c>
      <c r="M1320" s="12" t="n">
        <f aca="false">INT(K1320*(0.6+MOD(A1320*43,21)/100))</f>
        <v>3228</v>
      </c>
      <c r="N1320" s="12" t="n">
        <f aca="false">K1320-M1320</f>
        <v>965</v>
      </c>
    </row>
    <row r="1321" customFormat="false" ht="12.8" hidden="false" customHeight="false" outlineLevel="0" collapsed="false">
      <c r="A1321" s="10" t="n">
        <f aca="false">A1320+1</f>
        <v>1320</v>
      </c>
      <c r="B1321" s="11" t="n">
        <f aca="false">B1320+1</f>
        <v>46246</v>
      </c>
      <c r="C1321" s="10" t="n">
        <f aca="false">YEAR(B1321)</f>
        <v>2026</v>
      </c>
      <c r="D1321" s="10" t="n">
        <f aca="false">INT((MONTH(B1321)-1)/3)+1</f>
        <v>3</v>
      </c>
      <c r="E1321" s="10" t="n">
        <f aca="false">MONTH(B1321)</f>
        <v>8</v>
      </c>
      <c r="F1321" s="10" t="str">
        <f aca="false">CHOOSE(MOD(A1321-1,5)+1,"Центр","Юг","Север","Запад","Восток")</f>
        <v>Восток</v>
      </c>
      <c r="G1321" s="10" t="str">
        <f aca="false">"Округ_"&amp;(MOD(A1321-1,5)+1)&amp;"_"&amp;(MOD(INT((A1321-1)/5),5)+1)</f>
        <v>Округ_5_4</v>
      </c>
      <c r="H1321" s="10" t="str">
        <f aca="false">"Город_"&amp;(MOD(A1321-1,5)+1)&amp;"_"&amp;(MOD(INT((A1321-1)/5),5)+1)&amp;"_"&amp;(MOD(INT((A1321-1)/25),10)+1)</f>
        <v>Город_5_4_3</v>
      </c>
      <c r="I1321" s="10" t="str">
        <f aca="false">CHOOSE(MOD(A1321-1,4)+1,"Электроника","Одежда","Продукты","Мебель")</f>
        <v>Мебель</v>
      </c>
      <c r="J1321" s="10" t="str">
        <f aca="false">CHOOSE(MOD(INT((A1321-1)/4),4)+1,CHOOSE(MOD(A1321-1,4)+1,"Смартфоны","Ноутбуки","Аксессуары","Аудио"),CHOOSE(MOD(A1321-1,4)+1,"Верхняя одежда","Спортивная","Повседневная","Обувь"),CHOOSE(MOD(A1321-1,4)+1,"Молочные","Мясные","Бакалея","Напитки"),CHOOSE(MOD(A1321-1,4)+1,"Мягкая мебель","Корпусная","Офисная","Кухонная"))</f>
        <v>Обувь</v>
      </c>
      <c r="K1321" s="12" t="n">
        <f aca="false">1000+MOD(A1321*317+A1321*A1321*7,49001)</f>
        <v>22983</v>
      </c>
      <c r="L1321" s="12" t="n">
        <f aca="false">1+MOD(A1321*131,100)</f>
        <v>21</v>
      </c>
      <c r="M1321" s="12" t="n">
        <f aca="false">INT(K1321*(0.6+MOD(A1321*43,21)/100))</f>
        <v>17926</v>
      </c>
      <c r="N1321" s="12" t="n">
        <f aca="false">K1321-M1321</f>
        <v>5057</v>
      </c>
    </row>
    <row r="1322" customFormat="false" ht="12.8" hidden="false" customHeight="false" outlineLevel="0" collapsed="false">
      <c r="A1322" s="10" t="n">
        <f aca="false">A1321+1</f>
        <v>1321</v>
      </c>
      <c r="B1322" s="11" t="n">
        <f aca="false">B1321+1</f>
        <v>46247</v>
      </c>
      <c r="C1322" s="10" t="n">
        <f aca="false">YEAR(B1322)</f>
        <v>2026</v>
      </c>
      <c r="D1322" s="10" t="n">
        <f aca="false">INT((MONTH(B1322)-1)/3)+1</f>
        <v>3</v>
      </c>
      <c r="E1322" s="10" t="n">
        <f aca="false">MONTH(B1322)</f>
        <v>8</v>
      </c>
      <c r="F1322" s="10" t="str">
        <f aca="false">CHOOSE(MOD(A1322-1,5)+1,"Центр","Юг","Север","Запад","Восток")</f>
        <v>Центр</v>
      </c>
      <c r="G1322" s="10" t="str">
        <f aca="false">"Округ_"&amp;(MOD(A1322-1,5)+1)&amp;"_"&amp;(MOD(INT((A1322-1)/5),5)+1)</f>
        <v>Округ_1_5</v>
      </c>
      <c r="H1322" s="10" t="str">
        <f aca="false">"Город_"&amp;(MOD(A1322-1,5)+1)&amp;"_"&amp;(MOD(INT((A1322-1)/5),5)+1)&amp;"_"&amp;(MOD(INT((A1322-1)/25),10)+1)</f>
        <v>Город_1_5_3</v>
      </c>
      <c r="I1322" s="10" t="str">
        <f aca="false">CHOOSE(MOD(A1322-1,4)+1,"Электроника","Одежда","Продукты","Мебель")</f>
        <v>Электроника</v>
      </c>
      <c r="J1322" s="10" t="str">
        <f aca="false">CHOOSE(MOD(INT((A1322-1)/4),4)+1,CHOOSE(MOD(A1322-1,4)+1,"Смартфоны","Ноутбуки","Аксессуары","Аудио"),CHOOSE(MOD(A1322-1,4)+1,"Верхняя одежда","Спортивная","Повседневная","Обувь"),CHOOSE(MOD(A1322-1,4)+1,"Молочные","Мясные","Бакалея","Напитки"),CHOOSE(MOD(A1322-1,4)+1,"Мягкая мебель","Корпусная","Офисная","Кухонная"))</f>
        <v>Молочные</v>
      </c>
      <c r="K1322" s="12" t="n">
        <f aca="false">1000+MOD(A1322*317+A1322*A1322*7,49001)</f>
        <v>41787</v>
      </c>
      <c r="L1322" s="12" t="n">
        <f aca="false">1+MOD(A1322*131,100)</f>
        <v>52</v>
      </c>
      <c r="M1322" s="12" t="n">
        <f aca="false">INT(K1322*(0.6+MOD(A1322*43,21)/100))</f>
        <v>33011</v>
      </c>
      <c r="N1322" s="12" t="n">
        <f aca="false">K1322-M1322</f>
        <v>8776</v>
      </c>
    </row>
    <row r="1323" customFormat="false" ht="12.8" hidden="false" customHeight="false" outlineLevel="0" collapsed="false">
      <c r="A1323" s="10" t="n">
        <f aca="false">A1322+1</f>
        <v>1322</v>
      </c>
      <c r="B1323" s="11" t="n">
        <f aca="false">B1322+1</f>
        <v>46248</v>
      </c>
      <c r="C1323" s="10" t="n">
        <f aca="false">YEAR(B1323)</f>
        <v>2026</v>
      </c>
      <c r="D1323" s="10" t="n">
        <f aca="false">INT((MONTH(B1323)-1)/3)+1</f>
        <v>3</v>
      </c>
      <c r="E1323" s="10" t="n">
        <f aca="false">MONTH(B1323)</f>
        <v>8</v>
      </c>
      <c r="F1323" s="10" t="str">
        <f aca="false">CHOOSE(MOD(A1323-1,5)+1,"Центр","Юг","Север","Запад","Восток")</f>
        <v>Юг</v>
      </c>
      <c r="G1323" s="10" t="str">
        <f aca="false">"Округ_"&amp;(MOD(A1323-1,5)+1)&amp;"_"&amp;(MOD(INT((A1323-1)/5),5)+1)</f>
        <v>Округ_2_5</v>
      </c>
      <c r="H1323" s="10" t="str">
        <f aca="false">"Город_"&amp;(MOD(A1323-1,5)+1)&amp;"_"&amp;(MOD(INT((A1323-1)/5),5)+1)&amp;"_"&amp;(MOD(INT((A1323-1)/25),10)+1)</f>
        <v>Город_2_5_3</v>
      </c>
      <c r="I1323" s="10" t="str">
        <f aca="false">CHOOSE(MOD(A1323-1,4)+1,"Электроника","Одежда","Продукты","Мебель")</f>
        <v>Одежда</v>
      </c>
      <c r="J1323" s="10" t="str">
        <f aca="false">CHOOSE(MOD(INT((A1323-1)/4),4)+1,CHOOSE(MOD(A1323-1,4)+1,"Смартфоны","Ноутбуки","Аксессуары","Аудио"),CHOOSE(MOD(A1323-1,4)+1,"Верхняя одежда","Спортивная","Повседневная","Обувь"),CHOOSE(MOD(A1323-1,4)+1,"Молочные","Мясные","Бакалея","Напитки"),CHOOSE(MOD(A1323-1,4)+1,"Мягкая мебель","Корпусная","Офисная","Кухонная"))</f>
        <v>Мясные</v>
      </c>
      <c r="K1323" s="12" t="n">
        <f aca="false">1000+MOD(A1323*317+A1323*A1323*7,49001)</f>
        <v>11604</v>
      </c>
      <c r="L1323" s="12" t="n">
        <f aca="false">1+MOD(A1323*131,100)</f>
        <v>83</v>
      </c>
      <c r="M1323" s="12" t="n">
        <f aca="false">INT(K1323*(0.6+MOD(A1323*43,21)/100))</f>
        <v>9283</v>
      </c>
      <c r="N1323" s="12" t="n">
        <f aca="false">K1323-M1323</f>
        <v>2321</v>
      </c>
    </row>
    <row r="1324" customFormat="false" ht="12.8" hidden="false" customHeight="false" outlineLevel="0" collapsed="false">
      <c r="A1324" s="10" t="n">
        <f aca="false">A1323+1</f>
        <v>1323</v>
      </c>
      <c r="B1324" s="11" t="n">
        <f aca="false">B1323+1</f>
        <v>46249</v>
      </c>
      <c r="C1324" s="10" t="n">
        <f aca="false">YEAR(B1324)</f>
        <v>2026</v>
      </c>
      <c r="D1324" s="10" t="n">
        <f aca="false">INT((MONTH(B1324)-1)/3)+1</f>
        <v>3</v>
      </c>
      <c r="E1324" s="10" t="n">
        <f aca="false">MONTH(B1324)</f>
        <v>8</v>
      </c>
      <c r="F1324" s="10" t="str">
        <f aca="false">CHOOSE(MOD(A1324-1,5)+1,"Центр","Юг","Север","Запад","Восток")</f>
        <v>Север</v>
      </c>
      <c r="G1324" s="10" t="str">
        <f aca="false">"Округ_"&amp;(MOD(A1324-1,5)+1)&amp;"_"&amp;(MOD(INT((A1324-1)/5),5)+1)</f>
        <v>Округ_3_5</v>
      </c>
      <c r="H1324" s="10" t="str">
        <f aca="false">"Город_"&amp;(MOD(A1324-1,5)+1)&amp;"_"&amp;(MOD(INT((A1324-1)/5),5)+1)&amp;"_"&amp;(MOD(INT((A1324-1)/25),10)+1)</f>
        <v>Город_3_5_3</v>
      </c>
      <c r="I1324" s="10" t="str">
        <f aca="false">CHOOSE(MOD(A1324-1,4)+1,"Электроника","Одежда","Продукты","Мебель")</f>
        <v>Продукты</v>
      </c>
      <c r="J1324" s="10" t="str">
        <f aca="false">CHOOSE(MOD(INT((A1324-1)/4),4)+1,CHOOSE(MOD(A1324-1,4)+1,"Смартфоны","Ноутбуки","Аксессуары","Аудио"),CHOOSE(MOD(A1324-1,4)+1,"Верхняя одежда","Спортивная","Повседневная","Обувь"),CHOOSE(MOD(A1324-1,4)+1,"Молочные","Мясные","Бакалея","Напитки"),CHOOSE(MOD(A1324-1,4)+1,"Мягкая мебель","Корпусная","Офисная","Кухонная"))</f>
        <v>Бакалея</v>
      </c>
      <c r="K1324" s="12" t="n">
        <f aca="false">1000+MOD(A1324*317+A1324*A1324*7,49001)</f>
        <v>30436</v>
      </c>
      <c r="L1324" s="12" t="n">
        <f aca="false">1+MOD(A1324*131,100)</f>
        <v>14</v>
      </c>
      <c r="M1324" s="12" t="n">
        <f aca="false">INT(K1324*(0.6+MOD(A1324*43,21)/100))</f>
        <v>18261</v>
      </c>
      <c r="N1324" s="12" t="n">
        <f aca="false">K1324-M1324</f>
        <v>12175</v>
      </c>
    </row>
    <row r="1325" customFormat="false" ht="12.8" hidden="false" customHeight="false" outlineLevel="0" collapsed="false">
      <c r="A1325" s="10" t="n">
        <f aca="false">A1324+1</f>
        <v>1324</v>
      </c>
      <c r="B1325" s="11" t="n">
        <f aca="false">B1324+1</f>
        <v>46250</v>
      </c>
      <c r="C1325" s="10" t="n">
        <f aca="false">YEAR(B1325)</f>
        <v>2026</v>
      </c>
      <c r="D1325" s="10" t="n">
        <f aca="false">INT((MONTH(B1325)-1)/3)+1</f>
        <v>3</v>
      </c>
      <c r="E1325" s="10" t="n">
        <f aca="false">MONTH(B1325)</f>
        <v>8</v>
      </c>
      <c r="F1325" s="10" t="str">
        <f aca="false">CHOOSE(MOD(A1325-1,5)+1,"Центр","Юг","Север","Запад","Восток")</f>
        <v>Запад</v>
      </c>
      <c r="G1325" s="10" t="str">
        <f aca="false">"Округ_"&amp;(MOD(A1325-1,5)+1)&amp;"_"&amp;(MOD(INT((A1325-1)/5),5)+1)</f>
        <v>Округ_4_5</v>
      </c>
      <c r="H1325" s="10" t="str">
        <f aca="false">"Город_"&amp;(MOD(A1325-1,5)+1)&amp;"_"&amp;(MOD(INT((A1325-1)/5),5)+1)&amp;"_"&amp;(MOD(INT((A1325-1)/25),10)+1)</f>
        <v>Город_4_5_3</v>
      </c>
      <c r="I1325" s="10" t="str">
        <f aca="false">CHOOSE(MOD(A1325-1,4)+1,"Электроника","Одежда","Продукты","Мебель")</f>
        <v>Мебель</v>
      </c>
      <c r="J1325" s="10" t="str">
        <f aca="false">CHOOSE(MOD(INT((A1325-1)/4),4)+1,CHOOSE(MOD(A1325-1,4)+1,"Смартфоны","Ноутбуки","Аксессуары","Аудио"),CHOOSE(MOD(A1325-1,4)+1,"Верхняя одежда","Спортивная","Повседневная","Обувь"),CHOOSE(MOD(A1325-1,4)+1,"Молочные","Мясные","Бакалея","Напитки"),CHOOSE(MOD(A1325-1,4)+1,"Мягкая мебель","Корпусная","Офисная","Кухонная"))</f>
        <v>Напитки</v>
      </c>
      <c r="K1325" s="12" t="n">
        <f aca="false">1000+MOD(A1325*317+A1325*A1325*7,49001)</f>
        <v>49282</v>
      </c>
      <c r="L1325" s="12" t="n">
        <f aca="false">1+MOD(A1325*131,100)</f>
        <v>45</v>
      </c>
      <c r="M1325" s="12" t="n">
        <f aca="false">INT(K1325*(0.6+MOD(A1325*43,21)/100))</f>
        <v>30062</v>
      </c>
      <c r="N1325" s="12" t="n">
        <f aca="false">K1325-M1325</f>
        <v>19220</v>
      </c>
    </row>
    <row r="1326" customFormat="false" ht="12.8" hidden="false" customHeight="false" outlineLevel="0" collapsed="false">
      <c r="A1326" s="10" t="n">
        <f aca="false">A1325+1</f>
        <v>1325</v>
      </c>
      <c r="B1326" s="11" t="n">
        <f aca="false">B1325+1</f>
        <v>46251</v>
      </c>
      <c r="C1326" s="10" t="n">
        <f aca="false">YEAR(B1326)</f>
        <v>2026</v>
      </c>
      <c r="D1326" s="10" t="n">
        <f aca="false">INT((MONTH(B1326)-1)/3)+1</f>
        <v>3</v>
      </c>
      <c r="E1326" s="10" t="n">
        <f aca="false">MONTH(B1326)</f>
        <v>8</v>
      </c>
      <c r="F1326" s="10" t="str">
        <f aca="false">CHOOSE(MOD(A1326-1,5)+1,"Центр","Юг","Север","Запад","Восток")</f>
        <v>Восток</v>
      </c>
      <c r="G1326" s="10" t="str">
        <f aca="false">"Округ_"&amp;(MOD(A1326-1,5)+1)&amp;"_"&amp;(MOD(INT((A1326-1)/5),5)+1)</f>
        <v>Округ_5_5</v>
      </c>
      <c r="H1326" s="10" t="str">
        <f aca="false">"Город_"&amp;(MOD(A1326-1,5)+1)&amp;"_"&amp;(MOD(INT((A1326-1)/5),5)+1)&amp;"_"&amp;(MOD(INT((A1326-1)/25),10)+1)</f>
        <v>Город_5_5_3</v>
      </c>
      <c r="I1326" s="10" t="str">
        <f aca="false">CHOOSE(MOD(A1326-1,4)+1,"Электроника","Одежда","Продукты","Мебель")</f>
        <v>Электроника</v>
      </c>
      <c r="J1326" s="10" t="str">
        <f aca="false">CHOOSE(MOD(INT((A1326-1)/4),4)+1,CHOOSE(MOD(A1326-1,4)+1,"Смартфоны","Ноутбуки","Аксессуары","Аудио"),CHOOSE(MOD(A1326-1,4)+1,"Верхняя одежда","Спортивная","Повседневная","Обувь"),CHOOSE(MOD(A1326-1,4)+1,"Молочные","Мясные","Бакалея","Напитки"),CHOOSE(MOD(A1326-1,4)+1,"Мягкая мебель","Корпусная","Офисная","Кухонная"))</f>
        <v>Мягкая мебель</v>
      </c>
      <c r="K1326" s="12" t="n">
        <f aca="false">1000+MOD(A1326*317+A1326*A1326*7,49001)</f>
        <v>19141</v>
      </c>
      <c r="L1326" s="12" t="n">
        <f aca="false">1+MOD(A1326*131,100)</f>
        <v>76</v>
      </c>
      <c r="M1326" s="12" t="n">
        <f aca="false">INT(K1326*(0.6+MOD(A1326*43,21)/100))</f>
        <v>11867</v>
      </c>
      <c r="N1326" s="12" t="n">
        <f aca="false">K1326-M1326</f>
        <v>7274</v>
      </c>
    </row>
    <row r="1327" customFormat="false" ht="12.8" hidden="false" customHeight="false" outlineLevel="0" collapsed="false">
      <c r="A1327" s="10" t="n">
        <f aca="false">A1326+1</f>
        <v>1326</v>
      </c>
      <c r="B1327" s="11" t="n">
        <f aca="false">B1326+1</f>
        <v>46252</v>
      </c>
      <c r="C1327" s="10" t="n">
        <f aca="false">YEAR(B1327)</f>
        <v>2026</v>
      </c>
      <c r="D1327" s="10" t="n">
        <f aca="false">INT((MONTH(B1327)-1)/3)+1</f>
        <v>3</v>
      </c>
      <c r="E1327" s="10" t="n">
        <f aca="false">MONTH(B1327)</f>
        <v>8</v>
      </c>
      <c r="F1327" s="10" t="str">
        <f aca="false">CHOOSE(MOD(A1327-1,5)+1,"Центр","Юг","Север","Запад","Восток")</f>
        <v>Центр</v>
      </c>
      <c r="G1327" s="10" t="str">
        <f aca="false">"Округ_"&amp;(MOD(A1327-1,5)+1)&amp;"_"&amp;(MOD(INT((A1327-1)/5),5)+1)</f>
        <v>Округ_1_1</v>
      </c>
      <c r="H1327" s="10" t="str">
        <f aca="false">"Город_"&amp;(MOD(A1327-1,5)+1)&amp;"_"&amp;(MOD(INT((A1327-1)/5),5)+1)&amp;"_"&amp;(MOD(INT((A1327-1)/25),10)+1)</f>
        <v>Город_1_1_4</v>
      </c>
      <c r="I1327" s="10" t="str">
        <f aca="false">CHOOSE(MOD(A1327-1,4)+1,"Электроника","Одежда","Продукты","Мебель")</f>
        <v>Одежда</v>
      </c>
      <c r="J1327" s="10" t="str">
        <f aca="false">CHOOSE(MOD(INT((A1327-1)/4),4)+1,CHOOSE(MOD(A1327-1,4)+1,"Смартфоны","Ноутбуки","Аксессуары","Аудио"),CHOOSE(MOD(A1327-1,4)+1,"Верхняя одежда","Спортивная","Повседневная","Обувь"),CHOOSE(MOD(A1327-1,4)+1,"Молочные","Мясные","Бакалея","Напитки"),CHOOSE(MOD(A1327-1,4)+1,"Мягкая мебель","Корпусная","Офисная","Кухонная"))</f>
        <v>Корпусная</v>
      </c>
      <c r="K1327" s="12" t="n">
        <f aca="false">1000+MOD(A1327*317+A1327*A1327*7,49001)</f>
        <v>38015</v>
      </c>
      <c r="L1327" s="12" t="n">
        <f aca="false">1+MOD(A1327*131,100)</f>
        <v>7</v>
      </c>
      <c r="M1327" s="12" t="n">
        <f aca="false">INT(K1327*(0.6+MOD(A1327*43,21)/100))</f>
        <v>23949</v>
      </c>
      <c r="N1327" s="12" t="n">
        <f aca="false">K1327-M1327</f>
        <v>14066</v>
      </c>
    </row>
    <row r="1328" customFormat="false" ht="12.8" hidden="false" customHeight="false" outlineLevel="0" collapsed="false">
      <c r="A1328" s="10" t="n">
        <f aca="false">A1327+1</f>
        <v>1327</v>
      </c>
      <c r="B1328" s="11" t="n">
        <f aca="false">B1327+1</f>
        <v>46253</v>
      </c>
      <c r="C1328" s="10" t="n">
        <f aca="false">YEAR(B1328)</f>
        <v>2026</v>
      </c>
      <c r="D1328" s="10" t="n">
        <f aca="false">INT((MONTH(B1328)-1)/3)+1</f>
        <v>3</v>
      </c>
      <c r="E1328" s="10" t="n">
        <f aca="false">MONTH(B1328)</f>
        <v>8</v>
      </c>
      <c r="F1328" s="10" t="str">
        <f aca="false">CHOOSE(MOD(A1328-1,5)+1,"Центр","Юг","Север","Запад","Восток")</f>
        <v>Юг</v>
      </c>
      <c r="G1328" s="10" t="str">
        <f aca="false">"Округ_"&amp;(MOD(A1328-1,5)+1)&amp;"_"&amp;(MOD(INT((A1328-1)/5),5)+1)</f>
        <v>Округ_2_1</v>
      </c>
      <c r="H1328" s="10" t="str">
        <f aca="false">"Город_"&amp;(MOD(A1328-1,5)+1)&amp;"_"&amp;(MOD(INT((A1328-1)/5),5)+1)&amp;"_"&amp;(MOD(INT((A1328-1)/25),10)+1)</f>
        <v>Город_2_1_4</v>
      </c>
      <c r="I1328" s="10" t="str">
        <f aca="false">CHOOSE(MOD(A1328-1,4)+1,"Электроника","Одежда","Продукты","Мебель")</f>
        <v>Продукты</v>
      </c>
      <c r="J1328" s="10" t="str">
        <f aca="false">CHOOSE(MOD(INT((A1328-1)/4),4)+1,CHOOSE(MOD(A1328-1,4)+1,"Смартфоны","Ноутбуки","Аксессуары","Аудио"),CHOOSE(MOD(A1328-1,4)+1,"Верхняя одежда","Спортивная","Повседневная","Обувь"),CHOOSE(MOD(A1328-1,4)+1,"Молочные","Мясные","Бакалея","Напитки"),CHOOSE(MOD(A1328-1,4)+1,"Мягкая мебель","Корпусная","Офисная","Кухонная"))</f>
        <v>Офисная</v>
      </c>
      <c r="K1328" s="12" t="n">
        <f aca="false">1000+MOD(A1328*317+A1328*A1328*7,49001)</f>
        <v>7902</v>
      </c>
      <c r="L1328" s="12" t="n">
        <f aca="false">1+MOD(A1328*131,100)</f>
        <v>38</v>
      </c>
      <c r="M1328" s="12" t="n">
        <f aca="false">INT(K1328*(0.6+MOD(A1328*43,21)/100))</f>
        <v>5057</v>
      </c>
      <c r="N1328" s="12" t="n">
        <f aca="false">K1328-M1328</f>
        <v>2845</v>
      </c>
    </row>
    <row r="1329" customFormat="false" ht="12.8" hidden="false" customHeight="false" outlineLevel="0" collapsed="false">
      <c r="A1329" s="10" t="n">
        <f aca="false">A1328+1</f>
        <v>1328</v>
      </c>
      <c r="B1329" s="11" t="n">
        <f aca="false">B1328+1</f>
        <v>46254</v>
      </c>
      <c r="C1329" s="10" t="n">
        <f aca="false">YEAR(B1329)</f>
        <v>2026</v>
      </c>
      <c r="D1329" s="10" t="n">
        <f aca="false">INT((MONTH(B1329)-1)/3)+1</f>
        <v>3</v>
      </c>
      <c r="E1329" s="10" t="n">
        <f aca="false">MONTH(B1329)</f>
        <v>8</v>
      </c>
      <c r="F1329" s="10" t="str">
        <f aca="false">CHOOSE(MOD(A1329-1,5)+1,"Центр","Юг","Север","Запад","Восток")</f>
        <v>Север</v>
      </c>
      <c r="G1329" s="10" t="str">
        <f aca="false">"Округ_"&amp;(MOD(A1329-1,5)+1)&amp;"_"&amp;(MOD(INT((A1329-1)/5),5)+1)</f>
        <v>Округ_3_1</v>
      </c>
      <c r="H1329" s="10" t="str">
        <f aca="false">"Город_"&amp;(MOD(A1329-1,5)+1)&amp;"_"&amp;(MOD(INT((A1329-1)/5),5)+1)&amp;"_"&amp;(MOD(INT((A1329-1)/25),10)+1)</f>
        <v>Город_3_1_4</v>
      </c>
      <c r="I1329" s="10" t="str">
        <f aca="false">CHOOSE(MOD(A1329-1,4)+1,"Электроника","Одежда","Продукты","Мебель")</f>
        <v>Мебель</v>
      </c>
      <c r="J1329" s="10" t="str">
        <f aca="false">CHOOSE(MOD(INT((A1329-1)/4),4)+1,CHOOSE(MOD(A1329-1,4)+1,"Смартфоны","Ноутбуки","Аксессуары","Аудио"),CHOOSE(MOD(A1329-1,4)+1,"Верхняя одежда","Спортивная","Повседневная","Обувь"),CHOOSE(MOD(A1329-1,4)+1,"Молочные","Мясные","Бакалея","Напитки"),CHOOSE(MOD(A1329-1,4)+1,"Мягкая мебель","Корпусная","Офисная","Кухонная"))</f>
        <v>Кухонная</v>
      </c>
      <c r="K1329" s="12" t="n">
        <f aca="false">1000+MOD(A1329*317+A1329*A1329*7,49001)</f>
        <v>26804</v>
      </c>
      <c r="L1329" s="12" t="n">
        <f aca="false">1+MOD(A1329*131,100)</f>
        <v>69</v>
      </c>
      <c r="M1329" s="12" t="n">
        <f aca="false">INT(K1329*(0.6+MOD(A1329*43,21)/100))</f>
        <v>17422</v>
      </c>
      <c r="N1329" s="12" t="n">
        <f aca="false">K1329-M1329</f>
        <v>9382</v>
      </c>
    </row>
    <row r="1330" customFormat="false" ht="12.8" hidden="false" customHeight="false" outlineLevel="0" collapsed="false">
      <c r="A1330" s="10" t="n">
        <f aca="false">A1329+1</f>
        <v>1329</v>
      </c>
      <c r="B1330" s="11" t="n">
        <f aca="false">B1329+1</f>
        <v>46255</v>
      </c>
      <c r="C1330" s="10" t="n">
        <f aca="false">YEAR(B1330)</f>
        <v>2026</v>
      </c>
      <c r="D1330" s="10" t="n">
        <f aca="false">INT((MONTH(B1330)-1)/3)+1</f>
        <v>3</v>
      </c>
      <c r="E1330" s="10" t="n">
        <f aca="false">MONTH(B1330)</f>
        <v>8</v>
      </c>
      <c r="F1330" s="10" t="str">
        <f aca="false">CHOOSE(MOD(A1330-1,5)+1,"Центр","Юг","Север","Запад","Восток")</f>
        <v>Запад</v>
      </c>
      <c r="G1330" s="10" t="str">
        <f aca="false">"Округ_"&amp;(MOD(A1330-1,5)+1)&amp;"_"&amp;(MOD(INT((A1330-1)/5),5)+1)</f>
        <v>Округ_4_1</v>
      </c>
      <c r="H1330" s="10" t="str">
        <f aca="false">"Город_"&amp;(MOD(A1330-1,5)+1)&amp;"_"&amp;(MOD(INT((A1330-1)/5),5)+1)&amp;"_"&amp;(MOD(INT((A1330-1)/25),10)+1)</f>
        <v>Город_4_1_4</v>
      </c>
      <c r="I1330" s="10" t="str">
        <f aca="false">CHOOSE(MOD(A1330-1,4)+1,"Электроника","Одежда","Продукты","Мебель")</f>
        <v>Электроника</v>
      </c>
      <c r="J1330" s="10" t="str">
        <f aca="false">CHOOSE(MOD(INT((A1330-1)/4),4)+1,CHOOSE(MOD(A1330-1,4)+1,"Смартфоны","Ноутбуки","Аксессуары","Аудио"),CHOOSE(MOD(A1330-1,4)+1,"Верхняя одежда","Спортивная","Повседневная","Обувь"),CHOOSE(MOD(A1330-1,4)+1,"Молочные","Мясные","Бакалея","Напитки"),CHOOSE(MOD(A1330-1,4)+1,"Мягкая мебель","Корпусная","Офисная","Кухонная"))</f>
        <v>Смартфоны</v>
      </c>
      <c r="K1330" s="12" t="n">
        <f aca="false">1000+MOD(A1330*317+A1330*A1330*7,49001)</f>
        <v>45720</v>
      </c>
      <c r="L1330" s="12" t="n">
        <f aca="false">1+MOD(A1330*131,100)</f>
        <v>100</v>
      </c>
      <c r="M1330" s="12" t="n">
        <f aca="false">INT(K1330*(0.6+MOD(A1330*43,21)/100))</f>
        <v>30175</v>
      </c>
      <c r="N1330" s="12" t="n">
        <f aca="false">K1330-M1330</f>
        <v>15545</v>
      </c>
    </row>
    <row r="1331" customFormat="false" ht="12.8" hidden="false" customHeight="false" outlineLevel="0" collapsed="false">
      <c r="A1331" s="10" t="n">
        <f aca="false">A1330+1</f>
        <v>1330</v>
      </c>
      <c r="B1331" s="11" t="n">
        <f aca="false">B1330+1</f>
        <v>46256</v>
      </c>
      <c r="C1331" s="10" t="n">
        <f aca="false">YEAR(B1331)</f>
        <v>2026</v>
      </c>
      <c r="D1331" s="10" t="n">
        <f aca="false">INT((MONTH(B1331)-1)/3)+1</f>
        <v>3</v>
      </c>
      <c r="E1331" s="10" t="n">
        <f aca="false">MONTH(B1331)</f>
        <v>8</v>
      </c>
      <c r="F1331" s="10" t="str">
        <f aca="false">CHOOSE(MOD(A1331-1,5)+1,"Центр","Юг","Север","Запад","Восток")</f>
        <v>Восток</v>
      </c>
      <c r="G1331" s="10" t="str">
        <f aca="false">"Округ_"&amp;(MOD(A1331-1,5)+1)&amp;"_"&amp;(MOD(INT((A1331-1)/5),5)+1)</f>
        <v>Округ_5_1</v>
      </c>
      <c r="H1331" s="10" t="str">
        <f aca="false">"Город_"&amp;(MOD(A1331-1,5)+1)&amp;"_"&amp;(MOD(INT((A1331-1)/5),5)+1)&amp;"_"&amp;(MOD(INT((A1331-1)/25),10)+1)</f>
        <v>Город_5_1_4</v>
      </c>
      <c r="I1331" s="10" t="str">
        <f aca="false">CHOOSE(MOD(A1331-1,4)+1,"Электроника","Одежда","Продукты","Мебель")</f>
        <v>Одежда</v>
      </c>
      <c r="J1331" s="10" t="str">
        <f aca="false">CHOOSE(MOD(INT((A1331-1)/4),4)+1,CHOOSE(MOD(A1331-1,4)+1,"Смартфоны","Ноутбуки","Аксессуары","Аудио"),CHOOSE(MOD(A1331-1,4)+1,"Верхняя одежда","Спортивная","Повседневная","Обувь"),CHOOSE(MOD(A1331-1,4)+1,"Молочные","Мясные","Бакалея","Напитки"),CHOOSE(MOD(A1331-1,4)+1,"Мягкая мебель","Корпусная","Офисная","Кухонная"))</f>
        <v>Ноутбуки</v>
      </c>
      <c r="K1331" s="12" t="n">
        <f aca="false">1000+MOD(A1331*317+A1331*A1331*7,49001)</f>
        <v>15649</v>
      </c>
      <c r="L1331" s="12" t="n">
        <f aca="false">1+MOD(A1331*131,100)</f>
        <v>31</v>
      </c>
      <c r="M1331" s="12" t="n">
        <f aca="false">INT(K1331*(0.6+MOD(A1331*43,21)/100))</f>
        <v>10484</v>
      </c>
      <c r="N1331" s="12" t="n">
        <f aca="false">K1331-M1331</f>
        <v>5165</v>
      </c>
    </row>
    <row r="1332" customFormat="false" ht="12.8" hidden="false" customHeight="false" outlineLevel="0" collapsed="false">
      <c r="A1332" s="10" t="n">
        <f aca="false">A1331+1</f>
        <v>1331</v>
      </c>
      <c r="B1332" s="11" t="n">
        <f aca="false">B1331+1</f>
        <v>46257</v>
      </c>
      <c r="C1332" s="10" t="n">
        <f aca="false">YEAR(B1332)</f>
        <v>2026</v>
      </c>
      <c r="D1332" s="10" t="n">
        <f aca="false">INT((MONTH(B1332)-1)/3)+1</f>
        <v>3</v>
      </c>
      <c r="E1332" s="10" t="n">
        <f aca="false">MONTH(B1332)</f>
        <v>8</v>
      </c>
      <c r="F1332" s="10" t="str">
        <f aca="false">CHOOSE(MOD(A1332-1,5)+1,"Центр","Юг","Север","Запад","Восток")</f>
        <v>Центр</v>
      </c>
      <c r="G1332" s="10" t="str">
        <f aca="false">"Округ_"&amp;(MOD(A1332-1,5)+1)&amp;"_"&amp;(MOD(INT((A1332-1)/5),5)+1)</f>
        <v>Округ_1_2</v>
      </c>
      <c r="H1332" s="10" t="str">
        <f aca="false">"Город_"&amp;(MOD(A1332-1,5)+1)&amp;"_"&amp;(MOD(INT((A1332-1)/5),5)+1)&amp;"_"&amp;(MOD(INT((A1332-1)/25),10)+1)</f>
        <v>Город_1_2_4</v>
      </c>
      <c r="I1332" s="10" t="str">
        <f aca="false">CHOOSE(MOD(A1332-1,4)+1,"Электроника","Одежда","Продукты","Мебель")</f>
        <v>Продукты</v>
      </c>
      <c r="J1332" s="10" t="str">
        <f aca="false">CHOOSE(MOD(INT((A1332-1)/4),4)+1,CHOOSE(MOD(A1332-1,4)+1,"Смартфоны","Ноутбуки","Аксессуары","Аудио"),CHOOSE(MOD(A1332-1,4)+1,"Верхняя одежда","Спортивная","Повседневная","Обувь"),CHOOSE(MOD(A1332-1,4)+1,"Молочные","Мясные","Бакалея","Напитки"),CHOOSE(MOD(A1332-1,4)+1,"Мягкая мебель","Корпусная","Офисная","Кухонная"))</f>
        <v>Аксессуары</v>
      </c>
      <c r="K1332" s="12" t="n">
        <f aca="false">1000+MOD(A1332*317+A1332*A1332*7,49001)</f>
        <v>34593</v>
      </c>
      <c r="L1332" s="12" t="n">
        <f aca="false">1+MOD(A1332*131,100)</f>
        <v>62</v>
      </c>
      <c r="M1332" s="12" t="n">
        <f aca="false">INT(K1332*(0.6+MOD(A1332*43,21)/100))</f>
        <v>23523</v>
      </c>
      <c r="N1332" s="12" t="n">
        <f aca="false">K1332-M1332</f>
        <v>11070</v>
      </c>
    </row>
    <row r="1333" customFormat="false" ht="12.8" hidden="false" customHeight="false" outlineLevel="0" collapsed="false">
      <c r="A1333" s="10" t="n">
        <f aca="false">A1332+1</f>
        <v>1332</v>
      </c>
      <c r="B1333" s="11" t="n">
        <f aca="false">B1332+1</f>
        <v>46258</v>
      </c>
      <c r="C1333" s="10" t="n">
        <f aca="false">YEAR(B1333)</f>
        <v>2026</v>
      </c>
      <c r="D1333" s="10" t="n">
        <f aca="false">INT((MONTH(B1333)-1)/3)+1</f>
        <v>3</v>
      </c>
      <c r="E1333" s="10" t="n">
        <f aca="false">MONTH(B1333)</f>
        <v>8</v>
      </c>
      <c r="F1333" s="10" t="str">
        <f aca="false">CHOOSE(MOD(A1333-1,5)+1,"Центр","Юг","Север","Запад","Восток")</f>
        <v>Юг</v>
      </c>
      <c r="G1333" s="10" t="str">
        <f aca="false">"Округ_"&amp;(MOD(A1333-1,5)+1)&amp;"_"&amp;(MOD(INT((A1333-1)/5),5)+1)</f>
        <v>Округ_2_2</v>
      </c>
      <c r="H1333" s="10" t="str">
        <f aca="false">"Город_"&amp;(MOD(A1333-1,5)+1)&amp;"_"&amp;(MOD(INT((A1333-1)/5),5)+1)&amp;"_"&amp;(MOD(INT((A1333-1)/25),10)+1)</f>
        <v>Город_2_2_4</v>
      </c>
      <c r="I1333" s="10" t="str">
        <f aca="false">CHOOSE(MOD(A1333-1,4)+1,"Электроника","Одежда","Продукты","Мебель")</f>
        <v>Мебель</v>
      </c>
      <c r="J1333" s="10" t="str">
        <f aca="false">CHOOSE(MOD(INT((A1333-1)/4),4)+1,CHOOSE(MOD(A1333-1,4)+1,"Смартфоны","Ноутбуки","Аксессуары","Аудио"),CHOOSE(MOD(A1333-1,4)+1,"Верхняя одежда","Спортивная","Повседневная","Обувь"),CHOOSE(MOD(A1333-1,4)+1,"Молочные","Мясные","Бакалея","Напитки"),CHOOSE(MOD(A1333-1,4)+1,"Мягкая мебель","Корпусная","Офисная","Кухонная"))</f>
        <v>Аудио</v>
      </c>
      <c r="K1333" s="12" t="n">
        <f aca="false">1000+MOD(A1333*317+A1333*A1333*7,49001)</f>
        <v>4550</v>
      </c>
      <c r="L1333" s="12" t="n">
        <f aca="false">1+MOD(A1333*131,100)</f>
        <v>93</v>
      </c>
      <c r="M1333" s="12" t="n">
        <f aca="false">INT(K1333*(0.6+MOD(A1333*43,21)/100))</f>
        <v>3139</v>
      </c>
      <c r="N1333" s="12" t="n">
        <f aca="false">K1333-M1333</f>
        <v>1411</v>
      </c>
    </row>
    <row r="1334" customFormat="false" ht="12.8" hidden="false" customHeight="false" outlineLevel="0" collapsed="false">
      <c r="A1334" s="10" t="n">
        <f aca="false">A1333+1</f>
        <v>1333</v>
      </c>
      <c r="B1334" s="11" t="n">
        <f aca="false">B1333+1</f>
        <v>46259</v>
      </c>
      <c r="C1334" s="10" t="n">
        <f aca="false">YEAR(B1334)</f>
        <v>2026</v>
      </c>
      <c r="D1334" s="10" t="n">
        <f aca="false">INT((MONTH(B1334)-1)/3)+1</f>
        <v>3</v>
      </c>
      <c r="E1334" s="10" t="n">
        <f aca="false">MONTH(B1334)</f>
        <v>8</v>
      </c>
      <c r="F1334" s="10" t="str">
        <f aca="false">CHOOSE(MOD(A1334-1,5)+1,"Центр","Юг","Север","Запад","Восток")</f>
        <v>Север</v>
      </c>
      <c r="G1334" s="10" t="str">
        <f aca="false">"Округ_"&amp;(MOD(A1334-1,5)+1)&amp;"_"&amp;(MOD(INT((A1334-1)/5),5)+1)</f>
        <v>Округ_3_2</v>
      </c>
      <c r="H1334" s="10" t="str">
        <f aca="false">"Город_"&amp;(MOD(A1334-1,5)+1)&amp;"_"&amp;(MOD(INT((A1334-1)/5),5)+1)&amp;"_"&amp;(MOD(INT((A1334-1)/25),10)+1)</f>
        <v>Город_3_2_4</v>
      </c>
      <c r="I1334" s="10" t="str">
        <f aca="false">CHOOSE(MOD(A1334-1,4)+1,"Электроника","Одежда","Продукты","Мебель")</f>
        <v>Электроника</v>
      </c>
      <c r="J1334" s="10" t="str">
        <f aca="false">CHOOSE(MOD(INT((A1334-1)/4),4)+1,CHOOSE(MOD(A1334-1,4)+1,"Смартфоны","Ноутбуки","Аксессуары","Аудио"),CHOOSE(MOD(A1334-1,4)+1,"Верхняя одежда","Спортивная","Повседневная","Обувь"),CHOOSE(MOD(A1334-1,4)+1,"Молочные","Мясные","Бакалея","Напитки"),CHOOSE(MOD(A1334-1,4)+1,"Мягкая мебель","Корпусная","Офисная","Кухонная"))</f>
        <v>Верхняя одежда</v>
      </c>
      <c r="K1334" s="12" t="n">
        <f aca="false">1000+MOD(A1334*317+A1334*A1334*7,49001)</f>
        <v>23522</v>
      </c>
      <c r="L1334" s="12" t="n">
        <f aca="false">1+MOD(A1334*131,100)</f>
        <v>24</v>
      </c>
      <c r="M1334" s="12" t="n">
        <f aca="false">INT(K1334*(0.6+MOD(A1334*43,21)/100))</f>
        <v>16465</v>
      </c>
      <c r="N1334" s="12" t="n">
        <f aca="false">K1334-M1334</f>
        <v>7057</v>
      </c>
    </row>
    <row r="1335" customFormat="false" ht="12.8" hidden="false" customHeight="false" outlineLevel="0" collapsed="false">
      <c r="A1335" s="10" t="n">
        <f aca="false">A1334+1</f>
        <v>1334</v>
      </c>
      <c r="B1335" s="11" t="n">
        <f aca="false">B1334+1</f>
        <v>46260</v>
      </c>
      <c r="C1335" s="10" t="n">
        <f aca="false">YEAR(B1335)</f>
        <v>2026</v>
      </c>
      <c r="D1335" s="10" t="n">
        <f aca="false">INT((MONTH(B1335)-1)/3)+1</f>
        <v>3</v>
      </c>
      <c r="E1335" s="10" t="n">
        <f aca="false">MONTH(B1335)</f>
        <v>8</v>
      </c>
      <c r="F1335" s="10" t="str">
        <f aca="false">CHOOSE(MOD(A1335-1,5)+1,"Центр","Юг","Север","Запад","Восток")</f>
        <v>Запад</v>
      </c>
      <c r="G1335" s="10" t="str">
        <f aca="false">"Округ_"&amp;(MOD(A1335-1,5)+1)&amp;"_"&amp;(MOD(INT((A1335-1)/5),5)+1)</f>
        <v>Округ_4_2</v>
      </c>
      <c r="H1335" s="10" t="str">
        <f aca="false">"Город_"&amp;(MOD(A1335-1,5)+1)&amp;"_"&amp;(MOD(INT((A1335-1)/5),5)+1)&amp;"_"&amp;(MOD(INT((A1335-1)/25),10)+1)</f>
        <v>Город_4_2_4</v>
      </c>
      <c r="I1335" s="10" t="str">
        <f aca="false">CHOOSE(MOD(A1335-1,4)+1,"Электроника","Одежда","Продукты","Мебель")</f>
        <v>Одежда</v>
      </c>
      <c r="J1335" s="10" t="str">
        <f aca="false">CHOOSE(MOD(INT((A1335-1)/4),4)+1,CHOOSE(MOD(A1335-1,4)+1,"Смартфоны","Ноутбуки","Аксессуары","Аудио"),CHOOSE(MOD(A1335-1,4)+1,"Верхняя одежда","Спортивная","Повседневная","Обувь"),CHOOSE(MOD(A1335-1,4)+1,"Молочные","Мясные","Бакалея","Напитки"),CHOOSE(MOD(A1335-1,4)+1,"Мягкая мебель","Корпусная","Офисная","Кухонная"))</f>
        <v>Спортивная</v>
      </c>
      <c r="K1335" s="12" t="n">
        <f aca="false">1000+MOD(A1335*317+A1335*A1335*7,49001)</f>
        <v>42508</v>
      </c>
      <c r="L1335" s="12" t="n">
        <f aca="false">1+MOD(A1335*131,100)</f>
        <v>55</v>
      </c>
      <c r="M1335" s="12" t="n">
        <f aca="false">INT(K1335*(0.6+MOD(A1335*43,21)/100))</f>
        <v>30180</v>
      </c>
      <c r="N1335" s="12" t="n">
        <f aca="false">K1335-M1335</f>
        <v>12328</v>
      </c>
    </row>
    <row r="1336" customFormat="false" ht="12.8" hidden="false" customHeight="false" outlineLevel="0" collapsed="false">
      <c r="A1336" s="10" t="n">
        <f aca="false">A1335+1</f>
        <v>1335</v>
      </c>
      <c r="B1336" s="11" t="n">
        <f aca="false">B1335+1</f>
        <v>46261</v>
      </c>
      <c r="C1336" s="10" t="n">
        <f aca="false">YEAR(B1336)</f>
        <v>2026</v>
      </c>
      <c r="D1336" s="10" t="n">
        <f aca="false">INT((MONTH(B1336)-1)/3)+1</f>
        <v>3</v>
      </c>
      <c r="E1336" s="10" t="n">
        <f aca="false">MONTH(B1336)</f>
        <v>8</v>
      </c>
      <c r="F1336" s="10" t="str">
        <f aca="false">CHOOSE(MOD(A1336-1,5)+1,"Центр","Юг","Север","Запад","Восток")</f>
        <v>Восток</v>
      </c>
      <c r="G1336" s="10" t="str">
        <f aca="false">"Округ_"&amp;(MOD(A1336-1,5)+1)&amp;"_"&amp;(MOD(INT((A1336-1)/5),5)+1)</f>
        <v>Округ_5_2</v>
      </c>
      <c r="H1336" s="10" t="str">
        <f aca="false">"Город_"&amp;(MOD(A1336-1,5)+1)&amp;"_"&amp;(MOD(INT((A1336-1)/5),5)+1)&amp;"_"&amp;(MOD(INT((A1336-1)/25),10)+1)</f>
        <v>Город_5_2_4</v>
      </c>
      <c r="I1336" s="10" t="str">
        <f aca="false">CHOOSE(MOD(A1336-1,4)+1,"Электроника","Одежда","Продукты","Мебель")</f>
        <v>Продукты</v>
      </c>
      <c r="J1336" s="10" t="str">
        <f aca="false">CHOOSE(MOD(INT((A1336-1)/4),4)+1,CHOOSE(MOD(A1336-1,4)+1,"Смартфоны","Ноутбуки","Аксессуары","Аудио"),CHOOSE(MOD(A1336-1,4)+1,"Верхняя одежда","Спортивная","Повседневная","Обувь"),CHOOSE(MOD(A1336-1,4)+1,"Молочные","Мясные","Бакалея","Напитки"),CHOOSE(MOD(A1336-1,4)+1,"Мягкая мебель","Корпусная","Офисная","Кухонная"))</f>
        <v>Повседневная</v>
      </c>
      <c r="K1336" s="12" t="n">
        <f aca="false">1000+MOD(A1336*317+A1336*A1336*7,49001)</f>
        <v>12507</v>
      </c>
      <c r="L1336" s="12" t="n">
        <f aca="false">1+MOD(A1336*131,100)</f>
        <v>86</v>
      </c>
      <c r="M1336" s="12" t="n">
        <f aca="false">INT(K1336*(0.6+MOD(A1336*43,21)/100))</f>
        <v>9005</v>
      </c>
      <c r="N1336" s="12" t="n">
        <f aca="false">K1336-M1336</f>
        <v>3502</v>
      </c>
    </row>
    <row r="1337" customFormat="false" ht="12.8" hidden="false" customHeight="false" outlineLevel="0" collapsed="false">
      <c r="A1337" s="10" t="n">
        <f aca="false">A1336+1</f>
        <v>1336</v>
      </c>
      <c r="B1337" s="11" t="n">
        <f aca="false">B1336+1</f>
        <v>46262</v>
      </c>
      <c r="C1337" s="10" t="n">
        <f aca="false">YEAR(B1337)</f>
        <v>2026</v>
      </c>
      <c r="D1337" s="10" t="n">
        <f aca="false">INT((MONTH(B1337)-1)/3)+1</f>
        <v>3</v>
      </c>
      <c r="E1337" s="10" t="n">
        <f aca="false">MONTH(B1337)</f>
        <v>8</v>
      </c>
      <c r="F1337" s="10" t="str">
        <f aca="false">CHOOSE(MOD(A1337-1,5)+1,"Центр","Юг","Север","Запад","Восток")</f>
        <v>Центр</v>
      </c>
      <c r="G1337" s="10" t="str">
        <f aca="false">"Округ_"&amp;(MOD(A1337-1,5)+1)&amp;"_"&amp;(MOD(INT((A1337-1)/5),5)+1)</f>
        <v>Округ_1_3</v>
      </c>
      <c r="H1337" s="10" t="str">
        <f aca="false">"Город_"&amp;(MOD(A1337-1,5)+1)&amp;"_"&amp;(MOD(INT((A1337-1)/5),5)+1)&amp;"_"&amp;(MOD(INT((A1337-1)/25),10)+1)</f>
        <v>Город_1_3_4</v>
      </c>
      <c r="I1337" s="10" t="str">
        <f aca="false">CHOOSE(MOD(A1337-1,4)+1,"Электроника","Одежда","Продукты","Мебель")</f>
        <v>Мебель</v>
      </c>
      <c r="J1337" s="10" t="str">
        <f aca="false">CHOOSE(MOD(INT((A1337-1)/4),4)+1,CHOOSE(MOD(A1337-1,4)+1,"Смартфоны","Ноутбуки","Аксессуары","Аудио"),CHOOSE(MOD(A1337-1,4)+1,"Верхняя одежда","Спортивная","Повседневная","Обувь"),CHOOSE(MOD(A1337-1,4)+1,"Молочные","Мясные","Бакалея","Напитки"),CHOOSE(MOD(A1337-1,4)+1,"Мягкая мебель","Корпусная","Офисная","Кухонная"))</f>
        <v>Обувь</v>
      </c>
      <c r="K1337" s="12" t="n">
        <f aca="false">1000+MOD(A1337*317+A1337*A1337*7,49001)</f>
        <v>31521</v>
      </c>
      <c r="L1337" s="12" t="n">
        <f aca="false">1+MOD(A1337*131,100)</f>
        <v>17</v>
      </c>
      <c r="M1337" s="12" t="n">
        <f aca="false">INT(K1337*(0.6+MOD(A1337*43,21)/100))</f>
        <v>23010</v>
      </c>
      <c r="N1337" s="12" t="n">
        <f aca="false">K1337-M1337</f>
        <v>8511</v>
      </c>
    </row>
    <row r="1338" customFormat="false" ht="12.8" hidden="false" customHeight="false" outlineLevel="0" collapsed="false">
      <c r="A1338" s="10" t="n">
        <f aca="false">A1337+1</f>
        <v>1337</v>
      </c>
      <c r="B1338" s="11" t="n">
        <f aca="false">B1337+1</f>
        <v>46263</v>
      </c>
      <c r="C1338" s="10" t="n">
        <f aca="false">YEAR(B1338)</f>
        <v>2026</v>
      </c>
      <c r="D1338" s="10" t="n">
        <f aca="false">INT((MONTH(B1338)-1)/3)+1</f>
        <v>3</v>
      </c>
      <c r="E1338" s="10" t="n">
        <f aca="false">MONTH(B1338)</f>
        <v>8</v>
      </c>
      <c r="F1338" s="10" t="str">
        <f aca="false">CHOOSE(MOD(A1338-1,5)+1,"Центр","Юг","Север","Запад","Восток")</f>
        <v>Юг</v>
      </c>
      <c r="G1338" s="10" t="str">
        <f aca="false">"Округ_"&amp;(MOD(A1338-1,5)+1)&amp;"_"&amp;(MOD(INT((A1338-1)/5),5)+1)</f>
        <v>Округ_2_3</v>
      </c>
      <c r="H1338" s="10" t="str">
        <f aca="false">"Город_"&amp;(MOD(A1338-1,5)+1)&amp;"_"&amp;(MOD(INT((A1338-1)/5),5)+1)&amp;"_"&amp;(MOD(INT((A1338-1)/25),10)+1)</f>
        <v>Город_2_3_4</v>
      </c>
      <c r="I1338" s="10" t="str">
        <f aca="false">CHOOSE(MOD(A1338-1,4)+1,"Электроника","Одежда","Продукты","Мебель")</f>
        <v>Электроника</v>
      </c>
      <c r="J1338" s="10" t="str">
        <f aca="false">CHOOSE(MOD(INT((A1338-1)/4),4)+1,CHOOSE(MOD(A1338-1,4)+1,"Смартфоны","Ноутбуки","Аксессуары","Аудио"),CHOOSE(MOD(A1338-1,4)+1,"Верхняя одежда","Спортивная","Повседневная","Обувь"),CHOOSE(MOD(A1338-1,4)+1,"Молочные","Мясные","Бакалея","Напитки"),CHOOSE(MOD(A1338-1,4)+1,"Мягкая мебель","Корпусная","Офисная","Кухонная"))</f>
        <v>Молочные</v>
      </c>
      <c r="K1338" s="12" t="n">
        <f aca="false">1000+MOD(A1338*317+A1338*A1338*7,49001)</f>
        <v>1548</v>
      </c>
      <c r="L1338" s="12" t="n">
        <f aca="false">1+MOD(A1338*131,100)</f>
        <v>48</v>
      </c>
      <c r="M1338" s="12" t="n">
        <f aca="false">INT(K1338*(0.6+MOD(A1338*43,21)/100))</f>
        <v>1145</v>
      </c>
      <c r="N1338" s="12" t="n">
        <f aca="false">K1338-M1338</f>
        <v>403</v>
      </c>
    </row>
    <row r="1339" customFormat="false" ht="12.8" hidden="false" customHeight="false" outlineLevel="0" collapsed="false">
      <c r="A1339" s="10" t="n">
        <f aca="false">A1338+1</f>
        <v>1338</v>
      </c>
      <c r="B1339" s="11" t="n">
        <f aca="false">B1338+1</f>
        <v>46264</v>
      </c>
      <c r="C1339" s="10" t="n">
        <f aca="false">YEAR(B1339)</f>
        <v>2026</v>
      </c>
      <c r="D1339" s="10" t="n">
        <f aca="false">INT((MONTH(B1339)-1)/3)+1</f>
        <v>3</v>
      </c>
      <c r="E1339" s="10" t="n">
        <f aca="false">MONTH(B1339)</f>
        <v>8</v>
      </c>
      <c r="F1339" s="10" t="str">
        <f aca="false">CHOOSE(MOD(A1339-1,5)+1,"Центр","Юг","Север","Запад","Восток")</f>
        <v>Север</v>
      </c>
      <c r="G1339" s="10" t="str">
        <f aca="false">"Округ_"&amp;(MOD(A1339-1,5)+1)&amp;"_"&amp;(MOD(INT((A1339-1)/5),5)+1)</f>
        <v>Округ_3_3</v>
      </c>
      <c r="H1339" s="10" t="str">
        <f aca="false">"Город_"&amp;(MOD(A1339-1,5)+1)&amp;"_"&amp;(MOD(INT((A1339-1)/5),5)+1)&amp;"_"&amp;(MOD(INT((A1339-1)/25),10)+1)</f>
        <v>Город_3_3_4</v>
      </c>
      <c r="I1339" s="10" t="str">
        <f aca="false">CHOOSE(MOD(A1339-1,4)+1,"Электроника","Одежда","Продукты","Мебель")</f>
        <v>Одежда</v>
      </c>
      <c r="J1339" s="10" t="str">
        <f aca="false">CHOOSE(MOD(INT((A1339-1)/4),4)+1,CHOOSE(MOD(A1339-1,4)+1,"Смартфоны","Ноутбуки","Аксессуары","Аудио"),CHOOSE(MOD(A1339-1,4)+1,"Верхняя одежда","Спортивная","Повседневная","Обувь"),CHOOSE(MOD(A1339-1,4)+1,"Молочные","Мясные","Бакалея","Напитки"),CHOOSE(MOD(A1339-1,4)+1,"Мягкая мебель","Корпусная","Офисная","Кухонная"))</f>
        <v>Мясные</v>
      </c>
      <c r="K1339" s="12" t="n">
        <f aca="false">1000+MOD(A1339*317+A1339*A1339*7,49001)</f>
        <v>20590</v>
      </c>
      <c r="L1339" s="12" t="n">
        <f aca="false">1+MOD(A1339*131,100)</f>
        <v>79</v>
      </c>
      <c r="M1339" s="12" t="n">
        <f aca="false">INT(K1339*(0.6+MOD(A1339*43,21)/100))</f>
        <v>15442</v>
      </c>
      <c r="N1339" s="12" t="n">
        <f aca="false">K1339-M1339</f>
        <v>5148</v>
      </c>
    </row>
    <row r="1340" customFormat="false" ht="12.8" hidden="false" customHeight="false" outlineLevel="0" collapsed="false">
      <c r="A1340" s="10" t="n">
        <f aca="false">A1339+1</f>
        <v>1339</v>
      </c>
      <c r="B1340" s="11" t="n">
        <f aca="false">B1339+1</f>
        <v>46265</v>
      </c>
      <c r="C1340" s="10" t="n">
        <f aca="false">YEAR(B1340)</f>
        <v>2026</v>
      </c>
      <c r="D1340" s="10" t="n">
        <f aca="false">INT((MONTH(B1340)-1)/3)+1</f>
        <v>3</v>
      </c>
      <c r="E1340" s="10" t="n">
        <f aca="false">MONTH(B1340)</f>
        <v>8</v>
      </c>
      <c r="F1340" s="10" t="str">
        <f aca="false">CHOOSE(MOD(A1340-1,5)+1,"Центр","Юг","Север","Запад","Восток")</f>
        <v>Запад</v>
      </c>
      <c r="G1340" s="10" t="str">
        <f aca="false">"Округ_"&amp;(MOD(A1340-1,5)+1)&amp;"_"&amp;(MOD(INT((A1340-1)/5),5)+1)</f>
        <v>Округ_4_3</v>
      </c>
      <c r="H1340" s="10" t="str">
        <f aca="false">"Город_"&amp;(MOD(A1340-1,5)+1)&amp;"_"&amp;(MOD(INT((A1340-1)/5),5)+1)&amp;"_"&amp;(MOD(INT((A1340-1)/25),10)+1)</f>
        <v>Город_4_3_4</v>
      </c>
      <c r="I1340" s="10" t="str">
        <f aca="false">CHOOSE(MOD(A1340-1,4)+1,"Электроника","Одежда","Продукты","Мебель")</f>
        <v>Продукты</v>
      </c>
      <c r="J1340" s="10" t="str">
        <f aca="false">CHOOSE(MOD(INT((A1340-1)/4),4)+1,CHOOSE(MOD(A1340-1,4)+1,"Смартфоны","Ноутбуки","Аксессуары","Аудио"),CHOOSE(MOD(A1340-1,4)+1,"Верхняя одежда","Спортивная","Повседневная","Обувь"),CHOOSE(MOD(A1340-1,4)+1,"Молочные","Мясные","Бакалея","Напитки"),CHOOSE(MOD(A1340-1,4)+1,"Мягкая мебель","Корпусная","Офисная","Кухонная"))</f>
        <v>Бакалея</v>
      </c>
      <c r="K1340" s="12" t="n">
        <f aca="false">1000+MOD(A1340*317+A1340*A1340*7,49001)</f>
        <v>39646</v>
      </c>
      <c r="L1340" s="12" t="n">
        <f aca="false">1+MOD(A1340*131,100)</f>
        <v>10</v>
      </c>
      <c r="M1340" s="12" t="n">
        <f aca="false">INT(K1340*(0.6+MOD(A1340*43,21)/100))</f>
        <v>30130</v>
      </c>
      <c r="N1340" s="12" t="n">
        <f aca="false">K1340-M1340</f>
        <v>9516</v>
      </c>
    </row>
    <row r="1341" customFormat="false" ht="12.8" hidden="false" customHeight="false" outlineLevel="0" collapsed="false">
      <c r="A1341" s="10" t="n">
        <f aca="false">A1340+1</f>
        <v>1340</v>
      </c>
      <c r="B1341" s="11" t="n">
        <f aca="false">B1340+1</f>
        <v>46266</v>
      </c>
      <c r="C1341" s="10" t="n">
        <f aca="false">YEAR(B1341)</f>
        <v>2026</v>
      </c>
      <c r="D1341" s="10" t="n">
        <f aca="false">INT((MONTH(B1341)-1)/3)+1</f>
        <v>3</v>
      </c>
      <c r="E1341" s="10" t="n">
        <f aca="false">MONTH(B1341)</f>
        <v>9</v>
      </c>
      <c r="F1341" s="10" t="str">
        <f aca="false">CHOOSE(MOD(A1341-1,5)+1,"Центр","Юг","Север","Запад","Восток")</f>
        <v>Восток</v>
      </c>
      <c r="G1341" s="10" t="str">
        <f aca="false">"Округ_"&amp;(MOD(A1341-1,5)+1)&amp;"_"&amp;(MOD(INT((A1341-1)/5),5)+1)</f>
        <v>Округ_5_3</v>
      </c>
      <c r="H1341" s="10" t="str">
        <f aca="false">"Город_"&amp;(MOD(A1341-1,5)+1)&amp;"_"&amp;(MOD(INT((A1341-1)/5),5)+1)&amp;"_"&amp;(MOD(INT((A1341-1)/25),10)+1)</f>
        <v>Город_5_3_4</v>
      </c>
      <c r="I1341" s="10" t="str">
        <f aca="false">CHOOSE(MOD(A1341-1,4)+1,"Электроника","Одежда","Продукты","Мебель")</f>
        <v>Мебель</v>
      </c>
      <c r="J1341" s="10" t="str">
        <f aca="false">CHOOSE(MOD(INT((A1341-1)/4),4)+1,CHOOSE(MOD(A1341-1,4)+1,"Смартфоны","Ноутбуки","Аксессуары","Аудио"),CHOOSE(MOD(A1341-1,4)+1,"Верхняя одежда","Спортивная","Повседневная","Обувь"),CHOOSE(MOD(A1341-1,4)+1,"Молочные","Мясные","Бакалея","Напитки"),CHOOSE(MOD(A1341-1,4)+1,"Мягкая мебель","Корпусная","Офисная","Кухонная"))</f>
        <v>Напитки</v>
      </c>
      <c r="K1341" s="12" t="n">
        <f aca="false">1000+MOD(A1341*317+A1341*A1341*7,49001)</f>
        <v>9715</v>
      </c>
      <c r="L1341" s="12" t="n">
        <f aca="false">1+MOD(A1341*131,100)</f>
        <v>41</v>
      </c>
      <c r="M1341" s="12" t="n">
        <f aca="false">INT(K1341*(0.6+MOD(A1341*43,21)/100))</f>
        <v>7480</v>
      </c>
      <c r="N1341" s="12" t="n">
        <f aca="false">K1341-M1341</f>
        <v>2235</v>
      </c>
    </row>
    <row r="1342" customFormat="false" ht="12.8" hidden="false" customHeight="false" outlineLevel="0" collapsed="false">
      <c r="A1342" s="10" t="n">
        <f aca="false">A1341+1</f>
        <v>1341</v>
      </c>
      <c r="B1342" s="11" t="n">
        <f aca="false">B1341+1</f>
        <v>46267</v>
      </c>
      <c r="C1342" s="10" t="n">
        <f aca="false">YEAR(B1342)</f>
        <v>2026</v>
      </c>
      <c r="D1342" s="10" t="n">
        <f aca="false">INT((MONTH(B1342)-1)/3)+1</f>
        <v>3</v>
      </c>
      <c r="E1342" s="10" t="n">
        <f aca="false">MONTH(B1342)</f>
        <v>9</v>
      </c>
      <c r="F1342" s="10" t="str">
        <f aca="false">CHOOSE(MOD(A1342-1,5)+1,"Центр","Юг","Север","Запад","Восток")</f>
        <v>Центр</v>
      </c>
      <c r="G1342" s="10" t="str">
        <f aca="false">"Округ_"&amp;(MOD(A1342-1,5)+1)&amp;"_"&amp;(MOD(INT((A1342-1)/5),5)+1)</f>
        <v>Округ_1_4</v>
      </c>
      <c r="H1342" s="10" t="str">
        <f aca="false">"Город_"&amp;(MOD(A1342-1,5)+1)&amp;"_"&amp;(MOD(INT((A1342-1)/5),5)+1)&amp;"_"&amp;(MOD(INT((A1342-1)/25),10)+1)</f>
        <v>Город_1_4_4</v>
      </c>
      <c r="I1342" s="10" t="str">
        <f aca="false">CHOOSE(MOD(A1342-1,4)+1,"Электроника","Одежда","Продукты","Мебель")</f>
        <v>Электроника</v>
      </c>
      <c r="J1342" s="10" t="str">
        <f aca="false">CHOOSE(MOD(INT((A1342-1)/4),4)+1,CHOOSE(MOD(A1342-1,4)+1,"Смартфоны","Ноутбуки","Аксессуары","Аудио"),CHOOSE(MOD(A1342-1,4)+1,"Верхняя одежда","Спортивная","Повседневная","Обувь"),CHOOSE(MOD(A1342-1,4)+1,"Молочные","Мясные","Бакалея","Напитки"),CHOOSE(MOD(A1342-1,4)+1,"Мягкая мебель","Корпусная","Офисная","Кухонная"))</f>
        <v>Мягкая мебель</v>
      </c>
      <c r="K1342" s="12" t="n">
        <f aca="false">1000+MOD(A1342*317+A1342*A1342*7,49001)</f>
        <v>28799</v>
      </c>
      <c r="L1342" s="12" t="n">
        <f aca="false">1+MOD(A1342*131,100)</f>
        <v>72</v>
      </c>
      <c r="M1342" s="12" t="n">
        <f aca="false">INT(K1342*(0.6+MOD(A1342*43,21)/100))</f>
        <v>22463</v>
      </c>
      <c r="N1342" s="12" t="n">
        <f aca="false">K1342-M1342</f>
        <v>6336</v>
      </c>
    </row>
    <row r="1343" customFormat="false" ht="12.8" hidden="false" customHeight="false" outlineLevel="0" collapsed="false">
      <c r="A1343" s="10" t="n">
        <f aca="false">A1342+1</f>
        <v>1342</v>
      </c>
      <c r="B1343" s="11" t="n">
        <f aca="false">B1342+1</f>
        <v>46268</v>
      </c>
      <c r="C1343" s="10" t="n">
        <f aca="false">YEAR(B1343)</f>
        <v>2026</v>
      </c>
      <c r="D1343" s="10" t="n">
        <f aca="false">INT((MONTH(B1343)-1)/3)+1</f>
        <v>3</v>
      </c>
      <c r="E1343" s="10" t="n">
        <f aca="false">MONTH(B1343)</f>
        <v>9</v>
      </c>
      <c r="F1343" s="10" t="str">
        <f aca="false">CHOOSE(MOD(A1343-1,5)+1,"Центр","Юг","Север","Запад","Восток")</f>
        <v>Юг</v>
      </c>
      <c r="G1343" s="10" t="str">
        <f aca="false">"Округ_"&amp;(MOD(A1343-1,5)+1)&amp;"_"&amp;(MOD(INT((A1343-1)/5),5)+1)</f>
        <v>Округ_2_4</v>
      </c>
      <c r="H1343" s="10" t="str">
        <f aca="false">"Город_"&amp;(MOD(A1343-1,5)+1)&amp;"_"&amp;(MOD(INT((A1343-1)/5),5)+1)&amp;"_"&amp;(MOD(INT((A1343-1)/25),10)+1)</f>
        <v>Город_2_4_4</v>
      </c>
      <c r="I1343" s="10" t="str">
        <f aca="false">CHOOSE(MOD(A1343-1,4)+1,"Электроника","Одежда","Продукты","Мебель")</f>
        <v>Одежда</v>
      </c>
      <c r="J1343" s="10" t="str">
        <f aca="false">CHOOSE(MOD(INT((A1343-1)/4),4)+1,CHOOSE(MOD(A1343-1,4)+1,"Смартфоны","Ноутбуки","Аксессуары","Аудио"),CHOOSE(MOD(A1343-1,4)+1,"Верхняя одежда","Спортивная","Повседневная","Обувь"),CHOOSE(MOD(A1343-1,4)+1,"Молочные","Мясные","Бакалея","Напитки"),CHOOSE(MOD(A1343-1,4)+1,"Мягкая мебель","Корпусная","Офисная","Кухонная"))</f>
        <v>Корпусная</v>
      </c>
      <c r="K1343" s="12" t="n">
        <f aca="false">1000+MOD(A1343*317+A1343*A1343*7,49001)</f>
        <v>47897</v>
      </c>
      <c r="L1343" s="12" t="n">
        <f aca="false">1+MOD(A1343*131,100)</f>
        <v>3</v>
      </c>
      <c r="M1343" s="12" t="n">
        <f aca="false">INT(K1343*(0.6+MOD(A1343*43,21)/100))</f>
        <v>37838</v>
      </c>
      <c r="N1343" s="12" t="n">
        <f aca="false">K1343-M1343</f>
        <v>10059</v>
      </c>
    </row>
    <row r="1344" customFormat="false" ht="12.8" hidden="false" customHeight="false" outlineLevel="0" collapsed="false">
      <c r="A1344" s="10" t="n">
        <f aca="false">A1343+1</f>
        <v>1343</v>
      </c>
      <c r="B1344" s="11" t="n">
        <f aca="false">B1343+1</f>
        <v>46269</v>
      </c>
      <c r="C1344" s="10" t="n">
        <f aca="false">YEAR(B1344)</f>
        <v>2026</v>
      </c>
      <c r="D1344" s="10" t="n">
        <f aca="false">INT((MONTH(B1344)-1)/3)+1</f>
        <v>3</v>
      </c>
      <c r="E1344" s="10" t="n">
        <f aca="false">MONTH(B1344)</f>
        <v>9</v>
      </c>
      <c r="F1344" s="10" t="str">
        <f aca="false">CHOOSE(MOD(A1344-1,5)+1,"Центр","Юг","Север","Запад","Восток")</f>
        <v>Север</v>
      </c>
      <c r="G1344" s="10" t="str">
        <f aca="false">"Округ_"&amp;(MOD(A1344-1,5)+1)&amp;"_"&amp;(MOD(INT((A1344-1)/5),5)+1)</f>
        <v>Округ_3_4</v>
      </c>
      <c r="H1344" s="10" t="str">
        <f aca="false">"Город_"&amp;(MOD(A1344-1,5)+1)&amp;"_"&amp;(MOD(INT((A1344-1)/5),5)+1)&amp;"_"&amp;(MOD(INT((A1344-1)/25),10)+1)</f>
        <v>Город_3_4_4</v>
      </c>
      <c r="I1344" s="10" t="str">
        <f aca="false">CHOOSE(MOD(A1344-1,4)+1,"Электроника","Одежда","Продукты","Мебель")</f>
        <v>Продукты</v>
      </c>
      <c r="J1344" s="10" t="str">
        <f aca="false">CHOOSE(MOD(INT((A1344-1)/4),4)+1,CHOOSE(MOD(A1344-1,4)+1,"Смартфоны","Ноутбуки","Аксессуары","Аудио"),CHOOSE(MOD(A1344-1,4)+1,"Верхняя одежда","Спортивная","Повседневная","Обувь"),CHOOSE(MOD(A1344-1,4)+1,"Молочные","Мясные","Бакалея","Напитки"),CHOOSE(MOD(A1344-1,4)+1,"Мягкая мебель","Корпусная","Офисная","Кухонная"))</f>
        <v>Офисная</v>
      </c>
      <c r="K1344" s="12" t="n">
        <f aca="false">1000+MOD(A1344*317+A1344*A1344*7,49001)</f>
        <v>18008</v>
      </c>
      <c r="L1344" s="12" t="n">
        <f aca="false">1+MOD(A1344*131,100)</f>
        <v>34</v>
      </c>
      <c r="M1344" s="12" t="n">
        <f aca="false">INT(K1344*(0.6+MOD(A1344*43,21)/100))</f>
        <v>14406</v>
      </c>
      <c r="N1344" s="12" t="n">
        <f aca="false">K1344-M1344</f>
        <v>3602</v>
      </c>
    </row>
    <row r="1345" customFormat="false" ht="12.8" hidden="false" customHeight="false" outlineLevel="0" collapsed="false">
      <c r="A1345" s="10" t="n">
        <f aca="false">A1344+1</f>
        <v>1344</v>
      </c>
      <c r="B1345" s="11" t="n">
        <f aca="false">B1344+1</f>
        <v>46270</v>
      </c>
      <c r="C1345" s="10" t="n">
        <f aca="false">YEAR(B1345)</f>
        <v>2026</v>
      </c>
      <c r="D1345" s="10" t="n">
        <f aca="false">INT((MONTH(B1345)-1)/3)+1</f>
        <v>3</v>
      </c>
      <c r="E1345" s="10" t="n">
        <f aca="false">MONTH(B1345)</f>
        <v>9</v>
      </c>
      <c r="F1345" s="10" t="str">
        <f aca="false">CHOOSE(MOD(A1345-1,5)+1,"Центр","Юг","Север","Запад","Восток")</f>
        <v>Запад</v>
      </c>
      <c r="G1345" s="10" t="str">
        <f aca="false">"Округ_"&amp;(MOD(A1345-1,5)+1)&amp;"_"&amp;(MOD(INT((A1345-1)/5),5)+1)</f>
        <v>Округ_4_4</v>
      </c>
      <c r="H1345" s="10" t="str">
        <f aca="false">"Город_"&amp;(MOD(A1345-1,5)+1)&amp;"_"&amp;(MOD(INT((A1345-1)/5),5)+1)&amp;"_"&amp;(MOD(INT((A1345-1)/25),10)+1)</f>
        <v>Город_4_4_4</v>
      </c>
      <c r="I1345" s="10" t="str">
        <f aca="false">CHOOSE(MOD(A1345-1,4)+1,"Электроника","Одежда","Продукты","Мебель")</f>
        <v>Мебель</v>
      </c>
      <c r="J1345" s="10" t="str">
        <f aca="false">CHOOSE(MOD(INT((A1345-1)/4),4)+1,CHOOSE(MOD(A1345-1,4)+1,"Смартфоны","Ноутбуки","Аксессуары","Аудио"),CHOOSE(MOD(A1345-1,4)+1,"Верхняя одежда","Спортивная","Повседневная","Обувь"),CHOOSE(MOD(A1345-1,4)+1,"Молочные","Мясные","Бакалея","Напитки"),CHOOSE(MOD(A1345-1,4)+1,"Мягкая мебель","Корпусная","Офисная","Кухонная"))</f>
        <v>Кухонная</v>
      </c>
      <c r="K1345" s="12" t="n">
        <f aca="false">1000+MOD(A1345*317+A1345*A1345*7,49001)</f>
        <v>37134</v>
      </c>
      <c r="L1345" s="12" t="n">
        <f aca="false">1+MOD(A1345*131,100)</f>
        <v>65</v>
      </c>
      <c r="M1345" s="12" t="n">
        <f aca="false">INT(K1345*(0.6+MOD(A1345*43,21)/100))</f>
        <v>22280</v>
      </c>
      <c r="N1345" s="12" t="n">
        <f aca="false">K1345-M1345</f>
        <v>14854</v>
      </c>
    </row>
    <row r="1346" customFormat="false" ht="12.8" hidden="false" customHeight="false" outlineLevel="0" collapsed="false">
      <c r="A1346" s="10" t="n">
        <f aca="false">A1345+1</f>
        <v>1345</v>
      </c>
      <c r="B1346" s="11" t="n">
        <f aca="false">B1345+1</f>
        <v>46271</v>
      </c>
      <c r="C1346" s="10" t="n">
        <f aca="false">YEAR(B1346)</f>
        <v>2026</v>
      </c>
      <c r="D1346" s="10" t="n">
        <f aca="false">INT((MONTH(B1346)-1)/3)+1</f>
        <v>3</v>
      </c>
      <c r="E1346" s="10" t="n">
        <f aca="false">MONTH(B1346)</f>
        <v>9</v>
      </c>
      <c r="F1346" s="10" t="str">
        <f aca="false">CHOOSE(MOD(A1346-1,5)+1,"Центр","Юг","Север","Запад","Восток")</f>
        <v>Восток</v>
      </c>
      <c r="G1346" s="10" t="str">
        <f aca="false">"Округ_"&amp;(MOD(A1346-1,5)+1)&amp;"_"&amp;(MOD(INT((A1346-1)/5),5)+1)</f>
        <v>Округ_5_4</v>
      </c>
      <c r="H1346" s="10" t="str">
        <f aca="false">"Город_"&amp;(MOD(A1346-1,5)+1)&amp;"_"&amp;(MOD(INT((A1346-1)/5),5)+1)&amp;"_"&amp;(MOD(INT((A1346-1)/25),10)+1)</f>
        <v>Город_5_4_4</v>
      </c>
      <c r="I1346" s="10" t="str">
        <f aca="false">CHOOSE(MOD(A1346-1,4)+1,"Электроника","Одежда","Продукты","Мебель")</f>
        <v>Электроника</v>
      </c>
      <c r="J1346" s="10" t="str">
        <f aca="false">CHOOSE(MOD(INT((A1346-1)/4),4)+1,CHOOSE(MOD(A1346-1,4)+1,"Смартфоны","Ноутбуки","Аксессуары","Аудио"),CHOOSE(MOD(A1346-1,4)+1,"Верхняя одежда","Спортивная","Повседневная","Обувь"),CHOOSE(MOD(A1346-1,4)+1,"Молочные","Мясные","Бакалея","Напитки"),CHOOSE(MOD(A1346-1,4)+1,"Мягкая мебель","Корпусная","Офисная","Кухонная"))</f>
        <v>Смартфоны</v>
      </c>
      <c r="K1346" s="12" t="n">
        <f aca="false">1000+MOD(A1346*317+A1346*A1346*7,49001)</f>
        <v>7273</v>
      </c>
      <c r="L1346" s="12" t="n">
        <f aca="false">1+MOD(A1346*131,100)</f>
        <v>96</v>
      </c>
      <c r="M1346" s="12" t="n">
        <f aca="false">INT(K1346*(0.6+MOD(A1346*43,21)/100))</f>
        <v>4436</v>
      </c>
      <c r="N1346" s="12" t="n">
        <f aca="false">K1346-M1346</f>
        <v>2837</v>
      </c>
    </row>
    <row r="1347" customFormat="false" ht="12.8" hidden="false" customHeight="false" outlineLevel="0" collapsed="false">
      <c r="A1347" s="10" t="n">
        <f aca="false">A1346+1</f>
        <v>1346</v>
      </c>
      <c r="B1347" s="11" t="n">
        <f aca="false">B1346+1</f>
        <v>46272</v>
      </c>
      <c r="C1347" s="10" t="n">
        <f aca="false">YEAR(B1347)</f>
        <v>2026</v>
      </c>
      <c r="D1347" s="10" t="n">
        <f aca="false">INT((MONTH(B1347)-1)/3)+1</f>
        <v>3</v>
      </c>
      <c r="E1347" s="10" t="n">
        <f aca="false">MONTH(B1347)</f>
        <v>9</v>
      </c>
      <c r="F1347" s="10" t="str">
        <f aca="false">CHOOSE(MOD(A1347-1,5)+1,"Центр","Юг","Север","Запад","Восток")</f>
        <v>Центр</v>
      </c>
      <c r="G1347" s="10" t="str">
        <f aca="false">"Округ_"&amp;(MOD(A1347-1,5)+1)&amp;"_"&amp;(MOD(INT((A1347-1)/5),5)+1)</f>
        <v>Округ_1_5</v>
      </c>
      <c r="H1347" s="10" t="str">
        <f aca="false">"Город_"&amp;(MOD(A1347-1,5)+1)&amp;"_"&amp;(MOD(INT((A1347-1)/5),5)+1)&amp;"_"&amp;(MOD(INT((A1347-1)/25),10)+1)</f>
        <v>Город_1_5_4</v>
      </c>
      <c r="I1347" s="10" t="str">
        <f aca="false">CHOOSE(MOD(A1347-1,4)+1,"Электроника","Одежда","Продукты","Мебель")</f>
        <v>Одежда</v>
      </c>
      <c r="J1347" s="10" t="str">
        <f aca="false">CHOOSE(MOD(INT((A1347-1)/4),4)+1,CHOOSE(MOD(A1347-1,4)+1,"Смартфоны","Ноутбуки","Аксессуары","Аудио"),CHOOSE(MOD(A1347-1,4)+1,"Верхняя одежда","Спортивная","Повседневная","Обувь"),CHOOSE(MOD(A1347-1,4)+1,"Молочные","Мясные","Бакалея","Напитки"),CHOOSE(MOD(A1347-1,4)+1,"Мягкая мебель","Корпусная","Офисная","Кухонная"))</f>
        <v>Ноутбуки</v>
      </c>
      <c r="K1347" s="12" t="n">
        <f aca="false">1000+MOD(A1347*317+A1347*A1347*7,49001)</f>
        <v>26427</v>
      </c>
      <c r="L1347" s="12" t="n">
        <f aca="false">1+MOD(A1347*131,100)</f>
        <v>27</v>
      </c>
      <c r="M1347" s="12" t="n">
        <f aca="false">INT(K1347*(0.6+MOD(A1347*43,21)/100))</f>
        <v>16384</v>
      </c>
      <c r="N1347" s="12" t="n">
        <f aca="false">K1347-M1347</f>
        <v>10043</v>
      </c>
    </row>
    <row r="1348" customFormat="false" ht="12.8" hidden="false" customHeight="false" outlineLevel="0" collapsed="false">
      <c r="A1348" s="10" t="n">
        <f aca="false">A1347+1</f>
        <v>1347</v>
      </c>
      <c r="B1348" s="11" t="n">
        <f aca="false">B1347+1</f>
        <v>46273</v>
      </c>
      <c r="C1348" s="10" t="n">
        <f aca="false">YEAR(B1348)</f>
        <v>2026</v>
      </c>
      <c r="D1348" s="10" t="n">
        <f aca="false">INT((MONTH(B1348)-1)/3)+1</f>
        <v>3</v>
      </c>
      <c r="E1348" s="10" t="n">
        <f aca="false">MONTH(B1348)</f>
        <v>9</v>
      </c>
      <c r="F1348" s="10" t="str">
        <f aca="false">CHOOSE(MOD(A1348-1,5)+1,"Центр","Юг","Север","Запад","Восток")</f>
        <v>Юг</v>
      </c>
      <c r="G1348" s="10" t="str">
        <f aca="false">"Округ_"&amp;(MOD(A1348-1,5)+1)&amp;"_"&amp;(MOD(INT((A1348-1)/5),5)+1)</f>
        <v>Округ_2_5</v>
      </c>
      <c r="H1348" s="10" t="str">
        <f aca="false">"Город_"&amp;(MOD(A1348-1,5)+1)&amp;"_"&amp;(MOD(INT((A1348-1)/5),5)+1)&amp;"_"&amp;(MOD(INT((A1348-1)/25),10)+1)</f>
        <v>Город_2_5_4</v>
      </c>
      <c r="I1348" s="10" t="str">
        <f aca="false">CHOOSE(MOD(A1348-1,4)+1,"Электроника","Одежда","Продукты","Мебель")</f>
        <v>Продукты</v>
      </c>
      <c r="J1348" s="10" t="str">
        <f aca="false">CHOOSE(MOD(INT((A1348-1)/4),4)+1,CHOOSE(MOD(A1348-1,4)+1,"Смартфоны","Ноутбуки","Аксессуары","Аудио"),CHOOSE(MOD(A1348-1,4)+1,"Верхняя одежда","Спортивная","Повседневная","Обувь"),CHOOSE(MOD(A1348-1,4)+1,"Молочные","Мясные","Бакалея","Напитки"),CHOOSE(MOD(A1348-1,4)+1,"Мягкая мебель","Корпусная","Офисная","Кухонная"))</f>
        <v>Аксессуары</v>
      </c>
      <c r="K1348" s="12" t="n">
        <f aca="false">1000+MOD(A1348*317+A1348*A1348*7,49001)</f>
        <v>45595</v>
      </c>
      <c r="L1348" s="12" t="n">
        <f aca="false">1+MOD(A1348*131,100)</f>
        <v>58</v>
      </c>
      <c r="M1348" s="12" t="n">
        <f aca="false">INT(K1348*(0.6+MOD(A1348*43,21)/100))</f>
        <v>28724</v>
      </c>
      <c r="N1348" s="12" t="n">
        <f aca="false">K1348-M1348</f>
        <v>16871</v>
      </c>
    </row>
    <row r="1349" customFormat="false" ht="12.8" hidden="false" customHeight="false" outlineLevel="0" collapsed="false">
      <c r="A1349" s="10" t="n">
        <f aca="false">A1348+1</f>
        <v>1348</v>
      </c>
      <c r="B1349" s="11" t="n">
        <f aca="false">B1348+1</f>
        <v>46274</v>
      </c>
      <c r="C1349" s="10" t="n">
        <f aca="false">YEAR(B1349)</f>
        <v>2026</v>
      </c>
      <c r="D1349" s="10" t="n">
        <f aca="false">INT((MONTH(B1349)-1)/3)+1</f>
        <v>3</v>
      </c>
      <c r="E1349" s="10" t="n">
        <f aca="false">MONTH(B1349)</f>
        <v>9</v>
      </c>
      <c r="F1349" s="10" t="str">
        <f aca="false">CHOOSE(MOD(A1349-1,5)+1,"Центр","Юг","Север","Запад","Восток")</f>
        <v>Север</v>
      </c>
      <c r="G1349" s="10" t="str">
        <f aca="false">"Округ_"&amp;(MOD(A1349-1,5)+1)&amp;"_"&amp;(MOD(INT((A1349-1)/5),5)+1)</f>
        <v>Округ_3_5</v>
      </c>
      <c r="H1349" s="10" t="str">
        <f aca="false">"Город_"&amp;(MOD(A1349-1,5)+1)&amp;"_"&amp;(MOD(INT((A1349-1)/5),5)+1)&amp;"_"&amp;(MOD(INT((A1349-1)/25),10)+1)</f>
        <v>Город_3_5_4</v>
      </c>
      <c r="I1349" s="10" t="str">
        <f aca="false">CHOOSE(MOD(A1349-1,4)+1,"Электроника","Одежда","Продукты","Мебель")</f>
        <v>Мебель</v>
      </c>
      <c r="J1349" s="10" t="str">
        <f aca="false">CHOOSE(MOD(INT((A1349-1)/4),4)+1,CHOOSE(MOD(A1349-1,4)+1,"Смартфоны","Ноутбуки","Аксессуары","Аудио"),CHOOSE(MOD(A1349-1,4)+1,"Верхняя одежда","Спортивная","Повседневная","Обувь"),CHOOSE(MOD(A1349-1,4)+1,"Молочные","Мясные","Бакалея","Напитки"),CHOOSE(MOD(A1349-1,4)+1,"Мягкая мебель","Корпусная","Офисная","Кухонная"))</f>
        <v>Аудио</v>
      </c>
      <c r="K1349" s="12" t="n">
        <f aca="false">1000+MOD(A1349*317+A1349*A1349*7,49001)</f>
        <v>15776</v>
      </c>
      <c r="L1349" s="12" t="n">
        <f aca="false">1+MOD(A1349*131,100)</f>
        <v>89</v>
      </c>
      <c r="M1349" s="12" t="n">
        <f aca="false">INT(K1349*(0.6+MOD(A1349*43,21)/100))</f>
        <v>10096</v>
      </c>
      <c r="N1349" s="12" t="n">
        <f aca="false">K1349-M1349</f>
        <v>5680</v>
      </c>
    </row>
    <row r="1350" customFormat="false" ht="12.8" hidden="false" customHeight="false" outlineLevel="0" collapsed="false">
      <c r="A1350" s="10" t="n">
        <f aca="false">A1349+1</f>
        <v>1349</v>
      </c>
      <c r="B1350" s="11" t="n">
        <f aca="false">B1349+1</f>
        <v>46275</v>
      </c>
      <c r="C1350" s="10" t="n">
        <f aca="false">YEAR(B1350)</f>
        <v>2026</v>
      </c>
      <c r="D1350" s="10" t="n">
        <f aca="false">INT((MONTH(B1350)-1)/3)+1</f>
        <v>3</v>
      </c>
      <c r="E1350" s="10" t="n">
        <f aca="false">MONTH(B1350)</f>
        <v>9</v>
      </c>
      <c r="F1350" s="10" t="str">
        <f aca="false">CHOOSE(MOD(A1350-1,5)+1,"Центр","Юг","Север","Запад","Восток")</f>
        <v>Запад</v>
      </c>
      <c r="G1350" s="10" t="str">
        <f aca="false">"Округ_"&amp;(MOD(A1350-1,5)+1)&amp;"_"&amp;(MOD(INT((A1350-1)/5),5)+1)</f>
        <v>Округ_4_5</v>
      </c>
      <c r="H1350" s="10" t="str">
        <f aca="false">"Город_"&amp;(MOD(A1350-1,5)+1)&amp;"_"&amp;(MOD(INT((A1350-1)/5),5)+1)&amp;"_"&amp;(MOD(INT((A1350-1)/25),10)+1)</f>
        <v>Город_4_5_4</v>
      </c>
      <c r="I1350" s="10" t="str">
        <f aca="false">CHOOSE(MOD(A1350-1,4)+1,"Электроника","Одежда","Продукты","Мебель")</f>
        <v>Электроника</v>
      </c>
      <c r="J1350" s="10" t="str">
        <f aca="false">CHOOSE(MOD(INT((A1350-1)/4),4)+1,CHOOSE(MOD(A1350-1,4)+1,"Смартфоны","Ноутбуки","Аксессуары","Аудио"),CHOOSE(MOD(A1350-1,4)+1,"Верхняя одежда","Спортивная","Повседневная","Обувь"),CHOOSE(MOD(A1350-1,4)+1,"Молочные","Мясные","Бакалея","Напитки"),CHOOSE(MOD(A1350-1,4)+1,"Мягкая мебель","Корпусная","Офисная","Кухонная"))</f>
        <v>Верхняя одежда</v>
      </c>
      <c r="K1350" s="12" t="n">
        <f aca="false">1000+MOD(A1350*317+A1350*A1350*7,49001)</f>
        <v>34972</v>
      </c>
      <c r="L1350" s="12" t="n">
        <f aca="false">1+MOD(A1350*131,100)</f>
        <v>20</v>
      </c>
      <c r="M1350" s="12" t="n">
        <f aca="false">INT(K1350*(0.6+MOD(A1350*43,21)/100))</f>
        <v>22731</v>
      </c>
      <c r="N1350" s="12" t="n">
        <f aca="false">K1350-M1350</f>
        <v>12241</v>
      </c>
    </row>
    <row r="1351" customFormat="false" ht="12.8" hidden="false" customHeight="false" outlineLevel="0" collapsed="false">
      <c r="A1351" s="10" t="n">
        <f aca="false">A1350+1</f>
        <v>1350</v>
      </c>
      <c r="B1351" s="11" t="n">
        <f aca="false">B1350+1</f>
        <v>46276</v>
      </c>
      <c r="C1351" s="10" t="n">
        <f aca="false">YEAR(B1351)</f>
        <v>2026</v>
      </c>
      <c r="D1351" s="10" t="n">
        <f aca="false">INT((MONTH(B1351)-1)/3)+1</f>
        <v>3</v>
      </c>
      <c r="E1351" s="10" t="n">
        <f aca="false">MONTH(B1351)</f>
        <v>9</v>
      </c>
      <c r="F1351" s="10" t="str">
        <f aca="false">CHOOSE(MOD(A1351-1,5)+1,"Центр","Юг","Север","Запад","Восток")</f>
        <v>Восток</v>
      </c>
      <c r="G1351" s="10" t="str">
        <f aca="false">"Округ_"&amp;(MOD(A1351-1,5)+1)&amp;"_"&amp;(MOD(INT((A1351-1)/5),5)+1)</f>
        <v>Округ_5_5</v>
      </c>
      <c r="H1351" s="10" t="str">
        <f aca="false">"Город_"&amp;(MOD(A1351-1,5)+1)&amp;"_"&amp;(MOD(INT((A1351-1)/5),5)+1)&amp;"_"&amp;(MOD(INT((A1351-1)/25),10)+1)</f>
        <v>Город_5_5_4</v>
      </c>
      <c r="I1351" s="10" t="str">
        <f aca="false">CHOOSE(MOD(A1351-1,4)+1,"Электроника","Одежда","Продукты","Мебель")</f>
        <v>Одежда</v>
      </c>
      <c r="J1351" s="10" t="str">
        <f aca="false">CHOOSE(MOD(INT((A1351-1)/4),4)+1,CHOOSE(MOD(A1351-1,4)+1,"Смартфоны","Ноутбуки","Аксессуары","Аудио"),CHOOSE(MOD(A1351-1,4)+1,"Верхняя одежда","Спортивная","Повседневная","Обувь"),CHOOSE(MOD(A1351-1,4)+1,"Молочные","Мясные","Бакалея","Напитки"),CHOOSE(MOD(A1351-1,4)+1,"Мягкая мебель","Корпусная","Офисная","Кухонная"))</f>
        <v>Спортивная</v>
      </c>
      <c r="K1351" s="12" t="n">
        <f aca="false">1000+MOD(A1351*317+A1351*A1351*7,49001)</f>
        <v>5181</v>
      </c>
      <c r="L1351" s="12" t="n">
        <f aca="false">1+MOD(A1351*131,100)</f>
        <v>51</v>
      </c>
      <c r="M1351" s="12" t="n">
        <f aca="false">INT(K1351*(0.6+MOD(A1351*43,21)/100))</f>
        <v>3419</v>
      </c>
      <c r="N1351" s="12" t="n">
        <f aca="false">K1351-M1351</f>
        <v>1762</v>
      </c>
    </row>
    <row r="1352" customFormat="false" ht="12.8" hidden="false" customHeight="false" outlineLevel="0" collapsed="false">
      <c r="A1352" s="10" t="n">
        <f aca="false">A1351+1</f>
        <v>1351</v>
      </c>
      <c r="B1352" s="11" t="n">
        <f aca="false">B1351+1</f>
        <v>46277</v>
      </c>
      <c r="C1352" s="10" t="n">
        <f aca="false">YEAR(B1352)</f>
        <v>2026</v>
      </c>
      <c r="D1352" s="10" t="n">
        <f aca="false">INT((MONTH(B1352)-1)/3)+1</f>
        <v>3</v>
      </c>
      <c r="E1352" s="10" t="n">
        <f aca="false">MONTH(B1352)</f>
        <v>9</v>
      </c>
      <c r="F1352" s="10" t="str">
        <f aca="false">CHOOSE(MOD(A1352-1,5)+1,"Центр","Юг","Север","Запад","Восток")</f>
        <v>Центр</v>
      </c>
      <c r="G1352" s="10" t="str">
        <f aca="false">"Округ_"&amp;(MOD(A1352-1,5)+1)&amp;"_"&amp;(MOD(INT((A1352-1)/5),5)+1)</f>
        <v>Округ_1_1</v>
      </c>
      <c r="H1352" s="10" t="str">
        <f aca="false">"Город_"&amp;(MOD(A1352-1,5)+1)&amp;"_"&amp;(MOD(INT((A1352-1)/5),5)+1)&amp;"_"&amp;(MOD(INT((A1352-1)/25),10)+1)</f>
        <v>Город_1_1_5</v>
      </c>
      <c r="I1352" s="10" t="str">
        <f aca="false">CHOOSE(MOD(A1352-1,4)+1,"Электроника","Одежда","Продукты","Мебель")</f>
        <v>Продукты</v>
      </c>
      <c r="J1352" s="10" t="str">
        <f aca="false">CHOOSE(MOD(INT((A1352-1)/4),4)+1,CHOOSE(MOD(A1352-1,4)+1,"Смартфоны","Ноутбуки","Аксессуары","Аудио"),CHOOSE(MOD(A1352-1,4)+1,"Верхняя одежда","Спортивная","Повседневная","Обувь"),CHOOSE(MOD(A1352-1,4)+1,"Молочные","Мясные","Бакалея","Напитки"),CHOOSE(MOD(A1352-1,4)+1,"Мягкая мебель","Корпусная","Офисная","Кухонная"))</f>
        <v>Повседневная</v>
      </c>
      <c r="K1352" s="12" t="n">
        <f aca="false">1000+MOD(A1352*317+A1352*A1352*7,49001)</f>
        <v>24405</v>
      </c>
      <c r="L1352" s="12" t="n">
        <f aca="false">1+MOD(A1352*131,100)</f>
        <v>82</v>
      </c>
      <c r="M1352" s="12" t="n">
        <f aca="false">INT(K1352*(0.6+MOD(A1352*43,21)/100))</f>
        <v>16351</v>
      </c>
      <c r="N1352" s="12" t="n">
        <f aca="false">K1352-M1352</f>
        <v>8054</v>
      </c>
    </row>
    <row r="1353" customFormat="false" ht="12.8" hidden="false" customHeight="false" outlineLevel="0" collapsed="false">
      <c r="A1353" s="10" t="n">
        <f aca="false">A1352+1</f>
        <v>1352</v>
      </c>
      <c r="B1353" s="11" t="n">
        <f aca="false">B1352+1</f>
        <v>46278</v>
      </c>
      <c r="C1353" s="10" t="n">
        <f aca="false">YEAR(B1353)</f>
        <v>2026</v>
      </c>
      <c r="D1353" s="10" t="n">
        <f aca="false">INT((MONTH(B1353)-1)/3)+1</f>
        <v>3</v>
      </c>
      <c r="E1353" s="10" t="n">
        <f aca="false">MONTH(B1353)</f>
        <v>9</v>
      </c>
      <c r="F1353" s="10" t="str">
        <f aca="false">CHOOSE(MOD(A1353-1,5)+1,"Центр","Юг","Север","Запад","Восток")</f>
        <v>Юг</v>
      </c>
      <c r="G1353" s="10" t="str">
        <f aca="false">"Округ_"&amp;(MOD(A1353-1,5)+1)&amp;"_"&amp;(MOD(INT((A1353-1)/5),5)+1)</f>
        <v>Округ_2_1</v>
      </c>
      <c r="H1353" s="10" t="str">
        <f aca="false">"Город_"&amp;(MOD(A1353-1,5)+1)&amp;"_"&amp;(MOD(INT((A1353-1)/5),5)+1)&amp;"_"&amp;(MOD(INT((A1353-1)/25),10)+1)</f>
        <v>Город_2_1_5</v>
      </c>
      <c r="I1353" s="10" t="str">
        <f aca="false">CHOOSE(MOD(A1353-1,4)+1,"Электроника","Одежда","Продукты","Мебель")</f>
        <v>Мебель</v>
      </c>
      <c r="J1353" s="10" t="str">
        <f aca="false">CHOOSE(MOD(INT((A1353-1)/4),4)+1,CHOOSE(MOD(A1353-1,4)+1,"Смартфоны","Ноутбуки","Аксессуары","Аудио"),CHOOSE(MOD(A1353-1,4)+1,"Верхняя одежда","Спортивная","Повседневная","Обувь"),CHOOSE(MOD(A1353-1,4)+1,"Молочные","Мясные","Бакалея","Напитки"),CHOOSE(MOD(A1353-1,4)+1,"Мягкая мебель","Корпусная","Офисная","Кухонная"))</f>
        <v>Обувь</v>
      </c>
      <c r="K1353" s="12" t="n">
        <f aca="false">1000+MOD(A1353*317+A1353*A1353*7,49001)</f>
        <v>43643</v>
      </c>
      <c r="L1353" s="12" t="n">
        <f aca="false">1+MOD(A1353*131,100)</f>
        <v>13</v>
      </c>
      <c r="M1353" s="12" t="n">
        <f aca="false">INT(K1353*(0.6+MOD(A1353*43,21)/100))</f>
        <v>29677</v>
      </c>
      <c r="N1353" s="12" t="n">
        <f aca="false">K1353-M1353</f>
        <v>13966</v>
      </c>
    </row>
    <row r="1354" customFormat="false" ht="12.8" hidden="false" customHeight="false" outlineLevel="0" collapsed="false">
      <c r="A1354" s="10" t="n">
        <f aca="false">A1353+1</f>
        <v>1353</v>
      </c>
      <c r="B1354" s="11" t="n">
        <f aca="false">B1353+1</f>
        <v>46279</v>
      </c>
      <c r="C1354" s="10" t="n">
        <f aca="false">YEAR(B1354)</f>
        <v>2026</v>
      </c>
      <c r="D1354" s="10" t="n">
        <f aca="false">INT((MONTH(B1354)-1)/3)+1</f>
        <v>3</v>
      </c>
      <c r="E1354" s="10" t="n">
        <f aca="false">MONTH(B1354)</f>
        <v>9</v>
      </c>
      <c r="F1354" s="10" t="str">
        <f aca="false">CHOOSE(MOD(A1354-1,5)+1,"Центр","Юг","Север","Запад","Восток")</f>
        <v>Север</v>
      </c>
      <c r="G1354" s="10" t="str">
        <f aca="false">"Округ_"&amp;(MOD(A1354-1,5)+1)&amp;"_"&amp;(MOD(INT((A1354-1)/5),5)+1)</f>
        <v>Округ_3_1</v>
      </c>
      <c r="H1354" s="10" t="str">
        <f aca="false">"Город_"&amp;(MOD(A1354-1,5)+1)&amp;"_"&amp;(MOD(INT((A1354-1)/5),5)+1)&amp;"_"&amp;(MOD(INT((A1354-1)/25),10)+1)</f>
        <v>Город_3_1_5</v>
      </c>
      <c r="I1354" s="10" t="str">
        <f aca="false">CHOOSE(MOD(A1354-1,4)+1,"Электроника","Одежда","Продукты","Мебель")</f>
        <v>Электроника</v>
      </c>
      <c r="J1354" s="10" t="str">
        <f aca="false">CHOOSE(MOD(INT((A1354-1)/4),4)+1,CHOOSE(MOD(A1354-1,4)+1,"Смартфоны","Ноутбуки","Аксессуары","Аудио"),CHOOSE(MOD(A1354-1,4)+1,"Верхняя одежда","Спортивная","Повседневная","Обувь"),CHOOSE(MOD(A1354-1,4)+1,"Молочные","Мясные","Бакалея","Напитки"),CHOOSE(MOD(A1354-1,4)+1,"Мягкая мебель","Корпусная","Офисная","Кухонная"))</f>
        <v>Молочные</v>
      </c>
      <c r="K1354" s="12" t="n">
        <f aca="false">1000+MOD(A1354*317+A1354*A1354*7,49001)</f>
        <v>13894</v>
      </c>
      <c r="L1354" s="12" t="n">
        <f aca="false">1+MOD(A1354*131,100)</f>
        <v>44</v>
      </c>
      <c r="M1354" s="12" t="n">
        <f aca="false">INT(K1354*(0.6+MOD(A1354*43,21)/100))</f>
        <v>9586</v>
      </c>
      <c r="N1354" s="12" t="n">
        <f aca="false">K1354-M1354</f>
        <v>4308</v>
      </c>
    </row>
    <row r="1355" customFormat="false" ht="12.8" hidden="false" customHeight="false" outlineLevel="0" collapsed="false">
      <c r="A1355" s="10" t="n">
        <f aca="false">A1354+1</f>
        <v>1354</v>
      </c>
      <c r="B1355" s="11" t="n">
        <f aca="false">B1354+1</f>
        <v>46280</v>
      </c>
      <c r="C1355" s="10" t="n">
        <f aca="false">YEAR(B1355)</f>
        <v>2026</v>
      </c>
      <c r="D1355" s="10" t="n">
        <f aca="false">INT((MONTH(B1355)-1)/3)+1</f>
        <v>3</v>
      </c>
      <c r="E1355" s="10" t="n">
        <f aca="false">MONTH(B1355)</f>
        <v>9</v>
      </c>
      <c r="F1355" s="10" t="str">
        <f aca="false">CHOOSE(MOD(A1355-1,5)+1,"Центр","Юг","Север","Запад","Восток")</f>
        <v>Запад</v>
      </c>
      <c r="G1355" s="10" t="str">
        <f aca="false">"Округ_"&amp;(MOD(A1355-1,5)+1)&amp;"_"&amp;(MOD(INT((A1355-1)/5),5)+1)</f>
        <v>Округ_4_1</v>
      </c>
      <c r="H1355" s="10" t="str">
        <f aca="false">"Город_"&amp;(MOD(A1355-1,5)+1)&amp;"_"&amp;(MOD(INT((A1355-1)/5),5)+1)&amp;"_"&amp;(MOD(INT((A1355-1)/25),10)+1)</f>
        <v>Город_4_1_5</v>
      </c>
      <c r="I1355" s="10" t="str">
        <f aca="false">CHOOSE(MOD(A1355-1,4)+1,"Электроника","Одежда","Продукты","Мебель")</f>
        <v>Одежда</v>
      </c>
      <c r="J1355" s="10" t="str">
        <f aca="false">CHOOSE(MOD(INT((A1355-1)/4),4)+1,CHOOSE(MOD(A1355-1,4)+1,"Смартфоны","Ноутбуки","Аксессуары","Аудио"),CHOOSE(MOD(A1355-1,4)+1,"Верхняя одежда","Спортивная","Повседневная","Обувь"),CHOOSE(MOD(A1355-1,4)+1,"Молочные","Мясные","Бакалея","Напитки"),CHOOSE(MOD(A1355-1,4)+1,"Мягкая мебель","Корпусная","Офисная","Кухонная"))</f>
        <v>Мясные</v>
      </c>
      <c r="K1355" s="12" t="n">
        <f aca="false">1000+MOD(A1355*317+A1355*A1355*7,49001)</f>
        <v>33160</v>
      </c>
      <c r="L1355" s="12" t="n">
        <f aca="false">1+MOD(A1355*131,100)</f>
        <v>75</v>
      </c>
      <c r="M1355" s="12" t="n">
        <f aca="false">INT(K1355*(0.6+MOD(A1355*43,21)/100))</f>
        <v>23212</v>
      </c>
      <c r="N1355" s="12" t="n">
        <f aca="false">K1355-M1355</f>
        <v>9948</v>
      </c>
    </row>
    <row r="1356" customFormat="false" ht="12.8" hidden="false" customHeight="false" outlineLevel="0" collapsed="false">
      <c r="A1356" s="10" t="n">
        <f aca="false">A1355+1</f>
        <v>1355</v>
      </c>
      <c r="B1356" s="11" t="n">
        <f aca="false">B1355+1</f>
        <v>46281</v>
      </c>
      <c r="C1356" s="10" t="n">
        <f aca="false">YEAR(B1356)</f>
        <v>2026</v>
      </c>
      <c r="D1356" s="10" t="n">
        <f aca="false">INT((MONTH(B1356)-1)/3)+1</f>
        <v>3</v>
      </c>
      <c r="E1356" s="10" t="n">
        <f aca="false">MONTH(B1356)</f>
        <v>9</v>
      </c>
      <c r="F1356" s="10" t="str">
        <f aca="false">CHOOSE(MOD(A1356-1,5)+1,"Центр","Юг","Север","Запад","Восток")</f>
        <v>Восток</v>
      </c>
      <c r="G1356" s="10" t="str">
        <f aca="false">"Округ_"&amp;(MOD(A1356-1,5)+1)&amp;"_"&amp;(MOD(INT((A1356-1)/5),5)+1)</f>
        <v>Округ_5_1</v>
      </c>
      <c r="H1356" s="10" t="str">
        <f aca="false">"Город_"&amp;(MOD(A1356-1,5)+1)&amp;"_"&amp;(MOD(INT((A1356-1)/5),5)+1)&amp;"_"&amp;(MOD(INT((A1356-1)/25),10)+1)</f>
        <v>Город_5_1_5</v>
      </c>
      <c r="I1356" s="10" t="str">
        <f aca="false">CHOOSE(MOD(A1356-1,4)+1,"Электроника","Одежда","Продукты","Мебель")</f>
        <v>Продукты</v>
      </c>
      <c r="J1356" s="10" t="str">
        <f aca="false">CHOOSE(MOD(INT((A1356-1)/4),4)+1,CHOOSE(MOD(A1356-1,4)+1,"Смартфоны","Ноутбуки","Аксессуары","Аудио"),CHOOSE(MOD(A1356-1,4)+1,"Верхняя одежда","Спортивная","Повседневная","Обувь"),CHOOSE(MOD(A1356-1,4)+1,"Молочные","Мясные","Бакалея","Напитки"),CHOOSE(MOD(A1356-1,4)+1,"Мягкая мебель","Корпусная","Офисная","Кухонная"))</f>
        <v>Бакалея</v>
      </c>
      <c r="K1356" s="12" t="n">
        <f aca="false">1000+MOD(A1356*317+A1356*A1356*7,49001)</f>
        <v>3439</v>
      </c>
      <c r="L1356" s="12" t="n">
        <f aca="false">1+MOD(A1356*131,100)</f>
        <v>6</v>
      </c>
      <c r="M1356" s="12" t="n">
        <f aca="false">INT(K1356*(0.6+MOD(A1356*43,21)/100))</f>
        <v>2441</v>
      </c>
      <c r="N1356" s="12" t="n">
        <f aca="false">K1356-M1356</f>
        <v>998</v>
      </c>
    </row>
    <row r="1357" customFormat="false" ht="12.8" hidden="false" customHeight="false" outlineLevel="0" collapsed="false">
      <c r="A1357" s="10" t="n">
        <f aca="false">A1356+1</f>
        <v>1356</v>
      </c>
      <c r="B1357" s="11" t="n">
        <f aca="false">B1356+1</f>
        <v>46282</v>
      </c>
      <c r="C1357" s="10" t="n">
        <f aca="false">YEAR(B1357)</f>
        <v>2026</v>
      </c>
      <c r="D1357" s="10" t="n">
        <f aca="false">INT((MONTH(B1357)-1)/3)+1</f>
        <v>3</v>
      </c>
      <c r="E1357" s="10" t="n">
        <f aca="false">MONTH(B1357)</f>
        <v>9</v>
      </c>
      <c r="F1357" s="10" t="str">
        <f aca="false">CHOOSE(MOD(A1357-1,5)+1,"Центр","Юг","Север","Запад","Восток")</f>
        <v>Центр</v>
      </c>
      <c r="G1357" s="10" t="str">
        <f aca="false">"Округ_"&amp;(MOD(A1357-1,5)+1)&amp;"_"&amp;(MOD(INT((A1357-1)/5),5)+1)</f>
        <v>Округ_1_2</v>
      </c>
      <c r="H1357" s="10" t="str">
        <f aca="false">"Город_"&amp;(MOD(A1357-1,5)+1)&amp;"_"&amp;(MOD(INT((A1357-1)/5),5)+1)&amp;"_"&amp;(MOD(INT((A1357-1)/25),10)+1)</f>
        <v>Город_1_2_5</v>
      </c>
      <c r="I1357" s="10" t="str">
        <f aca="false">CHOOSE(MOD(A1357-1,4)+1,"Электроника","Одежда","Продукты","Мебель")</f>
        <v>Мебель</v>
      </c>
      <c r="J1357" s="10" t="str">
        <f aca="false">CHOOSE(MOD(INT((A1357-1)/4),4)+1,CHOOSE(MOD(A1357-1,4)+1,"Смартфоны","Ноутбуки","Аксессуары","Аудио"),CHOOSE(MOD(A1357-1,4)+1,"Верхняя одежда","Спортивная","Повседневная","Обувь"),CHOOSE(MOD(A1357-1,4)+1,"Молочные","Мясные","Бакалея","Напитки"),CHOOSE(MOD(A1357-1,4)+1,"Мягкая мебель","Корпусная","Офисная","Кухонная"))</f>
        <v>Напитки</v>
      </c>
      <c r="K1357" s="12" t="n">
        <f aca="false">1000+MOD(A1357*317+A1357*A1357*7,49001)</f>
        <v>22733</v>
      </c>
      <c r="L1357" s="12" t="n">
        <f aca="false">1+MOD(A1357*131,100)</f>
        <v>37</v>
      </c>
      <c r="M1357" s="12" t="n">
        <f aca="false">INT(K1357*(0.6+MOD(A1357*43,21)/100))</f>
        <v>16367</v>
      </c>
      <c r="N1357" s="12" t="n">
        <f aca="false">K1357-M1357</f>
        <v>6366</v>
      </c>
    </row>
    <row r="1358" customFormat="false" ht="12.8" hidden="false" customHeight="false" outlineLevel="0" collapsed="false">
      <c r="A1358" s="10" t="n">
        <f aca="false">A1357+1</f>
        <v>1357</v>
      </c>
      <c r="B1358" s="11" t="n">
        <f aca="false">B1357+1</f>
        <v>46283</v>
      </c>
      <c r="C1358" s="10" t="n">
        <f aca="false">YEAR(B1358)</f>
        <v>2026</v>
      </c>
      <c r="D1358" s="10" t="n">
        <f aca="false">INT((MONTH(B1358)-1)/3)+1</f>
        <v>3</v>
      </c>
      <c r="E1358" s="10" t="n">
        <f aca="false">MONTH(B1358)</f>
        <v>9</v>
      </c>
      <c r="F1358" s="10" t="str">
        <f aca="false">CHOOSE(MOD(A1358-1,5)+1,"Центр","Юг","Север","Запад","Восток")</f>
        <v>Юг</v>
      </c>
      <c r="G1358" s="10" t="str">
        <f aca="false">"Округ_"&amp;(MOD(A1358-1,5)+1)&amp;"_"&amp;(MOD(INT((A1358-1)/5),5)+1)</f>
        <v>Округ_2_2</v>
      </c>
      <c r="H1358" s="10" t="str">
        <f aca="false">"Город_"&amp;(MOD(A1358-1,5)+1)&amp;"_"&amp;(MOD(INT((A1358-1)/5),5)+1)&amp;"_"&amp;(MOD(INT((A1358-1)/25),10)+1)</f>
        <v>Город_2_2_5</v>
      </c>
      <c r="I1358" s="10" t="str">
        <f aca="false">CHOOSE(MOD(A1358-1,4)+1,"Электроника","Одежда","Продукты","Мебель")</f>
        <v>Электроника</v>
      </c>
      <c r="J1358" s="10" t="str">
        <f aca="false">CHOOSE(MOD(INT((A1358-1)/4),4)+1,CHOOSE(MOD(A1358-1,4)+1,"Смартфоны","Ноутбуки","Аксессуары","Аудио"),CHOOSE(MOD(A1358-1,4)+1,"Верхняя одежда","Спортивная","Повседневная","Обувь"),CHOOSE(MOD(A1358-1,4)+1,"Молочные","Мясные","Бакалея","Напитки"),CHOOSE(MOD(A1358-1,4)+1,"Мягкая мебель","Корпусная","Офисная","Кухонная"))</f>
        <v>Мягкая мебель</v>
      </c>
      <c r="K1358" s="12" t="n">
        <f aca="false">1000+MOD(A1358*317+A1358*A1358*7,49001)</f>
        <v>42041</v>
      </c>
      <c r="L1358" s="12" t="n">
        <f aca="false">1+MOD(A1358*131,100)</f>
        <v>68</v>
      </c>
      <c r="M1358" s="12" t="n">
        <f aca="false">INT(K1358*(0.6+MOD(A1358*43,21)/100))</f>
        <v>30689</v>
      </c>
      <c r="N1358" s="12" t="n">
        <f aca="false">K1358-M1358</f>
        <v>11352</v>
      </c>
    </row>
    <row r="1359" customFormat="false" ht="12.8" hidden="false" customHeight="false" outlineLevel="0" collapsed="false">
      <c r="A1359" s="10" t="n">
        <f aca="false">A1358+1</f>
        <v>1358</v>
      </c>
      <c r="B1359" s="11" t="n">
        <f aca="false">B1358+1</f>
        <v>46284</v>
      </c>
      <c r="C1359" s="10" t="n">
        <f aca="false">YEAR(B1359)</f>
        <v>2026</v>
      </c>
      <c r="D1359" s="10" t="n">
        <f aca="false">INT((MONTH(B1359)-1)/3)+1</f>
        <v>3</v>
      </c>
      <c r="E1359" s="10" t="n">
        <f aca="false">MONTH(B1359)</f>
        <v>9</v>
      </c>
      <c r="F1359" s="10" t="str">
        <f aca="false">CHOOSE(MOD(A1359-1,5)+1,"Центр","Юг","Север","Запад","Восток")</f>
        <v>Север</v>
      </c>
      <c r="G1359" s="10" t="str">
        <f aca="false">"Округ_"&amp;(MOD(A1359-1,5)+1)&amp;"_"&amp;(MOD(INT((A1359-1)/5),5)+1)</f>
        <v>Округ_3_2</v>
      </c>
      <c r="H1359" s="10" t="str">
        <f aca="false">"Город_"&amp;(MOD(A1359-1,5)+1)&amp;"_"&amp;(MOD(INT((A1359-1)/5),5)+1)&amp;"_"&amp;(MOD(INT((A1359-1)/25),10)+1)</f>
        <v>Город_3_2_5</v>
      </c>
      <c r="I1359" s="10" t="str">
        <f aca="false">CHOOSE(MOD(A1359-1,4)+1,"Электроника","Одежда","Продукты","Мебель")</f>
        <v>Одежда</v>
      </c>
      <c r="J1359" s="10" t="str">
        <f aca="false">CHOOSE(MOD(INT((A1359-1)/4),4)+1,CHOOSE(MOD(A1359-1,4)+1,"Смартфоны","Ноутбуки","Аксессуары","Аудио"),CHOOSE(MOD(A1359-1,4)+1,"Верхняя одежда","Спортивная","Повседневная","Обувь"),CHOOSE(MOD(A1359-1,4)+1,"Молочные","Мясные","Бакалея","Напитки"),CHOOSE(MOD(A1359-1,4)+1,"Мягкая мебель","Корпусная","Офисная","Кухонная"))</f>
        <v>Корпусная</v>
      </c>
      <c r="K1359" s="12" t="n">
        <f aca="false">1000+MOD(A1359*317+A1359*A1359*7,49001)</f>
        <v>12362</v>
      </c>
      <c r="L1359" s="12" t="n">
        <f aca="false">1+MOD(A1359*131,100)</f>
        <v>99</v>
      </c>
      <c r="M1359" s="12" t="n">
        <f aca="false">INT(K1359*(0.6+MOD(A1359*43,21)/100))</f>
        <v>9147</v>
      </c>
      <c r="N1359" s="12" t="n">
        <f aca="false">K1359-M1359</f>
        <v>3215</v>
      </c>
    </row>
    <row r="1360" customFormat="false" ht="12.8" hidden="false" customHeight="false" outlineLevel="0" collapsed="false">
      <c r="A1360" s="10" t="n">
        <f aca="false">A1359+1</f>
        <v>1359</v>
      </c>
      <c r="B1360" s="11" t="n">
        <f aca="false">B1359+1</f>
        <v>46285</v>
      </c>
      <c r="C1360" s="10" t="n">
        <f aca="false">YEAR(B1360)</f>
        <v>2026</v>
      </c>
      <c r="D1360" s="10" t="n">
        <f aca="false">INT((MONTH(B1360)-1)/3)+1</f>
        <v>3</v>
      </c>
      <c r="E1360" s="10" t="n">
        <f aca="false">MONTH(B1360)</f>
        <v>9</v>
      </c>
      <c r="F1360" s="10" t="str">
        <f aca="false">CHOOSE(MOD(A1360-1,5)+1,"Центр","Юг","Север","Запад","Восток")</f>
        <v>Запад</v>
      </c>
      <c r="G1360" s="10" t="str">
        <f aca="false">"Округ_"&amp;(MOD(A1360-1,5)+1)&amp;"_"&amp;(MOD(INT((A1360-1)/5),5)+1)</f>
        <v>Округ_4_2</v>
      </c>
      <c r="H1360" s="10" t="str">
        <f aca="false">"Город_"&amp;(MOD(A1360-1,5)+1)&amp;"_"&amp;(MOD(INT((A1360-1)/5),5)+1)&amp;"_"&amp;(MOD(INT((A1360-1)/25),10)+1)</f>
        <v>Город_4_2_5</v>
      </c>
      <c r="I1360" s="10" t="str">
        <f aca="false">CHOOSE(MOD(A1360-1,4)+1,"Электроника","Одежда","Продукты","Мебель")</f>
        <v>Продукты</v>
      </c>
      <c r="J1360" s="10" t="str">
        <f aca="false">CHOOSE(MOD(INT((A1360-1)/4),4)+1,CHOOSE(MOD(A1360-1,4)+1,"Смартфоны","Ноутбуки","Аксессуары","Аудио"),CHOOSE(MOD(A1360-1,4)+1,"Верхняя одежда","Спортивная","Повседневная","Обувь"),CHOOSE(MOD(A1360-1,4)+1,"Молочные","Мясные","Бакалея","Напитки"),CHOOSE(MOD(A1360-1,4)+1,"Мягкая мебель","Корпусная","Офисная","Кухонная"))</f>
        <v>Офисная</v>
      </c>
      <c r="K1360" s="12" t="n">
        <f aca="false">1000+MOD(A1360*317+A1360*A1360*7,49001)</f>
        <v>31698</v>
      </c>
      <c r="L1360" s="12" t="n">
        <f aca="false">1+MOD(A1360*131,100)</f>
        <v>30</v>
      </c>
      <c r="M1360" s="12" t="n">
        <f aca="false">INT(K1360*(0.6+MOD(A1360*43,21)/100))</f>
        <v>23773</v>
      </c>
      <c r="N1360" s="12" t="n">
        <f aca="false">K1360-M1360</f>
        <v>7925</v>
      </c>
    </row>
    <row r="1361" customFormat="false" ht="12.8" hidden="false" customHeight="false" outlineLevel="0" collapsed="false">
      <c r="A1361" s="10" t="n">
        <f aca="false">A1360+1</f>
        <v>1360</v>
      </c>
      <c r="B1361" s="11" t="n">
        <f aca="false">B1360+1</f>
        <v>46286</v>
      </c>
      <c r="C1361" s="10" t="n">
        <f aca="false">YEAR(B1361)</f>
        <v>2026</v>
      </c>
      <c r="D1361" s="10" t="n">
        <f aca="false">INT((MONTH(B1361)-1)/3)+1</f>
        <v>3</v>
      </c>
      <c r="E1361" s="10" t="n">
        <f aca="false">MONTH(B1361)</f>
        <v>9</v>
      </c>
      <c r="F1361" s="10" t="str">
        <f aca="false">CHOOSE(MOD(A1361-1,5)+1,"Центр","Юг","Север","Запад","Восток")</f>
        <v>Восток</v>
      </c>
      <c r="G1361" s="10" t="str">
        <f aca="false">"Округ_"&amp;(MOD(A1361-1,5)+1)&amp;"_"&amp;(MOD(INT((A1361-1)/5),5)+1)</f>
        <v>Округ_5_2</v>
      </c>
      <c r="H1361" s="10" t="str">
        <f aca="false">"Город_"&amp;(MOD(A1361-1,5)+1)&amp;"_"&amp;(MOD(INT((A1361-1)/5),5)+1)&amp;"_"&amp;(MOD(INT((A1361-1)/25),10)+1)</f>
        <v>Город_5_2_5</v>
      </c>
      <c r="I1361" s="10" t="str">
        <f aca="false">CHOOSE(MOD(A1361-1,4)+1,"Электроника","Одежда","Продукты","Мебель")</f>
        <v>Мебель</v>
      </c>
      <c r="J1361" s="10" t="str">
        <f aca="false">CHOOSE(MOD(INT((A1361-1)/4),4)+1,CHOOSE(MOD(A1361-1,4)+1,"Смартфоны","Ноутбуки","Аксессуары","Аудио"),CHOOSE(MOD(A1361-1,4)+1,"Верхняя одежда","Спортивная","Повседневная","Обувь"),CHOOSE(MOD(A1361-1,4)+1,"Молочные","Мясные","Бакалея","Напитки"),CHOOSE(MOD(A1361-1,4)+1,"Мягкая мебель","Корпусная","Офисная","Кухонная"))</f>
        <v>Кухонная</v>
      </c>
      <c r="K1361" s="12" t="n">
        <f aca="false">1000+MOD(A1361*317+A1361*A1361*7,49001)</f>
        <v>2047</v>
      </c>
      <c r="L1361" s="12" t="n">
        <f aca="false">1+MOD(A1361*131,100)</f>
        <v>61</v>
      </c>
      <c r="M1361" s="12" t="n">
        <f aca="false">INT(K1361*(0.6+MOD(A1361*43,21)/100))</f>
        <v>1555</v>
      </c>
      <c r="N1361" s="12" t="n">
        <f aca="false">K1361-M1361</f>
        <v>492</v>
      </c>
    </row>
    <row r="1362" customFormat="false" ht="12.8" hidden="false" customHeight="false" outlineLevel="0" collapsed="false">
      <c r="A1362" s="10" t="n">
        <f aca="false">A1361+1</f>
        <v>1361</v>
      </c>
      <c r="B1362" s="11" t="n">
        <f aca="false">B1361+1</f>
        <v>46287</v>
      </c>
      <c r="C1362" s="10" t="n">
        <f aca="false">YEAR(B1362)</f>
        <v>2026</v>
      </c>
      <c r="D1362" s="10" t="n">
        <f aca="false">INT((MONTH(B1362)-1)/3)+1</f>
        <v>3</v>
      </c>
      <c r="E1362" s="10" t="n">
        <f aca="false">MONTH(B1362)</f>
        <v>9</v>
      </c>
      <c r="F1362" s="10" t="str">
        <f aca="false">CHOOSE(MOD(A1362-1,5)+1,"Центр","Юг","Север","Запад","Восток")</f>
        <v>Центр</v>
      </c>
      <c r="G1362" s="10" t="str">
        <f aca="false">"Округ_"&amp;(MOD(A1362-1,5)+1)&amp;"_"&amp;(MOD(INT((A1362-1)/5),5)+1)</f>
        <v>Округ_1_3</v>
      </c>
      <c r="H1362" s="10" t="str">
        <f aca="false">"Город_"&amp;(MOD(A1362-1,5)+1)&amp;"_"&amp;(MOD(INT((A1362-1)/5),5)+1)&amp;"_"&amp;(MOD(INT((A1362-1)/25),10)+1)</f>
        <v>Город_1_3_5</v>
      </c>
      <c r="I1362" s="10" t="str">
        <f aca="false">CHOOSE(MOD(A1362-1,4)+1,"Электроника","Одежда","Продукты","Мебель")</f>
        <v>Электроника</v>
      </c>
      <c r="J1362" s="10" t="str">
        <f aca="false">CHOOSE(MOD(INT((A1362-1)/4),4)+1,CHOOSE(MOD(A1362-1,4)+1,"Смартфоны","Ноутбуки","Аксессуары","Аудио"),CHOOSE(MOD(A1362-1,4)+1,"Верхняя одежда","Спортивная","Повседневная","Обувь"),CHOOSE(MOD(A1362-1,4)+1,"Молочные","Мясные","Бакалея","Напитки"),CHOOSE(MOD(A1362-1,4)+1,"Мягкая мебель","Корпусная","Офисная","Кухонная"))</f>
        <v>Смартфоны</v>
      </c>
      <c r="K1362" s="12" t="n">
        <f aca="false">1000+MOD(A1362*317+A1362*A1362*7,49001)</f>
        <v>21411</v>
      </c>
      <c r="L1362" s="12" t="n">
        <f aca="false">1+MOD(A1362*131,100)</f>
        <v>92</v>
      </c>
      <c r="M1362" s="12" t="n">
        <f aca="false">INT(K1362*(0.6+MOD(A1362*43,21)/100))</f>
        <v>16486</v>
      </c>
      <c r="N1362" s="12" t="n">
        <f aca="false">K1362-M1362</f>
        <v>4925</v>
      </c>
    </row>
    <row r="1363" customFormat="false" ht="12.8" hidden="false" customHeight="false" outlineLevel="0" collapsed="false">
      <c r="A1363" s="10" t="n">
        <f aca="false">A1362+1</f>
        <v>1362</v>
      </c>
      <c r="B1363" s="11" t="n">
        <f aca="false">B1362+1</f>
        <v>46288</v>
      </c>
      <c r="C1363" s="10" t="n">
        <f aca="false">YEAR(B1363)</f>
        <v>2026</v>
      </c>
      <c r="D1363" s="10" t="n">
        <f aca="false">INT((MONTH(B1363)-1)/3)+1</f>
        <v>3</v>
      </c>
      <c r="E1363" s="10" t="n">
        <f aca="false">MONTH(B1363)</f>
        <v>9</v>
      </c>
      <c r="F1363" s="10" t="str">
        <f aca="false">CHOOSE(MOD(A1363-1,5)+1,"Центр","Юг","Север","Запад","Восток")</f>
        <v>Юг</v>
      </c>
      <c r="G1363" s="10" t="str">
        <f aca="false">"Округ_"&amp;(MOD(A1363-1,5)+1)&amp;"_"&amp;(MOD(INT((A1363-1)/5),5)+1)</f>
        <v>Округ_2_3</v>
      </c>
      <c r="H1363" s="10" t="str">
        <f aca="false">"Город_"&amp;(MOD(A1363-1,5)+1)&amp;"_"&amp;(MOD(INT((A1363-1)/5),5)+1)&amp;"_"&amp;(MOD(INT((A1363-1)/25),10)+1)</f>
        <v>Город_2_3_5</v>
      </c>
      <c r="I1363" s="10" t="str">
        <f aca="false">CHOOSE(MOD(A1363-1,4)+1,"Электроника","Одежда","Продукты","Мебель")</f>
        <v>Одежда</v>
      </c>
      <c r="J1363" s="10" t="str">
        <f aca="false">CHOOSE(MOD(INT((A1363-1)/4),4)+1,CHOOSE(MOD(A1363-1,4)+1,"Смартфоны","Ноутбуки","Аксессуары","Аудио"),CHOOSE(MOD(A1363-1,4)+1,"Верхняя одежда","Спортивная","Повседневная","Обувь"),CHOOSE(MOD(A1363-1,4)+1,"Молочные","Мясные","Бакалея","Напитки"),CHOOSE(MOD(A1363-1,4)+1,"Мягкая мебель","Корпусная","Офисная","Кухонная"))</f>
        <v>Ноутбуки</v>
      </c>
      <c r="K1363" s="12" t="n">
        <f aca="false">1000+MOD(A1363*317+A1363*A1363*7,49001)</f>
        <v>40789</v>
      </c>
      <c r="L1363" s="12" t="n">
        <f aca="false">1+MOD(A1363*131,100)</f>
        <v>23</v>
      </c>
      <c r="M1363" s="12" t="n">
        <f aca="false">INT(K1363*(0.6+MOD(A1363*43,21)/100))</f>
        <v>31815</v>
      </c>
      <c r="N1363" s="12" t="n">
        <f aca="false">K1363-M1363</f>
        <v>8974</v>
      </c>
    </row>
    <row r="1364" customFormat="false" ht="12.8" hidden="false" customHeight="false" outlineLevel="0" collapsed="false">
      <c r="A1364" s="10" t="n">
        <f aca="false">A1363+1</f>
        <v>1363</v>
      </c>
      <c r="B1364" s="11" t="n">
        <f aca="false">B1363+1</f>
        <v>46289</v>
      </c>
      <c r="C1364" s="10" t="n">
        <f aca="false">YEAR(B1364)</f>
        <v>2026</v>
      </c>
      <c r="D1364" s="10" t="n">
        <f aca="false">INT((MONTH(B1364)-1)/3)+1</f>
        <v>3</v>
      </c>
      <c r="E1364" s="10" t="n">
        <f aca="false">MONTH(B1364)</f>
        <v>9</v>
      </c>
      <c r="F1364" s="10" t="str">
        <f aca="false">CHOOSE(MOD(A1364-1,5)+1,"Центр","Юг","Север","Запад","Восток")</f>
        <v>Север</v>
      </c>
      <c r="G1364" s="10" t="str">
        <f aca="false">"Округ_"&amp;(MOD(A1364-1,5)+1)&amp;"_"&amp;(MOD(INT((A1364-1)/5),5)+1)</f>
        <v>Округ_3_3</v>
      </c>
      <c r="H1364" s="10" t="str">
        <f aca="false">"Город_"&amp;(MOD(A1364-1,5)+1)&amp;"_"&amp;(MOD(INT((A1364-1)/5),5)+1)&amp;"_"&amp;(MOD(INT((A1364-1)/25),10)+1)</f>
        <v>Город_3_3_5</v>
      </c>
      <c r="I1364" s="10" t="str">
        <f aca="false">CHOOSE(MOD(A1364-1,4)+1,"Электроника","Одежда","Продукты","Мебель")</f>
        <v>Продукты</v>
      </c>
      <c r="J1364" s="10" t="str">
        <f aca="false">CHOOSE(MOD(INT((A1364-1)/4),4)+1,CHOOSE(MOD(A1364-1,4)+1,"Смартфоны","Ноутбуки","Аксессуары","Аудио"),CHOOSE(MOD(A1364-1,4)+1,"Верхняя одежда","Спортивная","Повседневная","Обувь"),CHOOSE(MOD(A1364-1,4)+1,"Молочные","Мясные","Бакалея","Напитки"),CHOOSE(MOD(A1364-1,4)+1,"Мягкая мебель","Корпусная","Офисная","Кухонная"))</f>
        <v>Аксессуары</v>
      </c>
      <c r="K1364" s="12" t="n">
        <f aca="false">1000+MOD(A1364*317+A1364*A1364*7,49001)</f>
        <v>11180</v>
      </c>
      <c r="L1364" s="12" t="n">
        <f aca="false">1+MOD(A1364*131,100)</f>
        <v>54</v>
      </c>
      <c r="M1364" s="12" t="n">
        <f aca="false">INT(K1364*(0.6+MOD(A1364*43,21)/100))</f>
        <v>8832</v>
      </c>
      <c r="N1364" s="12" t="n">
        <f aca="false">K1364-M1364</f>
        <v>2348</v>
      </c>
    </row>
    <row r="1365" customFormat="false" ht="12.8" hidden="false" customHeight="false" outlineLevel="0" collapsed="false">
      <c r="A1365" s="10" t="n">
        <f aca="false">A1364+1</f>
        <v>1364</v>
      </c>
      <c r="B1365" s="11" t="n">
        <f aca="false">B1364+1</f>
        <v>46290</v>
      </c>
      <c r="C1365" s="10" t="n">
        <f aca="false">YEAR(B1365)</f>
        <v>2026</v>
      </c>
      <c r="D1365" s="10" t="n">
        <f aca="false">INT((MONTH(B1365)-1)/3)+1</f>
        <v>3</v>
      </c>
      <c r="E1365" s="10" t="n">
        <f aca="false">MONTH(B1365)</f>
        <v>9</v>
      </c>
      <c r="F1365" s="10" t="str">
        <f aca="false">CHOOSE(MOD(A1365-1,5)+1,"Центр","Юг","Север","Запад","Восток")</f>
        <v>Запад</v>
      </c>
      <c r="G1365" s="10" t="str">
        <f aca="false">"Округ_"&amp;(MOD(A1365-1,5)+1)&amp;"_"&amp;(MOD(INT((A1365-1)/5),5)+1)</f>
        <v>Округ_4_3</v>
      </c>
      <c r="H1365" s="10" t="str">
        <f aca="false">"Город_"&amp;(MOD(A1365-1,5)+1)&amp;"_"&amp;(MOD(INT((A1365-1)/5),5)+1)&amp;"_"&amp;(MOD(INT((A1365-1)/25),10)+1)</f>
        <v>Город_4_3_5</v>
      </c>
      <c r="I1365" s="10" t="str">
        <f aca="false">CHOOSE(MOD(A1365-1,4)+1,"Электроника","Одежда","Продукты","Мебель")</f>
        <v>Мебель</v>
      </c>
      <c r="J1365" s="10" t="str">
        <f aca="false">CHOOSE(MOD(INT((A1365-1)/4),4)+1,CHOOSE(MOD(A1365-1,4)+1,"Смартфоны","Ноутбуки","Аксессуары","Аудио"),CHOOSE(MOD(A1365-1,4)+1,"Верхняя одежда","Спортивная","Повседневная","Обувь"),CHOOSE(MOD(A1365-1,4)+1,"Молочные","Мясные","Бакалея","Напитки"),CHOOSE(MOD(A1365-1,4)+1,"Мягкая мебель","Корпусная","Офисная","Кухонная"))</f>
        <v>Аудио</v>
      </c>
      <c r="K1365" s="12" t="n">
        <f aca="false">1000+MOD(A1365*317+A1365*A1365*7,49001)</f>
        <v>30586</v>
      </c>
      <c r="L1365" s="12" t="n">
        <f aca="false">1+MOD(A1365*131,100)</f>
        <v>85</v>
      </c>
      <c r="M1365" s="12" t="n">
        <f aca="false">INT(K1365*(0.6+MOD(A1365*43,21)/100))</f>
        <v>24468</v>
      </c>
      <c r="N1365" s="12" t="n">
        <f aca="false">K1365-M1365</f>
        <v>6118</v>
      </c>
    </row>
    <row r="1366" customFormat="false" ht="12.8" hidden="false" customHeight="false" outlineLevel="0" collapsed="false">
      <c r="A1366" s="10" t="n">
        <f aca="false">A1365+1</f>
        <v>1365</v>
      </c>
      <c r="B1366" s="11" t="n">
        <f aca="false">B1365+1</f>
        <v>46291</v>
      </c>
      <c r="C1366" s="10" t="n">
        <f aca="false">YEAR(B1366)</f>
        <v>2026</v>
      </c>
      <c r="D1366" s="10" t="n">
        <f aca="false">INT((MONTH(B1366)-1)/3)+1</f>
        <v>3</v>
      </c>
      <c r="E1366" s="10" t="n">
        <f aca="false">MONTH(B1366)</f>
        <v>9</v>
      </c>
      <c r="F1366" s="10" t="str">
        <f aca="false">CHOOSE(MOD(A1366-1,5)+1,"Центр","Юг","Север","Запад","Восток")</f>
        <v>Восток</v>
      </c>
      <c r="G1366" s="10" t="str">
        <f aca="false">"Округ_"&amp;(MOD(A1366-1,5)+1)&amp;"_"&amp;(MOD(INT((A1366-1)/5),5)+1)</f>
        <v>Округ_5_3</v>
      </c>
      <c r="H1366" s="10" t="str">
        <f aca="false">"Город_"&amp;(MOD(A1366-1,5)+1)&amp;"_"&amp;(MOD(INT((A1366-1)/5),5)+1)&amp;"_"&amp;(MOD(INT((A1366-1)/25),10)+1)</f>
        <v>Город_5_3_5</v>
      </c>
      <c r="I1366" s="10" t="str">
        <f aca="false">CHOOSE(MOD(A1366-1,4)+1,"Электроника","Одежда","Продукты","Мебель")</f>
        <v>Электроника</v>
      </c>
      <c r="J1366" s="10" t="str">
        <f aca="false">CHOOSE(MOD(INT((A1366-1)/4),4)+1,CHOOSE(MOD(A1366-1,4)+1,"Смартфоны","Ноутбуки","Аксессуары","Аудио"),CHOOSE(MOD(A1366-1,4)+1,"Верхняя одежда","Спортивная","Повседневная","Обувь"),CHOOSE(MOD(A1366-1,4)+1,"Молочные","Мясные","Бакалея","Напитки"),CHOOSE(MOD(A1366-1,4)+1,"Мягкая мебель","Корпусная","Офисная","Кухонная"))</f>
        <v>Верхняя одежда</v>
      </c>
      <c r="K1366" s="12" t="n">
        <f aca="false">1000+MOD(A1366*317+A1366*A1366*7,49001)</f>
        <v>1005</v>
      </c>
      <c r="L1366" s="12" t="n">
        <f aca="false">1+MOD(A1366*131,100)</f>
        <v>16</v>
      </c>
      <c r="M1366" s="12" t="n">
        <f aca="false">INT(K1366*(0.6+MOD(A1366*43,21)/100))</f>
        <v>603</v>
      </c>
      <c r="N1366" s="12" t="n">
        <f aca="false">K1366-M1366</f>
        <v>402</v>
      </c>
    </row>
    <row r="1367" customFormat="false" ht="12.8" hidden="false" customHeight="false" outlineLevel="0" collapsed="false">
      <c r="A1367" s="10" t="n">
        <f aca="false">A1366+1</f>
        <v>1366</v>
      </c>
      <c r="B1367" s="11" t="n">
        <f aca="false">B1366+1</f>
        <v>46292</v>
      </c>
      <c r="C1367" s="10" t="n">
        <f aca="false">YEAR(B1367)</f>
        <v>2026</v>
      </c>
      <c r="D1367" s="10" t="n">
        <f aca="false">INT((MONTH(B1367)-1)/3)+1</f>
        <v>3</v>
      </c>
      <c r="E1367" s="10" t="n">
        <f aca="false">MONTH(B1367)</f>
        <v>9</v>
      </c>
      <c r="F1367" s="10" t="str">
        <f aca="false">CHOOSE(MOD(A1367-1,5)+1,"Центр","Юг","Север","Запад","Восток")</f>
        <v>Центр</v>
      </c>
      <c r="G1367" s="10" t="str">
        <f aca="false">"Округ_"&amp;(MOD(A1367-1,5)+1)&amp;"_"&amp;(MOD(INT((A1367-1)/5),5)+1)</f>
        <v>Округ_1_4</v>
      </c>
      <c r="H1367" s="10" t="str">
        <f aca="false">"Город_"&amp;(MOD(A1367-1,5)+1)&amp;"_"&amp;(MOD(INT((A1367-1)/5),5)+1)&amp;"_"&amp;(MOD(INT((A1367-1)/25),10)+1)</f>
        <v>Город_1_4_5</v>
      </c>
      <c r="I1367" s="10" t="str">
        <f aca="false">CHOOSE(MOD(A1367-1,4)+1,"Электроника","Одежда","Продукты","Мебель")</f>
        <v>Одежда</v>
      </c>
      <c r="J1367" s="10" t="str">
        <f aca="false">CHOOSE(MOD(INT((A1367-1)/4),4)+1,CHOOSE(MOD(A1367-1,4)+1,"Смартфоны","Ноутбуки","Аксессуары","Аудио"),CHOOSE(MOD(A1367-1,4)+1,"Верхняя одежда","Спортивная","Повседневная","Обувь"),CHOOSE(MOD(A1367-1,4)+1,"Молочные","Мясные","Бакалея","Напитки"),CHOOSE(MOD(A1367-1,4)+1,"Мягкая мебель","Корпусная","Офисная","Кухонная"))</f>
        <v>Спортивная</v>
      </c>
      <c r="K1367" s="12" t="n">
        <f aca="false">1000+MOD(A1367*317+A1367*A1367*7,49001)</f>
        <v>20439</v>
      </c>
      <c r="L1367" s="12" t="n">
        <f aca="false">1+MOD(A1367*131,100)</f>
        <v>47</v>
      </c>
      <c r="M1367" s="12" t="n">
        <f aca="false">INT(K1367*(0.6+MOD(A1367*43,21)/100))</f>
        <v>12467</v>
      </c>
      <c r="N1367" s="12" t="n">
        <f aca="false">K1367-M1367</f>
        <v>7972</v>
      </c>
    </row>
    <row r="1368" customFormat="false" ht="12.8" hidden="false" customHeight="false" outlineLevel="0" collapsed="false">
      <c r="A1368" s="10" t="n">
        <f aca="false">A1367+1</f>
        <v>1367</v>
      </c>
      <c r="B1368" s="11" t="n">
        <f aca="false">B1367+1</f>
        <v>46293</v>
      </c>
      <c r="C1368" s="10" t="n">
        <f aca="false">YEAR(B1368)</f>
        <v>2026</v>
      </c>
      <c r="D1368" s="10" t="n">
        <f aca="false">INT((MONTH(B1368)-1)/3)+1</f>
        <v>3</v>
      </c>
      <c r="E1368" s="10" t="n">
        <f aca="false">MONTH(B1368)</f>
        <v>9</v>
      </c>
      <c r="F1368" s="10" t="str">
        <f aca="false">CHOOSE(MOD(A1368-1,5)+1,"Центр","Юг","Север","Запад","Восток")</f>
        <v>Юг</v>
      </c>
      <c r="G1368" s="10" t="str">
        <f aca="false">"Округ_"&amp;(MOD(A1368-1,5)+1)&amp;"_"&amp;(MOD(INT((A1368-1)/5),5)+1)</f>
        <v>Округ_2_4</v>
      </c>
      <c r="H1368" s="10" t="str">
        <f aca="false">"Город_"&amp;(MOD(A1368-1,5)+1)&amp;"_"&amp;(MOD(INT((A1368-1)/5),5)+1)&amp;"_"&amp;(MOD(INT((A1368-1)/25),10)+1)</f>
        <v>Город_2_4_5</v>
      </c>
      <c r="I1368" s="10" t="str">
        <f aca="false">CHOOSE(MOD(A1368-1,4)+1,"Электроника","Одежда","Продукты","Мебель")</f>
        <v>Продукты</v>
      </c>
      <c r="J1368" s="10" t="str">
        <f aca="false">CHOOSE(MOD(INT((A1368-1)/4),4)+1,CHOOSE(MOD(A1368-1,4)+1,"Смартфоны","Ноутбуки","Аксессуары","Аудио"),CHOOSE(MOD(A1368-1,4)+1,"Верхняя одежда","Спортивная","Повседневная","Обувь"),CHOOSE(MOD(A1368-1,4)+1,"Молочные","Мясные","Бакалея","Напитки"),CHOOSE(MOD(A1368-1,4)+1,"Мягкая мебель","Корпусная","Офисная","Кухонная"))</f>
        <v>Повседневная</v>
      </c>
      <c r="K1368" s="12" t="n">
        <f aca="false">1000+MOD(A1368*317+A1368*A1368*7,49001)</f>
        <v>39887</v>
      </c>
      <c r="L1368" s="12" t="n">
        <f aca="false">1+MOD(A1368*131,100)</f>
        <v>78</v>
      </c>
      <c r="M1368" s="12" t="n">
        <f aca="false">INT(K1368*(0.6+MOD(A1368*43,21)/100))</f>
        <v>24729</v>
      </c>
      <c r="N1368" s="12" t="n">
        <f aca="false">K1368-M1368</f>
        <v>15158</v>
      </c>
    </row>
    <row r="1369" customFormat="false" ht="12.8" hidden="false" customHeight="false" outlineLevel="0" collapsed="false">
      <c r="A1369" s="10" t="n">
        <f aca="false">A1368+1</f>
        <v>1368</v>
      </c>
      <c r="B1369" s="11" t="n">
        <f aca="false">B1368+1</f>
        <v>46294</v>
      </c>
      <c r="C1369" s="10" t="n">
        <f aca="false">YEAR(B1369)</f>
        <v>2026</v>
      </c>
      <c r="D1369" s="10" t="n">
        <f aca="false">INT((MONTH(B1369)-1)/3)+1</f>
        <v>3</v>
      </c>
      <c r="E1369" s="10" t="n">
        <f aca="false">MONTH(B1369)</f>
        <v>9</v>
      </c>
      <c r="F1369" s="10" t="str">
        <f aca="false">CHOOSE(MOD(A1369-1,5)+1,"Центр","Юг","Север","Запад","Восток")</f>
        <v>Север</v>
      </c>
      <c r="G1369" s="10" t="str">
        <f aca="false">"Округ_"&amp;(MOD(A1369-1,5)+1)&amp;"_"&amp;(MOD(INT((A1369-1)/5),5)+1)</f>
        <v>Округ_3_4</v>
      </c>
      <c r="H1369" s="10" t="str">
        <f aca="false">"Город_"&amp;(MOD(A1369-1,5)+1)&amp;"_"&amp;(MOD(INT((A1369-1)/5),5)+1)&amp;"_"&amp;(MOD(INT((A1369-1)/25),10)+1)</f>
        <v>Город_3_4_5</v>
      </c>
      <c r="I1369" s="10" t="str">
        <f aca="false">CHOOSE(MOD(A1369-1,4)+1,"Электроника","Одежда","Продукты","Мебель")</f>
        <v>Мебель</v>
      </c>
      <c r="J1369" s="10" t="str">
        <f aca="false">CHOOSE(MOD(INT((A1369-1)/4),4)+1,CHOOSE(MOD(A1369-1,4)+1,"Смартфоны","Ноутбуки","Аксессуары","Аудио"),CHOOSE(MOD(A1369-1,4)+1,"Верхняя одежда","Спортивная","Повседневная","Обувь"),CHOOSE(MOD(A1369-1,4)+1,"Молочные","Мясные","Бакалея","Напитки"),CHOOSE(MOD(A1369-1,4)+1,"Мягкая мебель","Корпусная","Офисная","Кухонная"))</f>
        <v>Обувь</v>
      </c>
      <c r="K1369" s="12" t="n">
        <f aca="false">1000+MOD(A1369*317+A1369*A1369*7,49001)</f>
        <v>10348</v>
      </c>
      <c r="L1369" s="12" t="n">
        <f aca="false">1+MOD(A1369*131,100)</f>
        <v>9</v>
      </c>
      <c r="M1369" s="12" t="n">
        <f aca="false">INT(K1369*(0.6+MOD(A1369*43,21)/100))</f>
        <v>6519</v>
      </c>
      <c r="N1369" s="12" t="n">
        <f aca="false">K1369-M1369</f>
        <v>3829</v>
      </c>
    </row>
    <row r="1370" customFormat="false" ht="12.8" hidden="false" customHeight="false" outlineLevel="0" collapsed="false">
      <c r="A1370" s="10" t="n">
        <f aca="false">A1369+1</f>
        <v>1369</v>
      </c>
      <c r="B1370" s="11" t="n">
        <f aca="false">B1369+1</f>
        <v>46295</v>
      </c>
      <c r="C1370" s="10" t="n">
        <f aca="false">YEAR(B1370)</f>
        <v>2026</v>
      </c>
      <c r="D1370" s="10" t="n">
        <f aca="false">INT((MONTH(B1370)-1)/3)+1</f>
        <v>3</v>
      </c>
      <c r="E1370" s="10" t="n">
        <f aca="false">MONTH(B1370)</f>
        <v>9</v>
      </c>
      <c r="F1370" s="10" t="str">
        <f aca="false">CHOOSE(MOD(A1370-1,5)+1,"Центр","Юг","Север","Запад","Восток")</f>
        <v>Запад</v>
      </c>
      <c r="G1370" s="10" t="str">
        <f aca="false">"Округ_"&amp;(MOD(A1370-1,5)+1)&amp;"_"&amp;(MOD(INT((A1370-1)/5),5)+1)</f>
        <v>Округ_4_4</v>
      </c>
      <c r="H1370" s="10" t="str">
        <f aca="false">"Город_"&amp;(MOD(A1370-1,5)+1)&amp;"_"&amp;(MOD(INT((A1370-1)/5),5)+1)&amp;"_"&amp;(MOD(INT((A1370-1)/25),10)+1)</f>
        <v>Город_4_4_5</v>
      </c>
      <c r="I1370" s="10" t="str">
        <f aca="false">CHOOSE(MOD(A1370-1,4)+1,"Электроника","Одежда","Продукты","Мебель")</f>
        <v>Электроника</v>
      </c>
      <c r="J1370" s="10" t="str">
        <f aca="false">CHOOSE(MOD(INT((A1370-1)/4),4)+1,CHOOSE(MOD(A1370-1,4)+1,"Смартфоны","Ноутбуки","Аксессуары","Аудио"),CHOOSE(MOD(A1370-1,4)+1,"Верхняя одежда","Спортивная","Повседневная","Обувь"),CHOOSE(MOD(A1370-1,4)+1,"Молочные","Мясные","Бакалея","Напитки"),CHOOSE(MOD(A1370-1,4)+1,"Мягкая мебель","Корпусная","Офисная","Кухонная"))</f>
        <v>Молочные</v>
      </c>
      <c r="K1370" s="12" t="n">
        <f aca="false">1000+MOD(A1370*317+A1370*A1370*7,49001)</f>
        <v>29824</v>
      </c>
      <c r="L1370" s="12" t="n">
        <f aca="false">1+MOD(A1370*131,100)</f>
        <v>40</v>
      </c>
      <c r="M1370" s="12" t="n">
        <f aca="false">INT(K1370*(0.6+MOD(A1370*43,21)/100))</f>
        <v>19087</v>
      </c>
      <c r="N1370" s="12" t="n">
        <f aca="false">K1370-M1370</f>
        <v>10737</v>
      </c>
    </row>
    <row r="1371" customFormat="false" ht="12.8" hidden="false" customHeight="false" outlineLevel="0" collapsed="false">
      <c r="A1371" s="10" t="n">
        <f aca="false">A1370+1</f>
        <v>1370</v>
      </c>
      <c r="B1371" s="11" t="n">
        <f aca="false">B1370+1</f>
        <v>46296</v>
      </c>
      <c r="C1371" s="10" t="n">
        <f aca="false">YEAR(B1371)</f>
        <v>2026</v>
      </c>
      <c r="D1371" s="10" t="n">
        <f aca="false">INT((MONTH(B1371)-1)/3)+1</f>
        <v>4</v>
      </c>
      <c r="E1371" s="10" t="n">
        <f aca="false">MONTH(B1371)</f>
        <v>10</v>
      </c>
      <c r="F1371" s="10" t="str">
        <f aca="false">CHOOSE(MOD(A1371-1,5)+1,"Центр","Юг","Север","Запад","Восток")</f>
        <v>Восток</v>
      </c>
      <c r="G1371" s="10" t="str">
        <f aca="false">"Округ_"&amp;(MOD(A1371-1,5)+1)&amp;"_"&amp;(MOD(INT((A1371-1)/5),5)+1)</f>
        <v>Округ_5_4</v>
      </c>
      <c r="H1371" s="10" t="str">
        <f aca="false">"Город_"&amp;(MOD(A1371-1,5)+1)&amp;"_"&amp;(MOD(INT((A1371-1)/5),5)+1)&amp;"_"&amp;(MOD(INT((A1371-1)/25),10)+1)</f>
        <v>Город_5_4_5</v>
      </c>
      <c r="I1371" s="10" t="str">
        <f aca="false">CHOOSE(MOD(A1371-1,4)+1,"Электроника","Одежда","Продукты","Мебель")</f>
        <v>Одежда</v>
      </c>
      <c r="J1371" s="10" t="str">
        <f aca="false">CHOOSE(MOD(INT((A1371-1)/4),4)+1,CHOOSE(MOD(A1371-1,4)+1,"Смартфоны","Ноутбуки","Аксессуары","Аудио"),CHOOSE(MOD(A1371-1,4)+1,"Верхняя одежда","Спортивная","Повседневная","Обувь"),CHOOSE(MOD(A1371-1,4)+1,"Молочные","Мясные","Бакалея","Напитки"),CHOOSE(MOD(A1371-1,4)+1,"Мягкая мебель","Корпусная","Офисная","Кухонная"))</f>
        <v>Мясные</v>
      </c>
      <c r="K1371" s="12" t="n">
        <f aca="false">1000+MOD(A1371*317+A1371*A1371*7,49001)</f>
        <v>49314</v>
      </c>
      <c r="L1371" s="12" t="n">
        <f aca="false">1+MOD(A1371*131,100)</f>
        <v>71</v>
      </c>
      <c r="M1371" s="12" t="n">
        <f aca="false">INT(K1371*(0.6+MOD(A1371*43,21)/100))</f>
        <v>32054</v>
      </c>
      <c r="N1371" s="12" t="n">
        <f aca="false">K1371-M1371</f>
        <v>17260</v>
      </c>
    </row>
    <row r="1372" customFormat="false" ht="12.8" hidden="false" customHeight="false" outlineLevel="0" collapsed="false">
      <c r="A1372" s="10" t="n">
        <f aca="false">A1371+1</f>
        <v>1371</v>
      </c>
      <c r="B1372" s="11" t="n">
        <f aca="false">B1371+1</f>
        <v>46297</v>
      </c>
      <c r="C1372" s="10" t="n">
        <f aca="false">YEAR(B1372)</f>
        <v>2026</v>
      </c>
      <c r="D1372" s="10" t="n">
        <f aca="false">INT((MONTH(B1372)-1)/3)+1</f>
        <v>4</v>
      </c>
      <c r="E1372" s="10" t="n">
        <f aca="false">MONTH(B1372)</f>
        <v>10</v>
      </c>
      <c r="F1372" s="10" t="str">
        <f aca="false">CHOOSE(MOD(A1372-1,5)+1,"Центр","Юг","Север","Запад","Восток")</f>
        <v>Центр</v>
      </c>
      <c r="G1372" s="10" t="str">
        <f aca="false">"Округ_"&amp;(MOD(A1372-1,5)+1)&amp;"_"&amp;(MOD(INT((A1372-1)/5),5)+1)</f>
        <v>Округ_1_5</v>
      </c>
      <c r="H1372" s="10" t="str">
        <f aca="false">"Город_"&amp;(MOD(A1372-1,5)+1)&amp;"_"&amp;(MOD(INT((A1372-1)/5),5)+1)&amp;"_"&amp;(MOD(INT((A1372-1)/25),10)+1)</f>
        <v>Город_1_5_5</v>
      </c>
      <c r="I1372" s="10" t="str">
        <f aca="false">CHOOSE(MOD(A1372-1,4)+1,"Электроника","Одежда","Продукты","Мебель")</f>
        <v>Продукты</v>
      </c>
      <c r="J1372" s="10" t="str">
        <f aca="false">CHOOSE(MOD(INT((A1372-1)/4),4)+1,CHOOSE(MOD(A1372-1,4)+1,"Смартфоны","Ноутбуки","Аксессуары","Аудио"),CHOOSE(MOD(A1372-1,4)+1,"Верхняя одежда","Спортивная","Повседневная","Обувь"),CHOOSE(MOD(A1372-1,4)+1,"Молочные","Мясные","Бакалея","Напитки"),CHOOSE(MOD(A1372-1,4)+1,"Мягкая мебель","Корпусная","Офисная","Кухонная"))</f>
        <v>Бакалея</v>
      </c>
      <c r="K1372" s="12" t="n">
        <f aca="false">1000+MOD(A1372*317+A1372*A1372*7,49001)</f>
        <v>19817</v>
      </c>
      <c r="L1372" s="12" t="n">
        <f aca="false">1+MOD(A1372*131,100)</f>
        <v>2</v>
      </c>
      <c r="M1372" s="12" t="n">
        <f aca="false">INT(K1372*(0.6+MOD(A1372*43,21)/100))</f>
        <v>13079</v>
      </c>
      <c r="N1372" s="12" t="n">
        <f aca="false">K1372-M1372</f>
        <v>6738</v>
      </c>
    </row>
    <row r="1373" customFormat="false" ht="12.8" hidden="false" customHeight="false" outlineLevel="0" collapsed="false">
      <c r="A1373" s="10" t="n">
        <f aca="false">A1372+1</f>
        <v>1372</v>
      </c>
      <c r="B1373" s="11" t="n">
        <f aca="false">B1372+1</f>
        <v>46298</v>
      </c>
      <c r="C1373" s="10" t="n">
        <f aca="false">YEAR(B1373)</f>
        <v>2026</v>
      </c>
      <c r="D1373" s="10" t="n">
        <f aca="false">INT((MONTH(B1373)-1)/3)+1</f>
        <v>4</v>
      </c>
      <c r="E1373" s="10" t="n">
        <f aca="false">MONTH(B1373)</f>
        <v>10</v>
      </c>
      <c r="F1373" s="10" t="str">
        <f aca="false">CHOOSE(MOD(A1373-1,5)+1,"Центр","Юг","Север","Запад","Восток")</f>
        <v>Юг</v>
      </c>
      <c r="G1373" s="10" t="str">
        <f aca="false">"Округ_"&amp;(MOD(A1373-1,5)+1)&amp;"_"&amp;(MOD(INT((A1373-1)/5),5)+1)</f>
        <v>Округ_2_5</v>
      </c>
      <c r="H1373" s="10" t="str">
        <f aca="false">"Город_"&amp;(MOD(A1373-1,5)+1)&amp;"_"&amp;(MOD(INT((A1373-1)/5),5)+1)&amp;"_"&amp;(MOD(INT((A1373-1)/25),10)+1)</f>
        <v>Город_2_5_5</v>
      </c>
      <c r="I1373" s="10" t="str">
        <f aca="false">CHOOSE(MOD(A1373-1,4)+1,"Электроника","Одежда","Продукты","Мебель")</f>
        <v>Мебель</v>
      </c>
      <c r="J1373" s="10" t="str">
        <f aca="false">CHOOSE(MOD(INT((A1373-1)/4),4)+1,CHOOSE(MOD(A1373-1,4)+1,"Смартфоны","Ноутбуки","Аксессуары","Аудио"),CHOOSE(MOD(A1373-1,4)+1,"Верхняя одежда","Спортивная","Повседневная","Обувь"),CHOOSE(MOD(A1373-1,4)+1,"Молочные","Мясные","Бакалея","Напитки"),CHOOSE(MOD(A1373-1,4)+1,"Мягкая мебель","Корпусная","Офисная","Кухонная"))</f>
        <v>Напитки</v>
      </c>
      <c r="K1373" s="12" t="n">
        <f aca="false">1000+MOD(A1373*317+A1373*A1373*7,49001)</f>
        <v>39335</v>
      </c>
      <c r="L1373" s="12" t="n">
        <f aca="false">1+MOD(A1373*131,100)</f>
        <v>33</v>
      </c>
      <c r="M1373" s="12" t="n">
        <f aca="false">INT(K1373*(0.6+MOD(A1373*43,21)/100))</f>
        <v>26354</v>
      </c>
      <c r="N1373" s="12" t="n">
        <f aca="false">K1373-M1373</f>
        <v>12981</v>
      </c>
    </row>
    <row r="1374" customFormat="false" ht="12.8" hidden="false" customHeight="false" outlineLevel="0" collapsed="false">
      <c r="A1374" s="10" t="n">
        <f aca="false">A1373+1</f>
        <v>1373</v>
      </c>
      <c r="B1374" s="11" t="n">
        <f aca="false">B1373+1</f>
        <v>46299</v>
      </c>
      <c r="C1374" s="10" t="n">
        <f aca="false">YEAR(B1374)</f>
        <v>2026</v>
      </c>
      <c r="D1374" s="10" t="n">
        <f aca="false">INT((MONTH(B1374)-1)/3)+1</f>
        <v>4</v>
      </c>
      <c r="E1374" s="10" t="n">
        <f aca="false">MONTH(B1374)</f>
        <v>10</v>
      </c>
      <c r="F1374" s="10" t="str">
        <f aca="false">CHOOSE(MOD(A1374-1,5)+1,"Центр","Юг","Север","Запад","Восток")</f>
        <v>Север</v>
      </c>
      <c r="G1374" s="10" t="str">
        <f aca="false">"Округ_"&amp;(MOD(A1374-1,5)+1)&amp;"_"&amp;(MOD(INT((A1374-1)/5),5)+1)</f>
        <v>Округ_3_5</v>
      </c>
      <c r="H1374" s="10" t="str">
        <f aca="false">"Город_"&amp;(MOD(A1374-1,5)+1)&amp;"_"&amp;(MOD(INT((A1374-1)/5),5)+1)&amp;"_"&amp;(MOD(INT((A1374-1)/25),10)+1)</f>
        <v>Город_3_5_5</v>
      </c>
      <c r="I1374" s="10" t="str">
        <f aca="false">CHOOSE(MOD(A1374-1,4)+1,"Электроника","Одежда","Продукты","Мебель")</f>
        <v>Электроника</v>
      </c>
      <c r="J1374" s="10" t="str">
        <f aca="false">CHOOSE(MOD(INT((A1374-1)/4),4)+1,CHOOSE(MOD(A1374-1,4)+1,"Смартфоны","Ноутбуки","Аксессуары","Аудио"),CHOOSE(MOD(A1374-1,4)+1,"Верхняя одежда","Спортивная","Повседневная","Обувь"),CHOOSE(MOD(A1374-1,4)+1,"Молочные","Мясные","Бакалея","Напитки"),CHOOSE(MOD(A1374-1,4)+1,"Мягкая мебель","Корпусная","Офисная","Кухонная"))</f>
        <v>Мягкая мебель</v>
      </c>
      <c r="K1374" s="12" t="n">
        <f aca="false">1000+MOD(A1374*317+A1374*A1374*7,49001)</f>
        <v>9866</v>
      </c>
      <c r="L1374" s="12" t="n">
        <f aca="false">1+MOD(A1374*131,100)</f>
        <v>64</v>
      </c>
      <c r="M1374" s="12" t="n">
        <f aca="false">INT(K1374*(0.6+MOD(A1374*43,21)/100))</f>
        <v>6708</v>
      </c>
      <c r="N1374" s="12" t="n">
        <f aca="false">K1374-M1374</f>
        <v>3158</v>
      </c>
    </row>
    <row r="1375" customFormat="false" ht="12.8" hidden="false" customHeight="false" outlineLevel="0" collapsed="false">
      <c r="A1375" s="10" t="n">
        <f aca="false">A1374+1</f>
        <v>1374</v>
      </c>
      <c r="B1375" s="11" t="n">
        <f aca="false">B1374+1</f>
        <v>46300</v>
      </c>
      <c r="C1375" s="10" t="n">
        <f aca="false">YEAR(B1375)</f>
        <v>2026</v>
      </c>
      <c r="D1375" s="10" t="n">
        <f aca="false">INT((MONTH(B1375)-1)/3)+1</f>
        <v>4</v>
      </c>
      <c r="E1375" s="10" t="n">
        <f aca="false">MONTH(B1375)</f>
        <v>10</v>
      </c>
      <c r="F1375" s="10" t="str">
        <f aca="false">CHOOSE(MOD(A1375-1,5)+1,"Центр","Юг","Север","Запад","Восток")</f>
        <v>Запад</v>
      </c>
      <c r="G1375" s="10" t="str">
        <f aca="false">"Округ_"&amp;(MOD(A1375-1,5)+1)&amp;"_"&amp;(MOD(INT((A1375-1)/5),5)+1)</f>
        <v>Округ_4_5</v>
      </c>
      <c r="H1375" s="10" t="str">
        <f aca="false">"Город_"&amp;(MOD(A1375-1,5)+1)&amp;"_"&amp;(MOD(INT((A1375-1)/5),5)+1)&amp;"_"&amp;(MOD(INT((A1375-1)/25),10)+1)</f>
        <v>Город_4_5_5</v>
      </c>
      <c r="I1375" s="10" t="str">
        <f aca="false">CHOOSE(MOD(A1375-1,4)+1,"Электроника","Одежда","Продукты","Мебель")</f>
        <v>Одежда</v>
      </c>
      <c r="J1375" s="10" t="str">
        <f aca="false">CHOOSE(MOD(INT((A1375-1)/4),4)+1,CHOOSE(MOD(A1375-1,4)+1,"Смартфоны","Ноутбуки","Аксессуары","Аудио"),CHOOSE(MOD(A1375-1,4)+1,"Верхняя одежда","Спортивная","Повседневная","Обувь"),CHOOSE(MOD(A1375-1,4)+1,"Молочные","Мясные","Бакалея","Напитки"),CHOOSE(MOD(A1375-1,4)+1,"Мягкая мебель","Корпусная","Офисная","Кухонная"))</f>
        <v>Корпусная</v>
      </c>
      <c r="K1375" s="12" t="n">
        <f aca="false">1000+MOD(A1375*317+A1375*A1375*7,49001)</f>
        <v>29412</v>
      </c>
      <c r="L1375" s="12" t="n">
        <f aca="false">1+MOD(A1375*131,100)</f>
        <v>95</v>
      </c>
      <c r="M1375" s="12" t="n">
        <f aca="false">INT(K1375*(0.6+MOD(A1375*43,21)/100))</f>
        <v>20294</v>
      </c>
      <c r="N1375" s="12" t="n">
        <f aca="false">K1375-M1375</f>
        <v>9118</v>
      </c>
    </row>
    <row r="1376" customFormat="false" ht="12.8" hidden="false" customHeight="false" outlineLevel="0" collapsed="false">
      <c r="A1376" s="10" t="n">
        <f aca="false">A1375+1</f>
        <v>1375</v>
      </c>
      <c r="B1376" s="11" t="n">
        <f aca="false">B1375+1</f>
        <v>46301</v>
      </c>
      <c r="C1376" s="10" t="n">
        <f aca="false">YEAR(B1376)</f>
        <v>2026</v>
      </c>
      <c r="D1376" s="10" t="n">
        <f aca="false">INT((MONTH(B1376)-1)/3)+1</f>
        <v>4</v>
      </c>
      <c r="E1376" s="10" t="n">
        <f aca="false">MONTH(B1376)</f>
        <v>10</v>
      </c>
      <c r="F1376" s="10" t="str">
        <f aca="false">CHOOSE(MOD(A1376-1,5)+1,"Центр","Юг","Север","Запад","Восток")</f>
        <v>Восток</v>
      </c>
      <c r="G1376" s="10" t="str">
        <f aca="false">"Округ_"&amp;(MOD(A1376-1,5)+1)&amp;"_"&amp;(MOD(INT((A1376-1)/5),5)+1)</f>
        <v>Округ_5_5</v>
      </c>
      <c r="H1376" s="10" t="str">
        <f aca="false">"Город_"&amp;(MOD(A1376-1,5)+1)&amp;"_"&amp;(MOD(INT((A1376-1)/5),5)+1)&amp;"_"&amp;(MOD(INT((A1376-1)/25),10)+1)</f>
        <v>Город_5_5_5</v>
      </c>
      <c r="I1376" s="10" t="str">
        <f aca="false">CHOOSE(MOD(A1376-1,4)+1,"Электроника","Одежда","Продукты","Мебель")</f>
        <v>Продукты</v>
      </c>
      <c r="J1376" s="10" t="str">
        <f aca="false">CHOOSE(MOD(INT((A1376-1)/4),4)+1,CHOOSE(MOD(A1376-1,4)+1,"Смартфоны","Ноутбуки","Аксессуары","Аудио"),CHOOSE(MOD(A1376-1,4)+1,"Верхняя одежда","Спортивная","Повседневная","Обувь"),CHOOSE(MOD(A1376-1,4)+1,"Молочные","Мясные","Бакалея","Напитки"),CHOOSE(MOD(A1376-1,4)+1,"Мягкая мебель","Корпусная","Офисная","Кухонная"))</f>
        <v>Офисная</v>
      </c>
      <c r="K1376" s="12" t="n">
        <f aca="false">1000+MOD(A1376*317+A1376*A1376*7,49001)</f>
        <v>48972</v>
      </c>
      <c r="L1376" s="12" t="n">
        <f aca="false">1+MOD(A1376*131,100)</f>
        <v>26</v>
      </c>
      <c r="M1376" s="12" t="n">
        <f aca="false">INT(K1376*(0.6+MOD(A1376*43,21)/100))</f>
        <v>34280</v>
      </c>
      <c r="N1376" s="12" t="n">
        <f aca="false">K1376-M1376</f>
        <v>14692</v>
      </c>
    </row>
    <row r="1377" customFormat="false" ht="12.8" hidden="false" customHeight="false" outlineLevel="0" collapsed="false">
      <c r="A1377" s="10" t="n">
        <f aca="false">A1376+1</f>
        <v>1376</v>
      </c>
      <c r="B1377" s="11" t="n">
        <f aca="false">B1376+1</f>
        <v>46302</v>
      </c>
      <c r="C1377" s="10" t="n">
        <f aca="false">YEAR(B1377)</f>
        <v>2026</v>
      </c>
      <c r="D1377" s="10" t="n">
        <f aca="false">INT((MONTH(B1377)-1)/3)+1</f>
        <v>4</v>
      </c>
      <c r="E1377" s="10" t="n">
        <f aca="false">MONTH(B1377)</f>
        <v>10</v>
      </c>
      <c r="F1377" s="10" t="str">
        <f aca="false">CHOOSE(MOD(A1377-1,5)+1,"Центр","Юг","Север","Запад","Восток")</f>
        <v>Центр</v>
      </c>
      <c r="G1377" s="10" t="str">
        <f aca="false">"Округ_"&amp;(MOD(A1377-1,5)+1)&amp;"_"&amp;(MOD(INT((A1377-1)/5),5)+1)</f>
        <v>Округ_1_1</v>
      </c>
      <c r="H1377" s="10" t="str">
        <f aca="false">"Город_"&amp;(MOD(A1377-1,5)+1)&amp;"_"&amp;(MOD(INT((A1377-1)/5),5)+1)&amp;"_"&amp;(MOD(INT((A1377-1)/25),10)+1)</f>
        <v>Город_1_1_6</v>
      </c>
      <c r="I1377" s="10" t="str">
        <f aca="false">CHOOSE(MOD(A1377-1,4)+1,"Электроника","Одежда","Продукты","Мебель")</f>
        <v>Мебель</v>
      </c>
      <c r="J1377" s="10" t="str">
        <f aca="false">CHOOSE(MOD(INT((A1377-1)/4),4)+1,CHOOSE(MOD(A1377-1,4)+1,"Смартфоны","Ноутбуки","Аксессуары","Аудио"),CHOOSE(MOD(A1377-1,4)+1,"Верхняя одежда","Спортивная","Повседневная","Обувь"),CHOOSE(MOD(A1377-1,4)+1,"Молочные","Мясные","Бакалея","Напитки"),CHOOSE(MOD(A1377-1,4)+1,"Мягкая мебель","Корпусная","Офисная","Кухонная"))</f>
        <v>Кухонная</v>
      </c>
      <c r="K1377" s="12" t="n">
        <f aca="false">1000+MOD(A1377*317+A1377*A1377*7,49001)</f>
        <v>19545</v>
      </c>
      <c r="L1377" s="12" t="n">
        <f aca="false">1+MOD(A1377*131,100)</f>
        <v>57</v>
      </c>
      <c r="M1377" s="12" t="n">
        <f aca="false">INT(K1377*(0.6+MOD(A1377*43,21)/100))</f>
        <v>13876</v>
      </c>
      <c r="N1377" s="12" t="n">
        <f aca="false">K1377-M1377</f>
        <v>5669</v>
      </c>
    </row>
    <row r="1378" customFormat="false" ht="12.8" hidden="false" customHeight="false" outlineLevel="0" collapsed="false">
      <c r="A1378" s="10" t="n">
        <f aca="false">A1377+1</f>
        <v>1377</v>
      </c>
      <c r="B1378" s="11" t="n">
        <f aca="false">B1377+1</f>
        <v>46303</v>
      </c>
      <c r="C1378" s="10" t="n">
        <f aca="false">YEAR(B1378)</f>
        <v>2026</v>
      </c>
      <c r="D1378" s="10" t="n">
        <f aca="false">INT((MONTH(B1378)-1)/3)+1</f>
        <v>4</v>
      </c>
      <c r="E1378" s="10" t="n">
        <f aca="false">MONTH(B1378)</f>
        <v>10</v>
      </c>
      <c r="F1378" s="10" t="str">
        <f aca="false">CHOOSE(MOD(A1378-1,5)+1,"Центр","Юг","Север","Запад","Восток")</f>
        <v>Юг</v>
      </c>
      <c r="G1378" s="10" t="str">
        <f aca="false">"Округ_"&amp;(MOD(A1378-1,5)+1)&amp;"_"&amp;(MOD(INT((A1378-1)/5),5)+1)</f>
        <v>Округ_2_1</v>
      </c>
      <c r="H1378" s="10" t="str">
        <f aca="false">"Город_"&amp;(MOD(A1378-1,5)+1)&amp;"_"&amp;(MOD(INT((A1378-1)/5),5)+1)&amp;"_"&amp;(MOD(INT((A1378-1)/25),10)+1)</f>
        <v>Город_2_1_6</v>
      </c>
      <c r="I1378" s="10" t="str">
        <f aca="false">CHOOSE(MOD(A1378-1,4)+1,"Электроника","Одежда","Продукты","Мебель")</f>
        <v>Электроника</v>
      </c>
      <c r="J1378" s="10" t="str">
        <f aca="false">CHOOSE(MOD(INT((A1378-1)/4),4)+1,CHOOSE(MOD(A1378-1,4)+1,"Смартфоны","Ноутбуки","Аксессуары","Аудио"),CHOOSE(MOD(A1378-1,4)+1,"Верхняя одежда","Спортивная","Повседневная","Обувь"),CHOOSE(MOD(A1378-1,4)+1,"Молочные","Мясные","Бакалея","Напитки"),CHOOSE(MOD(A1378-1,4)+1,"Мягкая мебель","Корпусная","Офисная","Кухонная"))</f>
        <v>Смартфоны</v>
      </c>
      <c r="K1378" s="12" t="n">
        <f aca="false">1000+MOD(A1378*317+A1378*A1378*7,49001)</f>
        <v>39133</v>
      </c>
      <c r="L1378" s="12" t="n">
        <f aca="false">1+MOD(A1378*131,100)</f>
        <v>88</v>
      </c>
      <c r="M1378" s="12" t="n">
        <f aca="false">INT(K1378*(0.6+MOD(A1378*43,21)/100))</f>
        <v>28175</v>
      </c>
      <c r="N1378" s="12" t="n">
        <f aca="false">K1378-M1378</f>
        <v>10958</v>
      </c>
    </row>
    <row r="1379" customFormat="false" ht="12.8" hidden="false" customHeight="false" outlineLevel="0" collapsed="false">
      <c r="A1379" s="10" t="n">
        <f aca="false">A1378+1</f>
        <v>1378</v>
      </c>
      <c r="B1379" s="11" t="n">
        <f aca="false">B1378+1</f>
        <v>46304</v>
      </c>
      <c r="C1379" s="10" t="n">
        <f aca="false">YEAR(B1379)</f>
        <v>2026</v>
      </c>
      <c r="D1379" s="10" t="n">
        <f aca="false">INT((MONTH(B1379)-1)/3)+1</f>
        <v>4</v>
      </c>
      <c r="E1379" s="10" t="n">
        <f aca="false">MONTH(B1379)</f>
        <v>10</v>
      </c>
      <c r="F1379" s="10" t="str">
        <f aca="false">CHOOSE(MOD(A1379-1,5)+1,"Центр","Юг","Север","Запад","Восток")</f>
        <v>Север</v>
      </c>
      <c r="G1379" s="10" t="str">
        <f aca="false">"Округ_"&amp;(MOD(A1379-1,5)+1)&amp;"_"&amp;(MOD(INT((A1379-1)/5),5)+1)</f>
        <v>Округ_3_1</v>
      </c>
      <c r="H1379" s="10" t="str">
        <f aca="false">"Город_"&amp;(MOD(A1379-1,5)+1)&amp;"_"&amp;(MOD(INT((A1379-1)/5),5)+1)&amp;"_"&amp;(MOD(INT((A1379-1)/25),10)+1)</f>
        <v>Город_3_1_6</v>
      </c>
      <c r="I1379" s="10" t="str">
        <f aca="false">CHOOSE(MOD(A1379-1,4)+1,"Электроника","Одежда","Продукты","Мебель")</f>
        <v>Одежда</v>
      </c>
      <c r="J1379" s="10" t="str">
        <f aca="false">CHOOSE(MOD(INT((A1379-1)/4),4)+1,CHOOSE(MOD(A1379-1,4)+1,"Смартфоны","Ноутбуки","Аксессуары","Аудио"),CHOOSE(MOD(A1379-1,4)+1,"Верхняя одежда","Спортивная","Повседневная","Обувь"),CHOOSE(MOD(A1379-1,4)+1,"Молочные","Мясные","Бакалея","Напитки"),CHOOSE(MOD(A1379-1,4)+1,"Мягкая мебель","Корпусная","Офисная","Кухонная"))</f>
        <v>Ноутбуки</v>
      </c>
      <c r="K1379" s="12" t="n">
        <f aca="false">1000+MOD(A1379*317+A1379*A1379*7,49001)</f>
        <v>9734</v>
      </c>
      <c r="L1379" s="12" t="n">
        <f aca="false">1+MOD(A1379*131,100)</f>
        <v>19</v>
      </c>
      <c r="M1379" s="12" t="n">
        <f aca="false">INT(K1379*(0.6+MOD(A1379*43,21)/100))</f>
        <v>7105</v>
      </c>
      <c r="N1379" s="12" t="n">
        <f aca="false">K1379-M1379</f>
        <v>2629</v>
      </c>
    </row>
    <row r="1380" customFormat="false" ht="12.8" hidden="false" customHeight="false" outlineLevel="0" collapsed="false">
      <c r="A1380" s="10" t="n">
        <f aca="false">A1379+1</f>
        <v>1379</v>
      </c>
      <c r="B1380" s="11" t="n">
        <f aca="false">B1379+1</f>
        <v>46305</v>
      </c>
      <c r="C1380" s="10" t="n">
        <f aca="false">YEAR(B1380)</f>
        <v>2026</v>
      </c>
      <c r="D1380" s="10" t="n">
        <f aca="false">INT((MONTH(B1380)-1)/3)+1</f>
        <v>4</v>
      </c>
      <c r="E1380" s="10" t="n">
        <f aca="false">MONTH(B1380)</f>
        <v>10</v>
      </c>
      <c r="F1380" s="10" t="str">
        <f aca="false">CHOOSE(MOD(A1380-1,5)+1,"Центр","Юг","Север","Запад","Восток")</f>
        <v>Запад</v>
      </c>
      <c r="G1380" s="10" t="str">
        <f aca="false">"Округ_"&amp;(MOD(A1380-1,5)+1)&amp;"_"&amp;(MOD(INT((A1380-1)/5),5)+1)</f>
        <v>Округ_4_1</v>
      </c>
      <c r="H1380" s="10" t="str">
        <f aca="false">"Город_"&amp;(MOD(A1380-1,5)+1)&amp;"_"&amp;(MOD(INT((A1380-1)/5),5)+1)&amp;"_"&amp;(MOD(INT((A1380-1)/25),10)+1)</f>
        <v>Город_4_1_6</v>
      </c>
      <c r="I1380" s="10" t="str">
        <f aca="false">CHOOSE(MOD(A1380-1,4)+1,"Электроника","Одежда","Продукты","Мебель")</f>
        <v>Продукты</v>
      </c>
      <c r="J1380" s="10" t="str">
        <f aca="false">CHOOSE(MOD(INT((A1380-1)/4),4)+1,CHOOSE(MOD(A1380-1,4)+1,"Смартфоны","Ноутбуки","Аксессуары","Аудио"),CHOOSE(MOD(A1380-1,4)+1,"Верхняя одежда","Спортивная","Повседневная","Обувь"),CHOOSE(MOD(A1380-1,4)+1,"Молочные","Мясные","Бакалея","Напитки"),CHOOSE(MOD(A1380-1,4)+1,"Мягкая мебель","Корпусная","Офисная","Кухонная"))</f>
        <v>Аксессуары</v>
      </c>
      <c r="K1380" s="12" t="n">
        <f aca="false">1000+MOD(A1380*317+A1380*A1380*7,49001)</f>
        <v>29350</v>
      </c>
      <c r="L1380" s="12" t="n">
        <f aca="false">1+MOD(A1380*131,100)</f>
        <v>50</v>
      </c>
      <c r="M1380" s="12" t="n">
        <f aca="false">INT(K1380*(0.6+MOD(A1380*43,21)/100))</f>
        <v>21719</v>
      </c>
      <c r="N1380" s="12" t="n">
        <f aca="false">K1380-M1380</f>
        <v>7631</v>
      </c>
    </row>
    <row r="1381" customFormat="false" ht="12.8" hidden="false" customHeight="false" outlineLevel="0" collapsed="false">
      <c r="A1381" s="10" t="n">
        <f aca="false">A1380+1</f>
        <v>1380</v>
      </c>
      <c r="B1381" s="11" t="n">
        <f aca="false">B1380+1</f>
        <v>46306</v>
      </c>
      <c r="C1381" s="10" t="n">
        <f aca="false">YEAR(B1381)</f>
        <v>2026</v>
      </c>
      <c r="D1381" s="10" t="n">
        <f aca="false">INT((MONTH(B1381)-1)/3)+1</f>
        <v>4</v>
      </c>
      <c r="E1381" s="10" t="n">
        <f aca="false">MONTH(B1381)</f>
        <v>10</v>
      </c>
      <c r="F1381" s="10" t="str">
        <f aca="false">CHOOSE(MOD(A1381-1,5)+1,"Центр","Юг","Север","Запад","Восток")</f>
        <v>Восток</v>
      </c>
      <c r="G1381" s="10" t="str">
        <f aca="false">"Округ_"&amp;(MOD(A1381-1,5)+1)&amp;"_"&amp;(MOD(INT((A1381-1)/5),5)+1)</f>
        <v>Округ_5_1</v>
      </c>
      <c r="H1381" s="10" t="str">
        <f aca="false">"Город_"&amp;(MOD(A1381-1,5)+1)&amp;"_"&amp;(MOD(INT((A1381-1)/5),5)+1)&amp;"_"&amp;(MOD(INT((A1381-1)/25),10)+1)</f>
        <v>Город_5_1_6</v>
      </c>
      <c r="I1381" s="10" t="str">
        <f aca="false">CHOOSE(MOD(A1381-1,4)+1,"Электроника","Одежда","Продукты","Мебель")</f>
        <v>Мебель</v>
      </c>
      <c r="J1381" s="10" t="str">
        <f aca="false">CHOOSE(MOD(INT((A1381-1)/4),4)+1,CHOOSE(MOD(A1381-1,4)+1,"Смартфоны","Ноутбуки","Аксессуары","Аудио"),CHOOSE(MOD(A1381-1,4)+1,"Верхняя одежда","Спортивная","Повседневная","Обувь"),CHOOSE(MOD(A1381-1,4)+1,"Молочные","Мясные","Бакалея","Напитки"),CHOOSE(MOD(A1381-1,4)+1,"Мягкая мебель","Корпусная","Офисная","Кухонная"))</f>
        <v>Аудио</v>
      </c>
      <c r="K1381" s="12" t="n">
        <f aca="false">1000+MOD(A1381*317+A1381*A1381*7,49001)</f>
        <v>48980</v>
      </c>
      <c r="L1381" s="12" t="n">
        <f aca="false">1+MOD(A1381*131,100)</f>
        <v>81</v>
      </c>
      <c r="M1381" s="12" t="n">
        <f aca="false">INT(K1381*(0.6+MOD(A1381*43,21)/100))</f>
        <v>36735</v>
      </c>
      <c r="N1381" s="12" t="n">
        <f aca="false">K1381-M1381</f>
        <v>12245</v>
      </c>
    </row>
    <row r="1382" customFormat="false" ht="12.8" hidden="false" customHeight="false" outlineLevel="0" collapsed="false">
      <c r="A1382" s="10" t="n">
        <f aca="false">A1381+1</f>
        <v>1381</v>
      </c>
      <c r="B1382" s="11" t="n">
        <f aca="false">B1381+1</f>
        <v>46307</v>
      </c>
      <c r="C1382" s="10" t="n">
        <f aca="false">YEAR(B1382)</f>
        <v>2026</v>
      </c>
      <c r="D1382" s="10" t="n">
        <f aca="false">INT((MONTH(B1382)-1)/3)+1</f>
        <v>4</v>
      </c>
      <c r="E1382" s="10" t="n">
        <f aca="false">MONTH(B1382)</f>
        <v>10</v>
      </c>
      <c r="F1382" s="10" t="str">
        <f aca="false">CHOOSE(MOD(A1382-1,5)+1,"Центр","Юг","Север","Запад","Восток")</f>
        <v>Центр</v>
      </c>
      <c r="G1382" s="10" t="str">
        <f aca="false">"Округ_"&amp;(MOD(A1382-1,5)+1)&amp;"_"&amp;(MOD(INT((A1382-1)/5),5)+1)</f>
        <v>Округ_1_2</v>
      </c>
      <c r="H1382" s="10" t="str">
        <f aca="false">"Город_"&amp;(MOD(A1382-1,5)+1)&amp;"_"&amp;(MOD(INT((A1382-1)/5),5)+1)&amp;"_"&amp;(MOD(INT((A1382-1)/25),10)+1)</f>
        <v>Город_1_2_6</v>
      </c>
      <c r="I1382" s="10" t="str">
        <f aca="false">CHOOSE(MOD(A1382-1,4)+1,"Электроника","Одежда","Продукты","Мебель")</f>
        <v>Электроника</v>
      </c>
      <c r="J1382" s="10" t="str">
        <f aca="false">CHOOSE(MOD(INT((A1382-1)/4),4)+1,CHOOSE(MOD(A1382-1,4)+1,"Смартфоны","Ноутбуки","Аксессуары","Аудио"),CHOOSE(MOD(A1382-1,4)+1,"Верхняя одежда","Спортивная","Повседневная","Обувь"),CHOOSE(MOD(A1382-1,4)+1,"Молочные","Мясные","Бакалея","Напитки"),CHOOSE(MOD(A1382-1,4)+1,"Мягкая мебель","Корпусная","Офисная","Кухонная"))</f>
        <v>Верхняя одежда</v>
      </c>
      <c r="K1382" s="12" t="n">
        <f aca="false">1000+MOD(A1382*317+A1382*A1382*7,49001)</f>
        <v>19623</v>
      </c>
      <c r="L1382" s="12" t="n">
        <f aca="false">1+MOD(A1382*131,100)</f>
        <v>12</v>
      </c>
      <c r="M1382" s="12" t="n">
        <f aca="false">INT(K1382*(0.6+MOD(A1382*43,21)/100))</f>
        <v>14913</v>
      </c>
      <c r="N1382" s="12" t="n">
        <f aca="false">K1382-M1382</f>
        <v>4710</v>
      </c>
    </row>
    <row r="1383" customFormat="false" ht="12.8" hidden="false" customHeight="false" outlineLevel="0" collapsed="false">
      <c r="A1383" s="10" t="n">
        <f aca="false">A1382+1</f>
        <v>1382</v>
      </c>
      <c r="B1383" s="11" t="n">
        <f aca="false">B1382+1</f>
        <v>46308</v>
      </c>
      <c r="C1383" s="10" t="n">
        <f aca="false">YEAR(B1383)</f>
        <v>2026</v>
      </c>
      <c r="D1383" s="10" t="n">
        <f aca="false">INT((MONTH(B1383)-1)/3)+1</f>
        <v>4</v>
      </c>
      <c r="E1383" s="10" t="n">
        <f aca="false">MONTH(B1383)</f>
        <v>10</v>
      </c>
      <c r="F1383" s="10" t="str">
        <f aca="false">CHOOSE(MOD(A1383-1,5)+1,"Центр","Юг","Север","Запад","Восток")</f>
        <v>Юг</v>
      </c>
      <c r="G1383" s="10" t="str">
        <f aca="false">"Округ_"&amp;(MOD(A1383-1,5)+1)&amp;"_"&amp;(MOD(INT((A1383-1)/5),5)+1)</f>
        <v>Округ_2_2</v>
      </c>
      <c r="H1383" s="10" t="str">
        <f aca="false">"Город_"&amp;(MOD(A1383-1,5)+1)&amp;"_"&amp;(MOD(INT((A1383-1)/5),5)+1)&amp;"_"&amp;(MOD(INT((A1383-1)/25),10)+1)</f>
        <v>Город_2_2_6</v>
      </c>
      <c r="I1383" s="10" t="str">
        <f aca="false">CHOOSE(MOD(A1383-1,4)+1,"Электроника","Одежда","Продукты","Мебель")</f>
        <v>Одежда</v>
      </c>
      <c r="J1383" s="10" t="str">
        <f aca="false">CHOOSE(MOD(INT((A1383-1)/4),4)+1,CHOOSE(MOD(A1383-1,4)+1,"Смартфоны","Ноутбуки","Аксессуары","Аудио"),CHOOSE(MOD(A1383-1,4)+1,"Верхняя одежда","Спортивная","Повседневная","Обувь"),CHOOSE(MOD(A1383-1,4)+1,"Молочные","Мясные","Бакалея","Напитки"),CHOOSE(MOD(A1383-1,4)+1,"Мягкая мебель","Корпусная","Офисная","Кухонная"))</f>
        <v>Спортивная</v>
      </c>
      <c r="K1383" s="12" t="n">
        <f aca="false">1000+MOD(A1383*317+A1383*A1383*7,49001)</f>
        <v>39281</v>
      </c>
      <c r="L1383" s="12" t="n">
        <f aca="false">1+MOD(A1383*131,100)</f>
        <v>43</v>
      </c>
      <c r="M1383" s="12" t="n">
        <f aca="false">INT(K1383*(0.6+MOD(A1383*43,21)/100))</f>
        <v>30246</v>
      </c>
      <c r="N1383" s="12" t="n">
        <f aca="false">K1383-M1383</f>
        <v>9035</v>
      </c>
    </row>
    <row r="1384" customFormat="false" ht="12.8" hidden="false" customHeight="false" outlineLevel="0" collapsed="false">
      <c r="A1384" s="10" t="n">
        <f aca="false">A1383+1</f>
        <v>1383</v>
      </c>
      <c r="B1384" s="11" t="n">
        <f aca="false">B1383+1</f>
        <v>46309</v>
      </c>
      <c r="C1384" s="10" t="n">
        <f aca="false">YEAR(B1384)</f>
        <v>2026</v>
      </c>
      <c r="D1384" s="10" t="n">
        <f aca="false">INT((MONTH(B1384)-1)/3)+1</f>
        <v>4</v>
      </c>
      <c r="E1384" s="10" t="n">
        <f aca="false">MONTH(B1384)</f>
        <v>10</v>
      </c>
      <c r="F1384" s="10" t="str">
        <f aca="false">CHOOSE(MOD(A1384-1,5)+1,"Центр","Юг","Север","Запад","Восток")</f>
        <v>Север</v>
      </c>
      <c r="G1384" s="10" t="str">
        <f aca="false">"Округ_"&amp;(MOD(A1384-1,5)+1)&amp;"_"&amp;(MOD(INT((A1384-1)/5),5)+1)</f>
        <v>Округ_3_2</v>
      </c>
      <c r="H1384" s="10" t="str">
        <f aca="false">"Город_"&amp;(MOD(A1384-1,5)+1)&amp;"_"&amp;(MOD(INT((A1384-1)/5),5)+1)&amp;"_"&amp;(MOD(INT((A1384-1)/25),10)+1)</f>
        <v>Город_3_2_6</v>
      </c>
      <c r="I1384" s="10" t="str">
        <f aca="false">CHOOSE(MOD(A1384-1,4)+1,"Электроника","Одежда","Продукты","Мебель")</f>
        <v>Продукты</v>
      </c>
      <c r="J1384" s="10" t="str">
        <f aca="false">CHOOSE(MOD(INT((A1384-1)/4),4)+1,CHOOSE(MOD(A1384-1,4)+1,"Смартфоны","Ноутбуки","Аксессуары","Аудио"),CHOOSE(MOD(A1384-1,4)+1,"Верхняя одежда","Спортивная","Повседневная","Обувь"),CHOOSE(MOD(A1384-1,4)+1,"Молочные","Мясные","Бакалея","Напитки"),CHOOSE(MOD(A1384-1,4)+1,"Мягкая мебель","Корпусная","Офисная","Кухонная"))</f>
        <v>Повседневная</v>
      </c>
      <c r="K1384" s="12" t="n">
        <f aca="false">1000+MOD(A1384*317+A1384*A1384*7,49001)</f>
        <v>9952</v>
      </c>
      <c r="L1384" s="12" t="n">
        <f aca="false">1+MOD(A1384*131,100)</f>
        <v>74</v>
      </c>
      <c r="M1384" s="12" t="n">
        <f aca="false">INT(K1384*(0.6+MOD(A1384*43,21)/100))</f>
        <v>7762</v>
      </c>
      <c r="N1384" s="12" t="n">
        <f aca="false">K1384-M1384</f>
        <v>2190</v>
      </c>
    </row>
    <row r="1385" customFormat="false" ht="12.8" hidden="false" customHeight="false" outlineLevel="0" collapsed="false">
      <c r="A1385" s="10" t="n">
        <f aca="false">A1384+1</f>
        <v>1384</v>
      </c>
      <c r="B1385" s="11" t="n">
        <f aca="false">B1384+1</f>
        <v>46310</v>
      </c>
      <c r="C1385" s="10" t="n">
        <f aca="false">YEAR(B1385)</f>
        <v>2026</v>
      </c>
      <c r="D1385" s="10" t="n">
        <f aca="false">INT((MONTH(B1385)-1)/3)+1</f>
        <v>4</v>
      </c>
      <c r="E1385" s="10" t="n">
        <f aca="false">MONTH(B1385)</f>
        <v>10</v>
      </c>
      <c r="F1385" s="10" t="str">
        <f aca="false">CHOOSE(MOD(A1385-1,5)+1,"Центр","Юг","Север","Запад","Восток")</f>
        <v>Запад</v>
      </c>
      <c r="G1385" s="10" t="str">
        <f aca="false">"Округ_"&amp;(MOD(A1385-1,5)+1)&amp;"_"&amp;(MOD(INT((A1385-1)/5),5)+1)</f>
        <v>Округ_4_2</v>
      </c>
      <c r="H1385" s="10" t="str">
        <f aca="false">"Город_"&amp;(MOD(A1385-1,5)+1)&amp;"_"&amp;(MOD(INT((A1385-1)/5),5)+1)&amp;"_"&amp;(MOD(INT((A1385-1)/25),10)+1)</f>
        <v>Город_4_2_6</v>
      </c>
      <c r="I1385" s="10" t="str">
        <f aca="false">CHOOSE(MOD(A1385-1,4)+1,"Электроника","Одежда","Продукты","Мебель")</f>
        <v>Мебель</v>
      </c>
      <c r="J1385" s="10" t="str">
        <f aca="false">CHOOSE(MOD(INT((A1385-1)/4),4)+1,CHOOSE(MOD(A1385-1,4)+1,"Смартфоны","Ноутбуки","Аксессуары","Аудио"),CHOOSE(MOD(A1385-1,4)+1,"Верхняя одежда","Спортивная","Повседневная","Обувь"),CHOOSE(MOD(A1385-1,4)+1,"Молочные","Мясные","Бакалея","Напитки"),CHOOSE(MOD(A1385-1,4)+1,"Мягкая мебель","Корпусная","Офисная","Кухонная"))</f>
        <v>Обувь</v>
      </c>
      <c r="K1385" s="12" t="n">
        <f aca="false">1000+MOD(A1385*317+A1385*A1385*7,49001)</f>
        <v>29638</v>
      </c>
      <c r="L1385" s="12" t="n">
        <f aca="false">1+MOD(A1385*131,100)</f>
        <v>5</v>
      </c>
      <c r="M1385" s="12" t="n">
        <f aca="false">INT(K1385*(0.6+MOD(A1385*43,21)/100))</f>
        <v>23414</v>
      </c>
      <c r="N1385" s="12" t="n">
        <f aca="false">K1385-M1385</f>
        <v>6224</v>
      </c>
    </row>
    <row r="1386" customFormat="false" ht="12.8" hidden="false" customHeight="false" outlineLevel="0" collapsed="false">
      <c r="A1386" s="10" t="n">
        <f aca="false">A1385+1</f>
        <v>1385</v>
      </c>
      <c r="B1386" s="11" t="n">
        <f aca="false">B1385+1</f>
        <v>46311</v>
      </c>
      <c r="C1386" s="10" t="n">
        <f aca="false">YEAR(B1386)</f>
        <v>2026</v>
      </c>
      <c r="D1386" s="10" t="n">
        <f aca="false">INT((MONTH(B1386)-1)/3)+1</f>
        <v>4</v>
      </c>
      <c r="E1386" s="10" t="n">
        <f aca="false">MONTH(B1386)</f>
        <v>10</v>
      </c>
      <c r="F1386" s="10" t="str">
        <f aca="false">CHOOSE(MOD(A1386-1,5)+1,"Центр","Юг","Север","Запад","Восток")</f>
        <v>Восток</v>
      </c>
      <c r="G1386" s="10" t="str">
        <f aca="false">"Округ_"&amp;(MOD(A1386-1,5)+1)&amp;"_"&amp;(MOD(INT((A1386-1)/5),5)+1)</f>
        <v>Округ_5_2</v>
      </c>
      <c r="H1386" s="10" t="str">
        <f aca="false">"Город_"&amp;(MOD(A1386-1,5)+1)&amp;"_"&amp;(MOD(INT((A1386-1)/5),5)+1)&amp;"_"&amp;(MOD(INT((A1386-1)/25),10)+1)</f>
        <v>Город_5_2_6</v>
      </c>
      <c r="I1386" s="10" t="str">
        <f aca="false">CHOOSE(MOD(A1386-1,4)+1,"Электроника","Одежда","Продукты","Мебель")</f>
        <v>Электроника</v>
      </c>
      <c r="J1386" s="10" t="str">
        <f aca="false">CHOOSE(MOD(INT((A1386-1)/4),4)+1,CHOOSE(MOD(A1386-1,4)+1,"Смартфоны","Ноутбуки","Аксессуары","Аудио"),CHOOSE(MOD(A1386-1,4)+1,"Верхняя одежда","Спортивная","Повседневная","Обувь"),CHOOSE(MOD(A1386-1,4)+1,"Молочные","Мясные","Бакалея","Напитки"),CHOOSE(MOD(A1386-1,4)+1,"Мягкая мебель","Корпусная","Офисная","Кухонная"))</f>
        <v>Молочные</v>
      </c>
      <c r="K1386" s="12" t="n">
        <f aca="false">1000+MOD(A1386*317+A1386*A1386*7,49001)</f>
        <v>49338</v>
      </c>
      <c r="L1386" s="12" t="n">
        <f aca="false">1+MOD(A1386*131,100)</f>
        <v>36</v>
      </c>
      <c r="M1386" s="12" t="n">
        <f aca="false">INT(K1386*(0.6+MOD(A1386*43,21)/100))</f>
        <v>39470</v>
      </c>
      <c r="N1386" s="12" t="n">
        <f aca="false">K1386-M1386</f>
        <v>9868</v>
      </c>
    </row>
    <row r="1387" customFormat="false" ht="12.8" hidden="false" customHeight="false" outlineLevel="0" collapsed="false">
      <c r="A1387" s="10" t="n">
        <f aca="false">A1386+1</f>
        <v>1386</v>
      </c>
      <c r="B1387" s="11" t="n">
        <f aca="false">B1386+1</f>
        <v>46312</v>
      </c>
      <c r="C1387" s="10" t="n">
        <f aca="false">YEAR(B1387)</f>
        <v>2026</v>
      </c>
      <c r="D1387" s="10" t="n">
        <f aca="false">INT((MONTH(B1387)-1)/3)+1</f>
        <v>4</v>
      </c>
      <c r="E1387" s="10" t="n">
        <f aca="false">MONTH(B1387)</f>
        <v>10</v>
      </c>
      <c r="F1387" s="10" t="str">
        <f aca="false">CHOOSE(MOD(A1387-1,5)+1,"Центр","Юг","Север","Запад","Восток")</f>
        <v>Центр</v>
      </c>
      <c r="G1387" s="10" t="str">
        <f aca="false">"Округ_"&amp;(MOD(A1387-1,5)+1)&amp;"_"&amp;(MOD(INT((A1387-1)/5),5)+1)</f>
        <v>Округ_1_3</v>
      </c>
      <c r="H1387" s="10" t="str">
        <f aca="false">"Город_"&amp;(MOD(A1387-1,5)+1)&amp;"_"&amp;(MOD(INT((A1387-1)/5),5)+1)&amp;"_"&amp;(MOD(INT((A1387-1)/25),10)+1)</f>
        <v>Город_1_3_6</v>
      </c>
      <c r="I1387" s="10" t="str">
        <f aca="false">CHOOSE(MOD(A1387-1,4)+1,"Электроника","Одежда","Продукты","Мебель")</f>
        <v>Одежда</v>
      </c>
      <c r="J1387" s="10" t="str">
        <f aca="false">CHOOSE(MOD(INT((A1387-1)/4),4)+1,CHOOSE(MOD(A1387-1,4)+1,"Смартфоны","Ноутбуки","Аксессуары","Аудио"),CHOOSE(MOD(A1387-1,4)+1,"Верхняя одежда","Спортивная","Повседневная","Обувь"),CHOOSE(MOD(A1387-1,4)+1,"Молочные","Мясные","Бакалея","Напитки"),CHOOSE(MOD(A1387-1,4)+1,"Мягкая мебель","Корпусная","Офисная","Кухонная"))</f>
        <v>Мясные</v>
      </c>
      <c r="K1387" s="12" t="n">
        <f aca="false">1000+MOD(A1387*317+A1387*A1387*7,49001)</f>
        <v>20051</v>
      </c>
      <c r="L1387" s="12" t="n">
        <f aca="false">1+MOD(A1387*131,100)</f>
        <v>67</v>
      </c>
      <c r="M1387" s="12" t="n">
        <f aca="false">INT(K1387*(0.6+MOD(A1387*43,21)/100))</f>
        <v>12030</v>
      </c>
      <c r="N1387" s="12" t="n">
        <f aca="false">K1387-M1387</f>
        <v>8021</v>
      </c>
    </row>
    <row r="1388" customFormat="false" ht="12.8" hidden="false" customHeight="false" outlineLevel="0" collapsed="false">
      <c r="A1388" s="10" t="n">
        <f aca="false">A1387+1</f>
        <v>1387</v>
      </c>
      <c r="B1388" s="11" t="n">
        <f aca="false">B1387+1</f>
        <v>46313</v>
      </c>
      <c r="C1388" s="10" t="n">
        <f aca="false">YEAR(B1388)</f>
        <v>2026</v>
      </c>
      <c r="D1388" s="10" t="n">
        <f aca="false">INT((MONTH(B1388)-1)/3)+1</f>
        <v>4</v>
      </c>
      <c r="E1388" s="10" t="n">
        <f aca="false">MONTH(B1388)</f>
        <v>10</v>
      </c>
      <c r="F1388" s="10" t="str">
        <f aca="false">CHOOSE(MOD(A1388-1,5)+1,"Центр","Юг","Север","Запад","Восток")</f>
        <v>Юг</v>
      </c>
      <c r="G1388" s="10" t="str">
        <f aca="false">"Округ_"&amp;(MOD(A1388-1,5)+1)&amp;"_"&amp;(MOD(INT((A1388-1)/5),5)+1)</f>
        <v>Округ_2_3</v>
      </c>
      <c r="H1388" s="10" t="str">
        <f aca="false">"Город_"&amp;(MOD(A1388-1,5)+1)&amp;"_"&amp;(MOD(INT((A1388-1)/5),5)+1)&amp;"_"&amp;(MOD(INT((A1388-1)/25),10)+1)</f>
        <v>Город_2_3_6</v>
      </c>
      <c r="I1388" s="10" t="str">
        <f aca="false">CHOOSE(MOD(A1388-1,4)+1,"Электроника","Одежда","Продукты","Мебель")</f>
        <v>Продукты</v>
      </c>
      <c r="J1388" s="10" t="str">
        <f aca="false">CHOOSE(MOD(INT((A1388-1)/4),4)+1,CHOOSE(MOD(A1388-1,4)+1,"Смартфоны","Ноутбуки","Аксессуары","Аудио"),CHOOSE(MOD(A1388-1,4)+1,"Верхняя одежда","Спортивная","Повседневная","Обувь"),CHOOSE(MOD(A1388-1,4)+1,"Молочные","Мясные","Бакалея","Напитки"),CHOOSE(MOD(A1388-1,4)+1,"Мягкая мебель","Корпусная","Офисная","Кухонная"))</f>
        <v>Бакалея</v>
      </c>
      <c r="K1388" s="12" t="n">
        <f aca="false">1000+MOD(A1388*317+A1388*A1388*7,49001)</f>
        <v>39779</v>
      </c>
      <c r="L1388" s="12" t="n">
        <f aca="false">1+MOD(A1388*131,100)</f>
        <v>98</v>
      </c>
      <c r="M1388" s="12" t="n">
        <f aca="false">INT(K1388*(0.6+MOD(A1388*43,21)/100))</f>
        <v>24265</v>
      </c>
      <c r="N1388" s="12" t="n">
        <f aca="false">K1388-M1388</f>
        <v>15514</v>
      </c>
    </row>
    <row r="1389" customFormat="false" ht="12.8" hidden="false" customHeight="false" outlineLevel="0" collapsed="false">
      <c r="A1389" s="10" t="n">
        <f aca="false">A1388+1</f>
        <v>1388</v>
      </c>
      <c r="B1389" s="11" t="n">
        <f aca="false">B1388+1</f>
        <v>46314</v>
      </c>
      <c r="C1389" s="10" t="n">
        <f aca="false">YEAR(B1389)</f>
        <v>2026</v>
      </c>
      <c r="D1389" s="10" t="n">
        <f aca="false">INT((MONTH(B1389)-1)/3)+1</f>
        <v>4</v>
      </c>
      <c r="E1389" s="10" t="n">
        <f aca="false">MONTH(B1389)</f>
        <v>10</v>
      </c>
      <c r="F1389" s="10" t="str">
        <f aca="false">CHOOSE(MOD(A1389-1,5)+1,"Центр","Юг","Север","Запад","Восток")</f>
        <v>Север</v>
      </c>
      <c r="G1389" s="10" t="str">
        <f aca="false">"Округ_"&amp;(MOD(A1389-1,5)+1)&amp;"_"&amp;(MOD(INT((A1389-1)/5),5)+1)</f>
        <v>Округ_3_3</v>
      </c>
      <c r="H1389" s="10" t="str">
        <f aca="false">"Город_"&amp;(MOD(A1389-1,5)+1)&amp;"_"&amp;(MOD(INT((A1389-1)/5),5)+1)&amp;"_"&amp;(MOD(INT((A1389-1)/25),10)+1)</f>
        <v>Город_3_3_6</v>
      </c>
      <c r="I1389" s="10" t="str">
        <f aca="false">CHOOSE(MOD(A1389-1,4)+1,"Электроника","Одежда","Продукты","Мебель")</f>
        <v>Мебель</v>
      </c>
      <c r="J1389" s="10" t="str">
        <f aca="false">CHOOSE(MOD(INT((A1389-1)/4),4)+1,CHOOSE(MOD(A1389-1,4)+1,"Смартфоны","Ноутбуки","Аксессуары","Аудио"),CHOOSE(MOD(A1389-1,4)+1,"Верхняя одежда","Спортивная","Повседневная","Обувь"),CHOOSE(MOD(A1389-1,4)+1,"Молочные","Мясные","Бакалея","Напитки"),CHOOSE(MOD(A1389-1,4)+1,"Мягкая мебель","Корпусная","Офисная","Кухонная"))</f>
        <v>Напитки</v>
      </c>
      <c r="K1389" s="12" t="n">
        <f aca="false">1000+MOD(A1389*317+A1389*A1389*7,49001)</f>
        <v>10520</v>
      </c>
      <c r="L1389" s="12" t="n">
        <f aca="false">1+MOD(A1389*131,100)</f>
        <v>29</v>
      </c>
      <c r="M1389" s="12" t="n">
        <f aca="false">INT(K1389*(0.6+MOD(A1389*43,21)/100))</f>
        <v>6522</v>
      </c>
      <c r="N1389" s="12" t="n">
        <f aca="false">K1389-M1389</f>
        <v>3998</v>
      </c>
    </row>
    <row r="1390" customFormat="false" ht="12.8" hidden="false" customHeight="false" outlineLevel="0" collapsed="false">
      <c r="A1390" s="10" t="n">
        <f aca="false">A1389+1</f>
        <v>1389</v>
      </c>
      <c r="B1390" s="11" t="n">
        <f aca="false">B1389+1</f>
        <v>46315</v>
      </c>
      <c r="C1390" s="10" t="n">
        <f aca="false">YEAR(B1390)</f>
        <v>2026</v>
      </c>
      <c r="D1390" s="10" t="n">
        <f aca="false">INT((MONTH(B1390)-1)/3)+1</f>
        <v>4</v>
      </c>
      <c r="E1390" s="10" t="n">
        <f aca="false">MONTH(B1390)</f>
        <v>10</v>
      </c>
      <c r="F1390" s="10" t="str">
        <f aca="false">CHOOSE(MOD(A1390-1,5)+1,"Центр","Юг","Север","Запад","Восток")</f>
        <v>Запад</v>
      </c>
      <c r="G1390" s="10" t="str">
        <f aca="false">"Округ_"&amp;(MOD(A1390-1,5)+1)&amp;"_"&amp;(MOD(INT((A1390-1)/5),5)+1)</f>
        <v>Округ_4_3</v>
      </c>
      <c r="H1390" s="10" t="str">
        <f aca="false">"Город_"&amp;(MOD(A1390-1,5)+1)&amp;"_"&amp;(MOD(INT((A1390-1)/5),5)+1)&amp;"_"&amp;(MOD(INT((A1390-1)/25),10)+1)</f>
        <v>Город_4_3_6</v>
      </c>
      <c r="I1390" s="10" t="str">
        <f aca="false">CHOOSE(MOD(A1390-1,4)+1,"Электроника","Одежда","Продукты","Мебель")</f>
        <v>Электроника</v>
      </c>
      <c r="J1390" s="10" t="str">
        <f aca="false">CHOOSE(MOD(INT((A1390-1)/4),4)+1,CHOOSE(MOD(A1390-1,4)+1,"Смартфоны","Ноутбуки","Аксессуары","Аудио"),CHOOSE(MOD(A1390-1,4)+1,"Верхняя одежда","Спортивная","Повседневная","Обувь"),CHOOSE(MOD(A1390-1,4)+1,"Молочные","Мясные","Бакалея","Напитки"),CHOOSE(MOD(A1390-1,4)+1,"Мягкая мебель","Корпусная","Офисная","Кухонная"))</f>
        <v>Мягкая мебель</v>
      </c>
      <c r="K1390" s="12" t="n">
        <f aca="false">1000+MOD(A1390*317+A1390*A1390*7,49001)</f>
        <v>30276</v>
      </c>
      <c r="L1390" s="12" t="n">
        <f aca="false">1+MOD(A1390*131,100)</f>
        <v>60</v>
      </c>
      <c r="M1390" s="12" t="n">
        <f aca="false">INT(K1390*(0.6+MOD(A1390*43,21)/100))</f>
        <v>19073</v>
      </c>
      <c r="N1390" s="12" t="n">
        <f aca="false">K1390-M1390</f>
        <v>11203</v>
      </c>
    </row>
    <row r="1391" customFormat="false" ht="12.8" hidden="false" customHeight="false" outlineLevel="0" collapsed="false">
      <c r="A1391" s="10" t="n">
        <f aca="false">A1390+1</f>
        <v>1390</v>
      </c>
      <c r="B1391" s="11" t="n">
        <f aca="false">B1390+1</f>
        <v>46316</v>
      </c>
      <c r="C1391" s="10" t="n">
        <f aca="false">YEAR(B1391)</f>
        <v>2026</v>
      </c>
      <c r="D1391" s="10" t="n">
        <f aca="false">INT((MONTH(B1391)-1)/3)+1</f>
        <v>4</v>
      </c>
      <c r="E1391" s="10" t="n">
        <f aca="false">MONTH(B1391)</f>
        <v>10</v>
      </c>
      <c r="F1391" s="10" t="str">
        <f aca="false">CHOOSE(MOD(A1391-1,5)+1,"Центр","Юг","Север","Запад","Восток")</f>
        <v>Восток</v>
      </c>
      <c r="G1391" s="10" t="str">
        <f aca="false">"Округ_"&amp;(MOD(A1391-1,5)+1)&amp;"_"&amp;(MOD(INT((A1391-1)/5),5)+1)</f>
        <v>Округ_5_3</v>
      </c>
      <c r="H1391" s="10" t="str">
        <f aca="false">"Город_"&amp;(MOD(A1391-1,5)+1)&amp;"_"&amp;(MOD(INT((A1391-1)/5),5)+1)&amp;"_"&amp;(MOD(INT((A1391-1)/25),10)+1)</f>
        <v>Город_5_3_6</v>
      </c>
      <c r="I1391" s="10" t="str">
        <f aca="false">CHOOSE(MOD(A1391-1,4)+1,"Электроника","Одежда","Продукты","Мебель")</f>
        <v>Одежда</v>
      </c>
      <c r="J1391" s="10" t="str">
        <f aca="false">CHOOSE(MOD(INT((A1391-1)/4),4)+1,CHOOSE(MOD(A1391-1,4)+1,"Смартфоны","Ноутбуки","Аксессуары","Аудио"),CHOOSE(MOD(A1391-1,4)+1,"Верхняя одежда","Спортивная","Повседневная","Обувь"),CHOOSE(MOD(A1391-1,4)+1,"Молочные","Мясные","Бакалея","Напитки"),CHOOSE(MOD(A1391-1,4)+1,"Мягкая мебель","Корпусная","Офисная","Кухонная"))</f>
        <v>Корпусная</v>
      </c>
      <c r="K1391" s="12" t="n">
        <f aca="false">1000+MOD(A1391*317+A1391*A1391*7,49001)</f>
        <v>1045</v>
      </c>
      <c r="L1391" s="12" t="n">
        <f aca="false">1+MOD(A1391*131,100)</f>
        <v>91</v>
      </c>
      <c r="M1391" s="12" t="n">
        <f aca="false">INT(K1391*(0.6+MOD(A1391*43,21)/100))</f>
        <v>668</v>
      </c>
      <c r="N1391" s="12" t="n">
        <f aca="false">K1391-M1391</f>
        <v>377</v>
      </c>
    </row>
    <row r="1392" customFormat="false" ht="12.8" hidden="false" customHeight="false" outlineLevel="0" collapsed="false">
      <c r="A1392" s="10" t="n">
        <f aca="false">A1391+1</f>
        <v>1391</v>
      </c>
      <c r="B1392" s="11" t="n">
        <f aca="false">B1391+1</f>
        <v>46317</v>
      </c>
      <c r="C1392" s="10" t="n">
        <f aca="false">YEAR(B1392)</f>
        <v>2026</v>
      </c>
      <c r="D1392" s="10" t="n">
        <f aca="false">INT((MONTH(B1392)-1)/3)+1</f>
        <v>4</v>
      </c>
      <c r="E1392" s="10" t="n">
        <f aca="false">MONTH(B1392)</f>
        <v>10</v>
      </c>
      <c r="F1392" s="10" t="str">
        <f aca="false">CHOOSE(MOD(A1392-1,5)+1,"Центр","Юг","Север","Запад","Восток")</f>
        <v>Центр</v>
      </c>
      <c r="G1392" s="10" t="str">
        <f aca="false">"Округ_"&amp;(MOD(A1392-1,5)+1)&amp;"_"&amp;(MOD(INT((A1392-1)/5),5)+1)</f>
        <v>Округ_1_4</v>
      </c>
      <c r="H1392" s="10" t="str">
        <f aca="false">"Город_"&amp;(MOD(A1392-1,5)+1)&amp;"_"&amp;(MOD(INT((A1392-1)/5),5)+1)&amp;"_"&amp;(MOD(INT((A1392-1)/25),10)+1)</f>
        <v>Город_1_4_6</v>
      </c>
      <c r="I1392" s="10" t="str">
        <f aca="false">CHOOSE(MOD(A1392-1,4)+1,"Электроника","Одежда","Продукты","Мебель")</f>
        <v>Продукты</v>
      </c>
      <c r="J1392" s="10" t="str">
        <f aca="false">CHOOSE(MOD(INT((A1392-1)/4),4)+1,CHOOSE(MOD(A1392-1,4)+1,"Смартфоны","Ноутбуки","Аксессуары","Аудио"),CHOOSE(MOD(A1392-1,4)+1,"Верхняя одежда","Спортивная","Повседневная","Обувь"),CHOOSE(MOD(A1392-1,4)+1,"Молочные","Мясные","Бакалея","Напитки"),CHOOSE(MOD(A1392-1,4)+1,"Мягкая мебель","Корпусная","Офисная","Кухонная"))</f>
        <v>Офисная</v>
      </c>
      <c r="K1392" s="12" t="n">
        <f aca="false">1000+MOD(A1392*317+A1392*A1392*7,49001)</f>
        <v>20829</v>
      </c>
      <c r="L1392" s="12" t="n">
        <f aca="false">1+MOD(A1392*131,100)</f>
        <v>22</v>
      </c>
      <c r="M1392" s="12" t="n">
        <f aca="false">INT(K1392*(0.6+MOD(A1392*43,21)/100))</f>
        <v>13538</v>
      </c>
      <c r="N1392" s="12" t="n">
        <f aca="false">K1392-M1392</f>
        <v>7291</v>
      </c>
    </row>
    <row r="1393" customFormat="false" ht="12.8" hidden="false" customHeight="false" outlineLevel="0" collapsed="false">
      <c r="A1393" s="10" t="n">
        <f aca="false">A1392+1</f>
        <v>1392</v>
      </c>
      <c r="B1393" s="11" t="n">
        <f aca="false">B1392+1</f>
        <v>46318</v>
      </c>
      <c r="C1393" s="10" t="n">
        <f aca="false">YEAR(B1393)</f>
        <v>2026</v>
      </c>
      <c r="D1393" s="10" t="n">
        <f aca="false">INT((MONTH(B1393)-1)/3)+1</f>
        <v>4</v>
      </c>
      <c r="E1393" s="10" t="n">
        <f aca="false">MONTH(B1393)</f>
        <v>10</v>
      </c>
      <c r="F1393" s="10" t="str">
        <f aca="false">CHOOSE(MOD(A1393-1,5)+1,"Центр","Юг","Север","Запад","Восток")</f>
        <v>Юг</v>
      </c>
      <c r="G1393" s="10" t="str">
        <f aca="false">"Округ_"&amp;(MOD(A1393-1,5)+1)&amp;"_"&amp;(MOD(INT((A1393-1)/5),5)+1)</f>
        <v>Округ_2_4</v>
      </c>
      <c r="H1393" s="10" t="str">
        <f aca="false">"Город_"&amp;(MOD(A1393-1,5)+1)&amp;"_"&amp;(MOD(INT((A1393-1)/5),5)+1)&amp;"_"&amp;(MOD(INT((A1393-1)/25),10)+1)</f>
        <v>Город_2_4_6</v>
      </c>
      <c r="I1393" s="10" t="str">
        <f aca="false">CHOOSE(MOD(A1393-1,4)+1,"Электроника","Одежда","Продукты","Мебель")</f>
        <v>Мебель</v>
      </c>
      <c r="J1393" s="10" t="str">
        <f aca="false">CHOOSE(MOD(INT((A1393-1)/4),4)+1,CHOOSE(MOD(A1393-1,4)+1,"Смартфоны","Ноутбуки","Аксессуары","Аудио"),CHOOSE(MOD(A1393-1,4)+1,"Верхняя одежда","Спортивная","Повседневная","Обувь"),CHOOSE(MOD(A1393-1,4)+1,"Молочные","Мясные","Бакалея","Напитки"),CHOOSE(MOD(A1393-1,4)+1,"Мягкая мебель","Корпусная","Офисная","Кухонная"))</f>
        <v>Кухонная</v>
      </c>
      <c r="K1393" s="12" t="n">
        <f aca="false">1000+MOD(A1393*317+A1393*A1393*7,49001)</f>
        <v>40627</v>
      </c>
      <c r="L1393" s="12" t="n">
        <f aca="false">1+MOD(A1393*131,100)</f>
        <v>53</v>
      </c>
      <c r="M1393" s="12" t="n">
        <f aca="false">INT(K1393*(0.6+MOD(A1393*43,21)/100))</f>
        <v>26813</v>
      </c>
      <c r="N1393" s="12" t="n">
        <f aca="false">K1393-M1393</f>
        <v>13814</v>
      </c>
    </row>
    <row r="1394" customFormat="false" ht="12.8" hidden="false" customHeight="false" outlineLevel="0" collapsed="false">
      <c r="A1394" s="10" t="n">
        <f aca="false">A1393+1</f>
        <v>1393</v>
      </c>
      <c r="B1394" s="11" t="n">
        <f aca="false">B1393+1</f>
        <v>46319</v>
      </c>
      <c r="C1394" s="10" t="n">
        <f aca="false">YEAR(B1394)</f>
        <v>2026</v>
      </c>
      <c r="D1394" s="10" t="n">
        <f aca="false">INT((MONTH(B1394)-1)/3)+1</f>
        <v>4</v>
      </c>
      <c r="E1394" s="10" t="n">
        <f aca="false">MONTH(B1394)</f>
        <v>10</v>
      </c>
      <c r="F1394" s="10" t="str">
        <f aca="false">CHOOSE(MOD(A1394-1,5)+1,"Центр","Юг","Север","Запад","Восток")</f>
        <v>Север</v>
      </c>
      <c r="G1394" s="10" t="str">
        <f aca="false">"Округ_"&amp;(MOD(A1394-1,5)+1)&amp;"_"&amp;(MOD(INT((A1394-1)/5),5)+1)</f>
        <v>Округ_3_4</v>
      </c>
      <c r="H1394" s="10" t="str">
        <f aca="false">"Город_"&amp;(MOD(A1394-1,5)+1)&amp;"_"&amp;(MOD(INT((A1394-1)/5),5)+1)&amp;"_"&amp;(MOD(INT((A1394-1)/25),10)+1)</f>
        <v>Город_3_4_6</v>
      </c>
      <c r="I1394" s="10" t="str">
        <f aca="false">CHOOSE(MOD(A1394-1,4)+1,"Электроника","Одежда","Продукты","Мебель")</f>
        <v>Электроника</v>
      </c>
      <c r="J1394" s="10" t="str">
        <f aca="false">CHOOSE(MOD(INT((A1394-1)/4),4)+1,CHOOSE(MOD(A1394-1,4)+1,"Смартфоны","Ноутбуки","Аксессуары","Аудио"),CHOOSE(MOD(A1394-1,4)+1,"Верхняя одежда","Спортивная","Повседневная","Обувь"),CHOOSE(MOD(A1394-1,4)+1,"Молочные","Мясные","Бакалея","Напитки"),CHOOSE(MOD(A1394-1,4)+1,"Мягкая мебель","Корпусная","Офисная","Кухонная"))</f>
        <v>Смартфоны</v>
      </c>
      <c r="K1394" s="12" t="n">
        <f aca="false">1000+MOD(A1394*317+A1394*A1394*7,49001)</f>
        <v>11438</v>
      </c>
      <c r="L1394" s="12" t="n">
        <f aca="false">1+MOD(A1394*131,100)</f>
        <v>84</v>
      </c>
      <c r="M1394" s="12" t="n">
        <f aca="false">INT(K1394*(0.6+MOD(A1394*43,21)/100))</f>
        <v>7663</v>
      </c>
      <c r="N1394" s="12" t="n">
        <f aca="false">K1394-M1394</f>
        <v>3775</v>
      </c>
    </row>
    <row r="1395" customFormat="false" ht="12.8" hidden="false" customHeight="false" outlineLevel="0" collapsed="false">
      <c r="A1395" s="10" t="n">
        <f aca="false">A1394+1</f>
        <v>1394</v>
      </c>
      <c r="B1395" s="11" t="n">
        <f aca="false">B1394+1</f>
        <v>46320</v>
      </c>
      <c r="C1395" s="10" t="n">
        <f aca="false">YEAR(B1395)</f>
        <v>2026</v>
      </c>
      <c r="D1395" s="10" t="n">
        <f aca="false">INT((MONTH(B1395)-1)/3)+1</f>
        <v>4</v>
      </c>
      <c r="E1395" s="10" t="n">
        <f aca="false">MONTH(B1395)</f>
        <v>10</v>
      </c>
      <c r="F1395" s="10" t="str">
        <f aca="false">CHOOSE(MOD(A1395-1,5)+1,"Центр","Юг","Север","Запад","Восток")</f>
        <v>Запад</v>
      </c>
      <c r="G1395" s="10" t="str">
        <f aca="false">"Округ_"&amp;(MOD(A1395-1,5)+1)&amp;"_"&amp;(MOD(INT((A1395-1)/5),5)+1)</f>
        <v>Округ_4_4</v>
      </c>
      <c r="H1395" s="10" t="str">
        <f aca="false">"Город_"&amp;(MOD(A1395-1,5)+1)&amp;"_"&amp;(MOD(INT((A1395-1)/5),5)+1)&amp;"_"&amp;(MOD(INT((A1395-1)/25),10)+1)</f>
        <v>Город_4_4_6</v>
      </c>
      <c r="I1395" s="10" t="str">
        <f aca="false">CHOOSE(MOD(A1395-1,4)+1,"Электроника","Одежда","Продукты","Мебель")</f>
        <v>Одежда</v>
      </c>
      <c r="J1395" s="10" t="str">
        <f aca="false">CHOOSE(MOD(INT((A1395-1)/4),4)+1,CHOOSE(MOD(A1395-1,4)+1,"Смартфоны","Ноутбуки","Аксессуары","Аудио"),CHOOSE(MOD(A1395-1,4)+1,"Верхняя одежда","Спортивная","Повседневная","Обувь"),CHOOSE(MOD(A1395-1,4)+1,"Молочные","Мясные","Бакалея","Напитки"),CHOOSE(MOD(A1395-1,4)+1,"Мягкая мебель","Корпусная","Офисная","Кухонная"))</f>
        <v>Ноутбуки</v>
      </c>
      <c r="K1395" s="12" t="n">
        <f aca="false">1000+MOD(A1395*317+A1395*A1395*7,49001)</f>
        <v>31264</v>
      </c>
      <c r="L1395" s="12" t="n">
        <f aca="false">1+MOD(A1395*131,100)</f>
        <v>15</v>
      </c>
      <c r="M1395" s="12" t="n">
        <f aca="false">INT(K1395*(0.6+MOD(A1395*43,21)/100))</f>
        <v>21259</v>
      </c>
      <c r="N1395" s="12" t="n">
        <f aca="false">K1395-M1395</f>
        <v>10005</v>
      </c>
    </row>
    <row r="1396" customFormat="false" ht="12.8" hidden="false" customHeight="false" outlineLevel="0" collapsed="false">
      <c r="A1396" s="10" t="n">
        <f aca="false">A1395+1</f>
        <v>1395</v>
      </c>
      <c r="B1396" s="11" t="n">
        <f aca="false">B1395+1</f>
        <v>46321</v>
      </c>
      <c r="C1396" s="10" t="n">
        <f aca="false">YEAR(B1396)</f>
        <v>2026</v>
      </c>
      <c r="D1396" s="10" t="n">
        <f aca="false">INT((MONTH(B1396)-1)/3)+1</f>
        <v>4</v>
      </c>
      <c r="E1396" s="10" t="n">
        <f aca="false">MONTH(B1396)</f>
        <v>10</v>
      </c>
      <c r="F1396" s="10" t="str">
        <f aca="false">CHOOSE(MOD(A1396-1,5)+1,"Центр","Юг","Север","Запад","Восток")</f>
        <v>Восток</v>
      </c>
      <c r="G1396" s="10" t="str">
        <f aca="false">"Округ_"&amp;(MOD(A1396-1,5)+1)&amp;"_"&amp;(MOD(INT((A1396-1)/5),5)+1)</f>
        <v>Округ_5_4</v>
      </c>
      <c r="H1396" s="10" t="str">
        <f aca="false">"Город_"&amp;(MOD(A1396-1,5)+1)&amp;"_"&amp;(MOD(INT((A1396-1)/5),5)+1)&amp;"_"&amp;(MOD(INT((A1396-1)/25),10)+1)</f>
        <v>Город_5_4_6</v>
      </c>
      <c r="I1396" s="10" t="str">
        <f aca="false">CHOOSE(MOD(A1396-1,4)+1,"Электроника","Одежда","Продукты","Мебель")</f>
        <v>Продукты</v>
      </c>
      <c r="J1396" s="10" t="str">
        <f aca="false">CHOOSE(MOD(INT((A1396-1)/4),4)+1,CHOOSE(MOD(A1396-1,4)+1,"Смартфоны","Ноутбуки","Аксессуары","Аудио"),CHOOSE(MOD(A1396-1,4)+1,"Верхняя одежда","Спортивная","Повседневная","Обувь"),CHOOSE(MOD(A1396-1,4)+1,"Молочные","Мясные","Бакалея","Напитки"),CHOOSE(MOD(A1396-1,4)+1,"Мягкая мебель","Корпусная","Офисная","Кухонная"))</f>
        <v>Аксессуары</v>
      </c>
      <c r="K1396" s="12" t="n">
        <f aca="false">1000+MOD(A1396*317+A1396*A1396*7,49001)</f>
        <v>2103</v>
      </c>
      <c r="L1396" s="12" t="n">
        <f aca="false">1+MOD(A1396*131,100)</f>
        <v>46</v>
      </c>
      <c r="M1396" s="12" t="n">
        <f aca="false">INT(K1396*(0.6+MOD(A1396*43,21)/100))</f>
        <v>1451</v>
      </c>
      <c r="N1396" s="12" t="n">
        <f aca="false">K1396-M1396</f>
        <v>652</v>
      </c>
    </row>
    <row r="1397" customFormat="false" ht="12.8" hidden="false" customHeight="false" outlineLevel="0" collapsed="false">
      <c r="A1397" s="10" t="n">
        <f aca="false">A1396+1</f>
        <v>1396</v>
      </c>
      <c r="B1397" s="11" t="n">
        <f aca="false">B1396+1</f>
        <v>46322</v>
      </c>
      <c r="C1397" s="10" t="n">
        <f aca="false">YEAR(B1397)</f>
        <v>2026</v>
      </c>
      <c r="D1397" s="10" t="n">
        <f aca="false">INT((MONTH(B1397)-1)/3)+1</f>
        <v>4</v>
      </c>
      <c r="E1397" s="10" t="n">
        <f aca="false">MONTH(B1397)</f>
        <v>10</v>
      </c>
      <c r="F1397" s="10" t="str">
        <f aca="false">CHOOSE(MOD(A1397-1,5)+1,"Центр","Юг","Север","Запад","Восток")</f>
        <v>Центр</v>
      </c>
      <c r="G1397" s="10" t="str">
        <f aca="false">"Округ_"&amp;(MOD(A1397-1,5)+1)&amp;"_"&amp;(MOD(INT((A1397-1)/5),5)+1)</f>
        <v>Округ_1_5</v>
      </c>
      <c r="H1397" s="10" t="str">
        <f aca="false">"Город_"&amp;(MOD(A1397-1,5)+1)&amp;"_"&amp;(MOD(INT((A1397-1)/5),5)+1)&amp;"_"&amp;(MOD(INT((A1397-1)/25),10)+1)</f>
        <v>Город_1_5_6</v>
      </c>
      <c r="I1397" s="10" t="str">
        <f aca="false">CHOOSE(MOD(A1397-1,4)+1,"Электроника","Одежда","Продукты","Мебель")</f>
        <v>Мебель</v>
      </c>
      <c r="J1397" s="10" t="str">
        <f aca="false">CHOOSE(MOD(INT((A1397-1)/4),4)+1,CHOOSE(MOD(A1397-1,4)+1,"Смартфоны","Ноутбуки","Аксессуары","Аудио"),CHOOSE(MOD(A1397-1,4)+1,"Верхняя одежда","Спортивная","Повседневная","Обувь"),CHOOSE(MOD(A1397-1,4)+1,"Молочные","Мясные","Бакалея","Напитки"),CHOOSE(MOD(A1397-1,4)+1,"Мягкая мебель","Корпусная","Офисная","Кухонная"))</f>
        <v>Аудио</v>
      </c>
      <c r="K1397" s="12" t="n">
        <f aca="false">1000+MOD(A1397*317+A1397*A1397*7,49001)</f>
        <v>21957</v>
      </c>
      <c r="L1397" s="12" t="n">
        <f aca="false">1+MOD(A1397*131,100)</f>
        <v>77</v>
      </c>
      <c r="M1397" s="12" t="n">
        <f aca="false">INT(K1397*(0.6+MOD(A1397*43,21)/100))</f>
        <v>15369</v>
      </c>
      <c r="N1397" s="12" t="n">
        <f aca="false">K1397-M1397</f>
        <v>6588</v>
      </c>
    </row>
    <row r="1398" customFormat="false" ht="12.8" hidden="false" customHeight="false" outlineLevel="0" collapsed="false">
      <c r="A1398" s="10" t="n">
        <f aca="false">A1397+1</f>
        <v>1397</v>
      </c>
      <c r="B1398" s="11" t="n">
        <f aca="false">B1397+1</f>
        <v>46323</v>
      </c>
      <c r="C1398" s="10" t="n">
        <f aca="false">YEAR(B1398)</f>
        <v>2026</v>
      </c>
      <c r="D1398" s="10" t="n">
        <f aca="false">INT((MONTH(B1398)-1)/3)+1</f>
        <v>4</v>
      </c>
      <c r="E1398" s="10" t="n">
        <f aca="false">MONTH(B1398)</f>
        <v>10</v>
      </c>
      <c r="F1398" s="10" t="str">
        <f aca="false">CHOOSE(MOD(A1398-1,5)+1,"Центр","Юг","Север","Запад","Восток")</f>
        <v>Юг</v>
      </c>
      <c r="G1398" s="10" t="str">
        <f aca="false">"Округ_"&amp;(MOD(A1398-1,5)+1)&amp;"_"&amp;(MOD(INT((A1398-1)/5),5)+1)</f>
        <v>Округ_2_5</v>
      </c>
      <c r="H1398" s="10" t="str">
        <f aca="false">"Город_"&amp;(MOD(A1398-1,5)+1)&amp;"_"&amp;(MOD(INT((A1398-1)/5),5)+1)&amp;"_"&amp;(MOD(INT((A1398-1)/25),10)+1)</f>
        <v>Город_2_5_6</v>
      </c>
      <c r="I1398" s="10" t="str">
        <f aca="false">CHOOSE(MOD(A1398-1,4)+1,"Электроника","Одежда","Продукты","Мебель")</f>
        <v>Электроника</v>
      </c>
      <c r="J1398" s="10" t="str">
        <f aca="false">CHOOSE(MOD(INT((A1398-1)/4),4)+1,CHOOSE(MOD(A1398-1,4)+1,"Смартфоны","Ноутбуки","Аксессуары","Аудио"),CHOOSE(MOD(A1398-1,4)+1,"Верхняя одежда","Спортивная","Повседневная","Обувь"),CHOOSE(MOD(A1398-1,4)+1,"Молочные","Мясные","Бакалея","Напитки"),CHOOSE(MOD(A1398-1,4)+1,"Мягкая мебель","Корпусная","Офисная","Кухонная"))</f>
        <v>Верхняя одежда</v>
      </c>
      <c r="K1398" s="12" t="n">
        <f aca="false">1000+MOD(A1398*317+A1398*A1398*7,49001)</f>
        <v>41825</v>
      </c>
      <c r="L1398" s="12" t="n">
        <f aca="false">1+MOD(A1398*131,100)</f>
        <v>8</v>
      </c>
      <c r="M1398" s="12" t="n">
        <f aca="false">INT(K1398*(0.6+MOD(A1398*43,21)/100))</f>
        <v>29695</v>
      </c>
      <c r="N1398" s="12" t="n">
        <f aca="false">K1398-M1398</f>
        <v>12130</v>
      </c>
    </row>
    <row r="1399" customFormat="false" ht="12.8" hidden="false" customHeight="false" outlineLevel="0" collapsed="false">
      <c r="A1399" s="10" t="n">
        <f aca="false">A1398+1</f>
        <v>1398</v>
      </c>
      <c r="B1399" s="11" t="n">
        <f aca="false">B1398+1</f>
        <v>46324</v>
      </c>
      <c r="C1399" s="10" t="n">
        <f aca="false">YEAR(B1399)</f>
        <v>2026</v>
      </c>
      <c r="D1399" s="10" t="n">
        <f aca="false">INT((MONTH(B1399)-1)/3)+1</f>
        <v>4</v>
      </c>
      <c r="E1399" s="10" t="n">
        <f aca="false">MONTH(B1399)</f>
        <v>10</v>
      </c>
      <c r="F1399" s="10" t="str">
        <f aca="false">CHOOSE(MOD(A1399-1,5)+1,"Центр","Юг","Север","Запад","Восток")</f>
        <v>Север</v>
      </c>
      <c r="G1399" s="10" t="str">
        <f aca="false">"Округ_"&amp;(MOD(A1399-1,5)+1)&amp;"_"&amp;(MOD(INT((A1399-1)/5),5)+1)</f>
        <v>Округ_3_5</v>
      </c>
      <c r="H1399" s="10" t="str">
        <f aca="false">"Город_"&amp;(MOD(A1399-1,5)+1)&amp;"_"&amp;(MOD(INT((A1399-1)/5),5)+1)&amp;"_"&amp;(MOD(INT((A1399-1)/25),10)+1)</f>
        <v>Город_3_5_6</v>
      </c>
      <c r="I1399" s="10" t="str">
        <f aca="false">CHOOSE(MOD(A1399-1,4)+1,"Электроника","Одежда","Продукты","Мебель")</f>
        <v>Одежда</v>
      </c>
      <c r="J1399" s="10" t="str">
        <f aca="false">CHOOSE(MOD(INT((A1399-1)/4),4)+1,CHOOSE(MOD(A1399-1,4)+1,"Смартфоны","Ноутбуки","Аксессуары","Аудио"),CHOOSE(MOD(A1399-1,4)+1,"Верхняя одежда","Спортивная","Повседневная","Обувь"),CHOOSE(MOD(A1399-1,4)+1,"Молочные","Мясные","Бакалея","Напитки"),CHOOSE(MOD(A1399-1,4)+1,"Мягкая мебель","Корпусная","Офисная","Кухонная"))</f>
        <v>Спортивная</v>
      </c>
      <c r="K1399" s="12" t="n">
        <f aca="false">1000+MOD(A1399*317+A1399*A1399*7,49001)</f>
        <v>12706</v>
      </c>
      <c r="L1399" s="12" t="n">
        <f aca="false">1+MOD(A1399*131,100)</f>
        <v>39</v>
      </c>
      <c r="M1399" s="12" t="n">
        <f aca="false">INT(K1399*(0.6+MOD(A1399*43,21)/100))</f>
        <v>9148</v>
      </c>
      <c r="N1399" s="12" t="n">
        <f aca="false">K1399-M1399</f>
        <v>3558</v>
      </c>
    </row>
    <row r="1400" customFormat="false" ht="12.8" hidden="false" customHeight="false" outlineLevel="0" collapsed="false">
      <c r="A1400" s="10" t="n">
        <f aca="false">A1399+1</f>
        <v>1399</v>
      </c>
      <c r="B1400" s="11" t="n">
        <f aca="false">B1399+1</f>
        <v>46325</v>
      </c>
      <c r="C1400" s="10" t="n">
        <f aca="false">YEAR(B1400)</f>
        <v>2026</v>
      </c>
      <c r="D1400" s="10" t="n">
        <f aca="false">INT((MONTH(B1400)-1)/3)+1</f>
        <v>4</v>
      </c>
      <c r="E1400" s="10" t="n">
        <f aca="false">MONTH(B1400)</f>
        <v>10</v>
      </c>
      <c r="F1400" s="10" t="str">
        <f aca="false">CHOOSE(MOD(A1400-1,5)+1,"Центр","Юг","Север","Запад","Восток")</f>
        <v>Запад</v>
      </c>
      <c r="G1400" s="10" t="str">
        <f aca="false">"Округ_"&amp;(MOD(A1400-1,5)+1)&amp;"_"&amp;(MOD(INT((A1400-1)/5),5)+1)</f>
        <v>Округ_4_5</v>
      </c>
      <c r="H1400" s="10" t="str">
        <f aca="false">"Город_"&amp;(MOD(A1400-1,5)+1)&amp;"_"&amp;(MOD(INT((A1400-1)/5),5)+1)&amp;"_"&amp;(MOD(INT((A1400-1)/25),10)+1)</f>
        <v>Город_4_5_6</v>
      </c>
      <c r="I1400" s="10" t="str">
        <f aca="false">CHOOSE(MOD(A1400-1,4)+1,"Электроника","Одежда","Продукты","Мебель")</f>
        <v>Продукты</v>
      </c>
      <c r="J1400" s="10" t="str">
        <f aca="false">CHOOSE(MOD(INT((A1400-1)/4),4)+1,CHOOSE(MOD(A1400-1,4)+1,"Смартфоны","Ноутбуки","Аксессуары","Аудио"),CHOOSE(MOD(A1400-1,4)+1,"Верхняя одежда","Спортивная","Повседневная","Обувь"),CHOOSE(MOD(A1400-1,4)+1,"Молочные","Мясные","Бакалея","Напитки"),CHOOSE(MOD(A1400-1,4)+1,"Мягкая мебель","Корпусная","Офисная","Кухонная"))</f>
        <v>Повседневная</v>
      </c>
      <c r="K1400" s="12" t="n">
        <f aca="false">1000+MOD(A1400*317+A1400*A1400*7,49001)</f>
        <v>32602</v>
      </c>
      <c r="L1400" s="12" t="n">
        <f aca="false">1+MOD(A1400*131,100)</f>
        <v>70</v>
      </c>
      <c r="M1400" s="12" t="n">
        <f aca="false">INT(K1400*(0.6+MOD(A1400*43,21)/100))</f>
        <v>23799</v>
      </c>
      <c r="N1400" s="12" t="n">
        <f aca="false">K1400-M1400</f>
        <v>8803</v>
      </c>
    </row>
    <row r="1401" customFormat="false" ht="12.8" hidden="false" customHeight="false" outlineLevel="0" collapsed="false">
      <c r="A1401" s="10" t="n">
        <f aca="false">A1400+1</f>
        <v>1400</v>
      </c>
      <c r="B1401" s="11" t="n">
        <f aca="false">B1400+1</f>
        <v>46326</v>
      </c>
      <c r="C1401" s="10" t="n">
        <f aca="false">YEAR(B1401)</f>
        <v>2026</v>
      </c>
      <c r="D1401" s="10" t="n">
        <f aca="false">INT((MONTH(B1401)-1)/3)+1</f>
        <v>4</v>
      </c>
      <c r="E1401" s="10" t="n">
        <f aca="false">MONTH(B1401)</f>
        <v>10</v>
      </c>
      <c r="F1401" s="10" t="str">
        <f aca="false">CHOOSE(MOD(A1401-1,5)+1,"Центр","Юг","Север","Запад","Восток")</f>
        <v>Восток</v>
      </c>
      <c r="G1401" s="10" t="str">
        <f aca="false">"Округ_"&amp;(MOD(A1401-1,5)+1)&amp;"_"&amp;(MOD(INT((A1401-1)/5),5)+1)</f>
        <v>Округ_5_5</v>
      </c>
      <c r="H1401" s="10" t="str">
        <f aca="false">"Город_"&amp;(MOD(A1401-1,5)+1)&amp;"_"&amp;(MOD(INT((A1401-1)/5),5)+1)&amp;"_"&amp;(MOD(INT((A1401-1)/25),10)+1)</f>
        <v>Город_5_5_6</v>
      </c>
      <c r="I1401" s="10" t="str">
        <f aca="false">CHOOSE(MOD(A1401-1,4)+1,"Электроника","Одежда","Продукты","Мебель")</f>
        <v>Мебель</v>
      </c>
      <c r="J1401" s="10" t="str">
        <f aca="false">CHOOSE(MOD(INT((A1401-1)/4),4)+1,CHOOSE(MOD(A1401-1,4)+1,"Смартфоны","Ноутбуки","Аксессуары","Аудио"),CHOOSE(MOD(A1401-1,4)+1,"Верхняя одежда","Спортивная","Повседневная","Обувь"),CHOOSE(MOD(A1401-1,4)+1,"Молочные","Мясные","Бакалея","Напитки"),CHOOSE(MOD(A1401-1,4)+1,"Мягкая мебель","Корпусная","Офисная","Кухонная"))</f>
        <v>Обувь</v>
      </c>
      <c r="K1401" s="12" t="n">
        <f aca="false">1000+MOD(A1401*317+A1401*A1401*7,49001)</f>
        <v>3511</v>
      </c>
      <c r="L1401" s="12" t="n">
        <f aca="false">1+MOD(A1401*131,100)</f>
        <v>1</v>
      </c>
      <c r="M1401" s="12" t="n">
        <f aca="false">INT(K1401*(0.6+MOD(A1401*43,21)/100))</f>
        <v>2598</v>
      </c>
      <c r="N1401" s="12" t="n">
        <f aca="false">K1401-M1401</f>
        <v>913</v>
      </c>
    </row>
    <row r="1402" customFormat="false" ht="12.8" hidden="false" customHeight="false" outlineLevel="0" collapsed="false">
      <c r="A1402" s="10" t="n">
        <f aca="false">A1401+1</f>
        <v>1401</v>
      </c>
      <c r="B1402" s="11" t="n">
        <f aca="false">B1401+1</f>
        <v>46327</v>
      </c>
      <c r="C1402" s="10" t="n">
        <f aca="false">YEAR(B1402)</f>
        <v>2026</v>
      </c>
      <c r="D1402" s="10" t="n">
        <f aca="false">INT((MONTH(B1402)-1)/3)+1</f>
        <v>4</v>
      </c>
      <c r="E1402" s="10" t="n">
        <f aca="false">MONTH(B1402)</f>
        <v>11</v>
      </c>
      <c r="F1402" s="10" t="str">
        <f aca="false">CHOOSE(MOD(A1402-1,5)+1,"Центр","Юг","Север","Запад","Восток")</f>
        <v>Центр</v>
      </c>
      <c r="G1402" s="10" t="str">
        <f aca="false">"Округ_"&amp;(MOD(A1402-1,5)+1)&amp;"_"&amp;(MOD(INT((A1402-1)/5),5)+1)</f>
        <v>Округ_1_1</v>
      </c>
      <c r="H1402" s="10" t="str">
        <f aca="false">"Город_"&amp;(MOD(A1402-1,5)+1)&amp;"_"&amp;(MOD(INT((A1402-1)/5),5)+1)&amp;"_"&amp;(MOD(INT((A1402-1)/25),10)+1)</f>
        <v>Город_1_1_7</v>
      </c>
      <c r="I1402" s="10" t="str">
        <f aca="false">CHOOSE(MOD(A1402-1,4)+1,"Электроника","Одежда","Продукты","Мебель")</f>
        <v>Электроника</v>
      </c>
      <c r="J1402" s="10" t="str">
        <f aca="false">CHOOSE(MOD(INT((A1402-1)/4),4)+1,CHOOSE(MOD(A1402-1,4)+1,"Смартфоны","Ноутбуки","Аксессуары","Аудио"),CHOOSE(MOD(A1402-1,4)+1,"Верхняя одежда","Спортивная","Повседневная","Обувь"),CHOOSE(MOD(A1402-1,4)+1,"Молочные","Мясные","Бакалея","Напитки"),CHOOSE(MOD(A1402-1,4)+1,"Мягкая мебель","Корпусная","Офисная","Кухонная"))</f>
        <v>Молочные</v>
      </c>
      <c r="K1402" s="12" t="n">
        <f aca="false">1000+MOD(A1402*317+A1402*A1402*7,49001)</f>
        <v>23435</v>
      </c>
      <c r="L1402" s="12" t="n">
        <f aca="false">1+MOD(A1402*131,100)</f>
        <v>32</v>
      </c>
      <c r="M1402" s="12" t="n">
        <f aca="false">INT(K1402*(0.6+MOD(A1402*43,21)/100))</f>
        <v>17576</v>
      </c>
      <c r="N1402" s="12" t="n">
        <f aca="false">K1402-M1402</f>
        <v>5859</v>
      </c>
    </row>
    <row r="1403" customFormat="false" ht="12.8" hidden="false" customHeight="false" outlineLevel="0" collapsed="false">
      <c r="A1403" s="10" t="n">
        <f aca="false">A1402+1</f>
        <v>1402</v>
      </c>
      <c r="B1403" s="11" t="n">
        <f aca="false">B1402+1</f>
        <v>46328</v>
      </c>
      <c r="C1403" s="10" t="n">
        <f aca="false">YEAR(B1403)</f>
        <v>2026</v>
      </c>
      <c r="D1403" s="10" t="n">
        <f aca="false">INT((MONTH(B1403)-1)/3)+1</f>
        <v>4</v>
      </c>
      <c r="E1403" s="10" t="n">
        <f aca="false">MONTH(B1403)</f>
        <v>11</v>
      </c>
      <c r="F1403" s="10" t="str">
        <f aca="false">CHOOSE(MOD(A1403-1,5)+1,"Центр","Юг","Север","Запад","Восток")</f>
        <v>Юг</v>
      </c>
      <c r="G1403" s="10" t="str">
        <f aca="false">"Округ_"&amp;(MOD(A1403-1,5)+1)&amp;"_"&amp;(MOD(INT((A1403-1)/5),5)+1)</f>
        <v>Округ_2_1</v>
      </c>
      <c r="H1403" s="10" t="str">
        <f aca="false">"Город_"&amp;(MOD(A1403-1,5)+1)&amp;"_"&amp;(MOD(INT((A1403-1)/5),5)+1)&amp;"_"&amp;(MOD(INT((A1403-1)/25),10)+1)</f>
        <v>Город_2_1_7</v>
      </c>
      <c r="I1403" s="10" t="str">
        <f aca="false">CHOOSE(MOD(A1403-1,4)+1,"Электроника","Одежда","Продукты","Мебель")</f>
        <v>Одежда</v>
      </c>
      <c r="J1403" s="10" t="str">
        <f aca="false">CHOOSE(MOD(INT((A1403-1)/4),4)+1,CHOOSE(MOD(A1403-1,4)+1,"Смартфоны","Ноутбуки","Аксессуары","Аудио"),CHOOSE(MOD(A1403-1,4)+1,"Верхняя одежда","Спортивная","Повседневная","Обувь"),CHOOSE(MOD(A1403-1,4)+1,"Молочные","Мясные","Бакалея","Напитки"),CHOOSE(MOD(A1403-1,4)+1,"Мягкая мебель","Корпусная","Офисная","Кухонная"))</f>
        <v>Мясные</v>
      </c>
      <c r="K1403" s="12" t="n">
        <f aca="false">1000+MOD(A1403*317+A1403*A1403*7,49001)</f>
        <v>43373</v>
      </c>
      <c r="L1403" s="12" t="n">
        <f aca="false">1+MOD(A1403*131,100)</f>
        <v>63</v>
      </c>
      <c r="M1403" s="12" t="n">
        <f aca="false">INT(K1403*(0.6+MOD(A1403*43,21)/100))</f>
        <v>32963</v>
      </c>
      <c r="N1403" s="12" t="n">
        <f aca="false">K1403-M1403</f>
        <v>10410</v>
      </c>
    </row>
    <row r="1404" customFormat="false" ht="12.8" hidden="false" customHeight="false" outlineLevel="0" collapsed="false">
      <c r="A1404" s="10" t="n">
        <f aca="false">A1403+1</f>
        <v>1403</v>
      </c>
      <c r="B1404" s="11" t="n">
        <f aca="false">B1403+1</f>
        <v>46329</v>
      </c>
      <c r="C1404" s="10" t="n">
        <f aca="false">YEAR(B1404)</f>
        <v>2026</v>
      </c>
      <c r="D1404" s="10" t="n">
        <f aca="false">INT((MONTH(B1404)-1)/3)+1</f>
        <v>4</v>
      </c>
      <c r="E1404" s="10" t="n">
        <f aca="false">MONTH(B1404)</f>
        <v>11</v>
      </c>
      <c r="F1404" s="10" t="str">
        <f aca="false">CHOOSE(MOD(A1404-1,5)+1,"Центр","Юг","Север","Запад","Восток")</f>
        <v>Север</v>
      </c>
      <c r="G1404" s="10" t="str">
        <f aca="false">"Округ_"&amp;(MOD(A1404-1,5)+1)&amp;"_"&amp;(MOD(INT((A1404-1)/5),5)+1)</f>
        <v>Округ_3_1</v>
      </c>
      <c r="H1404" s="10" t="str">
        <f aca="false">"Город_"&amp;(MOD(A1404-1,5)+1)&amp;"_"&amp;(MOD(INT((A1404-1)/5),5)+1)&amp;"_"&amp;(MOD(INT((A1404-1)/25),10)+1)</f>
        <v>Город_3_1_7</v>
      </c>
      <c r="I1404" s="10" t="str">
        <f aca="false">CHOOSE(MOD(A1404-1,4)+1,"Электроника","Одежда","Продукты","Мебель")</f>
        <v>Продукты</v>
      </c>
      <c r="J1404" s="10" t="str">
        <f aca="false">CHOOSE(MOD(INT((A1404-1)/4),4)+1,CHOOSE(MOD(A1404-1,4)+1,"Смартфоны","Ноутбуки","Аксессуары","Аудио"),CHOOSE(MOD(A1404-1,4)+1,"Верхняя одежда","Спортивная","Повседневная","Обувь"),CHOOSE(MOD(A1404-1,4)+1,"Молочные","Мясные","Бакалея","Напитки"),CHOOSE(MOD(A1404-1,4)+1,"Мягкая мебель","Корпусная","Офисная","Кухонная"))</f>
        <v>Бакалея</v>
      </c>
      <c r="K1404" s="12" t="n">
        <f aca="false">1000+MOD(A1404*317+A1404*A1404*7,49001)</f>
        <v>14324</v>
      </c>
      <c r="L1404" s="12" t="n">
        <f aca="false">1+MOD(A1404*131,100)</f>
        <v>94</v>
      </c>
      <c r="M1404" s="12" t="n">
        <f aca="false">INT(K1404*(0.6+MOD(A1404*43,21)/100))</f>
        <v>11029</v>
      </c>
      <c r="N1404" s="12" t="n">
        <f aca="false">K1404-M1404</f>
        <v>3295</v>
      </c>
    </row>
    <row r="1405" customFormat="false" ht="12.8" hidden="false" customHeight="false" outlineLevel="0" collapsed="false">
      <c r="A1405" s="10" t="n">
        <f aca="false">A1404+1</f>
        <v>1404</v>
      </c>
      <c r="B1405" s="11" t="n">
        <f aca="false">B1404+1</f>
        <v>46330</v>
      </c>
      <c r="C1405" s="10" t="n">
        <f aca="false">YEAR(B1405)</f>
        <v>2026</v>
      </c>
      <c r="D1405" s="10" t="n">
        <f aca="false">INT((MONTH(B1405)-1)/3)+1</f>
        <v>4</v>
      </c>
      <c r="E1405" s="10" t="n">
        <f aca="false">MONTH(B1405)</f>
        <v>11</v>
      </c>
      <c r="F1405" s="10" t="str">
        <f aca="false">CHOOSE(MOD(A1405-1,5)+1,"Центр","Юг","Север","Запад","Восток")</f>
        <v>Запад</v>
      </c>
      <c r="G1405" s="10" t="str">
        <f aca="false">"Округ_"&amp;(MOD(A1405-1,5)+1)&amp;"_"&amp;(MOD(INT((A1405-1)/5),5)+1)</f>
        <v>Округ_4_1</v>
      </c>
      <c r="H1405" s="10" t="str">
        <f aca="false">"Город_"&amp;(MOD(A1405-1,5)+1)&amp;"_"&amp;(MOD(INT((A1405-1)/5),5)+1)&amp;"_"&amp;(MOD(INT((A1405-1)/25),10)+1)</f>
        <v>Город_4_1_7</v>
      </c>
      <c r="I1405" s="10" t="str">
        <f aca="false">CHOOSE(MOD(A1405-1,4)+1,"Электроника","Одежда","Продукты","Мебель")</f>
        <v>Мебель</v>
      </c>
      <c r="J1405" s="10" t="str">
        <f aca="false">CHOOSE(MOD(INT((A1405-1)/4),4)+1,CHOOSE(MOD(A1405-1,4)+1,"Смартфоны","Ноутбуки","Аксессуары","Аудио"),CHOOSE(MOD(A1405-1,4)+1,"Верхняя одежда","Спортивная","Повседневная","Обувь"),CHOOSE(MOD(A1405-1,4)+1,"Молочные","Мясные","Бакалея","Напитки"),CHOOSE(MOD(A1405-1,4)+1,"Мягкая мебель","Корпусная","Офисная","Кухонная"))</f>
        <v>Напитки</v>
      </c>
      <c r="K1405" s="12" t="n">
        <f aca="false">1000+MOD(A1405*317+A1405*A1405*7,49001)</f>
        <v>34290</v>
      </c>
      <c r="L1405" s="12" t="n">
        <f aca="false">1+MOD(A1405*131,100)</f>
        <v>25</v>
      </c>
      <c r="M1405" s="12" t="n">
        <f aca="false">INT(K1405*(0.6+MOD(A1405*43,21)/100))</f>
        <v>26746</v>
      </c>
      <c r="N1405" s="12" t="n">
        <f aca="false">K1405-M1405</f>
        <v>7544</v>
      </c>
    </row>
    <row r="1406" customFormat="false" ht="12.8" hidden="false" customHeight="false" outlineLevel="0" collapsed="false">
      <c r="A1406" s="10" t="n">
        <f aca="false">A1405+1</f>
        <v>1405</v>
      </c>
      <c r="B1406" s="11" t="n">
        <f aca="false">B1405+1</f>
        <v>46331</v>
      </c>
      <c r="C1406" s="10" t="n">
        <f aca="false">YEAR(B1406)</f>
        <v>2026</v>
      </c>
      <c r="D1406" s="10" t="n">
        <f aca="false">INT((MONTH(B1406)-1)/3)+1</f>
        <v>4</v>
      </c>
      <c r="E1406" s="10" t="n">
        <f aca="false">MONTH(B1406)</f>
        <v>11</v>
      </c>
      <c r="F1406" s="10" t="str">
        <f aca="false">CHOOSE(MOD(A1406-1,5)+1,"Центр","Юг","Север","Запад","Восток")</f>
        <v>Восток</v>
      </c>
      <c r="G1406" s="10" t="str">
        <f aca="false">"Округ_"&amp;(MOD(A1406-1,5)+1)&amp;"_"&amp;(MOD(INT((A1406-1)/5),5)+1)</f>
        <v>Округ_5_1</v>
      </c>
      <c r="H1406" s="10" t="str">
        <f aca="false">"Город_"&amp;(MOD(A1406-1,5)+1)&amp;"_"&amp;(MOD(INT((A1406-1)/5),5)+1)&amp;"_"&amp;(MOD(INT((A1406-1)/25),10)+1)</f>
        <v>Город_5_1_7</v>
      </c>
      <c r="I1406" s="10" t="str">
        <f aca="false">CHOOSE(MOD(A1406-1,4)+1,"Электроника","Одежда","Продукты","Мебель")</f>
        <v>Электроника</v>
      </c>
      <c r="J1406" s="10" t="str">
        <f aca="false">CHOOSE(MOD(INT((A1406-1)/4),4)+1,CHOOSE(MOD(A1406-1,4)+1,"Смартфоны","Ноутбуки","Аксессуары","Аудио"),CHOOSE(MOD(A1406-1,4)+1,"Верхняя одежда","Спортивная","Повседневная","Обувь"),CHOOSE(MOD(A1406-1,4)+1,"Молочные","Мясные","Бакалея","Напитки"),CHOOSE(MOD(A1406-1,4)+1,"Мягкая мебель","Корпусная","Офисная","Кухонная"))</f>
        <v>Мягкая мебель</v>
      </c>
      <c r="K1406" s="12" t="n">
        <f aca="false">1000+MOD(A1406*317+A1406*A1406*7,49001)</f>
        <v>5269</v>
      </c>
      <c r="L1406" s="12" t="n">
        <f aca="false">1+MOD(A1406*131,100)</f>
        <v>56</v>
      </c>
      <c r="M1406" s="12" t="n">
        <f aca="false">INT(K1406*(0.6+MOD(A1406*43,21)/100))</f>
        <v>4162</v>
      </c>
      <c r="N1406" s="12" t="n">
        <f aca="false">K1406-M1406</f>
        <v>1107</v>
      </c>
    </row>
    <row r="1407" customFormat="false" ht="12.8" hidden="false" customHeight="false" outlineLevel="0" collapsed="false">
      <c r="A1407" s="10" t="n">
        <f aca="false">A1406+1</f>
        <v>1406</v>
      </c>
      <c r="B1407" s="11" t="n">
        <f aca="false">B1406+1</f>
        <v>46332</v>
      </c>
      <c r="C1407" s="10" t="n">
        <f aca="false">YEAR(B1407)</f>
        <v>2026</v>
      </c>
      <c r="D1407" s="10" t="n">
        <f aca="false">INT((MONTH(B1407)-1)/3)+1</f>
        <v>4</v>
      </c>
      <c r="E1407" s="10" t="n">
        <f aca="false">MONTH(B1407)</f>
        <v>11</v>
      </c>
      <c r="F1407" s="10" t="str">
        <f aca="false">CHOOSE(MOD(A1407-1,5)+1,"Центр","Юг","Север","Запад","Восток")</f>
        <v>Центр</v>
      </c>
      <c r="G1407" s="10" t="str">
        <f aca="false">"Округ_"&amp;(MOD(A1407-1,5)+1)&amp;"_"&amp;(MOD(INT((A1407-1)/5),5)+1)</f>
        <v>Округ_1_2</v>
      </c>
      <c r="H1407" s="10" t="str">
        <f aca="false">"Город_"&amp;(MOD(A1407-1,5)+1)&amp;"_"&amp;(MOD(INT((A1407-1)/5),5)+1)&amp;"_"&amp;(MOD(INT((A1407-1)/25),10)+1)</f>
        <v>Город_1_2_7</v>
      </c>
      <c r="I1407" s="10" t="str">
        <f aca="false">CHOOSE(MOD(A1407-1,4)+1,"Электроника","Одежда","Продукты","Мебель")</f>
        <v>Одежда</v>
      </c>
      <c r="J1407" s="10" t="str">
        <f aca="false">CHOOSE(MOD(INT((A1407-1)/4),4)+1,CHOOSE(MOD(A1407-1,4)+1,"Смартфоны","Ноутбуки","Аксессуары","Аудио"),CHOOSE(MOD(A1407-1,4)+1,"Верхняя одежда","Спортивная","Повседневная","Обувь"),CHOOSE(MOD(A1407-1,4)+1,"Молочные","Мясные","Бакалея","Напитки"),CHOOSE(MOD(A1407-1,4)+1,"Мягкая мебель","Корпусная","Офисная","Кухонная"))</f>
        <v>Корпусная</v>
      </c>
      <c r="K1407" s="12" t="n">
        <f aca="false">1000+MOD(A1407*317+A1407*A1407*7,49001)</f>
        <v>25263</v>
      </c>
      <c r="L1407" s="12" t="n">
        <f aca="false">1+MOD(A1407*131,100)</f>
        <v>87</v>
      </c>
      <c r="M1407" s="12" t="n">
        <f aca="false">INT(K1407*(0.6+MOD(A1407*43,21)/100))</f>
        <v>20210</v>
      </c>
      <c r="N1407" s="12" t="n">
        <f aca="false">K1407-M1407</f>
        <v>5053</v>
      </c>
    </row>
    <row r="1408" customFormat="false" ht="12.8" hidden="false" customHeight="false" outlineLevel="0" collapsed="false">
      <c r="A1408" s="10" t="n">
        <f aca="false">A1407+1</f>
        <v>1407</v>
      </c>
      <c r="B1408" s="11" t="n">
        <f aca="false">B1407+1</f>
        <v>46333</v>
      </c>
      <c r="C1408" s="10" t="n">
        <f aca="false">YEAR(B1408)</f>
        <v>2026</v>
      </c>
      <c r="D1408" s="10" t="n">
        <f aca="false">INT((MONTH(B1408)-1)/3)+1</f>
        <v>4</v>
      </c>
      <c r="E1408" s="10" t="n">
        <f aca="false">MONTH(B1408)</f>
        <v>11</v>
      </c>
      <c r="F1408" s="10" t="str">
        <f aca="false">CHOOSE(MOD(A1408-1,5)+1,"Центр","Юг","Север","Запад","Восток")</f>
        <v>Юг</v>
      </c>
      <c r="G1408" s="10" t="str">
        <f aca="false">"Округ_"&amp;(MOD(A1408-1,5)+1)&amp;"_"&amp;(MOD(INT((A1408-1)/5),5)+1)</f>
        <v>Округ_2_2</v>
      </c>
      <c r="H1408" s="10" t="str">
        <f aca="false">"Город_"&amp;(MOD(A1408-1,5)+1)&amp;"_"&amp;(MOD(INT((A1408-1)/5),5)+1)&amp;"_"&amp;(MOD(INT((A1408-1)/25),10)+1)</f>
        <v>Город_2_2_7</v>
      </c>
      <c r="I1408" s="10" t="str">
        <f aca="false">CHOOSE(MOD(A1408-1,4)+1,"Электроника","Одежда","Продукты","Мебель")</f>
        <v>Продукты</v>
      </c>
      <c r="J1408" s="10" t="str">
        <f aca="false">CHOOSE(MOD(INT((A1408-1)/4),4)+1,CHOOSE(MOD(A1408-1,4)+1,"Смартфоны","Ноутбуки","Аксессуары","Аудио"),CHOOSE(MOD(A1408-1,4)+1,"Верхняя одежда","Спортивная","Повседневная","Обувь"),CHOOSE(MOD(A1408-1,4)+1,"Молочные","Мясные","Бакалея","Напитки"),CHOOSE(MOD(A1408-1,4)+1,"Мягкая мебель","Корпусная","Офисная","Кухонная"))</f>
        <v>Офисная</v>
      </c>
      <c r="K1408" s="12" t="n">
        <f aca="false">1000+MOD(A1408*317+A1408*A1408*7,49001)</f>
        <v>45271</v>
      </c>
      <c r="L1408" s="12" t="n">
        <f aca="false">1+MOD(A1408*131,100)</f>
        <v>18</v>
      </c>
      <c r="M1408" s="12" t="n">
        <f aca="false">INT(K1408*(0.6+MOD(A1408*43,21)/100))</f>
        <v>27162</v>
      </c>
      <c r="N1408" s="12" t="n">
        <f aca="false">K1408-M1408</f>
        <v>18109</v>
      </c>
    </row>
    <row r="1409" customFormat="false" ht="12.8" hidden="false" customHeight="false" outlineLevel="0" collapsed="false">
      <c r="A1409" s="10" t="n">
        <f aca="false">A1408+1</f>
        <v>1408</v>
      </c>
      <c r="B1409" s="11" t="n">
        <f aca="false">B1408+1</f>
        <v>46334</v>
      </c>
      <c r="C1409" s="10" t="n">
        <f aca="false">YEAR(B1409)</f>
        <v>2026</v>
      </c>
      <c r="D1409" s="10" t="n">
        <f aca="false">INT((MONTH(B1409)-1)/3)+1</f>
        <v>4</v>
      </c>
      <c r="E1409" s="10" t="n">
        <f aca="false">MONTH(B1409)</f>
        <v>11</v>
      </c>
      <c r="F1409" s="10" t="str">
        <f aca="false">CHOOSE(MOD(A1409-1,5)+1,"Центр","Юг","Север","Запад","Восток")</f>
        <v>Север</v>
      </c>
      <c r="G1409" s="10" t="str">
        <f aca="false">"Округ_"&amp;(MOD(A1409-1,5)+1)&amp;"_"&amp;(MOD(INT((A1409-1)/5),5)+1)</f>
        <v>Округ_3_2</v>
      </c>
      <c r="H1409" s="10" t="str">
        <f aca="false">"Город_"&amp;(MOD(A1409-1,5)+1)&amp;"_"&amp;(MOD(INT((A1409-1)/5),5)+1)&amp;"_"&amp;(MOD(INT((A1409-1)/25),10)+1)</f>
        <v>Город_3_2_7</v>
      </c>
      <c r="I1409" s="10" t="str">
        <f aca="false">CHOOSE(MOD(A1409-1,4)+1,"Электроника","Одежда","Продукты","Мебель")</f>
        <v>Мебель</v>
      </c>
      <c r="J1409" s="10" t="str">
        <f aca="false">CHOOSE(MOD(INT((A1409-1)/4),4)+1,CHOOSE(MOD(A1409-1,4)+1,"Смартфоны","Ноутбуки","Аксессуары","Аудио"),CHOOSE(MOD(A1409-1,4)+1,"Верхняя одежда","Спортивная","Повседневная","Обувь"),CHOOSE(MOD(A1409-1,4)+1,"Молочные","Мясные","Бакалея","Напитки"),CHOOSE(MOD(A1409-1,4)+1,"Мягкая мебель","Корпусная","Офисная","Кухонная"))</f>
        <v>Кухонная</v>
      </c>
      <c r="K1409" s="12" t="n">
        <f aca="false">1000+MOD(A1409*317+A1409*A1409*7,49001)</f>
        <v>16292</v>
      </c>
      <c r="L1409" s="12" t="n">
        <f aca="false">1+MOD(A1409*131,100)</f>
        <v>49</v>
      </c>
      <c r="M1409" s="12" t="n">
        <f aca="false">INT(K1409*(0.6+MOD(A1409*43,21)/100))</f>
        <v>9938</v>
      </c>
      <c r="N1409" s="12" t="n">
        <f aca="false">K1409-M1409</f>
        <v>6354</v>
      </c>
    </row>
    <row r="1410" customFormat="false" ht="12.8" hidden="false" customHeight="false" outlineLevel="0" collapsed="false">
      <c r="A1410" s="10" t="n">
        <f aca="false">A1409+1</f>
        <v>1409</v>
      </c>
      <c r="B1410" s="11" t="n">
        <f aca="false">B1409+1</f>
        <v>46335</v>
      </c>
      <c r="C1410" s="10" t="n">
        <f aca="false">YEAR(B1410)</f>
        <v>2026</v>
      </c>
      <c r="D1410" s="10" t="n">
        <f aca="false">INT((MONTH(B1410)-1)/3)+1</f>
        <v>4</v>
      </c>
      <c r="E1410" s="10" t="n">
        <f aca="false">MONTH(B1410)</f>
        <v>11</v>
      </c>
      <c r="F1410" s="10" t="str">
        <f aca="false">CHOOSE(MOD(A1410-1,5)+1,"Центр","Юг","Север","Запад","Восток")</f>
        <v>Запад</v>
      </c>
      <c r="G1410" s="10" t="str">
        <f aca="false">"Округ_"&amp;(MOD(A1410-1,5)+1)&amp;"_"&amp;(MOD(INT((A1410-1)/5),5)+1)</f>
        <v>Округ_4_2</v>
      </c>
      <c r="H1410" s="10" t="str">
        <f aca="false">"Город_"&amp;(MOD(A1410-1,5)+1)&amp;"_"&amp;(MOD(INT((A1410-1)/5),5)+1)&amp;"_"&amp;(MOD(INT((A1410-1)/25),10)+1)</f>
        <v>Город_4_2_7</v>
      </c>
      <c r="I1410" s="10" t="str">
        <f aca="false">CHOOSE(MOD(A1410-1,4)+1,"Электроника","Одежда","Продукты","Мебель")</f>
        <v>Электроника</v>
      </c>
      <c r="J1410" s="10" t="str">
        <f aca="false">CHOOSE(MOD(INT((A1410-1)/4),4)+1,CHOOSE(MOD(A1410-1,4)+1,"Смартфоны","Ноутбуки","Аксессуары","Аудио"),CHOOSE(MOD(A1410-1,4)+1,"Верхняя одежда","Спортивная","Повседневная","Обувь"),CHOOSE(MOD(A1410-1,4)+1,"Молочные","Мясные","Бакалея","Напитки"),CHOOSE(MOD(A1410-1,4)+1,"Мягкая мебель","Корпусная","Офисная","Кухонная"))</f>
        <v>Смартфоны</v>
      </c>
      <c r="K1410" s="12" t="n">
        <f aca="false">1000+MOD(A1410*317+A1410*A1410*7,49001)</f>
        <v>36328</v>
      </c>
      <c r="L1410" s="12" t="n">
        <f aca="false">1+MOD(A1410*131,100)</f>
        <v>80</v>
      </c>
      <c r="M1410" s="12" t="n">
        <f aca="false">INT(K1410*(0.6+MOD(A1410*43,21)/100))</f>
        <v>22523</v>
      </c>
      <c r="N1410" s="12" t="n">
        <f aca="false">K1410-M1410</f>
        <v>13805</v>
      </c>
    </row>
    <row r="1411" customFormat="false" ht="12.8" hidden="false" customHeight="false" outlineLevel="0" collapsed="false">
      <c r="A1411" s="10" t="n">
        <f aca="false">A1410+1</f>
        <v>1410</v>
      </c>
      <c r="B1411" s="11" t="n">
        <f aca="false">B1410+1</f>
        <v>46336</v>
      </c>
      <c r="C1411" s="10" t="n">
        <f aca="false">YEAR(B1411)</f>
        <v>2026</v>
      </c>
      <c r="D1411" s="10" t="n">
        <f aca="false">INT((MONTH(B1411)-1)/3)+1</f>
        <v>4</v>
      </c>
      <c r="E1411" s="10" t="n">
        <f aca="false">MONTH(B1411)</f>
        <v>11</v>
      </c>
      <c r="F1411" s="10" t="str">
        <f aca="false">CHOOSE(MOD(A1411-1,5)+1,"Центр","Юг","Север","Запад","Восток")</f>
        <v>Восток</v>
      </c>
      <c r="G1411" s="10" t="str">
        <f aca="false">"Округ_"&amp;(MOD(A1411-1,5)+1)&amp;"_"&amp;(MOD(INT((A1411-1)/5),5)+1)</f>
        <v>Округ_5_2</v>
      </c>
      <c r="H1411" s="10" t="str">
        <f aca="false">"Город_"&amp;(MOD(A1411-1,5)+1)&amp;"_"&amp;(MOD(INT((A1411-1)/5),5)+1)&amp;"_"&amp;(MOD(INT((A1411-1)/25),10)+1)</f>
        <v>Город_5_2_7</v>
      </c>
      <c r="I1411" s="10" t="str">
        <f aca="false">CHOOSE(MOD(A1411-1,4)+1,"Электроника","Одежда","Продукты","Мебель")</f>
        <v>Одежда</v>
      </c>
      <c r="J1411" s="10" t="str">
        <f aca="false">CHOOSE(MOD(INT((A1411-1)/4),4)+1,CHOOSE(MOD(A1411-1,4)+1,"Смартфоны","Ноутбуки","Аксессуары","Аудио"),CHOOSE(MOD(A1411-1,4)+1,"Верхняя одежда","Спортивная","Повседневная","Обувь"),CHOOSE(MOD(A1411-1,4)+1,"Молочные","Мясные","Бакалея","Напитки"),CHOOSE(MOD(A1411-1,4)+1,"Мягкая мебель","Корпусная","Офисная","Кухонная"))</f>
        <v>Ноутбуки</v>
      </c>
      <c r="K1411" s="12" t="n">
        <f aca="false">1000+MOD(A1411*317+A1411*A1411*7,49001)</f>
        <v>7377</v>
      </c>
      <c r="L1411" s="12" t="n">
        <f aca="false">1+MOD(A1411*131,100)</f>
        <v>11</v>
      </c>
      <c r="M1411" s="12" t="n">
        <f aca="false">INT(K1411*(0.6+MOD(A1411*43,21)/100))</f>
        <v>4647</v>
      </c>
      <c r="N1411" s="12" t="n">
        <f aca="false">K1411-M1411</f>
        <v>2730</v>
      </c>
    </row>
    <row r="1412" customFormat="false" ht="12.8" hidden="false" customHeight="false" outlineLevel="0" collapsed="false">
      <c r="A1412" s="10" t="n">
        <f aca="false">A1411+1</f>
        <v>1411</v>
      </c>
      <c r="B1412" s="11" t="n">
        <f aca="false">B1411+1</f>
        <v>46337</v>
      </c>
      <c r="C1412" s="10" t="n">
        <f aca="false">YEAR(B1412)</f>
        <v>2026</v>
      </c>
      <c r="D1412" s="10" t="n">
        <f aca="false">INT((MONTH(B1412)-1)/3)+1</f>
        <v>4</v>
      </c>
      <c r="E1412" s="10" t="n">
        <f aca="false">MONTH(B1412)</f>
        <v>11</v>
      </c>
      <c r="F1412" s="10" t="str">
        <f aca="false">CHOOSE(MOD(A1412-1,5)+1,"Центр","Юг","Север","Запад","Восток")</f>
        <v>Центр</v>
      </c>
      <c r="G1412" s="10" t="str">
        <f aca="false">"Округ_"&amp;(MOD(A1412-1,5)+1)&amp;"_"&amp;(MOD(INT((A1412-1)/5),5)+1)</f>
        <v>Округ_1_3</v>
      </c>
      <c r="H1412" s="10" t="str">
        <f aca="false">"Город_"&amp;(MOD(A1412-1,5)+1)&amp;"_"&amp;(MOD(INT((A1412-1)/5),5)+1)&amp;"_"&amp;(MOD(INT((A1412-1)/25),10)+1)</f>
        <v>Город_1_3_7</v>
      </c>
      <c r="I1412" s="10" t="str">
        <f aca="false">CHOOSE(MOD(A1412-1,4)+1,"Электроника","Одежда","Продукты","Мебель")</f>
        <v>Продукты</v>
      </c>
      <c r="J1412" s="10" t="str">
        <f aca="false">CHOOSE(MOD(INT((A1412-1)/4),4)+1,CHOOSE(MOD(A1412-1,4)+1,"Смартфоны","Ноутбуки","Аксессуары","Аудио"),CHOOSE(MOD(A1412-1,4)+1,"Верхняя одежда","Спортивная","Повседневная","Обувь"),CHOOSE(MOD(A1412-1,4)+1,"Молочные","Мясные","Бакалея","Напитки"),CHOOSE(MOD(A1412-1,4)+1,"Мягкая мебель","Корпусная","Офисная","Кухонная"))</f>
        <v>Аксессуары</v>
      </c>
      <c r="K1412" s="12" t="n">
        <f aca="false">1000+MOD(A1412*317+A1412*A1412*7,49001)</f>
        <v>27441</v>
      </c>
      <c r="L1412" s="12" t="n">
        <f aca="false">1+MOD(A1412*131,100)</f>
        <v>42</v>
      </c>
      <c r="M1412" s="12" t="n">
        <f aca="false">INT(K1412*(0.6+MOD(A1412*43,21)/100))</f>
        <v>17562</v>
      </c>
      <c r="N1412" s="12" t="n">
        <f aca="false">K1412-M1412</f>
        <v>9879</v>
      </c>
    </row>
    <row r="1413" customFormat="false" ht="12.8" hidden="false" customHeight="false" outlineLevel="0" collapsed="false">
      <c r="A1413" s="10" t="n">
        <f aca="false">A1412+1</f>
        <v>1412</v>
      </c>
      <c r="B1413" s="11" t="n">
        <f aca="false">B1412+1</f>
        <v>46338</v>
      </c>
      <c r="C1413" s="10" t="n">
        <f aca="false">YEAR(B1413)</f>
        <v>2026</v>
      </c>
      <c r="D1413" s="10" t="n">
        <f aca="false">INT((MONTH(B1413)-1)/3)+1</f>
        <v>4</v>
      </c>
      <c r="E1413" s="10" t="n">
        <f aca="false">MONTH(B1413)</f>
        <v>11</v>
      </c>
      <c r="F1413" s="10" t="str">
        <f aca="false">CHOOSE(MOD(A1413-1,5)+1,"Центр","Юг","Север","Запад","Восток")</f>
        <v>Юг</v>
      </c>
      <c r="G1413" s="10" t="str">
        <f aca="false">"Округ_"&amp;(MOD(A1413-1,5)+1)&amp;"_"&amp;(MOD(INT((A1413-1)/5),5)+1)</f>
        <v>Округ_2_3</v>
      </c>
      <c r="H1413" s="10" t="str">
        <f aca="false">"Город_"&amp;(MOD(A1413-1,5)+1)&amp;"_"&amp;(MOD(INT((A1413-1)/5),5)+1)&amp;"_"&amp;(MOD(INT((A1413-1)/25),10)+1)</f>
        <v>Город_2_3_7</v>
      </c>
      <c r="I1413" s="10" t="str">
        <f aca="false">CHOOSE(MOD(A1413-1,4)+1,"Электроника","Одежда","Продукты","Мебель")</f>
        <v>Мебель</v>
      </c>
      <c r="J1413" s="10" t="str">
        <f aca="false">CHOOSE(MOD(INT((A1413-1)/4),4)+1,CHOOSE(MOD(A1413-1,4)+1,"Смартфоны","Ноутбуки","Аксессуары","Аудио"),CHOOSE(MOD(A1413-1,4)+1,"Верхняя одежда","Спортивная","Повседневная","Обувь"),CHOOSE(MOD(A1413-1,4)+1,"Молочные","Мясные","Бакалея","Напитки"),CHOOSE(MOD(A1413-1,4)+1,"Мягкая мебель","Корпусная","Офисная","Кухонная"))</f>
        <v>Аудио</v>
      </c>
      <c r="K1413" s="12" t="n">
        <f aca="false">1000+MOD(A1413*317+A1413*A1413*7,49001)</f>
        <v>47519</v>
      </c>
      <c r="L1413" s="12" t="n">
        <f aca="false">1+MOD(A1413*131,100)</f>
        <v>73</v>
      </c>
      <c r="M1413" s="12" t="n">
        <f aca="false">INT(K1413*(0.6+MOD(A1413*43,21)/100))</f>
        <v>30887</v>
      </c>
      <c r="N1413" s="12" t="n">
        <f aca="false">K1413-M1413</f>
        <v>16632</v>
      </c>
    </row>
    <row r="1414" customFormat="false" ht="12.8" hidden="false" customHeight="false" outlineLevel="0" collapsed="false">
      <c r="A1414" s="10" t="n">
        <f aca="false">A1413+1</f>
        <v>1413</v>
      </c>
      <c r="B1414" s="11" t="n">
        <f aca="false">B1413+1</f>
        <v>46339</v>
      </c>
      <c r="C1414" s="10" t="n">
        <f aca="false">YEAR(B1414)</f>
        <v>2026</v>
      </c>
      <c r="D1414" s="10" t="n">
        <f aca="false">INT((MONTH(B1414)-1)/3)+1</f>
        <v>4</v>
      </c>
      <c r="E1414" s="10" t="n">
        <f aca="false">MONTH(B1414)</f>
        <v>11</v>
      </c>
      <c r="F1414" s="10" t="str">
        <f aca="false">CHOOSE(MOD(A1414-1,5)+1,"Центр","Юг","Север","Запад","Восток")</f>
        <v>Север</v>
      </c>
      <c r="G1414" s="10" t="str">
        <f aca="false">"Округ_"&amp;(MOD(A1414-1,5)+1)&amp;"_"&amp;(MOD(INT((A1414-1)/5),5)+1)</f>
        <v>Округ_3_3</v>
      </c>
      <c r="H1414" s="10" t="str">
        <f aca="false">"Город_"&amp;(MOD(A1414-1,5)+1)&amp;"_"&amp;(MOD(INT((A1414-1)/5),5)+1)&amp;"_"&amp;(MOD(INT((A1414-1)/25),10)+1)</f>
        <v>Город_3_3_7</v>
      </c>
      <c r="I1414" s="10" t="str">
        <f aca="false">CHOOSE(MOD(A1414-1,4)+1,"Электроника","Одежда","Продукты","Мебель")</f>
        <v>Электроника</v>
      </c>
      <c r="J1414" s="10" t="str">
        <f aca="false">CHOOSE(MOD(INT((A1414-1)/4),4)+1,CHOOSE(MOD(A1414-1,4)+1,"Смартфоны","Ноутбуки","Аксессуары","Аудио"),CHOOSE(MOD(A1414-1,4)+1,"Верхняя одежда","Спортивная","Повседневная","Обувь"),CHOOSE(MOD(A1414-1,4)+1,"Молочные","Мясные","Бакалея","Напитки"),CHOOSE(MOD(A1414-1,4)+1,"Мягкая мебель","Корпусная","Офисная","Кухонная"))</f>
        <v>Верхняя одежда</v>
      </c>
      <c r="K1414" s="12" t="n">
        <f aca="false">1000+MOD(A1414*317+A1414*A1414*7,49001)</f>
        <v>18610</v>
      </c>
      <c r="L1414" s="12" t="n">
        <f aca="false">1+MOD(A1414*131,100)</f>
        <v>4</v>
      </c>
      <c r="M1414" s="12" t="n">
        <f aca="false">INT(K1414*(0.6+MOD(A1414*43,21)/100))</f>
        <v>12282</v>
      </c>
      <c r="N1414" s="12" t="n">
        <f aca="false">K1414-M1414</f>
        <v>6328</v>
      </c>
    </row>
    <row r="1415" customFormat="false" ht="12.8" hidden="false" customHeight="false" outlineLevel="0" collapsed="false">
      <c r="A1415" s="10" t="n">
        <f aca="false">A1414+1</f>
        <v>1414</v>
      </c>
      <c r="B1415" s="11" t="n">
        <f aca="false">B1414+1</f>
        <v>46340</v>
      </c>
      <c r="C1415" s="10" t="n">
        <f aca="false">YEAR(B1415)</f>
        <v>2026</v>
      </c>
      <c r="D1415" s="10" t="n">
        <f aca="false">INT((MONTH(B1415)-1)/3)+1</f>
        <v>4</v>
      </c>
      <c r="E1415" s="10" t="n">
        <f aca="false">MONTH(B1415)</f>
        <v>11</v>
      </c>
      <c r="F1415" s="10" t="str">
        <f aca="false">CHOOSE(MOD(A1415-1,5)+1,"Центр","Юг","Север","Запад","Восток")</f>
        <v>Запад</v>
      </c>
      <c r="G1415" s="10" t="str">
        <f aca="false">"Округ_"&amp;(MOD(A1415-1,5)+1)&amp;"_"&amp;(MOD(INT((A1415-1)/5),5)+1)</f>
        <v>Округ_4_3</v>
      </c>
      <c r="H1415" s="10" t="str">
        <f aca="false">"Город_"&amp;(MOD(A1415-1,5)+1)&amp;"_"&amp;(MOD(INT((A1415-1)/5),5)+1)&amp;"_"&amp;(MOD(INT((A1415-1)/25),10)+1)</f>
        <v>Город_4_3_7</v>
      </c>
      <c r="I1415" s="10" t="str">
        <f aca="false">CHOOSE(MOD(A1415-1,4)+1,"Электроника","Одежда","Продукты","Мебель")</f>
        <v>Одежда</v>
      </c>
      <c r="J1415" s="10" t="str">
        <f aca="false">CHOOSE(MOD(INT((A1415-1)/4),4)+1,CHOOSE(MOD(A1415-1,4)+1,"Смартфоны","Ноутбуки","Аксессуары","Аудио"),CHOOSE(MOD(A1415-1,4)+1,"Верхняя одежда","Спортивная","Повседневная","Обувь"),CHOOSE(MOD(A1415-1,4)+1,"Молочные","Мясные","Бакалея","Напитки"),CHOOSE(MOD(A1415-1,4)+1,"Мягкая мебель","Корпусная","Офисная","Кухонная"))</f>
        <v>Спортивная</v>
      </c>
      <c r="K1415" s="12" t="n">
        <f aca="false">1000+MOD(A1415*317+A1415*A1415*7,49001)</f>
        <v>38716</v>
      </c>
      <c r="L1415" s="12" t="n">
        <f aca="false">1+MOD(A1415*131,100)</f>
        <v>35</v>
      </c>
      <c r="M1415" s="12" t="n">
        <f aca="false">INT(K1415*(0.6+MOD(A1415*43,21)/100))</f>
        <v>25939</v>
      </c>
      <c r="N1415" s="12" t="n">
        <f aca="false">K1415-M1415</f>
        <v>12777</v>
      </c>
    </row>
    <row r="1416" customFormat="false" ht="12.8" hidden="false" customHeight="false" outlineLevel="0" collapsed="false">
      <c r="A1416" s="10" t="n">
        <f aca="false">A1415+1</f>
        <v>1415</v>
      </c>
      <c r="B1416" s="11" t="n">
        <f aca="false">B1415+1</f>
        <v>46341</v>
      </c>
      <c r="C1416" s="10" t="n">
        <f aca="false">YEAR(B1416)</f>
        <v>2026</v>
      </c>
      <c r="D1416" s="10" t="n">
        <f aca="false">INT((MONTH(B1416)-1)/3)+1</f>
        <v>4</v>
      </c>
      <c r="E1416" s="10" t="n">
        <f aca="false">MONTH(B1416)</f>
        <v>11</v>
      </c>
      <c r="F1416" s="10" t="str">
        <f aca="false">CHOOSE(MOD(A1416-1,5)+1,"Центр","Юг","Север","Запад","Восток")</f>
        <v>Восток</v>
      </c>
      <c r="G1416" s="10" t="str">
        <f aca="false">"Округ_"&amp;(MOD(A1416-1,5)+1)&amp;"_"&amp;(MOD(INT((A1416-1)/5),5)+1)</f>
        <v>Округ_5_3</v>
      </c>
      <c r="H1416" s="10" t="str">
        <f aca="false">"Город_"&amp;(MOD(A1416-1,5)+1)&amp;"_"&amp;(MOD(INT((A1416-1)/5),5)+1)&amp;"_"&amp;(MOD(INT((A1416-1)/25),10)+1)</f>
        <v>Город_5_3_7</v>
      </c>
      <c r="I1416" s="10" t="str">
        <f aca="false">CHOOSE(MOD(A1416-1,4)+1,"Электроника","Одежда","Продукты","Мебель")</f>
        <v>Продукты</v>
      </c>
      <c r="J1416" s="10" t="str">
        <f aca="false">CHOOSE(MOD(INT((A1416-1)/4),4)+1,CHOOSE(MOD(A1416-1,4)+1,"Смартфоны","Ноутбуки","Аксессуары","Аудио"),CHOOSE(MOD(A1416-1,4)+1,"Верхняя одежда","Спортивная","Повседневная","Обувь"),CHOOSE(MOD(A1416-1,4)+1,"Молочные","Мясные","Бакалея","Напитки"),CHOOSE(MOD(A1416-1,4)+1,"Мягкая мебель","Корпусная","Офисная","Кухонная"))</f>
        <v>Повседневная</v>
      </c>
      <c r="K1416" s="12" t="n">
        <f aca="false">1000+MOD(A1416*317+A1416*A1416*7,49001)</f>
        <v>9835</v>
      </c>
      <c r="L1416" s="12" t="n">
        <f aca="false">1+MOD(A1416*131,100)</f>
        <v>66</v>
      </c>
      <c r="M1416" s="12" t="n">
        <f aca="false">INT(K1416*(0.6+MOD(A1416*43,21)/100))</f>
        <v>6687</v>
      </c>
      <c r="N1416" s="12" t="n">
        <f aca="false">K1416-M1416</f>
        <v>3148</v>
      </c>
    </row>
    <row r="1417" customFormat="false" ht="12.8" hidden="false" customHeight="false" outlineLevel="0" collapsed="false">
      <c r="A1417" s="10" t="n">
        <f aca="false">A1416+1</f>
        <v>1416</v>
      </c>
      <c r="B1417" s="11" t="n">
        <f aca="false">B1416+1</f>
        <v>46342</v>
      </c>
      <c r="C1417" s="10" t="n">
        <f aca="false">YEAR(B1417)</f>
        <v>2026</v>
      </c>
      <c r="D1417" s="10" t="n">
        <f aca="false">INT((MONTH(B1417)-1)/3)+1</f>
        <v>4</v>
      </c>
      <c r="E1417" s="10" t="n">
        <f aca="false">MONTH(B1417)</f>
        <v>11</v>
      </c>
      <c r="F1417" s="10" t="str">
        <f aca="false">CHOOSE(MOD(A1417-1,5)+1,"Центр","Юг","Север","Запад","Восток")</f>
        <v>Центр</v>
      </c>
      <c r="G1417" s="10" t="str">
        <f aca="false">"Округ_"&amp;(MOD(A1417-1,5)+1)&amp;"_"&amp;(MOD(INT((A1417-1)/5),5)+1)</f>
        <v>Округ_1_4</v>
      </c>
      <c r="H1417" s="10" t="str">
        <f aca="false">"Город_"&amp;(MOD(A1417-1,5)+1)&amp;"_"&amp;(MOD(INT((A1417-1)/5),5)+1)&amp;"_"&amp;(MOD(INT((A1417-1)/25),10)+1)</f>
        <v>Город_1_4_7</v>
      </c>
      <c r="I1417" s="10" t="str">
        <f aca="false">CHOOSE(MOD(A1417-1,4)+1,"Электроника","Одежда","Продукты","Мебель")</f>
        <v>Мебель</v>
      </c>
      <c r="J1417" s="10" t="str">
        <f aca="false">CHOOSE(MOD(INT((A1417-1)/4),4)+1,CHOOSE(MOD(A1417-1,4)+1,"Смартфоны","Ноутбуки","Аксессуары","Аудио"),CHOOSE(MOD(A1417-1,4)+1,"Верхняя одежда","Спортивная","Повседневная","Обувь"),CHOOSE(MOD(A1417-1,4)+1,"Молочные","Мясные","Бакалея","Напитки"),CHOOSE(MOD(A1417-1,4)+1,"Мягкая мебель","Корпусная","Офисная","Кухонная"))</f>
        <v>Обувь</v>
      </c>
      <c r="K1417" s="12" t="n">
        <f aca="false">1000+MOD(A1417*317+A1417*A1417*7,49001)</f>
        <v>29969</v>
      </c>
      <c r="L1417" s="12" t="n">
        <f aca="false">1+MOD(A1417*131,100)</f>
        <v>97</v>
      </c>
      <c r="M1417" s="12" t="n">
        <f aca="false">INT(K1417*(0.6+MOD(A1417*43,21)/100))</f>
        <v>20678</v>
      </c>
      <c r="N1417" s="12" t="n">
        <f aca="false">K1417-M1417</f>
        <v>9291</v>
      </c>
    </row>
    <row r="1418" customFormat="false" ht="12.8" hidden="false" customHeight="false" outlineLevel="0" collapsed="false">
      <c r="A1418" s="10" t="n">
        <f aca="false">A1417+1</f>
        <v>1417</v>
      </c>
      <c r="B1418" s="11" t="n">
        <f aca="false">B1417+1</f>
        <v>46343</v>
      </c>
      <c r="C1418" s="10" t="n">
        <f aca="false">YEAR(B1418)</f>
        <v>2026</v>
      </c>
      <c r="D1418" s="10" t="n">
        <f aca="false">INT((MONTH(B1418)-1)/3)+1</f>
        <v>4</v>
      </c>
      <c r="E1418" s="10" t="n">
        <f aca="false">MONTH(B1418)</f>
        <v>11</v>
      </c>
      <c r="F1418" s="10" t="str">
        <f aca="false">CHOOSE(MOD(A1418-1,5)+1,"Центр","Юг","Север","Запад","Восток")</f>
        <v>Юг</v>
      </c>
      <c r="G1418" s="10" t="str">
        <f aca="false">"Округ_"&amp;(MOD(A1418-1,5)+1)&amp;"_"&amp;(MOD(INT((A1418-1)/5),5)+1)</f>
        <v>Округ_2_4</v>
      </c>
      <c r="H1418" s="10" t="str">
        <f aca="false">"Город_"&amp;(MOD(A1418-1,5)+1)&amp;"_"&amp;(MOD(INT((A1418-1)/5),5)+1)&amp;"_"&amp;(MOD(INT((A1418-1)/25),10)+1)</f>
        <v>Город_2_4_7</v>
      </c>
      <c r="I1418" s="10" t="str">
        <f aca="false">CHOOSE(MOD(A1418-1,4)+1,"Электроника","Одежда","Продукты","Мебель")</f>
        <v>Электроника</v>
      </c>
      <c r="J1418" s="10" t="str">
        <f aca="false">CHOOSE(MOD(INT((A1418-1)/4),4)+1,CHOOSE(MOD(A1418-1,4)+1,"Смартфоны","Ноутбуки","Аксессуары","Аудио"),CHOOSE(MOD(A1418-1,4)+1,"Верхняя одежда","Спортивная","Повседневная","Обувь"),CHOOSE(MOD(A1418-1,4)+1,"Молочные","Мясные","Бакалея","Напитки"),CHOOSE(MOD(A1418-1,4)+1,"Мягкая мебель","Корпусная","Офисная","Кухонная"))</f>
        <v>Молочные</v>
      </c>
      <c r="K1418" s="12" t="n">
        <f aca="false">1000+MOD(A1418*317+A1418*A1418*7,49001)</f>
        <v>1116</v>
      </c>
      <c r="L1418" s="12" t="n">
        <f aca="false">1+MOD(A1418*131,100)</f>
        <v>28</v>
      </c>
      <c r="M1418" s="12" t="n">
        <f aca="false">INT(K1418*(0.6+MOD(A1418*43,21)/100))</f>
        <v>781</v>
      </c>
      <c r="N1418" s="12" t="n">
        <f aca="false">K1418-M1418</f>
        <v>335</v>
      </c>
    </row>
    <row r="1419" customFormat="false" ht="12.8" hidden="false" customHeight="false" outlineLevel="0" collapsed="false">
      <c r="A1419" s="10" t="n">
        <f aca="false">A1418+1</f>
        <v>1418</v>
      </c>
      <c r="B1419" s="11" t="n">
        <f aca="false">B1418+1</f>
        <v>46344</v>
      </c>
      <c r="C1419" s="10" t="n">
        <f aca="false">YEAR(B1419)</f>
        <v>2026</v>
      </c>
      <c r="D1419" s="10" t="n">
        <f aca="false">INT((MONTH(B1419)-1)/3)+1</f>
        <v>4</v>
      </c>
      <c r="E1419" s="10" t="n">
        <f aca="false">MONTH(B1419)</f>
        <v>11</v>
      </c>
      <c r="F1419" s="10" t="str">
        <f aca="false">CHOOSE(MOD(A1419-1,5)+1,"Центр","Юг","Север","Запад","Восток")</f>
        <v>Север</v>
      </c>
      <c r="G1419" s="10" t="str">
        <f aca="false">"Округ_"&amp;(MOD(A1419-1,5)+1)&amp;"_"&amp;(MOD(INT((A1419-1)/5),5)+1)</f>
        <v>Округ_3_4</v>
      </c>
      <c r="H1419" s="10" t="str">
        <f aca="false">"Город_"&amp;(MOD(A1419-1,5)+1)&amp;"_"&amp;(MOD(INT((A1419-1)/5),5)+1)&amp;"_"&amp;(MOD(INT((A1419-1)/25),10)+1)</f>
        <v>Город_3_4_7</v>
      </c>
      <c r="I1419" s="10" t="str">
        <f aca="false">CHOOSE(MOD(A1419-1,4)+1,"Электроника","Одежда","Продукты","Мебель")</f>
        <v>Одежда</v>
      </c>
      <c r="J1419" s="10" t="str">
        <f aca="false">CHOOSE(MOD(INT((A1419-1)/4),4)+1,CHOOSE(MOD(A1419-1,4)+1,"Смартфоны","Ноутбуки","Аксессуары","Аудио"),CHOOSE(MOD(A1419-1,4)+1,"Верхняя одежда","Спортивная","Повседневная","Обувь"),CHOOSE(MOD(A1419-1,4)+1,"Молочные","Мясные","Бакалея","Напитки"),CHOOSE(MOD(A1419-1,4)+1,"Мягкая мебель","Корпусная","Офисная","Кухонная"))</f>
        <v>Мясные</v>
      </c>
      <c r="K1419" s="12" t="n">
        <f aca="false">1000+MOD(A1419*317+A1419*A1419*7,49001)</f>
        <v>21278</v>
      </c>
      <c r="L1419" s="12" t="n">
        <f aca="false">1+MOD(A1419*131,100)</f>
        <v>59</v>
      </c>
      <c r="M1419" s="12" t="n">
        <f aca="false">INT(K1419*(0.6+MOD(A1419*43,21)/100))</f>
        <v>15107</v>
      </c>
      <c r="N1419" s="12" t="n">
        <f aca="false">K1419-M1419</f>
        <v>6171</v>
      </c>
    </row>
    <row r="1420" customFormat="false" ht="12.8" hidden="false" customHeight="false" outlineLevel="0" collapsed="false">
      <c r="A1420" s="10" t="n">
        <f aca="false">A1419+1</f>
        <v>1419</v>
      </c>
      <c r="B1420" s="11" t="n">
        <f aca="false">B1419+1</f>
        <v>46345</v>
      </c>
      <c r="C1420" s="10" t="n">
        <f aca="false">YEAR(B1420)</f>
        <v>2026</v>
      </c>
      <c r="D1420" s="10" t="n">
        <f aca="false">INT((MONTH(B1420)-1)/3)+1</f>
        <v>4</v>
      </c>
      <c r="E1420" s="10" t="n">
        <f aca="false">MONTH(B1420)</f>
        <v>11</v>
      </c>
      <c r="F1420" s="10" t="str">
        <f aca="false">CHOOSE(MOD(A1420-1,5)+1,"Центр","Юг","Север","Запад","Восток")</f>
        <v>Запад</v>
      </c>
      <c r="G1420" s="10" t="str">
        <f aca="false">"Округ_"&amp;(MOD(A1420-1,5)+1)&amp;"_"&amp;(MOD(INT((A1420-1)/5),5)+1)</f>
        <v>Округ_4_4</v>
      </c>
      <c r="H1420" s="10" t="str">
        <f aca="false">"Город_"&amp;(MOD(A1420-1,5)+1)&amp;"_"&amp;(MOD(INT((A1420-1)/5),5)+1)&amp;"_"&amp;(MOD(INT((A1420-1)/25),10)+1)</f>
        <v>Город_4_4_7</v>
      </c>
      <c r="I1420" s="10" t="str">
        <f aca="false">CHOOSE(MOD(A1420-1,4)+1,"Электроника","Одежда","Продукты","Мебель")</f>
        <v>Продукты</v>
      </c>
      <c r="J1420" s="10" t="str">
        <f aca="false">CHOOSE(MOD(INT((A1420-1)/4),4)+1,CHOOSE(MOD(A1420-1,4)+1,"Смартфоны","Ноутбуки","Аксессуары","Аудио"),CHOOSE(MOD(A1420-1,4)+1,"Верхняя одежда","Спортивная","Повседневная","Обувь"),CHOOSE(MOD(A1420-1,4)+1,"Молочные","Мясные","Бакалея","Напитки"),CHOOSE(MOD(A1420-1,4)+1,"Мягкая мебель","Корпусная","Офисная","Кухонная"))</f>
        <v>Бакалея</v>
      </c>
      <c r="K1420" s="12" t="n">
        <f aca="false">1000+MOD(A1420*317+A1420*A1420*7,49001)</f>
        <v>41454</v>
      </c>
      <c r="L1420" s="12" t="n">
        <f aca="false">1+MOD(A1420*131,100)</f>
        <v>90</v>
      </c>
      <c r="M1420" s="12" t="n">
        <f aca="false">INT(K1420*(0.6+MOD(A1420*43,21)/100))</f>
        <v>29846</v>
      </c>
      <c r="N1420" s="12" t="n">
        <f aca="false">K1420-M1420</f>
        <v>11608</v>
      </c>
    </row>
    <row r="1421" customFormat="false" ht="12.8" hidden="false" customHeight="false" outlineLevel="0" collapsed="false">
      <c r="A1421" s="10" t="n">
        <f aca="false">A1420+1</f>
        <v>1420</v>
      </c>
      <c r="B1421" s="11" t="n">
        <f aca="false">B1420+1</f>
        <v>46346</v>
      </c>
      <c r="C1421" s="10" t="n">
        <f aca="false">YEAR(B1421)</f>
        <v>2026</v>
      </c>
      <c r="D1421" s="10" t="n">
        <f aca="false">INT((MONTH(B1421)-1)/3)+1</f>
        <v>4</v>
      </c>
      <c r="E1421" s="10" t="n">
        <f aca="false">MONTH(B1421)</f>
        <v>11</v>
      </c>
      <c r="F1421" s="10" t="str">
        <f aca="false">CHOOSE(MOD(A1421-1,5)+1,"Центр","Юг","Север","Запад","Восток")</f>
        <v>Восток</v>
      </c>
      <c r="G1421" s="10" t="str">
        <f aca="false">"Округ_"&amp;(MOD(A1421-1,5)+1)&amp;"_"&amp;(MOD(INT((A1421-1)/5),5)+1)</f>
        <v>Округ_5_4</v>
      </c>
      <c r="H1421" s="10" t="str">
        <f aca="false">"Город_"&amp;(MOD(A1421-1,5)+1)&amp;"_"&amp;(MOD(INT((A1421-1)/5),5)+1)&amp;"_"&amp;(MOD(INT((A1421-1)/25),10)+1)</f>
        <v>Город_5_4_7</v>
      </c>
      <c r="I1421" s="10" t="str">
        <f aca="false">CHOOSE(MOD(A1421-1,4)+1,"Электроника","Одежда","Продукты","Мебель")</f>
        <v>Мебель</v>
      </c>
      <c r="J1421" s="10" t="str">
        <f aca="false">CHOOSE(MOD(INT((A1421-1)/4),4)+1,CHOOSE(MOD(A1421-1,4)+1,"Смартфоны","Ноутбуки","Аксессуары","Аудио"),CHOOSE(MOD(A1421-1,4)+1,"Верхняя одежда","Спортивная","Повседневная","Обувь"),CHOOSE(MOD(A1421-1,4)+1,"Молочные","Мясные","Бакалея","Напитки"),CHOOSE(MOD(A1421-1,4)+1,"Мягкая мебель","Корпусная","Офисная","Кухонная"))</f>
        <v>Напитки</v>
      </c>
      <c r="K1421" s="12" t="n">
        <f aca="false">1000+MOD(A1421*317+A1421*A1421*7,49001)</f>
        <v>12643</v>
      </c>
      <c r="L1421" s="12" t="n">
        <f aca="false">1+MOD(A1421*131,100)</f>
        <v>21</v>
      </c>
      <c r="M1421" s="12" t="n">
        <f aca="false">INT(K1421*(0.6+MOD(A1421*43,21)/100))</f>
        <v>9229</v>
      </c>
      <c r="N1421" s="12" t="n">
        <f aca="false">K1421-M1421</f>
        <v>3414</v>
      </c>
    </row>
    <row r="1422" customFormat="false" ht="12.8" hidden="false" customHeight="false" outlineLevel="0" collapsed="false">
      <c r="A1422" s="10" t="n">
        <f aca="false">A1421+1</f>
        <v>1421</v>
      </c>
      <c r="B1422" s="11" t="n">
        <f aca="false">B1421+1</f>
        <v>46347</v>
      </c>
      <c r="C1422" s="10" t="n">
        <f aca="false">YEAR(B1422)</f>
        <v>2026</v>
      </c>
      <c r="D1422" s="10" t="n">
        <f aca="false">INT((MONTH(B1422)-1)/3)+1</f>
        <v>4</v>
      </c>
      <c r="E1422" s="10" t="n">
        <f aca="false">MONTH(B1422)</f>
        <v>11</v>
      </c>
      <c r="F1422" s="10" t="str">
        <f aca="false">CHOOSE(MOD(A1422-1,5)+1,"Центр","Юг","Север","Запад","Восток")</f>
        <v>Центр</v>
      </c>
      <c r="G1422" s="10" t="str">
        <f aca="false">"Округ_"&amp;(MOD(A1422-1,5)+1)&amp;"_"&amp;(MOD(INT((A1422-1)/5),5)+1)</f>
        <v>Округ_1_5</v>
      </c>
      <c r="H1422" s="10" t="str">
        <f aca="false">"Город_"&amp;(MOD(A1422-1,5)+1)&amp;"_"&amp;(MOD(INT((A1422-1)/5),5)+1)&amp;"_"&amp;(MOD(INT((A1422-1)/25),10)+1)</f>
        <v>Город_1_5_7</v>
      </c>
      <c r="I1422" s="10" t="str">
        <f aca="false">CHOOSE(MOD(A1422-1,4)+1,"Электроника","Одежда","Продукты","Мебель")</f>
        <v>Электроника</v>
      </c>
      <c r="J1422" s="10" t="str">
        <f aca="false">CHOOSE(MOD(INT((A1422-1)/4),4)+1,CHOOSE(MOD(A1422-1,4)+1,"Смартфоны","Ноутбуки","Аксессуары","Аудио"),CHOOSE(MOD(A1422-1,4)+1,"Верхняя одежда","Спортивная","Повседневная","Обувь"),CHOOSE(MOD(A1422-1,4)+1,"Молочные","Мясные","Бакалея","Напитки"),CHOOSE(MOD(A1422-1,4)+1,"Мягкая мебель","Корпусная","Офисная","Кухонная"))</f>
        <v>Мягкая мебель</v>
      </c>
      <c r="K1422" s="12" t="n">
        <f aca="false">1000+MOD(A1422*317+A1422*A1422*7,49001)</f>
        <v>32847</v>
      </c>
      <c r="L1422" s="12" t="n">
        <f aca="false">1+MOD(A1422*131,100)</f>
        <v>52</v>
      </c>
      <c r="M1422" s="12" t="n">
        <f aca="false">INT(K1422*(0.6+MOD(A1422*43,21)/100))</f>
        <v>24306</v>
      </c>
      <c r="N1422" s="12" t="n">
        <f aca="false">K1422-M1422</f>
        <v>8541</v>
      </c>
    </row>
    <row r="1423" customFormat="false" ht="12.8" hidden="false" customHeight="false" outlineLevel="0" collapsed="false">
      <c r="A1423" s="10" t="n">
        <f aca="false">A1422+1</f>
        <v>1422</v>
      </c>
      <c r="B1423" s="11" t="n">
        <f aca="false">B1422+1</f>
        <v>46348</v>
      </c>
      <c r="C1423" s="10" t="n">
        <f aca="false">YEAR(B1423)</f>
        <v>2026</v>
      </c>
      <c r="D1423" s="10" t="n">
        <f aca="false">INT((MONTH(B1423)-1)/3)+1</f>
        <v>4</v>
      </c>
      <c r="E1423" s="10" t="n">
        <f aca="false">MONTH(B1423)</f>
        <v>11</v>
      </c>
      <c r="F1423" s="10" t="str">
        <f aca="false">CHOOSE(MOD(A1423-1,5)+1,"Центр","Юг","Север","Запад","Восток")</f>
        <v>Юг</v>
      </c>
      <c r="G1423" s="10" t="str">
        <f aca="false">"Округ_"&amp;(MOD(A1423-1,5)+1)&amp;"_"&amp;(MOD(INT((A1423-1)/5),5)+1)</f>
        <v>Округ_2_5</v>
      </c>
      <c r="H1423" s="10" t="str">
        <f aca="false">"Город_"&amp;(MOD(A1423-1,5)+1)&amp;"_"&amp;(MOD(INT((A1423-1)/5),5)+1)&amp;"_"&amp;(MOD(INT((A1423-1)/25),10)+1)</f>
        <v>Город_2_5_7</v>
      </c>
      <c r="I1423" s="10" t="str">
        <f aca="false">CHOOSE(MOD(A1423-1,4)+1,"Электроника","Одежда","Продукты","Мебель")</f>
        <v>Одежда</v>
      </c>
      <c r="J1423" s="10" t="str">
        <f aca="false">CHOOSE(MOD(INT((A1423-1)/4),4)+1,CHOOSE(MOD(A1423-1,4)+1,"Смартфоны","Ноутбуки","Аксессуары","Аудио"),CHOOSE(MOD(A1423-1,4)+1,"Верхняя одежда","Спортивная","Повседневная","Обувь"),CHOOSE(MOD(A1423-1,4)+1,"Молочные","Мясные","Бакалея","Напитки"),CHOOSE(MOD(A1423-1,4)+1,"Мягкая мебель","Корпусная","Офисная","Кухонная"))</f>
        <v>Корпусная</v>
      </c>
      <c r="K1423" s="12" t="n">
        <f aca="false">1000+MOD(A1423*317+A1423*A1423*7,49001)</f>
        <v>4064</v>
      </c>
      <c r="L1423" s="12" t="n">
        <f aca="false">1+MOD(A1423*131,100)</f>
        <v>83</v>
      </c>
      <c r="M1423" s="12" t="n">
        <f aca="false">INT(K1423*(0.6+MOD(A1423*43,21)/100))</f>
        <v>3048</v>
      </c>
      <c r="N1423" s="12" t="n">
        <f aca="false">K1423-M1423</f>
        <v>1016</v>
      </c>
    </row>
    <row r="1424" customFormat="false" ht="12.8" hidden="false" customHeight="false" outlineLevel="0" collapsed="false">
      <c r="A1424" s="10" t="n">
        <f aca="false">A1423+1</f>
        <v>1423</v>
      </c>
      <c r="B1424" s="11" t="n">
        <f aca="false">B1423+1</f>
        <v>46349</v>
      </c>
      <c r="C1424" s="10" t="n">
        <f aca="false">YEAR(B1424)</f>
        <v>2026</v>
      </c>
      <c r="D1424" s="10" t="n">
        <f aca="false">INT((MONTH(B1424)-1)/3)+1</f>
        <v>4</v>
      </c>
      <c r="E1424" s="10" t="n">
        <f aca="false">MONTH(B1424)</f>
        <v>11</v>
      </c>
      <c r="F1424" s="10" t="str">
        <f aca="false">CHOOSE(MOD(A1424-1,5)+1,"Центр","Юг","Север","Запад","Восток")</f>
        <v>Север</v>
      </c>
      <c r="G1424" s="10" t="str">
        <f aca="false">"Округ_"&amp;(MOD(A1424-1,5)+1)&amp;"_"&amp;(MOD(INT((A1424-1)/5),5)+1)</f>
        <v>Округ_3_5</v>
      </c>
      <c r="H1424" s="10" t="str">
        <f aca="false">"Город_"&amp;(MOD(A1424-1,5)+1)&amp;"_"&amp;(MOD(INT((A1424-1)/5),5)+1)&amp;"_"&amp;(MOD(INT((A1424-1)/25),10)+1)</f>
        <v>Город_3_5_7</v>
      </c>
      <c r="I1424" s="10" t="str">
        <f aca="false">CHOOSE(MOD(A1424-1,4)+1,"Электроника","Одежда","Продукты","Мебель")</f>
        <v>Продукты</v>
      </c>
      <c r="J1424" s="10" t="str">
        <f aca="false">CHOOSE(MOD(INT((A1424-1)/4),4)+1,CHOOSE(MOD(A1424-1,4)+1,"Смартфоны","Ноутбуки","Аксессуары","Аудио"),CHOOSE(MOD(A1424-1,4)+1,"Верхняя одежда","Спортивная","Повседневная","Обувь"),CHOOSE(MOD(A1424-1,4)+1,"Молочные","Мясные","Бакалея","Напитки"),CHOOSE(MOD(A1424-1,4)+1,"Мягкая мебель","Корпусная","Офисная","Кухонная"))</f>
        <v>Офисная</v>
      </c>
      <c r="K1424" s="12" t="n">
        <f aca="false">1000+MOD(A1424*317+A1424*A1424*7,49001)</f>
        <v>24296</v>
      </c>
      <c r="L1424" s="12" t="n">
        <f aca="false">1+MOD(A1424*131,100)</f>
        <v>14</v>
      </c>
      <c r="M1424" s="12" t="n">
        <f aca="false">INT(K1424*(0.6+MOD(A1424*43,21)/100))</f>
        <v>18464</v>
      </c>
      <c r="N1424" s="12" t="n">
        <f aca="false">K1424-M1424</f>
        <v>5832</v>
      </c>
    </row>
    <row r="1425" customFormat="false" ht="12.8" hidden="false" customHeight="false" outlineLevel="0" collapsed="false">
      <c r="A1425" s="10" t="n">
        <f aca="false">A1424+1</f>
        <v>1424</v>
      </c>
      <c r="B1425" s="11" t="n">
        <f aca="false">B1424+1</f>
        <v>46350</v>
      </c>
      <c r="C1425" s="10" t="n">
        <f aca="false">YEAR(B1425)</f>
        <v>2026</v>
      </c>
      <c r="D1425" s="10" t="n">
        <f aca="false">INT((MONTH(B1425)-1)/3)+1</f>
        <v>4</v>
      </c>
      <c r="E1425" s="10" t="n">
        <f aca="false">MONTH(B1425)</f>
        <v>11</v>
      </c>
      <c r="F1425" s="10" t="str">
        <f aca="false">CHOOSE(MOD(A1425-1,5)+1,"Центр","Юг","Север","Запад","Восток")</f>
        <v>Запад</v>
      </c>
      <c r="G1425" s="10" t="str">
        <f aca="false">"Округ_"&amp;(MOD(A1425-1,5)+1)&amp;"_"&amp;(MOD(INT((A1425-1)/5),5)+1)</f>
        <v>Округ_4_5</v>
      </c>
      <c r="H1425" s="10" t="str">
        <f aca="false">"Город_"&amp;(MOD(A1425-1,5)+1)&amp;"_"&amp;(MOD(INT((A1425-1)/5),5)+1)&amp;"_"&amp;(MOD(INT((A1425-1)/25),10)+1)</f>
        <v>Город_4_5_7</v>
      </c>
      <c r="I1425" s="10" t="str">
        <f aca="false">CHOOSE(MOD(A1425-1,4)+1,"Электроника","Одежда","Продукты","Мебель")</f>
        <v>Мебель</v>
      </c>
      <c r="J1425" s="10" t="str">
        <f aca="false">CHOOSE(MOD(INT((A1425-1)/4),4)+1,CHOOSE(MOD(A1425-1,4)+1,"Смартфоны","Ноутбуки","Аксессуары","Аудио"),CHOOSE(MOD(A1425-1,4)+1,"Верхняя одежда","Спортивная","Повседневная","Обувь"),CHOOSE(MOD(A1425-1,4)+1,"Молочные","Мясные","Бакалея","Напитки"),CHOOSE(MOD(A1425-1,4)+1,"Мягкая мебель","Корпусная","Офисная","Кухонная"))</f>
        <v>Кухонная</v>
      </c>
      <c r="K1425" s="12" t="n">
        <f aca="false">1000+MOD(A1425*317+A1425*A1425*7,49001)</f>
        <v>44542</v>
      </c>
      <c r="L1425" s="12" t="n">
        <f aca="false">1+MOD(A1425*131,100)</f>
        <v>45</v>
      </c>
      <c r="M1425" s="12" t="n">
        <f aca="false">INT(K1425*(0.6+MOD(A1425*43,21)/100))</f>
        <v>34297</v>
      </c>
      <c r="N1425" s="12" t="n">
        <f aca="false">K1425-M1425</f>
        <v>10245</v>
      </c>
    </row>
    <row r="1426" customFormat="false" ht="12.8" hidden="false" customHeight="false" outlineLevel="0" collapsed="false">
      <c r="A1426" s="10" t="n">
        <f aca="false">A1425+1</f>
        <v>1425</v>
      </c>
      <c r="B1426" s="11" t="n">
        <f aca="false">B1425+1</f>
        <v>46351</v>
      </c>
      <c r="C1426" s="10" t="n">
        <f aca="false">YEAR(B1426)</f>
        <v>2026</v>
      </c>
      <c r="D1426" s="10" t="n">
        <f aca="false">INT((MONTH(B1426)-1)/3)+1</f>
        <v>4</v>
      </c>
      <c r="E1426" s="10" t="n">
        <f aca="false">MONTH(B1426)</f>
        <v>11</v>
      </c>
      <c r="F1426" s="10" t="str">
        <f aca="false">CHOOSE(MOD(A1426-1,5)+1,"Центр","Юг","Север","Запад","Восток")</f>
        <v>Восток</v>
      </c>
      <c r="G1426" s="10" t="str">
        <f aca="false">"Округ_"&amp;(MOD(A1426-1,5)+1)&amp;"_"&amp;(MOD(INT((A1426-1)/5),5)+1)</f>
        <v>Округ_5_5</v>
      </c>
      <c r="H1426" s="10" t="str">
        <f aca="false">"Город_"&amp;(MOD(A1426-1,5)+1)&amp;"_"&amp;(MOD(INT((A1426-1)/5),5)+1)&amp;"_"&amp;(MOD(INT((A1426-1)/25),10)+1)</f>
        <v>Город_5_5_7</v>
      </c>
      <c r="I1426" s="10" t="str">
        <f aca="false">CHOOSE(MOD(A1426-1,4)+1,"Электроника","Одежда","Продукты","Мебель")</f>
        <v>Электроника</v>
      </c>
      <c r="J1426" s="10" t="str">
        <f aca="false">CHOOSE(MOD(INT((A1426-1)/4),4)+1,CHOOSE(MOD(A1426-1,4)+1,"Смартфоны","Ноутбуки","Аксессуары","Аудио"),CHOOSE(MOD(A1426-1,4)+1,"Верхняя одежда","Спортивная","Повседневная","Обувь"),CHOOSE(MOD(A1426-1,4)+1,"Молочные","Мясные","Бакалея","Напитки"),CHOOSE(MOD(A1426-1,4)+1,"Мягкая мебель","Корпусная","Офисная","Кухонная"))</f>
        <v>Смартфоны</v>
      </c>
      <c r="K1426" s="12" t="n">
        <f aca="false">1000+MOD(A1426*317+A1426*A1426*7,49001)</f>
        <v>15801</v>
      </c>
      <c r="L1426" s="12" t="n">
        <f aca="false">1+MOD(A1426*131,100)</f>
        <v>76</v>
      </c>
      <c r="M1426" s="12" t="n">
        <f aca="false">INT(K1426*(0.6+MOD(A1426*43,21)/100))</f>
        <v>12324</v>
      </c>
      <c r="N1426" s="12" t="n">
        <f aca="false">K1426-M1426</f>
        <v>3477</v>
      </c>
    </row>
    <row r="1427" customFormat="false" ht="12.8" hidden="false" customHeight="false" outlineLevel="0" collapsed="false">
      <c r="A1427" s="10" t="n">
        <f aca="false">A1426+1</f>
        <v>1426</v>
      </c>
      <c r="B1427" s="11" t="n">
        <f aca="false">B1426+1</f>
        <v>46352</v>
      </c>
      <c r="C1427" s="10" t="n">
        <f aca="false">YEAR(B1427)</f>
        <v>2026</v>
      </c>
      <c r="D1427" s="10" t="n">
        <f aca="false">INT((MONTH(B1427)-1)/3)+1</f>
        <v>4</v>
      </c>
      <c r="E1427" s="10" t="n">
        <f aca="false">MONTH(B1427)</f>
        <v>11</v>
      </c>
      <c r="F1427" s="10" t="str">
        <f aca="false">CHOOSE(MOD(A1427-1,5)+1,"Центр","Юг","Север","Запад","Восток")</f>
        <v>Центр</v>
      </c>
      <c r="G1427" s="10" t="str">
        <f aca="false">"Округ_"&amp;(MOD(A1427-1,5)+1)&amp;"_"&amp;(MOD(INT((A1427-1)/5),5)+1)</f>
        <v>Округ_1_1</v>
      </c>
      <c r="H1427" s="10" t="str">
        <f aca="false">"Город_"&amp;(MOD(A1427-1,5)+1)&amp;"_"&amp;(MOD(INT((A1427-1)/5),5)+1)&amp;"_"&amp;(MOD(INT((A1427-1)/25),10)+1)</f>
        <v>Город_1_1_8</v>
      </c>
      <c r="I1427" s="10" t="str">
        <f aca="false">CHOOSE(MOD(A1427-1,4)+1,"Электроника","Одежда","Продукты","Мебель")</f>
        <v>Одежда</v>
      </c>
      <c r="J1427" s="10" t="str">
        <f aca="false">CHOOSE(MOD(INT((A1427-1)/4),4)+1,CHOOSE(MOD(A1427-1,4)+1,"Смартфоны","Ноутбуки","Аксессуары","Аудио"),CHOOSE(MOD(A1427-1,4)+1,"Верхняя одежда","Спортивная","Повседневная","Обувь"),CHOOSE(MOD(A1427-1,4)+1,"Молочные","Мясные","Бакалея","Напитки"),CHOOSE(MOD(A1427-1,4)+1,"Мягкая мебель","Корпусная","Офисная","Кухонная"))</f>
        <v>Ноутбуки</v>
      </c>
      <c r="K1427" s="12" t="n">
        <f aca="false">1000+MOD(A1427*317+A1427*A1427*7,49001)</f>
        <v>36075</v>
      </c>
      <c r="L1427" s="12" t="n">
        <f aca="false">1+MOD(A1427*131,100)</f>
        <v>7</v>
      </c>
      <c r="M1427" s="12" t="n">
        <f aca="false">INT(K1427*(0.6+MOD(A1427*43,21)/100))</f>
        <v>28499</v>
      </c>
      <c r="N1427" s="12" t="n">
        <f aca="false">K1427-M1427</f>
        <v>7576</v>
      </c>
    </row>
    <row r="1428" customFormat="false" ht="12.8" hidden="false" customHeight="false" outlineLevel="0" collapsed="false">
      <c r="A1428" s="10" t="n">
        <f aca="false">A1427+1</f>
        <v>1427</v>
      </c>
      <c r="B1428" s="11" t="n">
        <f aca="false">B1427+1</f>
        <v>46353</v>
      </c>
      <c r="C1428" s="10" t="n">
        <f aca="false">YEAR(B1428)</f>
        <v>2026</v>
      </c>
      <c r="D1428" s="10" t="n">
        <f aca="false">INT((MONTH(B1428)-1)/3)+1</f>
        <v>4</v>
      </c>
      <c r="E1428" s="10" t="n">
        <f aca="false">MONTH(B1428)</f>
        <v>11</v>
      </c>
      <c r="F1428" s="10" t="str">
        <f aca="false">CHOOSE(MOD(A1428-1,5)+1,"Центр","Юг","Север","Запад","Восток")</f>
        <v>Юг</v>
      </c>
      <c r="G1428" s="10" t="str">
        <f aca="false">"Округ_"&amp;(MOD(A1428-1,5)+1)&amp;"_"&amp;(MOD(INT((A1428-1)/5),5)+1)</f>
        <v>Округ_2_1</v>
      </c>
      <c r="H1428" s="10" t="str">
        <f aca="false">"Город_"&amp;(MOD(A1428-1,5)+1)&amp;"_"&amp;(MOD(INT((A1428-1)/5),5)+1)&amp;"_"&amp;(MOD(INT((A1428-1)/25),10)+1)</f>
        <v>Город_2_1_8</v>
      </c>
      <c r="I1428" s="10" t="str">
        <f aca="false">CHOOSE(MOD(A1428-1,4)+1,"Электроника","Одежда","Продукты","Мебель")</f>
        <v>Продукты</v>
      </c>
      <c r="J1428" s="10" t="str">
        <f aca="false">CHOOSE(MOD(INT((A1428-1)/4),4)+1,CHOOSE(MOD(A1428-1,4)+1,"Смартфоны","Ноутбуки","Аксессуары","Аудио"),CHOOSE(MOD(A1428-1,4)+1,"Верхняя одежда","Спортивная","Повседневная","Обувь"),CHOOSE(MOD(A1428-1,4)+1,"Молочные","Мясные","Бакалея","Напитки"),CHOOSE(MOD(A1428-1,4)+1,"Мягкая мебель","Корпусная","Офисная","Кухонная"))</f>
        <v>Аксессуары</v>
      </c>
      <c r="K1428" s="12" t="n">
        <f aca="false">1000+MOD(A1428*317+A1428*A1428*7,49001)</f>
        <v>7362</v>
      </c>
      <c r="L1428" s="12" t="n">
        <f aca="false">1+MOD(A1428*131,100)</f>
        <v>38</v>
      </c>
      <c r="M1428" s="12" t="n">
        <f aca="false">INT(K1428*(0.6+MOD(A1428*43,21)/100))</f>
        <v>5889</v>
      </c>
      <c r="N1428" s="12" t="n">
        <f aca="false">K1428-M1428</f>
        <v>1473</v>
      </c>
    </row>
    <row r="1429" customFormat="false" ht="12.8" hidden="false" customHeight="false" outlineLevel="0" collapsed="false">
      <c r="A1429" s="10" t="n">
        <f aca="false">A1428+1</f>
        <v>1428</v>
      </c>
      <c r="B1429" s="11" t="n">
        <f aca="false">B1428+1</f>
        <v>46354</v>
      </c>
      <c r="C1429" s="10" t="n">
        <f aca="false">YEAR(B1429)</f>
        <v>2026</v>
      </c>
      <c r="D1429" s="10" t="n">
        <f aca="false">INT((MONTH(B1429)-1)/3)+1</f>
        <v>4</v>
      </c>
      <c r="E1429" s="10" t="n">
        <f aca="false">MONTH(B1429)</f>
        <v>11</v>
      </c>
      <c r="F1429" s="10" t="str">
        <f aca="false">CHOOSE(MOD(A1429-1,5)+1,"Центр","Юг","Север","Запад","Восток")</f>
        <v>Север</v>
      </c>
      <c r="G1429" s="10" t="str">
        <f aca="false">"Округ_"&amp;(MOD(A1429-1,5)+1)&amp;"_"&amp;(MOD(INT((A1429-1)/5),5)+1)</f>
        <v>Округ_3_1</v>
      </c>
      <c r="H1429" s="10" t="str">
        <f aca="false">"Город_"&amp;(MOD(A1429-1,5)+1)&amp;"_"&amp;(MOD(INT((A1429-1)/5),5)+1)&amp;"_"&amp;(MOD(INT((A1429-1)/25),10)+1)</f>
        <v>Город_3_1_8</v>
      </c>
      <c r="I1429" s="10" t="str">
        <f aca="false">CHOOSE(MOD(A1429-1,4)+1,"Электроника","Одежда","Продукты","Мебель")</f>
        <v>Мебель</v>
      </c>
      <c r="J1429" s="10" t="str">
        <f aca="false">CHOOSE(MOD(INT((A1429-1)/4),4)+1,CHOOSE(MOD(A1429-1,4)+1,"Смартфоны","Ноутбуки","Аксессуары","Аудио"),CHOOSE(MOD(A1429-1,4)+1,"Верхняя одежда","Спортивная","Повседневная","Обувь"),CHOOSE(MOD(A1429-1,4)+1,"Молочные","Мясные","Бакалея","Напитки"),CHOOSE(MOD(A1429-1,4)+1,"Мягкая мебель","Корпусная","Офисная","Кухонная"))</f>
        <v>Аудио</v>
      </c>
      <c r="K1429" s="12" t="n">
        <f aca="false">1000+MOD(A1429*317+A1429*A1429*7,49001)</f>
        <v>27664</v>
      </c>
      <c r="L1429" s="12" t="n">
        <f aca="false">1+MOD(A1429*131,100)</f>
        <v>69</v>
      </c>
      <c r="M1429" s="12" t="n">
        <f aca="false">INT(K1429*(0.6+MOD(A1429*43,21)/100))</f>
        <v>16598</v>
      </c>
      <c r="N1429" s="12" t="n">
        <f aca="false">K1429-M1429</f>
        <v>11066</v>
      </c>
    </row>
    <row r="1430" customFormat="false" ht="12.8" hidden="false" customHeight="false" outlineLevel="0" collapsed="false">
      <c r="A1430" s="10" t="n">
        <f aca="false">A1429+1</f>
        <v>1429</v>
      </c>
      <c r="B1430" s="11" t="n">
        <f aca="false">B1429+1</f>
        <v>46355</v>
      </c>
      <c r="C1430" s="10" t="n">
        <f aca="false">YEAR(B1430)</f>
        <v>2026</v>
      </c>
      <c r="D1430" s="10" t="n">
        <f aca="false">INT((MONTH(B1430)-1)/3)+1</f>
        <v>4</v>
      </c>
      <c r="E1430" s="10" t="n">
        <f aca="false">MONTH(B1430)</f>
        <v>11</v>
      </c>
      <c r="F1430" s="10" t="str">
        <f aca="false">CHOOSE(MOD(A1430-1,5)+1,"Центр","Юг","Север","Запад","Восток")</f>
        <v>Запад</v>
      </c>
      <c r="G1430" s="10" t="str">
        <f aca="false">"Округ_"&amp;(MOD(A1430-1,5)+1)&amp;"_"&amp;(MOD(INT((A1430-1)/5),5)+1)</f>
        <v>Округ_4_1</v>
      </c>
      <c r="H1430" s="10" t="str">
        <f aca="false">"Город_"&amp;(MOD(A1430-1,5)+1)&amp;"_"&amp;(MOD(INT((A1430-1)/5),5)+1)&amp;"_"&amp;(MOD(INT((A1430-1)/25),10)+1)</f>
        <v>Город_4_1_8</v>
      </c>
      <c r="I1430" s="10" t="str">
        <f aca="false">CHOOSE(MOD(A1430-1,4)+1,"Электроника","Одежда","Продукты","Мебель")</f>
        <v>Электроника</v>
      </c>
      <c r="J1430" s="10" t="str">
        <f aca="false">CHOOSE(MOD(INT((A1430-1)/4),4)+1,CHOOSE(MOD(A1430-1,4)+1,"Смартфоны","Ноутбуки","Аксессуары","Аудио"),CHOOSE(MOD(A1430-1,4)+1,"Верхняя одежда","Спортивная","Повседневная","Обувь"),CHOOSE(MOD(A1430-1,4)+1,"Молочные","Мясные","Бакалея","Напитки"),CHOOSE(MOD(A1430-1,4)+1,"Мягкая мебель","Корпусная","Офисная","Кухонная"))</f>
        <v>Верхняя одежда</v>
      </c>
      <c r="K1430" s="12" t="n">
        <f aca="false">1000+MOD(A1430*317+A1430*A1430*7,49001)</f>
        <v>47980</v>
      </c>
      <c r="L1430" s="12" t="n">
        <f aca="false">1+MOD(A1430*131,100)</f>
        <v>100</v>
      </c>
      <c r="M1430" s="12" t="n">
        <f aca="false">INT(K1430*(0.6+MOD(A1430*43,21)/100))</f>
        <v>29267</v>
      </c>
      <c r="N1430" s="12" t="n">
        <f aca="false">K1430-M1430</f>
        <v>18713</v>
      </c>
    </row>
    <row r="1431" customFormat="false" ht="12.8" hidden="false" customHeight="false" outlineLevel="0" collapsed="false">
      <c r="A1431" s="10" t="n">
        <f aca="false">A1430+1</f>
        <v>1430</v>
      </c>
      <c r="B1431" s="11" t="n">
        <f aca="false">B1430+1</f>
        <v>46356</v>
      </c>
      <c r="C1431" s="10" t="n">
        <f aca="false">YEAR(B1431)</f>
        <v>2026</v>
      </c>
      <c r="D1431" s="10" t="n">
        <f aca="false">INT((MONTH(B1431)-1)/3)+1</f>
        <v>4</v>
      </c>
      <c r="E1431" s="10" t="n">
        <f aca="false">MONTH(B1431)</f>
        <v>11</v>
      </c>
      <c r="F1431" s="10" t="str">
        <f aca="false">CHOOSE(MOD(A1431-1,5)+1,"Центр","Юг","Север","Запад","Восток")</f>
        <v>Восток</v>
      </c>
      <c r="G1431" s="10" t="str">
        <f aca="false">"Округ_"&amp;(MOD(A1431-1,5)+1)&amp;"_"&amp;(MOD(INT((A1431-1)/5),5)+1)</f>
        <v>Округ_5_1</v>
      </c>
      <c r="H1431" s="10" t="str">
        <f aca="false">"Город_"&amp;(MOD(A1431-1,5)+1)&amp;"_"&amp;(MOD(INT((A1431-1)/5),5)+1)&amp;"_"&amp;(MOD(INT((A1431-1)/25),10)+1)</f>
        <v>Город_5_1_8</v>
      </c>
      <c r="I1431" s="10" t="str">
        <f aca="false">CHOOSE(MOD(A1431-1,4)+1,"Электроника","Одежда","Продукты","Мебель")</f>
        <v>Одежда</v>
      </c>
      <c r="J1431" s="10" t="str">
        <f aca="false">CHOOSE(MOD(INT((A1431-1)/4),4)+1,CHOOSE(MOD(A1431-1,4)+1,"Смартфоны","Ноутбуки","Аксессуары","Аудио"),CHOOSE(MOD(A1431-1,4)+1,"Верхняя одежда","Спортивная","Повседневная","Обувь"),CHOOSE(MOD(A1431-1,4)+1,"Молочные","Мясные","Бакалея","Напитки"),CHOOSE(MOD(A1431-1,4)+1,"Мягкая мебель","Корпусная","Офисная","Кухонная"))</f>
        <v>Спортивная</v>
      </c>
      <c r="K1431" s="12" t="n">
        <f aca="false">1000+MOD(A1431*317+A1431*A1431*7,49001)</f>
        <v>19309</v>
      </c>
      <c r="L1431" s="12" t="n">
        <f aca="false">1+MOD(A1431*131,100)</f>
        <v>31</v>
      </c>
      <c r="M1431" s="12" t="n">
        <f aca="false">INT(K1431*(0.6+MOD(A1431*43,21)/100))</f>
        <v>11971</v>
      </c>
      <c r="N1431" s="12" t="n">
        <f aca="false">K1431-M1431</f>
        <v>7338</v>
      </c>
    </row>
    <row r="1432" customFormat="false" ht="12.8" hidden="false" customHeight="false" outlineLevel="0" collapsed="false">
      <c r="A1432" s="10" t="n">
        <f aca="false">A1431+1</f>
        <v>1431</v>
      </c>
      <c r="B1432" s="11" t="n">
        <f aca="false">B1431+1</f>
        <v>46357</v>
      </c>
      <c r="C1432" s="10" t="n">
        <f aca="false">YEAR(B1432)</f>
        <v>2026</v>
      </c>
      <c r="D1432" s="10" t="n">
        <f aca="false">INT((MONTH(B1432)-1)/3)+1</f>
        <v>4</v>
      </c>
      <c r="E1432" s="10" t="n">
        <f aca="false">MONTH(B1432)</f>
        <v>12</v>
      </c>
      <c r="F1432" s="10" t="str">
        <f aca="false">CHOOSE(MOD(A1432-1,5)+1,"Центр","Юг","Север","Запад","Восток")</f>
        <v>Центр</v>
      </c>
      <c r="G1432" s="10" t="str">
        <f aca="false">"Округ_"&amp;(MOD(A1432-1,5)+1)&amp;"_"&amp;(MOD(INT((A1432-1)/5),5)+1)</f>
        <v>Округ_1_2</v>
      </c>
      <c r="H1432" s="10" t="str">
        <f aca="false">"Город_"&amp;(MOD(A1432-1,5)+1)&amp;"_"&amp;(MOD(INT((A1432-1)/5),5)+1)&amp;"_"&amp;(MOD(INT((A1432-1)/25),10)+1)</f>
        <v>Город_1_2_8</v>
      </c>
      <c r="I1432" s="10" t="str">
        <f aca="false">CHOOSE(MOD(A1432-1,4)+1,"Электроника","Одежда","Продукты","Мебель")</f>
        <v>Продукты</v>
      </c>
      <c r="J1432" s="10" t="str">
        <f aca="false">CHOOSE(MOD(INT((A1432-1)/4),4)+1,CHOOSE(MOD(A1432-1,4)+1,"Смартфоны","Ноутбуки","Аксессуары","Аудио"),CHOOSE(MOD(A1432-1,4)+1,"Верхняя одежда","Спортивная","Повседневная","Обувь"),CHOOSE(MOD(A1432-1,4)+1,"Молочные","Мясные","Бакалея","Напитки"),CHOOSE(MOD(A1432-1,4)+1,"Мягкая мебель","Корпусная","Офисная","Кухонная"))</f>
        <v>Повседневная</v>
      </c>
      <c r="K1432" s="12" t="n">
        <f aca="false">1000+MOD(A1432*317+A1432*A1432*7,49001)</f>
        <v>39653</v>
      </c>
      <c r="L1432" s="12" t="n">
        <f aca="false">1+MOD(A1432*131,100)</f>
        <v>62</v>
      </c>
      <c r="M1432" s="12" t="n">
        <f aca="false">INT(K1432*(0.6+MOD(A1432*43,21)/100))</f>
        <v>24981</v>
      </c>
      <c r="N1432" s="12" t="n">
        <f aca="false">K1432-M1432</f>
        <v>14672</v>
      </c>
    </row>
    <row r="1433" customFormat="false" ht="12.8" hidden="false" customHeight="false" outlineLevel="0" collapsed="false">
      <c r="A1433" s="10" t="n">
        <f aca="false">A1432+1</f>
        <v>1432</v>
      </c>
      <c r="B1433" s="11" t="n">
        <f aca="false">B1432+1</f>
        <v>46358</v>
      </c>
      <c r="C1433" s="10" t="n">
        <f aca="false">YEAR(B1433)</f>
        <v>2026</v>
      </c>
      <c r="D1433" s="10" t="n">
        <f aca="false">INT((MONTH(B1433)-1)/3)+1</f>
        <v>4</v>
      </c>
      <c r="E1433" s="10" t="n">
        <f aca="false">MONTH(B1433)</f>
        <v>12</v>
      </c>
      <c r="F1433" s="10" t="str">
        <f aca="false">CHOOSE(MOD(A1433-1,5)+1,"Центр","Юг","Север","Запад","Восток")</f>
        <v>Юг</v>
      </c>
      <c r="G1433" s="10" t="str">
        <f aca="false">"Округ_"&amp;(MOD(A1433-1,5)+1)&amp;"_"&amp;(MOD(INT((A1433-1)/5),5)+1)</f>
        <v>Округ_2_2</v>
      </c>
      <c r="H1433" s="10" t="str">
        <f aca="false">"Город_"&amp;(MOD(A1433-1,5)+1)&amp;"_"&amp;(MOD(INT((A1433-1)/5),5)+1)&amp;"_"&amp;(MOD(INT((A1433-1)/25),10)+1)</f>
        <v>Город_2_2_8</v>
      </c>
      <c r="I1433" s="10" t="str">
        <f aca="false">CHOOSE(MOD(A1433-1,4)+1,"Электроника","Одежда","Продукты","Мебель")</f>
        <v>Мебель</v>
      </c>
      <c r="J1433" s="10" t="str">
        <f aca="false">CHOOSE(MOD(INT((A1433-1)/4),4)+1,CHOOSE(MOD(A1433-1,4)+1,"Смартфоны","Ноутбуки","Аксессуары","Аудио"),CHOOSE(MOD(A1433-1,4)+1,"Верхняя одежда","Спортивная","Повседневная","Обувь"),CHOOSE(MOD(A1433-1,4)+1,"Молочные","Мясные","Бакалея","Напитки"),CHOOSE(MOD(A1433-1,4)+1,"Мягкая мебель","Корпусная","Офисная","Кухонная"))</f>
        <v>Обувь</v>
      </c>
      <c r="K1433" s="12" t="n">
        <f aca="false">1000+MOD(A1433*317+A1433*A1433*7,49001)</f>
        <v>11010</v>
      </c>
      <c r="L1433" s="12" t="n">
        <f aca="false">1+MOD(A1433*131,100)</f>
        <v>93</v>
      </c>
      <c r="M1433" s="12" t="n">
        <f aca="false">INT(K1433*(0.6+MOD(A1433*43,21)/100))</f>
        <v>7046</v>
      </c>
      <c r="N1433" s="12" t="n">
        <f aca="false">K1433-M1433</f>
        <v>3964</v>
      </c>
    </row>
    <row r="1434" customFormat="false" ht="12.8" hidden="false" customHeight="false" outlineLevel="0" collapsed="false">
      <c r="A1434" s="10" t="n">
        <f aca="false">A1433+1</f>
        <v>1433</v>
      </c>
      <c r="B1434" s="11" t="n">
        <f aca="false">B1433+1</f>
        <v>46359</v>
      </c>
      <c r="C1434" s="10" t="n">
        <f aca="false">YEAR(B1434)</f>
        <v>2026</v>
      </c>
      <c r="D1434" s="10" t="n">
        <f aca="false">INT((MONTH(B1434)-1)/3)+1</f>
        <v>4</v>
      </c>
      <c r="E1434" s="10" t="n">
        <f aca="false">MONTH(B1434)</f>
        <v>12</v>
      </c>
      <c r="F1434" s="10" t="str">
        <f aca="false">CHOOSE(MOD(A1434-1,5)+1,"Центр","Юг","Север","Запад","Восток")</f>
        <v>Север</v>
      </c>
      <c r="G1434" s="10" t="str">
        <f aca="false">"Округ_"&amp;(MOD(A1434-1,5)+1)&amp;"_"&amp;(MOD(INT((A1434-1)/5),5)+1)</f>
        <v>Округ_3_2</v>
      </c>
      <c r="H1434" s="10" t="str">
        <f aca="false">"Город_"&amp;(MOD(A1434-1,5)+1)&amp;"_"&amp;(MOD(INT((A1434-1)/5),5)+1)&amp;"_"&amp;(MOD(INT((A1434-1)/25),10)+1)</f>
        <v>Город_3_2_8</v>
      </c>
      <c r="I1434" s="10" t="str">
        <f aca="false">CHOOSE(MOD(A1434-1,4)+1,"Электроника","Одежда","Продукты","Мебель")</f>
        <v>Электроника</v>
      </c>
      <c r="J1434" s="10" t="str">
        <f aca="false">CHOOSE(MOD(INT((A1434-1)/4),4)+1,CHOOSE(MOD(A1434-1,4)+1,"Смартфоны","Ноутбуки","Аксессуары","Аудио"),CHOOSE(MOD(A1434-1,4)+1,"Верхняя одежда","Спортивная","Повседневная","Обувь"),CHOOSE(MOD(A1434-1,4)+1,"Молочные","Мясные","Бакалея","Напитки"),CHOOSE(MOD(A1434-1,4)+1,"Мягкая мебель","Корпусная","Офисная","Кухонная"))</f>
        <v>Молочные</v>
      </c>
      <c r="K1434" s="12" t="n">
        <f aca="false">1000+MOD(A1434*317+A1434*A1434*7,49001)</f>
        <v>31382</v>
      </c>
      <c r="L1434" s="12" t="n">
        <f aca="false">1+MOD(A1434*131,100)</f>
        <v>24</v>
      </c>
      <c r="M1434" s="12" t="n">
        <f aca="false">INT(K1434*(0.6+MOD(A1434*43,21)/100))</f>
        <v>20398</v>
      </c>
      <c r="N1434" s="12" t="n">
        <f aca="false">K1434-M1434</f>
        <v>10984</v>
      </c>
    </row>
    <row r="1435" customFormat="false" ht="12.8" hidden="false" customHeight="false" outlineLevel="0" collapsed="false">
      <c r="A1435" s="10" t="n">
        <f aca="false">A1434+1</f>
        <v>1434</v>
      </c>
      <c r="B1435" s="11" t="n">
        <f aca="false">B1434+1</f>
        <v>46360</v>
      </c>
      <c r="C1435" s="10" t="n">
        <f aca="false">YEAR(B1435)</f>
        <v>2026</v>
      </c>
      <c r="D1435" s="10" t="n">
        <f aca="false">INT((MONTH(B1435)-1)/3)+1</f>
        <v>4</v>
      </c>
      <c r="E1435" s="10" t="n">
        <f aca="false">MONTH(B1435)</f>
        <v>12</v>
      </c>
      <c r="F1435" s="10" t="str">
        <f aca="false">CHOOSE(MOD(A1435-1,5)+1,"Центр","Юг","Север","Запад","Восток")</f>
        <v>Запад</v>
      </c>
      <c r="G1435" s="10" t="str">
        <f aca="false">"Округ_"&amp;(MOD(A1435-1,5)+1)&amp;"_"&amp;(MOD(INT((A1435-1)/5),5)+1)</f>
        <v>Округ_4_2</v>
      </c>
      <c r="H1435" s="10" t="str">
        <f aca="false">"Город_"&amp;(MOD(A1435-1,5)+1)&amp;"_"&amp;(MOD(INT((A1435-1)/5),5)+1)&amp;"_"&amp;(MOD(INT((A1435-1)/25),10)+1)</f>
        <v>Город_4_2_8</v>
      </c>
      <c r="I1435" s="10" t="str">
        <f aca="false">CHOOSE(MOD(A1435-1,4)+1,"Электроника","Одежда","Продукты","Мебель")</f>
        <v>Одежда</v>
      </c>
      <c r="J1435" s="10" t="str">
        <f aca="false">CHOOSE(MOD(INT((A1435-1)/4),4)+1,CHOOSE(MOD(A1435-1,4)+1,"Смартфоны","Ноутбуки","Аксессуары","Аудио"),CHOOSE(MOD(A1435-1,4)+1,"Верхняя одежда","Спортивная","Повседневная","Обувь"),CHOOSE(MOD(A1435-1,4)+1,"Молочные","Мясные","Бакалея","Напитки"),CHOOSE(MOD(A1435-1,4)+1,"Мягкая мебель","Корпусная","Офисная","Кухонная"))</f>
        <v>Мясные</v>
      </c>
      <c r="K1435" s="12" t="n">
        <f aca="false">1000+MOD(A1435*317+A1435*A1435*7,49001)</f>
        <v>2767</v>
      </c>
      <c r="L1435" s="12" t="n">
        <f aca="false">1+MOD(A1435*131,100)</f>
        <v>55</v>
      </c>
      <c r="M1435" s="12" t="n">
        <f aca="false">INT(K1435*(0.6+MOD(A1435*43,21)/100))</f>
        <v>1826</v>
      </c>
      <c r="N1435" s="12" t="n">
        <f aca="false">K1435-M1435</f>
        <v>941</v>
      </c>
    </row>
    <row r="1436" customFormat="false" ht="12.8" hidden="false" customHeight="false" outlineLevel="0" collapsed="false">
      <c r="A1436" s="10" t="n">
        <f aca="false">A1435+1</f>
        <v>1435</v>
      </c>
      <c r="B1436" s="11" t="n">
        <f aca="false">B1435+1</f>
        <v>46361</v>
      </c>
      <c r="C1436" s="10" t="n">
        <f aca="false">YEAR(B1436)</f>
        <v>2026</v>
      </c>
      <c r="D1436" s="10" t="n">
        <f aca="false">INT((MONTH(B1436)-1)/3)+1</f>
        <v>4</v>
      </c>
      <c r="E1436" s="10" t="n">
        <f aca="false">MONTH(B1436)</f>
        <v>12</v>
      </c>
      <c r="F1436" s="10" t="str">
        <f aca="false">CHOOSE(MOD(A1436-1,5)+1,"Центр","Юг","Север","Запад","Восток")</f>
        <v>Восток</v>
      </c>
      <c r="G1436" s="10" t="str">
        <f aca="false">"Округ_"&amp;(MOD(A1436-1,5)+1)&amp;"_"&amp;(MOD(INT((A1436-1)/5),5)+1)</f>
        <v>Округ_5_2</v>
      </c>
      <c r="H1436" s="10" t="str">
        <f aca="false">"Город_"&amp;(MOD(A1436-1,5)+1)&amp;"_"&amp;(MOD(INT((A1436-1)/5),5)+1)&amp;"_"&amp;(MOD(INT((A1436-1)/25),10)+1)</f>
        <v>Город_5_2_8</v>
      </c>
      <c r="I1436" s="10" t="str">
        <f aca="false">CHOOSE(MOD(A1436-1,4)+1,"Электроника","Одежда","Продукты","Мебель")</f>
        <v>Продукты</v>
      </c>
      <c r="J1436" s="10" t="str">
        <f aca="false">CHOOSE(MOD(INT((A1436-1)/4),4)+1,CHOOSE(MOD(A1436-1,4)+1,"Смартфоны","Ноутбуки","Аксессуары","Аудио"),CHOOSE(MOD(A1436-1,4)+1,"Верхняя одежда","Спортивная","Повседневная","Обувь"),CHOOSE(MOD(A1436-1,4)+1,"Молочные","Мясные","Бакалея","Напитки"),CHOOSE(MOD(A1436-1,4)+1,"Мягкая мебель","Корпусная","Офисная","Кухонная"))</f>
        <v>Бакалея</v>
      </c>
      <c r="K1436" s="12" t="n">
        <f aca="false">1000+MOD(A1436*317+A1436*A1436*7,49001)</f>
        <v>23167</v>
      </c>
      <c r="L1436" s="12" t="n">
        <f aca="false">1+MOD(A1436*131,100)</f>
        <v>86</v>
      </c>
      <c r="M1436" s="12" t="n">
        <f aca="false">INT(K1436*(0.6+MOD(A1436*43,21)/100))</f>
        <v>15521</v>
      </c>
      <c r="N1436" s="12" t="n">
        <f aca="false">K1436-M1436</f>
        <v>7646</v>
      </c>
    </row>
    <row r="1437" customFormat="false" ht="12.8" hidden="false" customHeight="false" outlineLevel="0" collapsed="false">
      <c r="A1437" s="10" t="n">
        <f aca="false">A1436+1</f>
        <v>1436</v>
      </c>
      <c r="B1437" s="11" t="n">
        <f aca="false">B1436+1</f>
        <v>46362</v>
      </c>
      <c r="C1437" s="10" t="n">
        <f aca="false">YEAR(B1437)</f>
        <v>2026</v>
      </c>
      <c r="D1437" s="10" t="n">
        <f aca="false">INT((MONTH(B1437)-1)/3)+1</f>
        <v>4</v>
      </c>
      <c r="E1437" s="10" t="n">
        <f aca="false">MONTH(B1437)</f>
        <v>12</v>
      </c>
      <c r="F1437" s="10" t="str">
        <f aca="false">CHOOSE(MOD(A1437-1,5)+1,"Центр","Юг","Север","Запад","Восток")</f>
        <v>Центр</v>
      </c>
      <c r="G1437" s="10" t="str">
        <f aca="false">"Округ_"&amp;(MOD(A1437-1,5)+1)&amp;"_"&amp;(MOD(INT((A1437-1)/5),5)+1)</f>
        <v>Округ_1_3</v>
      </c>
      <c r="H1437" s="10" t="str">
        <f aca="false">"Город_"&amp;(MOD(A1437-1,5)+1)&amp;"_"&amp;(MOD(INT((A1437-1)/5),5)+1)&amp;"_"&amp;(MOD(INT((A1437-1)/25),10)+1)</f>
        <v>Город_1_3_8</v>
      </c>
      <c r="I1437" s="10" t="str">
        <f aca="false">CHOOSE(MOD(A1437-1,4)+1,"Электроника","Одежда","Продукты","Мебель")</f>
        <v>Мебель</v>
      </c>
      <c r="J1437" s="10" t="str">
        <f aca="false">CHOOSE(MOD(INT((A1437-1)/4),4)+1,CHOOSE(MOD(A1437-1,4)+1,"Смартфоны","Ноутбуки","Аксессуары","Аудио"),CHOOSE(MOD(A1437-1,4)+1,"Верхняя одежда","Спортивная","Повседневная","Обувь"),CHOOSE(MOD(A1437-1,4)+1,"Молочные","Мясные","Бакалея","Напитки"),CHOOSE(MOD(A1437-1,4)+1,"Мягкая мебель","Корпусная","Офисная","Кухонная"))</f>
        <v>Напитки</v>
      </c>
      <c r="K1437" s="12" t="n">
        <f aca="false">1000+MOD(A1437*317+A1437*A1437*7,49001)</f>
        <v>43581</v>
      </c>
      <c r="L1437" s="12" t="n">
        <f aca="false">1+MOD(A1437*131,100)</f>
        <v>17</v>
      </c>
      <c r="M1437" s="12" t="n">
        <f aca="false">INT(K1437*(0.6+MOD(A1437*43,21)/100))</f>
        <v>29635</v>
      </c>
      <c r="N1437" s="12" t="n">
        <f aca="false">K1437-M1437</f>
        <v>13946</v>
      </c>
    </row>
    <row r="1438" customFormat="false" ht="12.8" hidden="false" customHeight="false" outlineLevel="0" collapsed="false">
      <c r="A1438" s="10" t="n">
        <f aca="false">A1437+1</f>
        <v>1437</v>
      </c>
      <c r="B1438" s="11" t="n">
        <f aca="false">B1437+1</f>
        <v>46363</v>
      </c>
      <c r="C1438" s="10" t="n">
        <f aca="false">YEAR(B1438)</f>
        <v>2026</v>
      </c>
      <c r="D1438" s="10" t="n">
        <f aca="false">INT((MONTH(B1438)-1)/3)+1</f>
        <v>4</v>
      </c>
      <c r="E1438" s="10" t="n">
        <f aca="false">MONTH(B1438)</f>
        <v>12</v>
      </c>
      <c r="F1438" s="10" t="str">
        <f aca="false">CHOOSE(MOD(A1438-1,5)+1,"Центр","Юг","Север","Запад","Восток")</f>
        <v>Юг</v>
      </c>
      <c r="G1438" s="10" t="str">
        <f aca="false">"Округ_"&amp;(MOD(A1438-1,5)+1)&amp;"_"&amp;(MOD(INT((A1438-1)/5),5)+1)</f>
        <v>Округ_2_3</v>
      </c>
      <c r="H1438" s="10" t="str">
        <f aca="false">"Город_"&amp;(MOD(A1438-1,5)+1)&amp;"_"&amp;(MOD(INT((A1438-1)/5),5)+1)&amp;"_"&amp;(MOD(INT((A1438-1)/25),10)+1)</f>
        <v>Город_2_3_8</v>
      </c>
      <c r="I1438" s="10" t="str">
        <f aca="false">CHOOSE(MOD(A1438-1,4)+1,"Электроника","Одежда","Продукты","Мебель")</f>
        <v>Электроника</v>
      </c>
      <c r="J1438" s="10" t="str">
        <f aca="false">CHOOSE(MOD(INT((A1438-1)/4),4)+1,CHOOSE(MOD(A1438-1,4)+1,"Смартфоны","Ноутбуки","Аксессуары","Аудио"),CHOOSE(MOD(A1438-1,4)+1,"Верхняя одежда","Спортивная","Повседневная","Обувь"),CHOOSE(MOD(A1438-1,4)+1,"Молочные","Мясные","Бакалея","Напитки"),CHOOSE(MOD(A1438-1,4)+1,"Мягкая мебель","Корпусная","Офисная","Кухонная"))</f>
        <v>Мягкая мебель</v>
      </c>
      <c r="K1438" s="12" t="n">
        <f aca="false">1000+MOD(A1438*317+A1438*A1438*7,49001)</f>
        <v>15008</v>
      </c>
      <c r="L1438" s="12" t="n">
        <f aca="false">1+MOD(A1438*131,100)</f>
        <v>48</v>
      </c>
      <c r="M1438" s="12" t="n">
        <f aca="false">INT(K1438*(0.6+MOD(A1438*43,21)/100))</f>
        <v>10355</v>
      </c>
      <c r="N1438" s="12" t="n">
        <f aca="false">K1438-M1438</f>
        <v>4653</v>
      </c>
    </row>
    <row r="1439" customFormat="false" ht="12.8" hidden="false" customHeight="false" outlineLevel="0" collapsed="false">
      <c r="A1439" s="10" t="n">
        <f aca="false">A1438+1</f>
        <v>1438</v>
      </c>
      <c r="B1439" s="11" t="n">
        <f aca="false">B1438+1</f>
        <v>46364</v>
      </c>
      <c r="C1439" s="10" t="n">
        <f aca="false">YEAR(B1439)</f>
        <v>2026</v>
      </c>
      <c r="D1439" s="10" t="n">
        <f aca="false">INT((MONTH(B1439)-1)/3)+1</f>
        <v>4</v>
      </c>
      <c r="E1439" s="10" t="n">
        <f aca="false">MONTH(B1439)</f>
        <v>12</v>
      </c>
      <c r="F1439" s="10" t="str">
        <f aca="false">CHOOSE(MOD(A1439-1,5)+1,"Центр","Юг","Север","Запад","Восток")</f>
        <v>Север</v>
      </c>
      <c r="G1439" s="10" t="str">
        <f aca="false">"Округ_"&amp;(MOD(A1439-1,5)+1)&amp;"_"&amp;(MOD(INT((A1439-1)/5),5)+1)</f>
        <v>Округ_3_3</v>
      </c>
      <c r="H1439" s="10" t="str">
        <f aca="false">"Город_"&amp;(MOD(A1439-1,5)+1)&amp;"_"&amp;(MOD(INT((A1439-1)/5),5)+1)&amp;"_"&amp;(MOD(INT((A1439-1)/25),10)+1)</f>
        <v>Город_3_3_8</v>
      </c>
      <c r="I1439" s="10" t="str">
        <f aca="false">CHOOSE(MOD(A1439-1,4)+1,"Электроника","Одежда","Продукты","Мебель")</f>
        <v>Одежда</v>
      </c>
      <c r="J1439" s="10" t="str">
        <f aca="false">CHOOSE(MOD(INT((A1439-1)/4),4)+1,CHOOSE(MOD(A1439-1,4)+1,"Смартфоны","Ноутбуки","Аксессуары","Аудио"),CHOOSE(MOD(A1439-1,4)+1,"Верхняя одежда","Спортивная","Повседневная","Обувь"),CHOOSE(MOD(A1439-1,4)+1,"Молочные","Мясные","Бакалея","Напитки"),CHOOSE(MOD(A1439-1,4)+1,"Мягкая мебель","Корпусная","Офисная","Кухонная"))</f>
        <v>Корпусная</v>
      </c>
      <c r="K1439" s="12" t="n">
        <f aca="false">1000+MOD(A1439*317+A1439*A1439*7,49001)</f>
        <v>35450</v>
      </c>
      <c r="L1439" s="12" t="n">
        <f aca="false">1+MOD(A1439*131,100)</f>
        <v>79</v>
      </c>
      <c r="M1439" s="12" t="n">
        <f aca="false">INT(K1439*(0.6+MOD(A1439*43,21)/100))</f>
        <v>24815</v>
      </c>
      <c r="N1439" s="12" t="n">
        <f aca="false">K1439-M1439</f>
        <v>10635</v>
      </c>
    </row>
    <row r="1440" customFormat="false" ht="12.8" hidden="false" customHeight="false" outlineLevel="0" collapsed="false">
      <c r="A1440" s="10" t="n">
        <f aca="false">A1439+1</f>
        <v>1439</v>
      </c>
      <c r="B1440" s="11" t="n">
        <f aca="false">B1439+1</f>
        <v>46365</v>
      </c>
      <c r="C1440" s="10" t="n">
        <f aca="false">YEAR(B1440)</f>
        <v>2026</v>
      </c>
      <c r="D1440" s="10" t="n">
        <f aca="false">INT((MONTH(B1440)-1)/3)+1</f>
        <v>4</v>
      </c>
      <c r="E1440" s="10" t="n">
        <f aca="false">MONTH(B1440)</f>
        <v>12</v>
      </c>
      <c r="F1440" s="10" t="str">
        <f aca="false">CHOOSE(MOD(A1440-1,5)+1,"Центр","Юг","Север","Запад","Восток")</f>
        <v>Запад</v>
      </c>
      <c r="G1440" s="10" t="str">
        <f aca="false">"Округ_"&amp;(MOD(A1440-1,5)+1)&amp;"_"&amp;(MOD(INT((A1440-1)/5),5)+1)</f>
        <v>Округ_4_3</v>
      </c>
      <c r="H1440" s="10" t="str">
        <f aca="false">"Город_"&amp;(MOD(A1440-1,5)+1)&amp;"_"&amp;(MOD(INT((A1440-1)/5),5)+1)&amp;"_"&amp;(MOD(INT((A1440-1)/25),10)+1)</f>
        <v>Город_4_3_8</v>
      </c>
      <c r="I1440" s="10" t="str">
        <f aca="false">CHOOSE(MOD(A1440-1,4)+1,"Электроника","Одежда","Продукты","Мебель")</f>
        <v>Продукты</v>
      </c>
      <c r="J1440" s="10" t="str">
        <f aca="false">CHOOSE(MOD(INT((A1440-1)/4),4)+1,CHOOSE(MOD(A1440-1,4)+1,"Смартфоны","Ноутбуки","Аксессуары","Аудио"),CHOOSE(MOD(A1440-1,4)+1,"Верхняя одежда","Спортивная","Повседневная","Обувь"),CHOOSE(MOD(A1440-1,4)+1,"Молочные","Мясные","Бакалея","Напитки"),CHOOSE(MOD(A1440-1,4)+1,"Мягкая мебель","Корпусная","Офисная","Кухонная"))</f>
        <v>Офисная</v>
      </c>
      <c r="K1440" s="12" t="n">
        <f aca="false">1000+MOD(A1440*317+A1440*A1440*7,49001)</f>
        <v>6905</v>
      </c>
      <c r="L1440" s="12" t="n">
        <f aca="false">1+MOD(A1440*131,100)</f>
        <v>10</v>
      </c>
      <c r="M1440" s="12" t="n">
        <f aca="false">INT(K1440*(0.6+MOD(A1440*43,21)/100))</f>
        <v>4902</v>
      </c>
      <c r="N1440" s="12" t="n">
        <f aca="false">K1440-M1440</f>
        <v>2003</v>
      </c>
    </row>
    <row r="1441" customFormat="false" ht="12.8" hidden="false" customHeight="false" outlineLevel="0" collapsed="false">
      <c r="A1441" s="10" t="n">
        <f aca="false">A1440+1</f>
        <v>1440</v>
      </c>
      <c r="B1441" s="11" t="n">
        <f aca="false">B1440+1</f>
        <v>46366</v>
      </c>
      <c r="C1441" s="10" t="n">
        <f aca="false">YEAR(B1441)</f>
        <v>2026</v>
      </c>
      <c r="D1441" s="10" t="n">
        <f aca="false">INT((MONTH(B1441)-1)/3)+1</f>
        <v>4</v>
      </c>
      <c r="E1441" s="10" t="n">
        <f aca="false">MONTH(B1441)</f>
        <v>12</v>
      </c>
      <c r="F1441" s="10" t="str">
        <f aca="false">CHOOSE(MOD(A1441-1,5)+1,"Центр","Юг","Север","Запад","Восток")</f>
        <v>Восток</v>
      </c>
      <c r="G1441" s="10" t="str">
        <f aca="false">"Округ_"&amp;(MOD(A1441-1,5)+1)&amp;"_"&amp;(MOD(INT((A1441-1)/5),5)+1)</f>
        <v>Округ_5_3</v>
      </c>
      <c r="H1441" s="10" t="str">
        <f aca="false">"Город_"&amp;(MOD(A1441-1,5)+1)&amp;"_"&amp;(MOD(INT((A1441-1)/5),5)+1)&amp;"_"&amp;(MOD(INT((A1441-1)/25),10)+1)</f>
        <v>Город_5_3_8</v>
      </c>
      <c r="I1441" s="10" t="str">
        <f aca="false">CHOOSE(MOD(A1441-1,4)+1,"Электроника","Одежда","Продукты","Мебель")</f>
        <v>Мебель</v>
      </c>
      <c r="J1441" s="10" t="str">
        <f aca="false">CHOOSE(MOD(INT((A1441-1)/4),4)+1,CHOOSE(MOD(A1441-1,4)+1,"Смартфоны","Ноутбуки","Аксессуары","Аудио"),CHOOSE(MOD(A1441-1,4)+1,"Верхняя одежда","Спортивная","Повседневная","Обувь"),CHOOSE(MOD(A1441-1,4)+1,"Молочные","Мясные","Бакалея","Напитки"),CHOOSE(MOD(A1441-1,4)+1,"Мягкая мебель","Корпусная","Офисная","Кухонная"))</f>
        <v>Кухонная</v>
      </c>
      <c r="K1441" s="12" t="n">
        <f aca="false">1000+MOD(A1441*317+A1441*A1441*7,49001)</f>
        <v>27375</v>
      </c>
      <c r="L1441" s="12" t="n">
        <f aca="false">1+MOD(A1441*131,100)</f>
        <v>41</v>
      </c>
      <c r="M1441" s="12" t="n">
        <f aca="false">INT(K1441*(0.6+MOD(A1441*43,21)/100))</f>
        <v>19710</v>
      </c>
      <c r="N1441" s="12" t="n">
        <f aca="false">K1441-M1441</f>
        <v>7665</v>
      </c>
    </row>
    <row r="1442" customFormat="false" ht="12.8" hidden="false" customHeight="false" outlineLevel="0" collapsed="false">
      <c r="A1442" s="10" t="n">
        <f aca="false">A1441+1</f>
        <v>1441</v>
      </c>
      <c r="B1442" s="11" t="n">
        <f aca="false">B1441+1</f>
        <v>46367</v>
      </c>
      <c r="C1442" s="10" t="n">
        <f aca="false">YEAR(B1442)</f>
        <v>2026</v>
      </c>
      <c r="D1442" s="10" t="n">
        <f aca="false">INT((MONTH(B1442)-1)/3)+1</f>
        <v>4</v>
      </c>
      <c r="E1442" s="10" t="n">
        <f aca="false">MONTH(B1442)</f>
        <v>12</v>
      </c>
      <c r="F1442" s="10" t="str">
        <f aca="false">CHOOSE(MOD(A1442-1,5)+1,"Центр","Юг","Север","Запад","Восток")</f>
        <v>Центр</v>
      </c>
      <c r="G1442" s="10" t="str">
        <f aca="false">"Округ_"&amp;(MOD(A1442-1,5)+1)&amp;"_"&amp;(MOD(INT((A1442-1)/5),5)+1)</f>
        <v>Округ_1_4</v>
      </c>
      <c r="H1442" s="10" t="str">
        <f aca="false">"Город_"&amp;(MOD(A1442-1,5)+1)&amp;"_"&amp;(MOD(INT((A1442-1)/5),5)+1)&amp;"_"&amp;(MOD(INT((A1442-1)/25),10)+1)</f>
        <v>Город_1_4_8</v>
      </c>
      <c r="I1442" s="10" t="str">
        <f aca="false">CHOOSE(MOD(A1442-1,4)+1,"Электроника","Одежда","Продукты","Мебель")</f>
        <v>Электроника</v>
      </c>
      <c r="J1442" s="10" t="str">
        <f aca="false">CHOOSE(MOD(INT((A1442-1)/4),4)+1,CHOOSE(MOD(A1442-1,4)+1,"Смартфоны","Ноутбуки","Аксессуары","Аудио"),CHOOSE(MOD(A1442-1,4)+1,"Верхняя одежда","Спортивная","Повседневная","Обувь"),CHOOSE(MOD(A1442-1,4)+1,"Молочные","Мясные","Бакалея","Напитки"),CHOOSE(MOD(A1442-1,4)+1,"Мягкая мебель","Корпусная","Офисная","Кухонная"))</f>
        <v>Смартфоны</v>
      </c>
      <c r="K1442" s="12" t="n">
        <f aca="false">1000+MOD(A1442*317+A1442*A1442*7,49001)</f>
        <v>47859</v>
      </c>
      <c r="L1442" s="12" t="n">
        <f aca="false">1+MOD(A1442*131,100)</f>
        <v>72</v>
      </c>
      <c r="M1442" s="12" t="n">
        <f aca="false">INT(K1442*(0.6+MOD(A1442*43,21)/100))</f>
        <v>34937</v>
      </c>
      <c r="N1442" s="12" t="n">
        <f aca="false">K1442-M1442</f>
        <v>12922</v>
      </c>
    </row>
    <row r="1443" customFormat="false" ht="12.8" hidden="false" customHeight="false" outlineLevel="0" collapsed="false">
      <c r="A1443" s="10" t="n">
        <f aca="false">A1442+1</f>
        <v>1442</v>
      </c>
      <c r="B1443" s="11" t="n">
        <f aca="false">B1442+1</f>
        <v>46368</v>
      </c>
      <c r="C1443" s="10" t="n">
        <f aca="false">YEAR(B1443)</f>
        <v>2026</v>
      </c>
      <c r="D1443" s="10" t="n">
        <f aca="false">INT((MONTH(B1443)-1)/3)+1</f>
        <v>4</v>
      </c>
      <c r="E1443" s="10" t="n">
        <f aca="false">MONTH(B1443)</f>
        <v>12</v>
      </c>
      <c r="F1443" s="10" t="str">
        <f aca="false">CHOOSE(MOD(A1443-1,5)+1,"Центр","Юг","Север","Запад","Восток")</f>
        <v>Юг</v>
      </c>
      <c r="G1443" s="10" t="str">
        <f aca="false">"Округ_"&amp;(MOD(A1443-1,5)+1)&amp;"_"&amp;(MOD(INT((A1443-1)/5),5)+1)</f>
        <v>Округ_2_4</v>
      </c>
      <c r="H1443" s="10" t="str">
        <f aca="false">"Город_"&amp;(MOD(A1443-1,5)+1)&amp;"_"&amp;(MOD(INT((A1443-1)/5),5)+1)&amp;"_"&amp;(MOD(INT((A1443-1)/25),10)+1)</f>
        <v>Город_2_4_8</v>
      </c>
      <c r="I1443" s="10" t="str">
        <f aca="false">CHOOSE(MOD(A1443-1,4)+1,"Электроника","Одежда","Продукты","Мебель")</f>
        <v>Одежда</v>
      </c>
      <c r="J1443" s="10" t="str">
        <f aca="false">CHOOSE(MOD(INT((A1443-1)/4),4)+1,CHOOSE(MOD(A1443-1,4)+1,"Смартфоны","Ноутбуки","Аксессуары","Аудио"),CHOOSE(MOD(A1443-1,4)+1,"Верхняя одежда","Спортивная","Повседневная","Обувь"),CHOOSE(MOD(A1443-1,4)+1,"Молочные","Мясные","Бакалея","Напитки"),CHOOSE(MOD(A1443-1,4)+1,"Мягкая мебель","Корпусная","Офисная","Кухонная"))</f>
        <v>Ноутбуки</v>
      </c>
      <c r="K1443" s="12" t="n">
        <f aca="false">1000+MOD(A1443*317+A1443*A1443*7,49001)</f>
        <v>19356</v>
      </c>
      <c r="L1443" s="12" t="n">
        <f aca="false">1+MOD(A1443*131,100)</f>
        <v>3</v>
      </c>
      <c r="M1443" s="12" t="n">
        <f aca="false">INT(K1443*(0.6+MOD(A1443*43,21)/100))</f>
        <v>14323</v>
      </c>
      <c r="N1443" s="12" t="n">
        <f aca="false">K1443-M1443</f>
        <v>5033</v>
      </c>
    </row>
    <row r="1444" customFormat="false" ht="12.8" hidden="false" customHeight="false" outlineLevel="0" collapsed="false">
      <c r="A1444" s="10" t="n">
        <f aca="false">A1443+1</f>
        <v>1443</v>
      </c>
      <c r="B1444" s="11" t="n">
        <f aca="false">B1443+1</f>
        <v>46369</v>
      </c>
      <c r="C1444" s="10" t="n">
        <f aca="false">YEAR(B1444)</f>
        <v>2026</v>
      </c>
      <c r="D1444" s="10" t="n">
        <f aca="false">INT((MONTH(B1444)-1)/3)+1</f>
        <v>4</v>
      </c>
      <c r="E1444" s="10" t="n">
        <f aca="false">MONTH(B1444)</f>
        <v>12</v>
      </c>
      <c r="F1444" s="10" t="str">
        <f aca="false">CHOOSE(MOD(A1444-1,5)+1,"Центр","Юг","Север","Запад","Восток")</f>
        <v>Север</v>
      </c>
      <c r="G1444" s="10" t="str">
        <f aca="false">"Округ_"&amp;(MOD(A1444-1,5)+1)&amp;"_"&amp;(MOD(INT((A1444-1)/5),5)+1)</f>
        <v>Округ_3_4</v>
      </c>
      <c r="H1444" s="10" t="str">
        <f aca="false">"Город_"&amp;(MOD(A1444-1,5)+1)&amp;"_"&amp;(MOD(INT((A1444-1)/5),5)+1)&amp;"_"&amp;(MOD(INT((A1444-1)/25),10)+1)</f>
        <v>Город_3_4_8</v>
      </c>
      <c r="I1444" s="10" t="str">
        <f aca="false">CHOOSE(MOD(A1444-1,4)+1,"Электроника","Одежда","Продукты","Мебель")</f>
        <v>Продукты</v>
      </c>
      <c r="J1444" s="10" t="str">
        <f aca="false">CHOOSE(MOD(INT((A1444-1)/4),4)+1,CHOOSE(MOD(A1444-1,4)+1,"Смартфоны","Ноутбуки","Аксессуары","Аудио"),CHOOSE(MOD(A1444-1,4)+1,"Верхняя одежда","Спортивная","Повседневная","Обувь"),CHOOSE(MOD(A1444-1,4)+1,"Молочные","Мясные","Бакалея","Напитки"),CHOOSE(MOD(A1444-1,4)+1,"Мягкая мебель","Корпусная","Офисная","Кухонная"))</f>
        <v>Аксессуары</v>
      </c>
      <c r="K1444" s="12" t="n">
        <f aca="false">1000+MOD(A1444*317+A1444*A1444*7,49001)</f>
        <v>39868</v>
      </c>
      <c r="L1444" s="12" t="n">
        <f aca="false">1+MOD(A1444*131,100)</f>
        <v>34</v>
      </c>
      <c r="M1444" s="12" t="n">
        <f aca="false">INT(K1444*(0.6+MOD(A1444*43,21)/100))</f>
        <v>29901</v>
      </c>
      <c r="N1444" s="12" t="n">
        <f aca="false">K1444-M1444</f>
        <v>9967</v>
      </c>
    </row>
    <row r="1445" customFormat="false" ht="12.8" hidden="false" customHeight="false" outlineLevel="0" collapsed="false">
      <c r="A1445" s="10" t="n">
        <f aca="false">A1444+1</f>
        <v>1444</v>
      </c>
      <c r="B1445" s="11" t="n">
        <f aca="false">B1444+1</f>
        <v>46370</v>
      </c>
      <c r="C1445" s="10" t="n">
        <f aca="false">YEAR(B1445)</f>
        <v>2026</v>
      </c>
      <c r="D1445" s="10" t="n">
        <f aca="false">INT((MONTH(B1445)-1)/3)+1</f>
        <v>4</v>
      </c>
      <c r="E1445" s="10" t="n">
        <f aca="false">MONTH(B1445)</f>
        <v>12</v>
      </c>
      <c r="F1445" s="10" t="str">
        <f aca="false">CHOOSE(MOD(A1445-1,5)+1,"Центр","Юг","Север","Запад","Восток")</f>
        <v>Запад</v>
      </c>
      <c r="G1445" s="10" t="str">
        <f aca="false">"Округ_"&amp;(MOD(A1445-1,5)+1)&amp;"_"&amp;(MOD(INT((A1445-1)/5),5)+1)</f>
        <v>Округ_4_4</v>
      </c>
      <c r="H1445" s="10" t="str">
        <f aca="false">"Город_"&amp;(MOD(A1445-1,5)+1)&amp;"_"&amp;(MOD(INT((A1445-1)/5),5)+1)&amp;"_"&amp;(MOD(INT((A1445-1)/25),10)+1)</f>
        <v>Город_4_4_8</v>
      </c>
      <c r="I1445" s="10" t="str">
        <f aca="false">CHOOSE(MOD(A1445-1,4)+1,"Электроника","Одежда","Продукты","Мебель")</f>
        <v>Мебель</v>
      </c>
      <c r="J1445" s="10" t="str">
        <f aca="false">CHOOSE(MOD(INT((A1445-1)/4),4)+1,CHOOSE(MOD(A1445-1,4)+1,"Смартфоны","Ноутбуки","Аксессуары","Аудио"),CHOOSE(MOD(A1445-1,4)+1,"Верхняя одежда","Спортивная","Повседневная","Обувь"),CHOOSE(MOD(A1445-1,4)+1,"Молочные","Мясные","Бакалея","Напитки"),CHOOSE(MOD(A1445-1,4)+1,"Мягкая мебель","Корпусная","Офисная","Кухонная"))</f>
        <v>Аудио</v>
      </c>
      <c r="K1445" s="12" t="n">
        <f aca="false">1000+MOD(A1445*317+A1445*A1445*7,49001)</f>
        <v>11393</v>
      </c>
      <c r="L1445" s="12" t="n">
        <f aca="false">1+MOD(A1445*131,100)</f>
        <v>65</v>
      </c>
      <c r="M1445" s="12" t="n">
        <f aca="false">INT(K1445*(0.6+MOD(A1445*43,21)/100))</f>
        <v>8658</v>
      </c>
      <c r="N1445" s="12" t="n">
        <f aca="false">K1445-M1445</f>
        <v>2735</v>
      </c>
    </row>
    <row r="1446" customFormat="false" ht="12.8" hidden="false" customHeight="false" outlineLevel="0" collapsed="false">
      <c r="A1446" s="10" t="n">
        <f aca="false">A1445+1</f>
        <v>1445</v>
      </c>
      <c r="B1446" s="11" t="n">
        <f aca="false">B1445+1</f>
        <v>46371</v>
      </c>
      <c r="C1446" s="10" t="n">
        <f aca="false">YEAR(B1446)</f>
        <v>2026</v>
      </c>
      <c r="D1446" s="10" t="n">
        <f aca="false">INT((MONTH(B1446)-1)/3)+1</f>
        <v>4</v>
      </c>
      <c r="E1446" s="10" t="n">
        <f aca="false">MONTH(B1446)</f>
        <v>12</v>
      </c>
      <c r="F1446" s="10" t="str">
        <f aca="false">CHOOSE(MOD(A1446-1,5)+1,"Центр","Юг","Север","Запад","Восток")</f>
        <v>Восток</v>
      </c>
      <c r="G1446" s="10" t="str">
        <f aca="false">"Округ_"&amp;(MOD(A1446-1,5)+1)&amp;"_"&amp;(MOD(INT((A1446-1)/5),5)+1)</f>
        <v>Округ_5_4</v>
      </c>
      <c r="H1446" s="10" t="str">
        <f aca="false">"Город_"&amp;(MOD(A1446-1,5)+1)&amp;"_"&amp;(MOD(INT((A1446-1)/5),5)+1)&amp;"_"&amp;(MOD(INT((A1446-1)/25),10)+1)</f>
        <v>Город_5_4_8</v>
      </c>
      <c r="I1446" s="10" t="str">
        <f aca="false">CHOOSE(MOD(A1446-1,4)+1,"Электроника","Одежда","Продукты","Мебель")</f>
        <v>Электроника</v>
      </c>
      <c r="J1446" s="10" t="str">
        <f aca="false">CHOOSE(MOD(INT((A1446-1)/4),4)+1,CHOOSE(MOD(A1446-1,4)+1,"Смартфоны","Ноутбуки","Аксессуары","Аудио"),CHOOSE(MOD(A1446-1,4)+1,"Верхняя одежда","Спортивная","Повседневная","Обувь"),CHOOSE(MOD(A1446-1,4)+1,"Молочные","Мясные","Бакалея","Напитки"),CHOOSE(MOD(A1446-1,4)+1,"Мягкая мебель","Корпусная","Офисная","Кухонная"))</f>
        <v>Верхняя одежда</v>
      </c>
      <c r="K1446" s="12" t="n">
        <f aca="false">1000+MOD(A1446*317+A1446*A1446*7,49001)</f>
        <v>31933</v>
      </c>
      <c r="L1446" s="12" t="n">
        <f aca="false">1+MOD(A1446*131,100)</f>
        <v>96</v>
      </c>
      <c r="M1446" s="12" t="n">
        <f aca="false">INT(K1446*(0.6+MOD(A1446*43,21)/100))</f>
        <v>24588</v>
      </c>
      <c r="N1446" s="12" t="n">
        <f aca="false">K1446-M1446</f>
        <v>7345</v>
      </c>
    </row>
    <row r="1447" customFormat="false" ht="12.8" hidden="false" customHeight="false" outlineLevel="0" collapsed="false">
      <c r="A1447" s="10" t="n">
        <f aca="false">A1446+1</f>
        <v>1446</v>
      </c>
      <c r="B1447" s="11" t="n">
        <f aca="false">B1446+1</f>
        <v>46372</v>
      </c>
      <c r="C1447" s="10" t="n">
        <f aca="false">YEAR(B1447)</f>
        <v>2026</v>
      </c>
      <c r="D1447" s="10" t="n">
        <f aca="false">INT((MONTH(B1447)-1)/3)+1</f>
        <v>4</v>
      </c>
      <c r="E1447" s="10" t="n">
        <f aca="false">MONTH(B1447)</f>
        <v>12</v>
      </c>
      <c r="F1447" s="10" t="str">
        <f aca="false">CHOOSE(MOD(A1447-1,5)+1,"Центр","Юг","Север","Запад","Восток")</f>
        <v>Центр</v>
      </c>
      <c r="G1447" s="10" t="str">
        <f aca="false">"Округ_"&amp;(MOD(A1447-1,5)+1)&amp;"_"&amp;(MOD(INT((A1447-1)/5),5)+1)</f>
        <v>Округ_1_5</v>
      </c>
      <c r="H1447" s="10" t="str">
        <f aca="false">"Город_"&amp;(MOD(A1447-1,5)+1)&amp;"_"&amp;(MOD(INT((A1447-1)/5),5)+1)&amp;"_"&amp;(MOD(INT((A1447-1)/25),10)+1)</f>
        <v>Город_1_5_8</v>
      </c>
      <c r="I1447" s="10" t="str">
        <f aca="false">CHOOSE(MOD(A1447-1,4)+1,"Электроника","Одежда","Продукты","Мебель")</f>
        <v>Одежда</v>
      </c>
      <c r="J1447" s="10" t="str">
        <f aca="false">CHOOSE(MOD(INT((A1447-1)/4),4)+1,CHOOSE(MOD(A1447-1,4)+1,"Смартфоны","Ноутбуки","Аксессуары","Аудио"),CHOOSE(MOD(A1447-1,4)+1,"Верхняя одежда","Спортивная","Повседневная","Обувь"),CHOOSE(MOD(A1447-1,4)+1,"Молочные","Мясные","Бакалея","Напитки"),CHOOSE(MOD(A1447-1,4)+1,"Мягкая мебель","Корпусная","Офисная","Кухонная"))</f>
        <v>Спортивная</v>
      </c>
      <c r="K1447" s="12" t="n">
        <f aca="false">1000+MOD(A1447*317+A1447*A1447*7,49001)</f>
        <v>3486</v>
      </c>
      <c r="L1447" s="12" t="n">
        <f aca="false">1+MOD(A1447*131,100)</f>
        <v>27</v>
      </c>
      <c r="M1447" s="12" t="n">
        <f aca="false">INT(K1447*(0.6+MOD(A1447*43,21)/100))</f>
        <v>2719</v>
      </c>
      <c r="N1447" s="12" t="n">
        <f aca="false">K1447-M1447</f>
        <v>767</v>
      </c>
    </row>
    <row r="1448" customFormat="false" ht="12.8" hidden="false" customHeight="false" outlineLevel="0" collapsed="false">
      <c r="A1448" s="10" t="n">
        <f aca="false">A1447+1</f>
        <v>1447</v>
      </c>
      <c r="B1448" s="11" t="n">
        <f aca="false">B1447+1</f>
        <v>46373</v>
      </c>
      <c r="C1448" s="10" t="n">
        <f aca="false">YEAR(B1448)</f>
        <v>2026</v>
      </c>
      <c r="D1448" s="10" t="n">
        <f aca="false">INT((MONTH(B1448)-1)/3)+1</f>
        <v>4</v>
      </c>
      <c r="E1448" s="10" t="n">
        <f aca="false">MONTH(B1448)</f>
        <v>12</v>
      </c>
      <c r="F1448" s="10" t="str">
        <f aca="false">CHOOSE(MOD(A1448-1,5)+1,"Центр","Юг","Север","Запад","Восток")</f>
        <v>Юг</v>
      </c>
      <c r="G1448" s="10" t="str">
        <f aca="false">"Округ_"&amp;(MOD(A1448-1,5)+1)&amp;"_"&amp;(MOD(INT((A1448-1)/5),5)+1)</f>
        <v>Округ_2_5</v>
      </c>
      <c r="H1448" s="10" t="str">
        <f aca="false">"Город_"&amp;(MOD(A1448-1,5)+1)&amp;"_"&amp;(MOD(INT((A1448-1)/5),5)+1)&amp;"_"&amp;(MOD(INT((A1448-1)/25),10)+1)</f>
        <v>Город_2_5_8</v>
      </c>
      <c r="I1448" s="10" t="str">
        <f aca="false">CHOOSE(MOD(A1448-1,4)+1,"Электроника","Одежда","Продукты","Мебель")</f>
        <v>Продукты</v>
      </c>
      <c r="J1448" s="10" t="str">
        <f aca="false">CHOOSE(MOD(INT((A1448-1)/4),4)+1,CHOOSE(MOD(A1448-1,4)+1,"Смартфоны","Ноутбуки","Аксессуары","Аудио"),CHOOSE(MOD(A1448-1,4)+1,"Верхняя одежда","Спортивная","Повседневная","Обувь"),CHOOSE(MOD(A1448-1,4)+1,"Молочные","Мясные","Бакалея","Напитки"),CHOOSE(MOD(A1448-1,4)+1,"Мягкая мебель","Корпусная","Офисная","Кухонная"))</f>
        <v>Повседневная</v>
      </c>
      <c r="K1448" s="12" t="n">
        <f aca="false">1000+MOD(A1448*317+A1448*A1448*7,49001)</f>
        <v>24054</v>
      </c>
      <c r="L1448" s="12" t="n">
        <f aca="false">1+MOD(A1448*131,100)</f>
        <v>58</v>
      </c>
      <c r="M1448" s="12" t="n">
        <f aca="false">INT(K1448*(0.6+MOD(A1448*43,21)/100))</f>
        <v>19002</v>
      </c>
      <c r="N1448" s="12" t="n">
        <f aca="false">K1448-M1448</f>
        <v>5052</v>
      </c>
    </row>
    <row r="1449" customFormat="false" ht="12.8" hidden="false" customHeight="false" outlineLevel="0" collapsed="false">
      <c r="A1449" s="10" t="n">
        <f aca="false">A1448+1</f>
        <v>1448</v>
      </c>
      <c r="B1449" s="11" t="n">
        <f aca="false">B1448+1</f>
        <v>46374</v>
      </c>
      <c r="C1449" s="10" t="n">
        <f aca="false">YEAR(B1449)</f>
        <v>2026</v>
      </c>
      <c r="D1449" s="10" t="n">
        <f aca="false">INT((MONTH(B1449)-1)/3)+1</f>
        <v>4</v>
      </c>
      <c r="E1449" s="10" t="n">
        <f aca="false">MONTH(B1449)</f>
        <v>12</v>
      </c>
      <c r="F1449" s="10" t="str">
        <f aca="false">CHOOSE(MOD(A1449-1,5)+1,"Центр","Юг","Север","Запад","Восток")</f>
        <v>Север</v>
      </c>
      <c r="G1449" s="10" t="str">
        <f aca="false">"Округ_"&amp;(MOD(A1449-1,5)+1)&amp;"_"&amp;(MOD(INT((A1449-1)/5),5)+1)</f>
        <v>Округ_3_5</v>
      </c>
      <c r="H1449" s="10" t="str">
        <f aca="false">"Город_"&amp;(MOD(A1449-1,5)+1)&amp;"_"&amp;(MOD(INT((A1449-1)/5),5)+1)&amp;"_"&amp;(MOD(INT((A1449-1)/25),10)+1)</f>
        <v>Город_3_5_8</v>
      </c>
      <c r="I1449" s="10" t="str">
        <f aca="false">CHOOSE(MOD(A1449-1,4)+1,"Электроника","Одежда","Продукты","Мебель")</f>
        <v>Мебель</v>
      </c>
      <c r="J1449" s="10" t="str">
        <f aca="false">CHOOSE(MOD(INT((A1449-1)/4),4)+1,CHOOSE(MOD(A1449-1,4)+1,"Смартфоны","Ноутбуки","Аксессуары","Аудио"),CHOOSE(MOD(A1449-1,4)+1,"Верхняя одежда","Спортивная","Повседневная","Обувь"),CHOOSE(MOD(A1449-1,4)+1,"Молочные","Мясные","Бакалея","Напитки"),CHOOSE(MOD(A1449-1,4)+1,"Мягкая мебель","Корпусная","Офисная","Кухонная"))</f>
        <v>Обувь</v>
      </c>
      <c r="K1449" s="12" t="n">
        <f aca="false">1000+MOD(A1449*317+A1449*A1449*7,49001)</f>
        <v>44636</v>
      </c>
      <c r="L1449" s="12" t="n">
        <f aca="false">1+MOD(A1449*131,100)</f>
        <v>89</v>
      </c>
      <c r="M1449" s="12" t="n">
        <f aca="false">INT(K1449*(0.6+MOD(A1449*43,21)/100))</f>
        <v>35708</v>
      </c>
      <c r="N1449" s="12" t="n">
        <f aca="false">K1449-M1449</f>
        <v>8928</v>
      </c>
    </row>
    <row r="1450" customFormat="false" ht="12.8" hidden="false" customHeight="false" outlineLevel="0" collapsed="false">
      <c r="A1450" s="10" t="n">
        <f aca="false">A1449+1</f>
        <v>1449</v>
      </c>
      <c r="B1450" s="11" t="n">
        <f aca="false">B1449+1</f>
        <v>46375</v>
      </c>
      <c r="C1450" s="10" t="n">
        <f aca="false">YEAR(B1450)</f>
        <v>2026</v>
      </c>
      <c r="D1450" s="10" t="n">
        <f aca="false">INT((MONTH(B1450)-1)/3)+1</f>
        <v>4</v>
      </c>
      <c r="E1450" s="10" t="n">
        <f aca="false">MONTH(B1450)</f>
        <v>12</v>
      </c>
      <c r="F1450" s="10" t="str">
        <f aca="false">CHOOSE(MOD(A1450-1,5)+1,"Центр","Юг","Север","Запад","Восток")</f>
        <v>Запад</v>
      </c>
      <c r="G1450" s="10" t="str">
        <f aca="false">"Округ_"&amp;(MOD(A1450-1,5)+1)&amp;"_"&amp;(MOD(INT((A1450-1)/5),5)+1)</f>
        <v>Округ_4_5</v>
      </c>
      <c r="H1450" s="10" t="str">
        <f aca="false">"Город_"&amp;(MOD(A1450-1,5)+1)&amp;"_"&amp;(MOD(INT((A1450-1)/5),5)+1)&amp;"_"&amp;(MOD(INT((A1450-1)/25),10)+1)</f>
        <v>Город_4_5_8</v>
      </c>
      <c r="I1450" s="10" t="str">
        <f aca="false">CHOOSE(MOD(A1450-1,4)+1,"Электроника","Одежда","Продукты","Мебель")</f>
        <v>Электроника</v>
      </c>
      <c r="J1450" s="10" t="str">
        <f aca="false">CHOOSE(MOD(INT((A1450-1)/4),4)+1,CHOOSE(MOD(A1450-1,4)+1,"Смартфоны","Ноутбуки","Аксессуары","Аудио"),CHOOSE(MOD(A1450-1,4)+1,"Верхняя одежда","Спортивная","Повседневная","Обувь"),CHOOSE(MOD(A1450-1,4)+1,"Молочные","Мясные","Бакалея","Напитки"),CHOOSE(MOD(A1450-1,4)+1,"Мягкая мебель","Корпусная","Офисная","Кухонная"))</f>
        <v>Молочные</v>
      </c>
      <c r="K1450" s="12" t="n">
        <f aca="false">1000+MOD(A1450*317+A1450*A1450*7,49001)</f>
        <v>16231</v>
      </c>
      <c r="L1450" s="12" t="n">
        <f aca="false">1+MOD(A1450*131,100)</f>
        <v>20</v>
      </c>
      <c r="M1450" s="12" t="n">
        <f aca="false">INT(K1450*(0.6+MOD(A1450*43,21)/100))</f>
        <v>9738</v>
      </c>
      <c r="N1450" s="12" t="n">
        <f aca="false">K1450-M1450</f>
        <v>6493</v>
      </c>
    </row>
    <row r="1451" customFormat="false" ht="12.8" hidden="false" customHeight="false" outlineLevel="0" collapsed="false">
      <c r="A1451" s="10" t="n">
        <f aca="false">A1450+1</f>
        <v>1450</v>
      </c>
      <c r="B1451" s="11" t="n">
        <f aca="false">B1450+1</f>
        <v>46376</v>
      </c>
      <c r="C1451" s="10" t="n">
        <f aca="false">YEAR(B1451)</f>
        <v>2026</v>
      </c>
      <c r="D1451" s="10" t="n">
        <f aca="false">INT((MONTH(B1451)-1)/3)+1</f>
        <v>4</v>
      </c>
      <c r="E1451" s="10" t="n">
        <f aca="false">MONTH(B1451)</f>
        <v>12</v>
      </c>
      <c r="F1451" s="10" t="str">
        <f aca="false">CHOOSE(MOD(A1451-1,5)+1,"Центр","Юг","Север","Запад","Восток")</f>
        <v>Восток</v>
      </c>
      <c r="G1451" s="10" t="str">
        <f aca="false">"Округ_"&amp;(MOD(A1451-1,5)+1)&amp;"_"&amp;(MOD(INT((A1451-1)/5),5)+1)</f>
        <v>Округ_5_5</v>
      </c>
      <c r="H1451" s="10" t="str">
        <f aca="false">"Город_"&amp;(MOD(A1451-1,5)+1)&amp;"_"&amp;(MOD(INT((A1451-1)/5),5)+1)&amp;"_"&amp;(MOD(INT((A1451-1)/25),10)+1)</f>
        <v>Город_5_5_8</v>
      </c>
      <c r="I1451" s="10" t="str">
        <f aca="false">CHOOSE(MOD(A1451-1,4)+1,"Электроника","Одежда","Продукты","Мебель")</f>
        <v>Одежда</v>
      </c>
      <c r="J1451" s="10" t="str">
        <f aca="false">CHOOSE(MOD(INT((A1451-1)/4),4)+1,CHOOSE(MOD(A1451-1,4)+1,"Смартфоны","Ноутбуки","Аксессуары","Аудио"),CHOOSE(MOD(A1451-1,4)+1,"Верхняя одежда","Спортивная","Повседневная","Обувь"),CHOOSE(MOD(A1451-1,4)+1,"Молочные","Мясные","Бакалея","Напитки"),CHOOSE(MOD(A1451-1,4)+1,"Мягкая мебель","Корпусная","Офисная","Кухонная"))</f>
        <v>Мясные</v>
      </c>
      <c r="K1451" s="12" t="n">
        <f aca="false">1000+MOD(A1451*317+A1451*A1451*7,49001)</f>
        <v>36841</v>
      </c>
      <c r="L1451" s="12" t="n">
        <f aca="false">1+MOD(A1451*131,100)</f>
        <v>51</v>
      </c>
      <c r="M1451" s="12" t="n">
        <f aca="false">INT(K1451*(0.6+MOD(A1451*43,21)/100))</f>
        <v>22473</v>
      </c>
      <c r="N1451" s="12" t="n">
        <f aca="false">K1451-M1451</f>
        <v>14368</v>
      </c>
    </row>
    <row r="1452" customFormat="false" ht="12.8" hidden="false" customHeight="false" outlineLevel="0" collapsed="false">
      <c r="A1452" s="10" t="n">
        <f aca="false">A1451+1</f>
        <v>1451</v>
      </c>
      <c r="B1452" s="11" t="n">
        <f aca="false">B1451+1</f>
        <v>46377</v>
      </c>
      <c r="C1452" s="10" t="n">
        <f aca="false">YEAR(B1452)</f>
        <v>2026</v>
      </c>
      <c r="D1452" s="10" t="n">
        <f aca="false">INT((MONTH(B1452)-1)/3)+1</f>
        <v>4</v>
      </c>
      <c r="E1452" s="10" t="n">
        <f aca="false">MONTH(B1452)</f>
        <v>12</v>
      </c>
      <c r="F1452" s="10" t="str">
        <f aca="false">CHOOSE(MOD(A1452-1,5)+1,"Центр","Юг","Север","Запад","Восток")</f>
        <v>Центр</v>
      </c>
      <c r="G1452" s="10" t="str">
        <f aca="false">"Округ_"&amp;(MOD(A1452-1,5)+1)&amp;"_"&amp;(MOD(INT((A1452-1)/5),5)+1)</f>
        <v>Округ_1_1</v>
      </c>
      <c r="H1452" s="10" t="str">
        <f aca="false">"Город_"&amp;(MOD(A1452-1,5)+1)&amp;"_"&amp;(MOD(INT((A1452-1)/5),5)+1)&amp;"_"&amp;(MOD(INT((A1452-1)/25),10)+1)</f>
        <v>Город_1_1_9</v>
      </c>
      <c r="I1452" s="10" t="str">
        <f aca="false">CHOOSE(MOD(A1452-1,4)+1,"Электроника","Одежда","Продукты","Мебель")</f>
        <v>Продукты</v>
      </c>
      <c r="J1452" s="10" t="str">
        <f aca="false">CHOOSE(MOD(INT((A1452-1)/4),4)+1,CHOOSE(MOD(A1452-1,4)+1,"Смартфоны","Ноутбуки","Аксессуары","Аудио"),CHOOSE(MOD(A1452-1,4)+1,"Верхняя одежда","Спортивная","Повседневная","Обувь"),CHOOSE(MOD(A1452-1,4)+1,"Молочные","Мясные","Бакалея","Напитки"),CHOOSE(MOD(A1452-1,4)+1,"Мягкая мебель","Корпусная","Офисная","Кухонная"))</f>
        <v>Бакалея</v>
      </c>
      <c r="K1452" s="12" t="n">
        <f aca="false">1000+MOD(A1452*317+A1452*A1452*7,49001)</f>
        <v>8464</v>
      </c>
      <c r="L1452" s="12" t="n">
        <f aca="false">1+MOD(A1452*131,100)</f>
        <v>82</v>
      </c>
      <c r="M1452" s="12" t="n">
        <f aca="false">INT(K1452*(0.6+MOD(A1452*43,21)/100))</f>
        <v>5247</v>
      </c>
      <c r="N1452" s="12" t="n">
        <f aca="false">K1452-M1452</f>
        <v>3217</v>
      </c>
    </row>
    <row r="1453" customFormat="false" ht="12.8" hidden="false" customHeight="false" outlineLevel="0" collapsed="false">
      <c r="A1453" s="10" t="n">
        <f aca="false">A1452+1</f>
        <v>1452</v>
      </c>
      <c r="B1453" s="11" t="n">
        <f aca="false">B1452+1</f>
        <v>46378</v>
      </c>
      <c r="C1453" s="10" t="n">
        <f aca="false">YEAR(B1453)</f>
        <v>2026</v>
      </c>
      <c r="D1453" s="10" t="n">
        <f aca="false">INT((MONTH(B1453)-1)/3)+1</f>
        <v>4</v>
      </c>
      <c r="E1453" s="10" t="n">
        <f aca="false">MONTH(B1453)</f>
        <v>12</v>
      </c>
      <c r="F1453" s="10" t="str">
        <f aca="false">CHOOSE(MOD(A1453-1,5)+1,"Центр","Юг","Север","Запад","Восток")</f>
        <v>Юг</v>
      </c>
      <c r="G1453" s="10" t="str">
        <f aca="false">"Округ_"&amp;(MOD(A1453-1,5)+1)&amp;"_"&amp;(MOD(INT((A1453-1)/5),5)+1)</f>
        <v>Округ_2_1</v>
      </c>
      <c r="H1453" s="10" t="str">
        <f aca="false">"Город_"&amp;(MOD(A1453-1,5)+1)&amp;"_"&amp;(MOD(INT((A1453-1)/5),5)+1)&amp;"_"&amp;(MOD(INT((A1453-1)/25),10)+1)</f>
        <v>Город_2_1_9</v>
      </c>
      <c r="I1453" s="10" t="str">
        <f aca="false">CHOOSE(MOD(A1453-1,4)+1,"Электроника","Одежда","Продукты","Мебель")</f>
        <v>Мебель</v>
      </c>
      <c r="J1453" s="10" t="str">
        <f aca="false">CHOOSE(MOD(INT((A1453-1)/4),4)+1,CHOOSE(MOD(A1453-1,4)+1,"Смартфоны","Ноутбуки","Аксессуары","Аудио"),CHOOSE(MOD(A1453-1,4)+1,"Верхняя одежда","Спортивная","Повседневная","Обувь"),CHOOSE(MOD(A1453-1,4)+1,"Молочные","Мясные","Бакалея","Напитки"),CHOOSE(MOD(A1453-1,4)+1,"Мягкая мебель","Корпусная","Офисная","Кухонная"))</f>
        <v>Напитки</v>
      </c>
      <c r="K1453" s="12" t="n">
        <f aca="false">1000+MOD(A1453*317+A1453*A1453*7,49001)</f>
        <v>29102</v>
      </c>
      <c r="L1453" s="12" t="n">
        <f aca="false">1+MOD(A1453*131,100)</f>
        <v>13</v>
      </c>
      <c r="M1453" s="12" t="n">
        <f aca="false">INT(K1453*(0.6+MOD(A1453*43,21)/100))</f>
        <v>18334</v>
      </c>
      <c r="N1453" s="12" t="n">
        <f aca="false">K1453-M1453</f>
        <v>10768</v>
      </c>
    </row>
    <row r="1454" customFormat="false" ht="12.8" hidden="false" customHeight="false" outlineLevel="0" collapsed="false">
      <c r="A1454" s="10" t="n">
        <f aca="false">A1453+1</f>
        <v>1453</v>
      </c>
      <c r="B1454" s="11" t="n">
        <f aca="false">B1453+1</f>
        <v>46379</v>
      </c>
      <c r="C1454" s="10" t="n">
        <f aca="false">YEAR(B1454)</f>
        <v>2026</v>
      </c>
      <c r="D1454" s="10" t="n">
        <f aca="false">INT((MONTH(B1454)-1)/3)+1</f>
        <v>4</v>
      </c>
      <c r="E1454" s="10" t="n">
        <f aca="false">MONTH(B1454)</f>
        <v>12</v>
      </c>
      <c r="F1454" s="10" t="str">
        <f aca="false">CHOOSE(MOD(A1454-1,5)+1,"Центр","Юг","Север","Запад","Восток")</f>
        <v>Север</v>
      </c>
      <c r="G1454" s="10" t="str">
        <f aca="false">"Округ_"&amp;(MOD(A1454-1,5)+1)&amp;"_"&amp;(MOD(INT((A1454-1)/5),5)+1)</f>
        <v>Округ_3_1</v>
      </c>
      <c r="H1454" s="10" t="str">
        <f aca="false">"Город_"&amp;(MOD(A1454-1,5)+1)&amp;"_"&amp;(MOD(INT((A1454-1)/5),5)+1)&amp;"_"&amp;(MOD(INT((A1454-1)/25),10)+1)</f>
        <v>Город_3_1_9</v>
      </c>
      <c r="I1454" s="10" t="str">
        <f aca="false">CHOOSE(MOD(A1454-1,4)+1,"Электроника","Одежда","Продукты","Мебель")</f>
        <v>Электроника</v>
      </c>
      <c r="J1454" s="10" t="str">
        <f aca="false">CHOOSE(MOD(INT((A1454-1)/4),4)+1,CHOOSE(MOD(A1454-1,4)+1,"Смартфоны","Ноутбуки","Аксессуары","Аудио"),CHOOSE(MOD(A1454-1,4)+1,"Верхняя одежда","Спортивная","Повседневная","Обувь"),CHOOSE(MOD(A1454-1,4)+1,"Молочные","Мясные","Бакалея","Напитки"),CHOOSE(MOD(A1454-1,4)+1,"Мягкая мебель","Корпусная","Офисная","Кухонная"))</f>
        <v>Мягкая мебель</v>
      </c>
      <c r="K1454" s="12" t="n">
        <f aca="false">1000+MOD(A1454*317+A1454*A1454*7,49001)</f>
        <v>49754</v>
      </c>
      <c r="L1454" s="12" t="n">
        <f aca="false">1+MOD(A1454*131,100)</f>
        <v>44</v>
      </c>
      <c r="M1454" s="12" t="n">
        <f aca="false">INT(K1454*(0.6+MOD(A1454*43,21)/100))</f>
        <v>31842</v>
      </c>
      <c r="N1454" s="12" t="n">
        <f aca="false">K1454-M1454</f>
        <v>17912</v>
      </c>
    </row>
    <row r="1455" customFormat="false" ht="12.8" hidden="false" customHeight="false" outlineLevel="0" collapsed="false">
      <c r="A1455" s="10" t="n">
        <f aca="false">A1454+1</f>
        <v>1454</v>
      </c>
      <c r="B1455" s="11" t="n">
        <f aca="false">B1454+1</f>
        <v>46380</v>
      </c>
      <c r="C1455" s="10" t="n">
        <f aca="false">YEAR(B1455)</f>
        <v>2026</v>
      </c>
      <c r="D1455" s="10" t="n">
        <f aca="false">INT((MONTH(B1455)-1)/3)+1</f>
        <v>4</v>
      </c>
      <c r="E1455" s="10" t="n">
        <f aca="false">MONTH(B1455)</f>
        <v>12</v>
      </c>
      <c r="F1455" s="10" t="str">
        <f aca="false">CHOOSE(MOD(A1455-1,5)+1,"Центр","Юг","Север","Запад","Восток")</f>
        <v>Запад</v>
      </c>
      <c r="G1455" s="10" t="str">
        <f aca="false">"Округ_"&amp;(MOD(A1455-1,5)+1)&amp;"_"&amp;(MOD(INT((A1455-1)/5),5)+1)</f>
        <v>Округ_4_1</v>
      </c>
      <c r="H1455" s="10" t="str">
        <f aca="false">"Город_"&amp;(MOD(A1455-1,5)+1)&amp;"_"&amp;(MOD(INT((A1455-1)/5),5)+1)&amp;"_"&amp;(MOD(INT((A1455-1)/25),10)+1)</f>
        <v>Город_4_1_9</v>
      </c>
      <c r="I1455" s="10" t="str">
        <f aca="false">CHOOSE(MOD(A1455-1,4)+1,"Электроника","Одежда","Продукты","Мебель")</f>
        <v>Одежда</v>
      </c>
      <c r="J1455" s="10" t="str">
        <f aca="false">CHOOSE(MOD(INT((A1455-1)/4),4)+1,CHOOSE(MOD(A1455-1,4)+1,"Смартфоны","Ноутбуки","Аксессуары","Аудио"),CHOOSE(MOD(A1455-1,4)+1,"Верхняя одежда","Спортивная","Повседневная","Обувь"),CHOOSE(MOD(A1455-1,4)+1,"Молочные","Мясные","Бакалея","Напитки"),CHOOSE(MOD(A1455-1,4)+1,"Мягкая мебель","Корпусная","Офисная","Кухонная"))</f>
        <v>Корпусная</v>
      </c>
      <c r="K1455" s="12" t="n">
        <f aca="false">1000+MOD(A1455*317+A1455*A1455*7,49001)</f>
        <v>21419</v>
      </c>
      <c r="L1455" s="12" t="n">
        <f aca="false">1+MOD(A1455*131,100)</f>
        <v>75</v>
      </c>
      <c r="M1455" s="12" t="n">
        <f aca="false">INT(K1455*(0.6+MOD(A1455*43,21)/100))</f>
        <v>13922</v>
      </c>
      <c r="N1455" s="12" t="n">
        <f aca="false">K1455-M1455</f>
        <v>7497</v>
      </c>
    </row>
    <row r="1456" customFormat="false" ht="12.8" hidden="false" customHeight="false" outlineLevel="0" collapsed="false">
      <c r="A1456" s="10" t="n">
        <f aca="false">A1455+1</f>
        <v>1455</v>
      </c>
      <c r="B1456" s="11" t="n">
        <f aca="false">B1455+1</f>
        <v>46381</v>
      </c>
      <c r="C1456" s="10" t="n">
        <f aca="false">YEAR(B1456)</f>
        <v>2026</v>
      </c>
      <c r="D1456" s="10" t="n">
        <f aca="false">INT((MONTH(B1456)-1)/3)+1</f>
        <v>4</v>
      </c>
      <c r="E1456" s="10" t="n">
        <f aca="false">MONTH(B1456)</f>
        <v>12</v>
      </c>
      <c r="F1456" s="10" t="str">
        <f aca="false">CHOOSE(MOD(A1456-1,5)+1,"Центр","Юг","Север","Запад","Восток")</f>
        <v>Восток</v>
      </c>
      <c r="G1456" s="10" t="str">
        <f aca="false">"Округ_"&amp;(MOD(A1456-1,5)+1)&amp;"_"&amp;(MOD(INT((A1456-1)/5),5)+1)</f>
        <v>Округ_5_1</v>
      </c>
      <c r="H1456" s="10" t="str">
        <f aca="false">"Город_"&amp;(MOD(A1456-1,5)+1)&amp;"_"&amp;(MOD(INT((A1456-1)/5),5)+1)&amp;"_"&amp;(MOD(INT((A1456-1)/25),10)+1)</f>
        <v>Город_5_1_9</v>
      </c>
      <c r="I1456" s="10" t="str">
        <f aca="false">CHOOSE(MOD(A1456-1,4)+1,"Электроника","Одежда","Продукты","Мебель")</f>
        <v>Продукты</v>
      </c>
      <c r="J1456" s="10" t="str">
        <f aca="false">CHOOSE(MOD(INT((A1456-1)/4),4)+1,CHOOSE(MOD(A1456-1,4)+1,"Смартфоны","Ноутбуки","Аксессуары","Аудио"),CHOOSE(MOD(A1456-1,4)+1,"Верхняя одежда","Спортивная","Повседневная","Обувь"),CHOOSE(MOD(A1456-1,4)+1,"Молочные","Мясные","Бакалея","Напитки"),CHOOSE(MOD(A1456-1,4)+1,"Мягкая мебель","Корпусная","Офисная","Кухонная"))</f>
        <v>Офисная</v>
      </c>
      <c r="K1456" s="12" t="n">
        <f aca="false">1000+MOD(A1456*317+A1456*A1456*7,49001)</f>
        <v>42099</v>
      </c>
      <c r="L1456" s="12" t="n">
        <f aca="false">1+MOD(A1456*131,100)</f>
        <v>6</v>
      </c>
      <c r="M1456" s="12" t="n">
        <f aca="false">INT(K1456*(0.6+MOD(A1456*43,21)/100))</f>
        <v>27785</v>
      </c>
      <c r="N1456" s="12" t="n">
        <f aca="false">K1456-M1456</f>
        <v>14314</v>
      </c>
    </row>
    <row r="1457" customFormat="false" ht="12.8" hidden="false" customHeight="false" outlineLevel="0" collapsed="false">
      <c r="A1457" s="10" t="n">
        <f aca="false">A1456+1</f>
        <v>1456</v>
      </c>
      <c r="B1457" s="11" t="n">
        <f aca="false">B1456+1</f>
        <v>46382</v>
      </c>
      <c r="C1457" s="10" t="n">
        <f aca="false">YEAR(B1457)</f>
        <v>2026</v>
      </c>
      <c r="D1457" s="10" t="n">
        <f aca="false">INT((MONTH(B1457)-1)/3)+1</f>
        <v>4</v>
      </c>
      <c r="E1457" s="10" t="n">
        <f aca="false">MONTH(B1457)</f>
        <v>12</v>
      </c>
      <c r="F1457" s="10" t="str">
        <f aca="false">CHOOSE(MOD(A1457-1,5)+1,"Центр","Юг","Север","Запад","Восток")</f>
        <v>Центр</v>
      </c>
      <c r="G1457" s="10" t="str">
        <f aca="false">"Округ_"&amp;(MOD(A1457-1,5)+1)&amp;"_"&amp;(MOD(INT((A1457-1)/5),5)+1)</f>
        <v>Округ_1_2</v>
      </c>
      <c r="H1457" s="10" t="str">
        <f aca="false">"Город_"&amp;(MOD(A1457-1,5)+1)&amp;"_"&amp;(MOD(INT((A1457-1)/5),5)+1)&amp;"_"&amp;(MOD(INT((A1457-1)/25),10)+1)</f>
        <v>Город_1_2_9</v>
      </c>
      <c r="I1457" s="10" t="str">
        <f aca="false">CHOOSE(MOD(A1457-1,4)+1,"Электроника","Одежда","Продукты","Мебель")</f>
        <v>Мебель</v>
      </c>
      <c r="J1457" s="10" t="str">
        <f aca="false">CHOOSE(MOD(INT((A1457-1)/4),4)+1,CHOOSE(MOD(A1457-1,4)+1,"Смартфоны","Ноутбуки","Аксессуары","Аудио"),CHOOSE(MOD(A1457-1,4)+1,"Верхняя одежда","Спортивная","Повседневная","Обувь"),CHOOSE(MOD(A1457-1,4)+1,"Молочные","Мясные","Бакалея","Напитки"),CHOOSE(MOD(A1457-1,4)+1,"Мягкая мебель","Корпусная","Офисная","Кухонная"))</f>
        <v>Кухонная</v>
      </c>
      <c r="K1457" s="12" t="n">
        <f aca="false">1000+MOD(A1457*317+A1457*A1457*7,49001)</f>
        <v>13792</v>
      </c>
      <c r="L1457" s="12" t="n">
        <f aca="false">1+MOD(A1457*131,100)</f>
        <v>37</v>
      </c>
      <c r="M1457" s="12" t="n">
        <f aca="false">INT(K1457*(0.6+MOD(A1457*43,21)/100))</f>
        <v>9240</v>
      </c>
      <c r="N1457" s="12" t="n">
        <f aca="false">K1457-M1457</f>
        <v>4552</v>
      </c>
    </row>
    <row r="1458" customFormat="false" ht="12.8" hidden="false" customHeight="false" outlineLevel="0" collapsed="false">
      <c r="A1458" s="10" t="n">
        <f aca="false">A1457+1</f>
        <v>1457</v>
      </c>
      <c r="B1458" s="11" t="n">
        <f aca="false">B1457+1</f>
        <v>46383</v>
      </c>
      <c r="C1458" s="10" t="n">
        <f aca="false">YEAR(B1458)</f>
        <v>2026</v>
      </c>
      <c r="D1458" s="10" t="n">
        <f aca="false">INT((MONTH(B1458)-1)/3)+1</f>
        <v>4</v>
      </c>
      <c r="E1458" s="10" t="n">
        <f aca="false">MONTH(B1458)</f>
        <v>12</v>
      </c>
      <c r="F1458" s="10" t="str">
        <f aca="false">CHOOSE(MOD(A1458-1,5)+1,"Центр","Юг","Север","Запад","Восток")</f>
        <v>Юг</v>
      </c>
      <c r="G1458" s="10" t="str">
        <f aca="false">"Округ_"&amp;(MOD(A1458-1,5)+1)&amp;"_"&amp;(MOD(INT((A1458-1)/5),5)+1)</f>
        <v>Округ_2_2</v>
      </c>
      <c r="H1458" s="10" t="str">
        <f aca="false">"Город_"&amp;(MOD(A1458-1,5)+1)&amp;"_"&amp;(MOD(INT((A1458-1)/5),5)+1)&amp;"_"&amp;(MOD(INT((A1458-1)/25),10)+1)</f>
        <v>Город_2_2_9</v>
      </c>
      <c r="I1458" s="10" t="str">
        <f aca="false">CHOOSE(MOD(A1458-1,4)+1,"Электроника","Одежда","Продукты","Мебель")</f>
        <v>Электроника</v>
      </c>
      <c r="J1458" s="10" t="str">
        <f aca="false">CHOOSE(MOD(INT((A1458-1)/4),4)+1,CHOOSE(MOD(A1458-1,4)+1,"Смартфоны","Ноутбуки","Аксессуары","Аудио"),CHOOSE(MOD(A1458-1,4)+1,"Верхняя одежда","Спортивная","Повседневная","Обувь"),CHOOSE(MOD(A1458-1,4)+1,"Молочные","Мясные","Бакалея","Напитки"),CHOOSE(MOD(A1458-1,4)+1,"Мягкая мебель","Корпусная","Офисная","Кухонная"))</f>
        <v>Смартфоны</v>
      </c>
      <c r="K1458" s="12" t="n">
        <f aca="false">1000+MOD(A1458*317+A1458*A1458*7,49001)</f>
        <v>34500</v>
      </c>
      <c r="L1458" s="12" t="n">
        <f aca="false">1+MOD(A1458*131,100)</f>
        <v>68</v>
      </c>
      <c r="M1458" s="12" t="n">
        <f aca="false">INT(K1458*(0.6+MOD(A1458*43,21)/100))</f>
        <v>23460</v>
      </c>
      <c r="N1458" s="12" t="n">
        <f aca="false">K1458-M1458</f>
        <v>11040</v>
      </c>
    </row>
    <row r="1459" customFormat="false" ht="12.8" hidden="false" customHeight="false" outlineLevel="0" collapsed="false">
      <c r="A1459" s="10" t="n">
        <f aca="false">A1458+1</f>
        <v>1458</v>
      </c>
      <c r="B1459" s="11" t="n">
        <f aca="false">B1458+1</f>
        <v>46384</v>
      </c>
      <c r="C1459" s="10" t="n">
        <f aca="false">YEAR(B1459)</f>
        <v>2026</v>
      </c>
      <c r="D1459" s="10" t="n">
        <f aca="false">INT((MONTH(B1459)-1)/3)+1</f>
        <v>4</v>
      </c>
      <c r="E1459" s="10" t="n">
        <f aca="false">MONTH(B1459)</f>
        <v>12</v>
      </c>
      <c r="F1459" s="10" t="str">
        <f aca="false">CHOOSE(MOD(A1459-1,5)+1,"Центр","Юг","Север","Запад","Восток")</f>
        <v>Север</v>
      </c>
      <c r="G1459" s="10" t="str">
        <f aca="false">"Округ_"&amp;(MOD(A1459-1,5)+1)&amp;"_"&amp;(MOD(INT((A1459-1)/5),5)+1)</f>
        <v>Округ_3_2</v>
      </c>
      <c r="H1459" s="10" t="str">
        <f aca="false">"Город_"&amp;(MOD(A1459-1,5)+1)&amp;"_"&amp;(MOD(INT((A1459-1)/5),5)+1)&amp;"_"&amp;(MOD(INT((A1459-1)/25),10)+1)</f>
        <v>Город_3_2_9</v>
      </c>
      <c r="I1459" s="10" t="str">
        <f aca="false">CHOOSE(MOD(A1459-1,4)+1,"Электроника","Одежда","Продукты","Мебель")</f>
        <v>Одежда</v>
      </c>
      <c r="J1459" s="10" t="str">
        <f aca="false">CHOOSE(MOD(INT((A1459-1)/4),4)+1,CHOOSE(MOD(A1459-1,4)+1,"Смартфоны","Ноутбуки","Аксессуары","Аудио"),CHOOSE(MOD(A1459-1,4)+1,"Верхняя одежда","Спортивная","Повседневная","Обувь"),CHOOSE(MOD(A1459-1,4)+1,"Молочные","Мясные","Бакалея","Напитки"),CHOOSE(MOD(A1459-1,4)+1,"Мягкая мебель","Корпусная","Офисная","Кухонная"))</f>
        <v>Ноутбуки</v>
      </c>
      <c r="K1459" s="12" t="n">
        <f aca="false">1000+MOD(A1459*317+A1459*A1459*7,49001)</f>
        <v>6221</v>
      </c>
      <c r="L1459" s="12" t="n">
        <f aca="false">1+MOD(A1459*131,100)</f>
        <v>99</v>
      </c>
      <c r="M1459" s="12" t="n">
        <f aca="false">INT(K1459*(0.6+MOD(A1459*43,21)/100))</f>
        <v>4292</v>
      </c>
      <c r="N1459" s="12" t="n">
        <f aca="false">K1459-M1459</f>
        <v>1929</v>
      </c>
    </row>
    <row r="1460" customFormat="false" ht="12.8" hidden="false" customHeight="false" outlineLevel="0" collapsed="false">
      <c r="A1460" s="10" t="n">
        <f aca="false">A1459+1</f>
        <v>1459</v>
      </c>
      <c r="B1460" s="11" t="n">
        <f aca="false">B1459+1</f>
        <v>46385</v>
      </c>
      <c r="C1460" s="10" t="n">
        <f aca="false">YEAR(B1460)</f>
        <v>2026</v>
      </c>
      <c r="D1460" s="10" t="n">
        <f aca="false">INT((MONTH(B1460)-1)/3)+1</f>
        <v>4</v>
      </c>
      <c r="E1460" s="10" t="n">
        <f aca="false">MONTH(B1460)</f>
        <v>12</v>
      </c>
      <c r="F1460" s="10" t="str">
        <f aca="false">CHOOSE(MOD(A1460-1,5)+1,"Центр","Юг","Север","Запад","Восток")</f>
        <v>Запад</v>
      </c>
      <c r="G1460" s="10" t="str">
        <f aca="false">"Округ_"&amp;(MOD(A1460-1,5)+1)&amp;"_"&amp;(MOD(INT((A1460-1)/5),5)+1)</f>
        <v>Округ_4_2</v>
      </c>
      <c r="H1460" s="10" t="str">
        <f aca="false">"Город_"&amp;(MOD(A1460-1,5)+1)&amp;"_"&amp;(MOD(INT((A1460-1)/5),5)+1)&amp;"_"&amp;(MOD(INT((A1460-1)/25),10)+1)</f>
        <v>Город_4_2_9</v>
      </c>
      <c r="I1460" s="10" t="str">
        <f aca="false">CHOOSE(MOD(A1460-1,4)+1,"Электроника","Одежда","Продукты","Мебель")</f>
        <v>Продукты</v>
      </c>
      <c r="J1460" s="10" t="str">
        <f aca="false">CHOOSE(MOD(INT((A1460-1)/4),4)+1,CHOOSE(MOD(A1460-1,4)+1,"Смартфоны","Ноутбуки","Аксессуары","Аудио"),CHOOSE(MOD(A1460-1,4)+1,"Верхняя одежда","Спортивная","Повседневная","Обувь"),CHOOSE(MOD(A1460-1,4)+1,"Молочные","Мясные","Бакалея","Напитки"),CHOOSE(MOD(A1460-1,4)+1,"Мягкая мебель","Корпусная","Офисная","Кухонная"))</f>
        <v>Аксессуары</v>
      </c>
      <c r="K1460" s="12" t="n">
        <f aca="false">1000+MOD(A1460*317+A1460*A1460*7,49001)</f>
        <v>26957</v>
      </c>
      <c r="L1460" s="12" t="n">
        <f aca="false">1+MOD(A1460*131,100)</f>
        <v>30</v>
      </c>
      <c r="M1460" s="12" t="n">
        <f aca="false">INT(K1460*(0.6+MOD(A1460*43,21)/100))</f>
        <v>18869</v>
      </c>
      <c r="N1460" s="12" t="n">
        <f aca="false">K1460-M1460</f>
        <v>8088</v>
      </c>
    </row>
    <row r="1461" customFormat="false" ht="12.8" hidden="false" customHeight="false" outlineLevel="0" collapsed="false">
      <c r="A1461" s="10" t="n">
        <f aca="false">A1460+1</f>
        <v>1460</v>
      </c>
      <c r="B1461" s="11" t="n">
        <f aca="false">B1460+1</f>
        <v>46386</v>
      </c>
      <c r="C1461" s="10" t="n">
        <f aca="false">YEAR(B1461)</f>
        <v>2026</v>
      </c>
      <c r="D1461" s="10" t="n">
        <f aca="false">INT((MONTH(B1461)-1)/3)+1</f>
        <v>4</v>
      </c>
      <c r="E1461" s="10" t="n">
        <f aca="false">MONTH(B1461)</f>
        <v>12</v>
      </c>
      <c r="F1461" s="10" t="str">
        <f aca="false">CHOOSE(MOD(A1461-1,5)+1,"Центр","Юг","Север","Запад","Восток")</f>
        <v>Восток</v>
      </c>
      <c r="G1461" s="10" t="str">
        <f aca="false">"Округ_"&amp;(MOD(A1461-1,5)+1)&amp;"_"&amp;(MOD(INT((A1461-1)/5),5)+1)</f>
        <v>Округ_5_2</v>
      </c>
      <c r="H1461" s="10" t="str">
        <f aca="false">"Город_"&amp;(MOD(A1461-1,5)+1)&amp;"_"&amp;(MOD(INT((A1461-1)/5),5)+1)&amp;"_"&amp;(MOD(INT((A1461-1)/25),10)+1)</f>
        <v>Город_5_2_9</v>
      </c>
      <c r="I1461" s="10" t="str">
        <f aca="false">CHOOSE(MOD(A1461-1,4)+1,"Электроника","Одежда","Продукты","Мебель")</f>
        <v>Мебель</v>
      </c>
      <c r="J1461" s="10" t="str">
        <f aca="false">CHOOSE(MOD(INT((A1461-1)/4),4)+1,CHOOSE(MOD(A1461-1,4)+1,"Смартфоны","Ноутбуки","Аксессуары","Аудио"),CHOOSE(MOD(A1461-1,4)+1,"Верхняя одежда","Спортивная","Повседневная","Обувь"),CHOOSE(MOD(A1461-1,4)+1,"Молочные","Мясные","Бакалея","Напитки"),CHOOSE(MOD(A1461-1,4)+1,"Мягкая мебель","Корпусная","Офисная","Кухонная"))</f>
        <v>Аудио</v>
      </c>
      <c r="K1461" s="12" t="n">
        <f aca="false">1000+MOD(A1461*317+A1461*A1461*7,49001)</f>
        <v>47707</v>
      </c>
      <c r="L1461" s="12" t="n">
        <f aca="false">1+MOD(A1461*131,100)</f>
        <v>61</v>
      </c>
      <c r="M1461" s="12" t="n">
        <f aca="false">INT(K1461*(0.6+MOD(A1461*43,21)/100))</f>
        <v>33871</v>
      </c>
      <c r="N1461" s="12" t="n">
        <f aca="false">K1461-M1461</f>
        <v>13836</v>
      </c>
    </row>
    <row r="1462" customFormat="false" ht="12.8" hidden="false" customHeight="false" outlineLevel="0" collapsed="false">
      <c r="A1462" s="10" t="n">
        <f aca="false">A1461+1</f>
        <v>1461</v>
      </c>
      <c r="B1462" s="11" t="n">
        <f aca="false">B1461+1</f>
        <v>46387</v>
      </c>
      <c r="C1462" s="10" t="n">
        <f aca="false">YEAR(B1462)</f>
        <v>2026</v>
      </c>
      <c r="D1462" s="10" t="n">
        <f aca="false">INT((MONTH(B1462)-1)/3)+1</f>
        <v>4</v>
      </c>
      <c r="E1462" s="10" t="n">
        <f aca="false">MONTH(B1462)</f>
        <v>12</v>
      </c>
      <c r="F1462" s="10" t="str">
        <f aca="false">CHOOSE(MOD(A1462-1,5)+1,"Центр","Юг","Север","Запад","Восток")</f>
        <v>Центр</v>
      </c>
      <c r="G1462" s="10" t="str">
        <f aca="false">"Округ_"&amp;(MOD(A1462-1,5)+1)&amp;"_"&amp;(MOD(INT((A1462-1)/5),5)+1)</f>
        <v>Округ_1_3</v>
      </c>
      <c r="H1462" s="10" t="str">
        <f aca="false">"Город_"&amp;(MOD(A1462-1,5)+1)&amp;"_"&amp;(MOD(INT((A1462-1)/5),5)+1)&amp;"_"&amp;(MOD(INT((A1462-1)/25),10)+1)</f>
        <v>Город_1_3_9</v>
      </c>
      <c r="I1462" s="10" t="str">
        <f aca="false">CHOOSE(MOD(A1462-1,4)+1,"Электроника","Одежда","Продукты","Мебель")</f>
        <v>Электроника</v>
      </c>
      <c r="J1462" s="10" t="str">
        <f aca="false">CHOOSE(MOD(INT((A1462-1)/4),4)+1,CHOOSE(MOD(A1462-1,4)+1,"Смартфоны","Ноутбуки","Аксессуары","Аудио"),CHOOSE(MOD(A1462-1,4)+1,"Верхняя одежда","Спортивная","Повседневная","Обувь"),CHOOSE(MOD(A1462-1,4)+1,"Молочные","Мясные","Бакалея","Напитки"),CHOOSE(MOD(A1462-1,4)+1,"Мягкая мебель","Корпусная","Офисная","Кухонная"))</f>
        <v>Верхняя одежда</v>
      </c>
      <c r="K1462" s="12" t="n">
        <f aca="false">1000+MOD(A1462*317+A1462*A1462*7,49001)</f>
        <v>19470</v>
      </c>
      <c r="L1462" s="12" t="n">
        <f aca="false">1+MOD(A1462*131,100)</f>
        <v>92</v>
      </c>
      <c r="M1462" s="12" t="n">
        <f aca="false">INT(K1462*(0.6+MOD(A1462*43,21)/100))</f>
        <v>14018</v>
      </c>
      <c r="N1462" s="12" t="n">
        <f aca="false">K1462-M1462</f>
        <v>5452</v>
      </c>
    </row>
    <row r="1463" customFormat="false" ht="12.8" hidden="false" customHeight="false" outlineLevel="0" collapsed="false">
      <c r="A1463" s="10" t="n">
        <f aca="false">A1462+1</f>
        <v>1462</v>
      </c>
      <c r="B1463" s="11" t="n">
        <f aca="false">B1462+1</f>
        <v>46388</v>
      </c>
      <c r="C1463" s="10" t="n">
        <f aca="false">YEAR(B1463)</f>
        <v>2027</v>
      </c>
      <c r="D1463" s="10" t="n">
        <f aca="false">INT((MONTH(B1463)-1)/3)+1</f>
        <v>1</v>
      </c>
      <c r="E1463" s="10" t="n">
        <f aca="false">MONTH(B1463)</f>
        <v>1</v>
      </c>
      <c r="F1463" s="10" t="str">
        <f aca="false">CHOOSE(MOD(A1463-1,5)+1,"Центр","Юг","Север","Запад","Восток")</f>
        <v>Юг</v>
      </c>
      <c r="G1463" s="10" t="str">
        <f aca="false">"Округ_"&amp;(MOD(A1463-1,5)+1)&amp;"_"&amp;(MOD(INT((A1463-1)/5),5)+1)</f>
        <v>Округ_2_3</v>
      </c>
      <c r="H1463" s="10" t="str">
        <f aca="false">"Город_"&amp;(MOD(A1463-1,5)+1)&amp;"_"&amp;(MOD(INT((A1463-1)/5),5)+1)&amp;"_"&amp;(MOD(INT((A1463-1)/25),10)+1)</f>
        <v>Город_2_3_9</v>
      </c>
      <c r="I1463" s="10" t="str">
        <f aca="false">CHOOSE(MOD(A1463-1,4)+1,"Электроника","Одежда","Продукты","Мебель")</f>
        <v>Одежда</v>
      </c>
      <c r="J1463" s="10" t="str">
        <f aca="false">CHOOSE(MOD(INT((A1463-1)/4),4)+1,CHOOSE(MOD(A1463-1,4)+1,"Смартфоны","Ноутбуки","Аксессуары","Аудио"),CHOOSE(MOD(A1463-1,4)+1,"Верхняя одежда","Спортивная","Повседневная","Обувь"),CHOOSE(MOD(A1463-1,4)+1,"Молочные","Мясные","Бакалея","Напитки"),CHOOSE(MOD(A1463-1,4)+1,"Мягкая мебель","Корпусная","Офисная","Кухонная"))</f>
        <v>Спортивная</v>
      </c>
      <c r="K1463" s="12" t="n">
        <f aca="false">1000+MOD(A1463*317+A1463*A1463*7,49001)</f>
        <v>40248</v>
      </c>
      <c r="L1463" s="12" t="n">
        <f aca="false">1+MOD(A1463*131,100)</f>
        <v>23</v>
      </c>
      <c r="M1463" s="12" t="n">
        <f aca="false">INT(K1463*(0.6+MOD(A1463*43,21)/100))</f>
        <v>29381</v>
      </c>
      <c r="N1463" s="12" t="n">
        <f aca="false">K1463-M1463</f>
        <v>10867</v>
      </c>
    </row>
    <row r="1464" customFormat="false" ht="12.8" hidden="false" customHeight="false" outlineLevel="0" collapsed="false">
      <c r="A1464" s="10" t="n">
        <f aca="false">A1463+1</f>
        <v>1463</v>
      </c>
      <c r="B1464" s="11" t="n">
        <f aca="false">B1463+1</f>
        <v>46389</v>
      </c>
      <c r="C1464" s="10" t="n">
        <f aca="false">YEAR(B1464)</f>
        <v>2027</v>
      </c>
      <c r="D1464" s="10" t="n">
        <f aca="false">INT((MONTH(B1464)-1)/3)+1</f>
        <v>1</v>
      </c>
      <c r="E1464" s="10" t="n">
        <f aca="false">MONTH(B1464)</f>
        <v>1</v>
      </c>
      <c r="F1464" s="10" t="str">
        <f aca="false">CHOOSE(MOD(A1464-1,5)+1,"Центр","Юг","Север","Запад","Восток")</f>
        <v>Север</v>
      </c>
      <c r="G1464" s="10" t="str">
        <f aca="false">"Округ_"&amp;(MOD(A1464-1,5)+1)&amp;"_"&amp;(MOD(INT((A1464-1)/5),5)+1)</f>
        <v>Округ_3_3</v>
      </c>
      <c r="H1464" s="10" t="str">
        <f aca="false">"Город_"&amp;(MOD(A1464-1,5)+1)&amp;"_"&amp;(MOD(INT((A1464-1)/5),5)+1)&amp;"_"&amp;(MOD(INT((A1464-1)/25),10)+1)</f>
        <v>Город_3_3_9</v>
      </c>
      <c r="I1464" s="10" t="str">
        <f aca="false">CHOOSE(MOD(A1464-1,4)+1,"Электроника","Одежда","Продукты","Мебель")</f>
        <v>Продукты</v>
      </c>
      <c r="J1464" s="10" t="str">
        <f aca="false">CHOOSE(MOD(INT((A1464-1)/4),4)+1,CHOOSE(MOD(A1464-1,4)+1,"Смартфоны","Ноутбуки","Аксессуары","Аудио"),CHOOSE(MOD(A1464-1,4)+1,"Верхняя одежда","Спортивная","Повседневная","Обувь"),CHOOSE(MOD(A1464-1,4)+1,"Молочные","Мясные","Бакалея","Напитки"),CHOOSE(MOD(A1464-1,4)+1,"Мягкая мебель","Корпусная","Офисная","Кухонная"))</f>
        <v>Повседневная</v>
      </c>
      <c r="K1464" s="12" t="n">
        <f aca="false">1000+MOD(A1464*317+A1464*A1464*7,49001)</f>
        <v>12039</v>
      </c>
      <c r="L1464" s="12" t="n">
        <f aca="false">1+MOD(A1464*131,100)</f>
        <v>54</v>
      </c>
      <c r="M1464" s="12" t="n">
        <f aca="false">INT(K1464*(0.6+MOD(A1464*43,21)/100))</f>
        <v>8908</v>
      </c>
      <c r="N1464" s="12" t="n">
        <f aca="false">K1464-M1464</f>
        <v>3131</v>
      </c>
    </row>
    <row r="1465" customFormat="false" ht="12.8" hidden="false" customHeight="false" outlineLevel="0" collapsed="false">
      <c r="A1465" s="10" t="n">
        <f aca="false">A1464+1</f>
        <v>1464</v>
      </c>
      <c r="B1465" s="11" t="n">
        <f aca="false">B1464+1</f>
        <v>46390</v>
      </c>
      <c r="C1465" s="10" t="n">
        <f aca="false">YEAR(B1465)</f>
        <v>2027</v>
      </c>
      <c r="D1465" s="10" t="n">
        <f aca="false">INT((MONTH(B1465)-1)/3)+1</f>
        <v>1</v>
      </c>
      <c r="E1465" s="10" t="n">
        <f aca="false">MONTH(B1465)</f>
        <v>1</v>
      </c>
      <c r="F1465" s="10" t="str">
        <f aca="false">CHOOSE(MOD(A1465-1,5)+1,"Центр","Юг","Север","Запад","Восток")</f>
        <v>Запад</v>
      </c>
      <c r="G1465" s="10" t="str">
        <f aca="false">"Округ_"&amp;(MOD(A1465-1,5)+1)&amp;"_"&amp;(MOD(INT((A1465-1)/5),5)+1)</f>
        <v>Округ_4_3</v>
      </c>
      <c r="H1465" s="10" t="str">
        <f aca="false">"Город_"&amp;(MOD(A1465-1,5)+1)&amp;"_"&amp;(MOD(INT((A1465-1)/5),5)+1)&amp;"_"&amp;(MOD(INT((A1465-1)/25),10)+1)</f>
        <v>Город_4_3_9</v>
      </c>
      <c r="I1465" s="10" t="str">
        <f aca="false">CHOOSE(MOD(A1465-1,4)+1,"Электроника","Одежда","Продукты","Мебель")</f>
        <v>Мебель</v>
      </c>
      <c r="J1465" s="10" t="str">
        <f aca="false">CHOOSE(MOD(INT((A1465-1)/4),4)+1,CHOOSE(MOD(A1465-1,4)+1,"Смартфоны","Ноутбуки","Аксессуары","Аудио"),CHOOSE(MOD(A1465-1,4)+1,"Верхняя одежда","Спортивная","Повседневная","Обувь"),CHOOSE(MOD(A1465-1,4)+1,"Молочные","Мясные","Бакалея","Напитки"),CHOOSE(MOD(A1465-1,4)+1,"Мягкая мебель","Корпусная","Офисная","Кухонная"))</f>
        <v>Обувь</v>
      </c>
      <c r="K1465" s="12" t="n">
        <f aca="false">1000+MOD(A1465*317+A1465*A1465*7,49001)</f>
        <v>32845</v>
      </c>
      <c r="L1465" s="12" t="n">
        <f aca="false">1+MOD(A1465*131,100)</f>
        <v>85</v>
      </c>
      <c r="M1465" s="12" t="n">
        <f aca="false">INT(K1465*(0.6+MOD(A1465*43,21)/100))</f>
        <v>24633</v>
      </c>
      <c r="N1465" s="12" t="n">
        <f aca="false">K1465-M1465</f>
        <v>8212</v>
      </c>
    </row>
    <row r="1466" customFormat="false" ht="12.8" hidden="false" customHeight="false" outlineLevel="0" collapsed="false">
      <c r="A1466" s="10" t="n">
        <f aca="false">A1465+1</f>
        <v>1465</v>
      </c>
      <c r="B1466" s="11" t="n">
        <f aca="false">B1465+1</f>
        <v>46391</v>
      </c>
      <c r="C1466" s="10" t="n">
        <f aca="false">YEAR(B1466)</f>
        <v>2027</v>
      </c>
      <c r="D1466" s="10" t="n">
        <f aca="false">INT((MONTH(B1466)-1)/3)+1</f>
        <v>1</v>
      </c>
      <c r="E1466" s="10" t="n">
        <f aca="false">MONTH(B1466)</f>
        <v>1</v>
      </c>
      <c r="F1466" s="10" t="str">
        <f aca="false">CHOOSE(MOD(A1466-1,5)+1,"Центр","Юг","Север","Запад","Восток")</f>
        <v>Восток</v>
      </c>
      <c r="G1466" s="10" t="str">
        <f aca="false">"Округ_"&amp;(MOD(A1466-1,5)+1)&amp;"_"&amp;(MOD(INT((A1466-1)/5),5)+1)</f>
        <v>Округ_5_3</v>
      </c>
      <c r="H1466" s="10" t="str">
        <f aca="false">"Город_"&amp;(MOD(A1466-1,5)+1)&amp;"_"&amp;(MOD(INT((A1466-1)/5),5)+1)&amp;"_"&amp;(MOD(INT((A1466-1)/25),10)+1)</f>
        <v>Город_5_3_9</v>
      </c>
      <c r="I1466" s="10" t="str">
        <f aca="false">CHOOSE(MOD(A1466-1,4)+1,"Электроника","Одежда","Продукты","Мебель")</f>
        <v>Электроника</v>
      </c>
      <c r="J1466" s="10" t="str">
        <f aca="false">CHOOSE(MOD(INT((A1466-1)/4),4)+1,CHOOSE(MOD(A1466-1,4)+1,"Смартфоны","Ноутбуки","Аксессуары","Аудио"),CHOOSE(MOD(A1466-1,4)+1,"Верхняя одежда","Спортивная","Повседневная","Обувь"),CHOOSE(MOD(A1466-1,4)+1,"Молочные","Мясные","Бакалея","Напитки"),CHOOSE(MOD(A1466-1,4)+1,"Мягкая мебель","Корпусная","Офисная","Кухонная"))</f>
        <v>Молочные</v>
      </c>
      <c r="K1466" s="12" t="n">
        <f aca="false">1000+MOD(A1466*317+A1466*A1466*7,49001)</f>
        <v>4664</v>
      </c>
      <c r="L1466" s="12" t="n">
        <f aca="false">1+MOD(A1466*131,100)</f>
        <v>16</v>
      </c>
      <c r="M1466" s="12" t="n">
        <f aca="false">INT(K1466*(0.6+MOD(A1466*43,21)/100))</f>
        <v>3544</v>
      </c>
      <c r="N1466" s="12" t="n">
        <f aca="false">K1466-M1466</f>
        <v>1120</v>
      </c>
    </row>
    <row r="1467" customFormat="false" ht="12.8" hidden="false" customHeight="false" outlineLevel="0" collapsed="false">
      <c r="A1467" s="10" t="n">
        <f aca="false">A1466+1</f>
        <v>1466</v>
      </c>
      <c r="B1467" s="11" t="n">
        <f aca="false">B1466+1</f>
        <v>46392</v>
      </c>
      <c r="C1467" s="10" t="n">
        <f aca="false">YEAR(B1467)</f>
        <v>2027</v>
      </c>
      <c r="D1467" s="10" t="n">
        <f aca="false">INT((MONTH(B1467)-1)/3)+1</f>
        <v>1</v>
      </c>
      <c r="E1467" s="10" t="n">
        <f aca="false">MONTH(B1467)</f>
        <v>1</v>
      </c>
      <c r="F1467" s="10" t="str">
        <f aca="false">CHOOSE(MOD(A1467-1,5)+1,"Центр","Юг","Север","Запад","Восток")</f>
        <v>Центр</v>
      </c>
      <c r="G1467" s="10" t="str">
        <f aca="false">"Округ_"&amp;(MOD(A1467-1,5)+1)&amp;"_"&amp;(MOD(INT((A1467-1)/5),5)+1)</f>
        <v>Округ_1_4</v>
      </c>
      <c r="H1467" s="10" t="str">
        <f aca="false">"Город_"&amp;(MOD(A1467-1,5)+1)&amp;"_"&amp;(MOD(INT((A1467-1)/5),5)+1)&amp;"_"&amp;(MOD(INT((A1467-1)/25),10)+1)</f>
        <v>Город_1_4_9</v>
      </c>
      <c r="I1467" s="10" t="str">
        <f aca="false">CHOOSE(MOD(A1467-1,4)+1,"Электроника","Одежда","Продукты","Мебель")</f>
        <v>Одежда</v>
      </c>
      <c r="J1467" s="10" t="str">
        <f aca="false">CHOOSE(MOD(INT((A1467-1)/4),4)+1,CHOOSE(MOD(A1467-1,4)+1,"Смартфоны","Ноутбуки","Аксессуары","Аудио"),CHOOSE(MOD(A1467-1,4)+1,"Верхняя одежда","Спортивная","Повседневная","Обувь"),CHOOSE(MOD(A1467-1,4)+1,"Молочные","Мясные","Бакалея","Напитки"),CHOOSE(MOD(A1467-1,4)+1,"Мягкая мебель","Корпусная","Офисная","Кухонная"))</f>
        <v>Мясные</v>
      </c>
      <c r="K1467" s="12" t="n">
        <f aca="false">1000+MOD(A1467*317+A1467*A1467*7,49001)</f>
        <v>25498</v>
      </c>
      <c r="L1467" s="12" t="n">
        <f aca="false">1+MOD(A1467*131,100)</f>
        <v>47</v>
      </c>
      <c r="M1467" s="12" t="n">
        <f aca="false">INT(K1467*(0.6+MOD(A1467*43,21)/100))</f>
        <v>19633</v>
      </c>
      <c r="N1467" s="12" t="n">
        <f aca="false">K1467-M1467</f>
        <v>5865</v>
      </c>
    </row>
    <row r="1468" customFormat="false" ht="12.8" hidden="false" customHeight="false" outlineLevel="0" collapsed="false">
      <c r="A1468" s="10" t="n">
        <f aca="false">A1467+1</f>
        <v>1467</v>
      </c>
      <c r="B1468" s="11" t="n">
        <f aca="false">B1467+1</f>
        <v>46393</v>
      </c>
      <c r="C1468" s="10" t="n">
        <f aca="false">YEAR(B1468)</f>
        <v>2027</v>
      </c>
      <c r="D1468" s="10" t="n">
        <f aca="false">INT((MONTH(B1468)-1)/3)+1</f>
        <v>1</v>
      </c>
      <c r="E1468" s="10" t="n">
        <f aca="false">MONTH(B1468)</f>
        <v>1</v>
      </c>
      <c r="F1468" s="10" t="str">
        <f aca="false">CHOOSE(MOD(A1468-1,5)+1,"Центр","Юг","Север","Запад","Восток")</f>
        <v>Юг</v>
      </c>
      <c r="G1468" s="10" t="str">
        <f aca="false">"Округ_"&amp;(MOD(A1468-1,5)+1)&amp;"_"&amp;(MOD(INT((A1468-1)/5),5)+1)</f>
        <v>Округ_2_4</v>
      </c>
      <c r="H1468" s="10" t="str">
        <f aca="false">"Город_"&amp;(MOD(A1468-1,5)+1)&amp;"_"&amp;(MOD(INT((A1468-1)/5),5)+1)&amp;"_"&amp;(MOD(INT((A1468-1)/25),10)+1)</f>
        <v>Город_2_4_9</v>
      </c>
      <c r="I1468" s="10" t="str">
        <f aca="false">CHOOSE(MOD(A1468-1,4)+1,"Электроника","Одежда","Продукты","Мебель")</f>
        <v>Продукты</v>
      </c>
      <c r="J1468" s="10" t="str">
        <f aca="false">CHOOSE(MOD(INT((A1468-1)/4),4)+1,CHOOSE(MOD(A1468-1,4)+1,"Смартфоны","Ноутбуки","Аксессуары","Аудио"),CHOOSE(MOD(A1468-1,4)+1,"Верхняя одежда","Спортивная","Повседневная","Обувь"),CHOOSE(MOD(A1468-1,4)+1,"Молочные","Мясные","Бакалея","Напитки"),CHOOSE(MOD(A1468-1,4)+1,"Мягкая мебель","Корпусная","Офисная","Кухонная"))</f>
        <v>Бакалея</v>
      </c>
      <c r="K1468" s="12" t="n">
        <f aca="false">1000+MOD(A1468*317+A1468*A1468*7,49001)</f>
        <v>46346</v>
      </c>
      <c r="L1468" s="12" t="n">
        <f aca="false">1+MOD(A1468*131,100)</f>
        <v>78</v>
      </c>
      <c r="M1468" s="12" t="n">
        <f aca="false">INT(K1468*(0.6+MOD(A1468*43,21)/100))</f>
        <v>36149</v>
      </c>
      <c r="N1468" s="12" t="n">
        <f aca="false">K1468-M1468</f>
        <v>10197</v>
      </c>
    </row>
    <row r="1469" customFormat="false" ht="12.8" hidden="false" customHeight="false" outlineLevel="0" collapsed="false">
      <c r="A1469" s="10" t="n">
        <f aca="false">A1468+1</f>
        <v>1468</v>
      </c>
      <c r="B1469" s="11" t="n">
        <f aca="false">B1468+1</f>
        <v>46394</v>
      </c>
      <c r="C1469" s="10" t="n">
        <f aca="false">YEAR(B1469)</f>
        <v>2027</v>
      </c>
      <c r="D1469" s="10" t="n">
        <f aca="false">INT((MONTH(B1469)-1)/3)+1</f>
        <v>1</v>
      </c>
      <c r="E1469" s="10" t="n">
        <f aca="false">MONTH(B1469)</f>
        <v>1</v>
      </c>
      <c r="F1469" s="10" t="str">
        <f aca="false">CHOOSE(MOD(A1469-1,5)+1,"Центр","Юг","Север","Запад","Восток")</f>
        <v>Север</v>
      </c>
      <c r="G1469" s="10" t="str">
        <f aca="false">"Округ_"&amp;(MOD(A1469-1,5)+1)&amp;"_"&amp;(MOD(INT((A1469-1)/5),5)+1)</f>
        <v>Округ_3_4</v>
      </c>
      <c r="H1469" s="10" t="str">
        <f aca="false">"Город_"&amp;(MOD(A1469-1,5)+1)&amp;"_"&amp;(MOD(INT((A1469-1)/5),5)+1)&amp;"_"&amp;(MOD(INT((A1469-1)/25),10)+1)</f>
        <v>Город_3_4_9</v>
      </c>
      <c r="I1469" s="10" t="str">
        <f aca="false">CHOOSE(MOD(A1469-1,4)+1,"Электроника","Одежда","Продукты","Мебель")</f>
        <v>Мебель</v>
      </c>
      <c r="J1469" s="10" t="str">
        <f aca="false">CHOOSE(MOD(INT((A1469-1)/4),4)+1,CHOOSE(MOD(A1469-1,4)+1,"Смартфоны","Ноутбуки","Аксессуары","Аудио"),CHOOSE(MOD(A1469-1,4)+1,"Верхняя одежда","Спортивная","Повседневная","Обувь"),CHOOSE(MOD(A1469-1,4)+1,"Молочные","Мясные","Бакалея","Напитки"),CHOOSE(MOD(A1469-1,4)+1,"Мягкая мебель","Корпусная","Офисная","Кухонная"))</f>
        <v>Напитки</v>
      </c>
      <c r="K1469" s="12" t="n">
        <f aca="false">1000+MOD(A1469*317+A1469*A1469*7,49001)</f>
        <v>18207</v>
      </c>
      <c r="L1469" s="12" t="n">
        <f aca="false">1+MOD(A1469*131,100)</f>
        <v>9</v>
      </c>
      <c r="M1469" s="12" t="n">
        <f aca="false">INT(K1469*(0.6+MOD(A1469*43,21)/100))</f>
        <v>14383</v>
      </c>
      <c r="N1469" s="12" t="n">
        <f aca="false">K1469-M1469</f>
        <v>3824</v>
      </c>
    </row>
    <row r="1470" customFormat="false" ht="12.8" hidden="false" customHeight="false" outlineLevel="0" collapsed="false">
      <c r="A1470" s="10" t="n">
        <f aca="false">A1469+1</f>
        <v>1469</v>
      </c>
      <c r="B1470" s="11" t="n">
        <f aca="false">B1469+1</f>
        <v>46395</v>
      </c>
      <c r="C1470" s="10" t="n">
        <f aca="false">YEAR(B1470)</f>
        <v>2027</v>
      </c>
      <c r="D1470" s="10" t="n">
        <f aca="false">INT((MONTH(B1470)-1)/3)+1</f>
        <v>1</v>
      </c>
      <c r="E1470" s="10" t="n">
        <f aca="false">MONTH(B1470)</f>
        <v>1</v>
      </c>
      <c r="F1470" s="10" t="str">
        <f aca="false">CHOOSE(MOD(A1470-1,5)+1,"Центр","Юг","Север","Запад","Восток")</f>
        <v>Запад</v>
      </c>
      <c r="G1470" s="10" t="str">
        <f aca="false">"Округ_"&amp;(MOD(A1470-1,5)+1)&amp;"_"&amp;(MOD(INT((A1470-1)/5),5)+1)</f>
        <v>Округ_4_4</v>
      </c>
      <c r="H1470" s="10" t="str">
        <f aca="false">"Город_"&amp;(MOD(A1470-1,5)+1)&amp;"_"&amp;(MOD(INT((A1470-1)/5),5)+1)&amp;"_"&amp;(MOD(INT((A1470-1)/25),10)+1)</f>
        <v>Город_4_4_9</v>
      </c>
      <c r="I1470" s="10" t="str">
        <f aca="false">CHOOSE(MOD(A1470-1,4)+1,"Электроника","Одежда","Продукты","Мебель")</f>
        <v>Электроника</v>
      </c>
      <c r="J1470" s="10" t="str">
        <f aca="false">CHOOSE(MOD(INT((A1470-1)/4),4)+1,CHOOSE(MOD(A1470-1,4)+1,"Смартфоны","Ноутбуки","Аксессуары","Аудио"),CHOOSE(MOD(A1470-1,4)+1,"Верхняя одежда","Спортивная","Повседневная","Обувь"),CHOOSE(MOD(A1470-1,4)+1,"Молочные","Мясные","Бакалея","Напитки"),CHOOSE(MOD(A1470-1,4)+1,"Мягкая мебель","Корпусная","Офисная","Кухонная"))</f>
        <v>Мягкая мебель</v>
      </c>
      <c r="K1470" s="12" t="n">
        <f aca="false">1000+MOD(A1470*317+A1470*A1470*7,49001)</f>
        <v>39083</v>
      </c>
      <c r="L1470" s="12" t="n">
        <f aca="false">1+MOD(A1470*131,100)</f>
        <v>40</v>
      </c>
      <c r="M1470" s="12" t="n">
        <f aca="false">INT(K1470*(0.6+MOD(A1470*43,21)/100))</f>
        <v>31266</v>
      </c>
      <c r="N1470" s="12" t="n">
        <f aca="false">K1470-M1470</f>
        <v>7817</v>
      </c>
    </row>
    <row r="1471" customFormat="false" ht="12.8" hidden="false" customHeight="false" outlineLevel="0" collapsed="false">
      <c r="A1471" s="10" t="n">
        <f aca="false">A1470+1</f>
        <v>1470</v>
      </c>
      <c r="B1471" s="11" t="n">
        <f aca="false">B1470+1</f>
        <v>46396</v>
      </c>
      <c r="C1471" s="10" t="n">
        <f aca="false">YEAR(B1471)</f>
        <v>2027</v>
      </c>
      <c r="D1471" s="10" t="n">
        <f aca="false">INT((MONTH(B1471)-1)/3)+1</f>
        <v>1</v>
      </c>
      <c r="E1471" s="10" t="n">
        <f aca="false">MONTH(B1471)</f>
        <v>1</v>
      </c>
      <c r="F1471" s="10" t="str">
        <f aca="false">CHOOSE(MOD(A1471-1,5)+1,"Центр","Юг","Север","Запад","Восток")</f>
        <v>Восток</v>
      </c>
      <c r="G1471" s="10" t="str">
        <f aca="false">"Округ_"&amp;(MOD(A1471-1,5)+1)&amp;"_"&amp;(MOD(INT((A1471-1)/5),5)+1)</f>
        <v>Округ_5_4</v>
      </c>
      <c r="H1471" s="10" t="str">
        <f aca="false">"Город_"&amp;(MOD(A1471-1,5)+1)&amp;"_"&amp;(MOD(INT((A1471-1)/5),5)+1)&amp;"_"&amp;(MOD(INT((A1471-1)/25),10)+1)</f>
        <v>Город_5_4_9</v>
      </c>
      <c r="I1471" s="10" t="str">
        <f aca="false">CHOOSE(MOD(A1471-1,4)+1,"Электроника","Одежда","Продукты","Мебель")</f>
        <v>Одежда</v>
      </c>
      <c r="J1471" s="10" t="str">
        <f aca="false">CHOOSE(MOD(INT((A1471-1)/4),4)+1,CHOOSE(MOD(A1471-1,4)+1,"Смартфоны","Ноутбуки","Аксессуары","Аудио"),CHOOSE(MOD(A1471-1,4)+1,"Верхняя одежда","Спортивная","Повседневная","Обувь"),CHOOSE(MOD(A1471-1,4)+1,"Молочные","Мясные","Бакалея","Напитки"),CHOOSE(MOD(A1471-1,4)+1,"Мягкая мебель","Корпусная","Офисная","Кухонная"))</f>
        <v>Корпусная</v>
      </c>
      <c r="K1471" s="12" t="n">
        <f aca="false">1000+MOD(A1471*317+A1471*A1471*7,49001)</f>
        <v>10972</v>
      </c>
      <c r="L1471" s="12" t="n">
        <f aca="false">1+MOD(A1471*131,100)</f>
        <v>71</v>
      </c>
      <c r="M1471" s="12" t="n">
        <f aca="false">INT(K1471*(0.6+MOD(A1471*43,21)/100))</f>
        <v>6583</v>
      </c>
      <c r="N1471" s="12" t="n">
        <f aca="false">K1471-M1471</f>
        <v>4389</v>
      </c>
    </row>
    <row r="1472" customFormat="false" ht="12.8" hidden="false" customHeight="false" outlineLevel="0" collapsed="false">
      <c r="A1472" s="10" t="n">
        <f aca="false">A1471+1</f>
        <v>1471</v>
      </c>
      <c r="B1472" s="11" t="n">
        <f aca="false">B1471+1</f>
        <v>46397</v>
      </c>
      <c r="C1472" s="10" t="n">
        <f aca="false">YEAR(B1472)</f>
        <v>2027</v>
      </c>
      <c r="D1472" s="10" t="n">
        <f aca="false">INT((MONTH(B1472)-1)/3)+1</f>
        <v>1</v>
      </c>
      <c r="E1472" s="10" t="n">
        <f aca="false">MONTH(B1472)</f>
        <v>1</v>
      </c>
      <c r="F1472" s="10" t="str">
        <f aca="false">CHOOSE(MOD(A1472-1,5)+1,"Центр","Юг","Север","Запад","Восток")</f>
        <v>Центр</v>
      </c>
      <c r="G1472" s="10" t="str">
        <f aca="false">"Округ_"&amp;(MOD(A1472-1,5)+1)&amp;"_"&amp;(MOD(INT((A1472-1)/5),5)+1)</f>
        <v>Округ_1_5</v>
      </c>
      <c r="H1472" s="10" t="str">
        <f aca="false">"Город_"&amp;(MOD(A1472-1,5)+1)&amp;"_"&amp;(MOD(INT((A1472-1)/5),5)+1)&amp;"_"&amp;(MOD(INT((A1472-1)/25),10)+1)</f>
        <v>Город_1_5_9</v>
      </c>
      <c r="I1472" s="10" t="str">
        <f aca="false">CHOOSE(MOD(A1472-1,4)+1,"Электроника","Одежда","Продукты","Мебель")</f>
        <v>Продукты</v>
      </c>
      <c r="J1472" s="10" t="str">
        <f aca="false">CHOOSE(MOD(INT((A1472-1)/4),4)+1,CHOOSE(MOD(A1472-1,4)+1,"Смартфоны","Ноутбуки","Аксессуары","Аудио"),CHOOSE(MOD(A1472-1,4)+1,"Верхняя одежда","Спортивная","Повседневная","Обувь"),CHOOSE(MOD(A1472-1,4)+1,"Молочные","Мясные","Бакалея","Напитки"),CHOOSE(MOD(A1472-1,4)+1,"Мягкая мебель","Корпусная","Офисная","Кухонная"))</f>
        <v>Офисная</v>
      </c>
      <c r="K1472" s="12" t="n">
        <f aca="false">1000+MOD(A1472*317+A1472*A1472*7,49001)</f>
        <v>31876</v>
      </c>
      <c r="L1472" s="12" t="n">
        <f aca="false">1+MOD(A1472*131,100)</f>
        <v>2</v>
      </c>
      <c r="M1472" s="12" t="n">
        <f aca="false">INT(K1472*(0.6+MOD(A1472*43,21)/100))</f>
        <v>19444</v>
      </c>
      <c r="N1472" s="12" t="n">
        <f aca="false">K1472-M1472</f>
        <v>12432</v>
      </c>
    </row>
    <row r="1473" customFormat="false" ht="12.8" hidden="false" customHeight="false" outlineLevel="0" collapsed="false">
      <c r="A1473" s="10" t="n">
        <f aca="false">A1472+1</f>
        <v>1472</v>
      </c>
      <c r="B1473" s="11" t="n">
        <f aca="false">B1472+1</f>
        <v>46398</v>
      </c>
      <c r="C1473" s="10" t="n">
        <f aca="false">YEAR(B1473)</f>
        <v>2027</v>
      </c>
      <c r="D1473" s="10" t="n">
        <f aca="false">INT((MONTH(B1473)-1)/3)+1</f>
        <v>1</v>
      </c>
      <c r="E1473" s="10" t="n">
        <f aca="false">MONTH(B1473)</f>
        <v>1</v>
      </c>
      <c r="F1473" s="10" t="str">
        <f aca="false">CHOOSE(MOD(A1473-1,5)+1,"Центр","Юг","Север","Запад","Восток")</f>
        <v>Юг</v>
      </c>
      <c r="G1473" s="10" t="str">
        <f aca="false">"Округ_"&amp;(MOD(A1473-1,5)+1)&amp;"_"&amp;(MOD(INT((A1473-1)/5),5)+1)</f>
        <v>Округ_2_5</v>
      </c>
      <c r="H1473" s="10" t="str">
        <f aca="false">"Город_"&amp;(MOD(A1473-1,5)+1)&amp;"_"&amp;(MOD(INT((A1473-1)/5),5)+1)&amp;"_"&amp;(MOD(INT((A1473-1)/25),10)+1)</f>
        <v>Город_2_5_9</v>
      </c>
      <c r="I1473" s="10" t="str">
        <f aca="false">CHOOSE(MOD(A1473-1,4)+1,"Электроника","Одежда","Продукты","Мебель")</f>
        <v>Мебель</v>
      </c>
      <c r="J1473" s="10" t="str">
        <f aca="false">CHOOSE(MOD(INT((A1473-1)/4),4)+1,CHOOSE(MOD(A1473-1,4)+1,"Смартфоны","Ноутбуки","Аксессуары","Аудио"),CHOOSE(MOD(A1473-1,4)+1,"Верхняя одежда","Спортивная","Повседневная","Обувь"),CHOOSE(MOD(A1473-1,4)+1,"Молочные","Мясные","Бакалея","Напитки"),CHOOSE(MOD(A1473-1,4)+1,"Мягкая мебель","Корпусная","Офисная","Кухонная"))</f>
        <v>Кухонная</v>
      </c>
      <c r="K1473" s="12" t="n">
        <f aca="false">1000+MOD(A1473*317+A1473*A1473*7,49001)</f>
        <v>3793</v>
      </c>
      <c r="L1473" s="12" t="n">
        <f aca="false">1+MOD(A1473*131,100)</f>
        <v>33</v>
      </c>
      <c r="M1473" s="12" t="n">
        <f aca="false">INT(K1473*(0.6+MOD(A1473*43,21)/100))</f>
        <v>2351</v>
      </c>
      <c r="N1473" s="12" t="n">
        <f aca="false">K1473-M1473</f>
        <v>1442</v>
      </c>
    </row>
    <row r="1474" customFormat="false" ht="12.8" hidden="false" customHeight="false" outlineLevel="0" collapsed="false">
      <c r="A1474" s="10" t="n">
        <f aca="false">A1473+1</f>
        <v>1473</v>
      </c>
      <c r="B1474" s="11" t="n">
        <f aca="false">B1473+1</f>
        <v>46399</v>
      </c>
      <c r="C1474" s="10" t="n">
        <f aca="false">YEAR(B1474)</f>
        <v>2027</v>
      </c>
      <c r="D1474" s="10" t="n">
        <f aca="false">INT((MONTH(B1474)-1)/3)+1</f>
        <v>1</v>
      </c>
      <c r="E1474" s="10" t="n">
        <f aca="false">MONTH(B1474)</f>
        <v>1</v>
      </c>
      <c r="F1474" s="10" t="str">
        <f aca="false">CHOOSE(MOD(A1474-1,5)+1,"Центр","Юг","Север","Запад","Восток")</f>
        <v>Север</v>
      </c>
      <c r="G1474" s="10" t="str">
        <f aca="false">"Округ_"&amp;(MOD(A1474-1,5)+1)&amp;"_"&amp;(MOD(INT((A1474-1)/5),5)+1)</f>
        <v>Округ_3_5</v>
      </c>
      <c r="H1474" s="10" t="str">
        <f aca="false">"Город_"&amp;(MOD(A1474-1,5)+1)&amp;"_"&amp;(MOD(INT((A1474-1)/5),5)+1)&amp;"_"&amp;(MOD(INT((A1474-1)/25),10)+1)</f>
        <v>Город_3_5_9</v>
      </c>
      <c r="I1474" s="10" t="str">
        <f aca="false">CHOOSE(MOD(A1474-1,4)+1,"Электроника","Одежда","Продукты","Мебель")</f>
        <v>Электроника</v>
      </c>
      <c r="J1474" s="10" t="str">
        <f aca="false">CHOOSE(MOD(INT((A1474-1)/4),4)+1,CHOOSE(MOD(A1474-1,4)+1,"Смартфоны","Ноутбуки","Аксессуары","Аудио"),CHOOSE(MOD(A1474-1,4)+1,"Верхняя одежда","Спортивная","Повседневная","Обувь"),CHOOSE(MOD(A1474-1,4)+1,"Молочные","Мясные","Бакалея","Напитки"),CHOOSE(MOD(A1474-1,4)+1,"Мягкая мебель","Корпусная","Офисная","Кухонная"))</f>
        <v>Смартфоны</v>
      </c>
      <c r="K1474" s="12" t="n">
        <f aca="false">1000+MOD(A1474*317+A1474*A1474*7,49001)</f>
        <v>24725</v>
      </c>
      <c r="L1474" s="12" t="n">
        <f aca="false">1+MOD(A1474*131,100)</f>
        <v>64</v>
      </c>
      <c r="M1474" s="12" t="n">
        <f aca="false">INT(K1474*(0.6+MOD(A1474*43,21)/100))</f>
        <v>15576</v>
      </c>
      <c r="N1474" s="12" t="n">
        <f aca="false">K1474-M1474</f>
        <v>9149</v>
      </c>
    </row>
    <row r="1475" customFormat="false" ht="12.8" hidden="false" customHeight="false" outlineLevel="0" collapsed="false">
      <c r="A1475" s="10" t="n">
        <f aca="false">A1474+1</f>
        <v>1474</v>
      </c>
      <c r="B1475" s="11" t="n">
        <f aca="false">B1474+1</f>
        <v>46400</v>
      </c>
      <c r="C1475" s="10" t="n">
        <f aca="false">YEAR(B1475)</f>
        <v>2027</v>
      </c>
      <c r="D1475" s="10" t="n">
        <f aca="false">INT((MONTH(B1475)-1)/3)+1</f>
        <v>1</v>
      </c>
      <c r="E1475" s="10" t="n">
        <f aca="false">MONTH(B1475)</f>
        <v>1</v>
      </c>
      <c r="F1475" s="10" t="str">
        <f aca="false">CHOOSE(MOD(A1475-1,5)+1,"Центр","Юг","Север","Запад","Восток")</f>
        <v>Запад</v>
      </c>
      <c r="G1475" s="10" t="str">
        <f aca="false">"Округ_"&amp;(MOD(A1475-1,5)+1)&amp;"_"&amp;(MOD(INT((A1475-1)/5),5)+1)</f>
        <v>Округ_4_5</v>
      </c>
      <c r="H1475" s="10" t="str">
        <f aca="false">"Город_"&amp;(MOD(A1475-1,5)+1)&amp;"_"&amp;(MOD(INT((A1475-1)/5),5)+1)&amp;"_"&amp;(MOD(INT((A1475-1)/25),10)+1)</f>
        <v>Город_4_5_9</v>
      </c>
      <c r="I1475" s="10" t="str">
        <f aca="false">CHOOSE(MOD(A1475-1,4)+1,"Электроника","Одежда","Продукты","Мебель")</f>
        <v>Одежда</v>
      </c>
      <c r="J1475" s="10" t="str">
        <f aca="false">CHOOSE(MOD(INT((A1475-1)/4),4)+1,CHOOSE(MOD(A1475-1,4)+1,"Смартфоны","Ноутбуки","Аксессуары","Аудио"),CHOOSE(MOD(A1475-1,4)+1,"Верхняя одежда","Спортивная","Повседневная","Обувь"),CHOOSE(MOD(A1475-1,4)+1,"Молочные","Мясные","Бакалея","Напитки"),CHOOSE(MOD(A1475-1,4)+1,"Мягкая мебель","Корпусная","Офисная","Кухонная"))</f>
        <v>Ноутбуки</v>
      </c>
      <c r="K1475" s="12" t="n">
        <f aca="false">1000+MOD(A1475*317+A1475*A1475*7,49001)</f>
        <v>45671</v>
      </c>
      <c r="L1475" s="12" t="n">
        <f aca="false">1+MOD(A1475*131,100)</f>
        <v>95</v>
      </c>
      <c r="M1475" s="12" t="n">
        <f aca="false">INT(K1475*(0.6+MOD(A1475*43,21)/100))</f>
        <v>29229</v>
      </c>
      <c r="N1475" s="12" t="n">
        <f aca="false">K1475-M1475</f>
        <v>16442</v>
      </c>
    </row>
    <row r="1476" customFormat="false" ht="12.8" hidden="false" customHeight="false" outlineLevel="0" collapsed="false">
      <c r="A1476" s="10" t="n">
        <f aca="false">A1475+1</f>
        <v>1475</v>
      </c>
      <c r="B1476" s="11" t="n">
        <f aca="false">B1475+1</f>
        <v>46401</v>
      </c>
      <c r="C1476" s="10" t="n">
        <f aca="false">YEAR(B1476)</f>
        <v>2027</v>
      </c>
      <c r="D1476" s="10" t="n">
        <f aca="false">INT((MONTH(B1476)-1)/3)+1</f>
        <v>1</v>
      </c>
      <c r="E1476" s="10" t="n">
        <f aca="false">MONTH(B1476)</f>
        <v>1</v>
      </c>
      <c r="F1476" s="10" t="str">
        <f aca="false">CHOOSE(MOD(A1476-1,5)+1,"Центр","Юг","Север","Запад","Восток")</f>
        <v>Восток</v>
      </c>
      <c r="G1476" s="10" t="str">
        <f aca="false">"Округ_"&amp;(MOD(A1476-1,5)+1)&amp;"_"&amp;(MOD(INT((A1476-1)/5),5)+1)</f>
        <v>Округ_5_5</v>
      </c>
      <c r="H1476" s="10" t="str">
        <f aca="false">"Город_"&amp;(MOD(A1476-1,5)+1)&amp;"_"&amp;(MOD(INT((A1476-1)/5),5)+1)&amp;"_"&amp;(MOD(INT((A1476-1)/25),10)+1)</f>
        <v>Город_5_5_9</v>
      </c>
      <c r="I1476" s="10" t="str">
        <f aca="false">CHOOSE(MOD(A1476-1,4)+1,"Электроника","Одежда","Продукты","Мебель")</f>
        <v>Продукты</v>
      </c>
      <c r="J1476" s="10" t="str">
        <f aca="false">CHOOSE(MOD(INT((A1476-1)/4),4)+1,CHOOSE(MOD(A1476-1,4)+1,"Смартфоны","Ноутбуки","Аксессуары","Аудио"),CHOOSE(MOD(A1476-1,4)+1,"Верхняя одежда","Спортивная","Повседневная","Обувь"),CHOOSE(MOD(A1476-1,4)+1,"Молочные","Мясные","Бакалея","Напитки"),CHOOSE(MOD(A1476-1,4)+1,"Мягкая мебель","Корпусная","Офисная","Кухонная"))</f>
        <v>Аксессуары</v>
      </c>
      <c r="K1476" s="12" t="n">
        <f aca="false">1000+MOD(A1476*317+A1476*A1476*7,49001)</f>
        <v>17630</v>
      </c>
      <c r="L1476" s="12" t="n">
        <f aca="false">1+MOD(A1476*131,100)</f>
        <v>26</v>
      </c>
      <c r="M1476" s="12" t="n">
        <f aca="false">INT(K1476*(0.6+MOD(A1476*43,21)/100))</f>
        <v>11459</v>
      </c>
      <c r="N1476" s="12" t="n">
        <f aca="false">K1476-M1476</f>
        <v>6171</v>
      </c>
    </row>
    <row r="1477" customFormat="false" ht="12.8" hidden="false" customHeight="false" outlineLevel="0" collapsed="false">
      <c r="A1477" s="10" t="n">
        <f aca="false">A1476+1</f>
        <v>1476</v>
      </c>
      <c r="B1477" s="11" t="n">
        <f aca="false">B1476+1</f>
        <v>46402</v>
      </c>
      <c r="C1477" s="10" t="n">
        <f aca="false">YEAR(B1477)</f>
        <v>2027</v>
      </c>
      <c r="D1477" s="10" t="n">
        <f aca="false">INT((MONTH(B1477)-1)/3)+1</f>
        <v>1</v>
      </c>
      <c r="E1477" s="10" t="n">
        <f aca="false">MONTH(B1477)</f>
        <v>1</v>
      </c>
      <c r="F1477" s="10" t="str">
        <f aca="false">CHOOSE(MOD(A1477-1,5)+1,"Центр","Юг","Север","Запад","Восток")</f>
        <v>Центр</v>
      </c>
      <c r="G1477" s="10" t="str">
        <f aca="false">"Округ_"&amp;(MOD(A1477-1,5)+1)&amp;"_"&amp;(MOD(INT((A1477-1)/5),5)+1)</f>
        <v>Округ_1_1</v>
      </c>
      <c r="H1477" s="10" t="str">
        <f aca="false">"Город_"&amp;(MOD(A1477-1,5)+1)&amp;"_"&amp;(MOD(INT((A1477-1)/5),5)+1)&amp;"_"&amp;(MOD(INT((A1477-1)/25),10)+1)</f>
        <v>Город_1_1_10</v>
      </c>
      <c r="I1477" s="10" t="str">
        <f aca="false">CHOOSE(MOD(A1477-1,4)+1,"Электроника","Одежда","Продукты","Мебель")</f>
        <v>Мебель</v>
      </c>
      <c r="J1477" s="10" t="str">
        <f aca="false">CHOOSE(MOD(INT((A1477-1)/4),4)+1,CHOOSE(MOD(A1477-1,4)+1,"Смартфоны","Ноутбуки","Аксессуары","Аудио"),CHOOSE(MOD(A1477-1,4)+1,"Верхняя одежда","Спортивная","Повседневная","Обувь"),CHOOSE(MOD(A1477-1,4)+1,"Молочные","Мясные","Бакалея","Напитки"),CHOOSE(MOD(A1477-1,4)+1,"Мягкая мебель","Корпусная","Офисная","Кухонная"))</f>
        <v>Аудио</v>
      </c>
      <c r="K1477" s="12" t="n">
        <f aca="false">1000+MOD(A1477*317+A1477*A1477*7,49001)</f>
        <v>38604</v>
      </c>
      <c r="L1477" s="12" t="n">
        <f aca="false">1+MOD(A1477*131,100)</f>
        <v>57</v>
      </c>
      <c r="M1477" s="12" t="n">
        <f aca="false">INT(K1477*(0.6+MOD(A1477*43,21)/100))</f>
        <v>25478</v>
      </c>
      <c r="N1477" s="12" t="n">
        <f aca="false">K1477-M1477</f>
        <v>13126</v>
      </c>
    </row>
    <row r="1478" customFormat="false" ht="12.8" hidden="false" customHeight="false" outlineLevel="0" collapsed="false">
      <c r="A1478" s="10" t="n">
        <f aca="false">A1477+1</f>
        <v>1477</v>
      </c>
      <c r="B1478" s="11" t="n">
        <f aca="false">B1477+1</f>
        <v>46403</v>
      </c>
      <c r="C1478" s="10" t="n">
        <f aca="false">YEAR(B1478)</f>
        <v>2027</v>
      </c>
      <c r="D1478" s="10" t="n">
        <f aca="false">INT((MONTH(B1478)-1)/3)+1</f>
        <v>1</v>
      </c>
      <c r="E1478" s="10" t="n">
        <f aca="false">MONTH(B1478)</f>
        <v>1</v>
      </c>
      <c r="F1478" s="10" t="str">
        <f aca="false">CHOOSE(MOD(A1478-1,5)+1,"Центр","Юг","Север","Запад","Восток")</f>
        <v>Юг</v>
      </c>
      <c r="G1478" s="10" t="str">
        <f aca="false">"Округ_"&amp;(MOD(A1478-1,5)+1)&amp;"_"&amp;(MOD(INT((A1478-1)/5),5)+1)</f>
        <v>Округ_2_1</v>
      </c>
      <c r="H1478" s="10" t="str">
        <f aca="false">"Город_"&amp;(MOD(A1478-1,5)+1)&amp;"_"&amp;(MOD(INT((A1478-1)/5),5)+1)&amp;"_"&amp;(MOD(INT((A1478-1)/25),10)+1)</f>
        <v>Город_2_1_10</v>
      </c>
      <c r="I1478" s="10" t="str">
        <f aca="false">CHOOSE(MOD(A1478-1,4)+1,"Электроника","Одежда","Продукты","Мебель")</f>
        <v>Электроника</v>
      </c>
      <c r="J1478" s="10" t="str">
        <f aca="false">CHOOSE(MOD(INT((A1478-1)/4),4)+1,CHOOSE(MOD(A1478-1,4)+1,"Смартфоны","Ноутбуки","Аксессуары","Аудио"),CHOOSE(MOD(A1478-1,4)+1,"Верхняя одежда","Спортивная","Повседневная","Обувь"),CHOOSE(MOD(A1478-1,4)+1,"Молочные","Мясные","Бакалея","Напитки"),CHOOSE(MOD(A1478-1,4)+1,"Мягкая мебель","Корпусная","Офисная","Кухонная"))</f>
        <v>Верхняя одежда</v>
      </c>
      <c r="K1478" s="12" t="n">
        <f aca="false">1000+MOD(A1478*317+A1478*A1478*7,49001)</f>
        <v>10591</v>
      </c>
      <c r="L1478" s="12" t="n">
        <f aca="false">1+MOD(A1478*131,100)</f>
        <v>88</v>
      </c>
      <c r="M1478" s="12" t="n">
        <f aca="false">INT(K1478*(0.6+MOD(A1478*43,21)/100))</f>
        <v>7095</v>
      </c>
      <c r="N1478" s="12" t="n">
        <f aca="false">K1478-M1478</f>
        <v>3496</v>
      </c>
    </row>
    <row r="1479" customFormat="false" ht="12.8" hidden="false" customHeight="false" outlineLevel="0" collapsed="false">
      <c r="A1479" s="10" t="n">
        <f aca="false">A1478+1</f>
        <v>1478</v>
      </c>
      <c r="B1479" s="11" t="n">
        <f aca="false">B1478+1</f>
        <v>46404</v>
      </c>
      <c r="C1479" s="10" t="n">
        <f aca="false">YEAR(B1479)</f>
        <v>2027</v>
      </c>
      <c r="D1479" s="10" t="n">
        <f aca="false">INT((MONTH(B1479)-1)/3)+1</f>
        <v>1</v>
      </c>
      <c r="E1479" s="10" t="n">
        <f aca="false">MONTH(B1479)</f>
        <v>1</v>
      </c>
      <c r="F1479" s="10" t="str">
        <f aca="false">CHOOSE(MOD(A1479-1,5)+1,"Центр","Юг","Север","Запад","Восток")</f>
        <v>Север</v>
      </c>
      <c r="G1479" s="10" t="str">
        <f aca="false">"Округ_"&amp;(MOD(A1479-1,5)+1)&amp;"_"&amp;(MOD(INT((A1479-1)/5),5)+1)</f>
        <v>Округ_3_1</v>
      </c>
      <c r="H1479" s="10" t="str">
        <f aca="false">"Город_"&amp;(MOD(A1479-1,5)+1)&amp;"_"&amp;(MOD(INT((A1479-1)/5),5)+1)&amp;"_"&amp;(MOD(INT((A1479-1)/25),10)+1)</f>
        <v>Город_3_1_10</v>
      </c>
      <c r="I1479" s="10" t="str">
        <f aca="false">CHOOSE(MOD(A1479-1,4)+1,"Электроника","Одежда","Продукты","Мебель")</f>
        <v>Одежда</v>
      </c>
      <c r="J1479" s="10" t="str">
        <f aca="false">CHOOSE(MOD(INT((A1479-1)/4),4)+1,CHOOSE(MOD(A1479-1,4)+1,"Смартфоны","Ноутбуки","Аксессуары","Аудио"),CHOOSE(MOD(A1479-1,4)+1,"Верхняя одежда","Спортивная","Повседневная","Обувь"),CHOOSE(MOD(A1479-1,4)+1,"Молочные","Мясные","Бакалея","Напитки"),CHOOSE(MOD(A1479-1,4)+1,"Мягкая мебель","Корпусная","Офисная","Кухонная"))</f>
        <v>Спортивная</v>
      </c>
      <c r="K1479" s="12" t="n">
        <f aca="false">1000+MOD(A1479*317+A1479*A1479*7,49001)</f>
        <v>31593</v>
      </c>
      <c r="L1479" s="12" t="n">
        <f aca="false">1+MOD(A1479*131,100)</f>
        <v>19</v>
      </c>
      <c r="M1479" s="12" t="n">
        <f aca="false">INT(K1479*(0.6+MOD(A1479*43,21)/100))</f>
        <v>21483</v>
      </c>
      <c r="N1479" s="12" t="n">
        <f aca="false">K1479-M1479</f>
        <v>10110</v>
      </c>
    </row>
    <row r="1480" customFormat="false" ht="12.8" hidden="false" customHeight="false" outlineLevel="0" collapsed="false">
      <c r="A1480" s="10" t="n">
        <f aca="false">A1479+1</f>
        <v>1479</v>
      </c>
      <c r="B1480" s="11" t="n">
        <f aca="false">B1479+1</f>
        <v>46405</v>
      </c>
      <c r="C1480" s="10" t="n">
        <f aca="false">YEAR(B1480)</f>
        <v>2027</v>
      </c>
      <c r="D1480" s="10" t="n">
        <f aca="false">INT((MONTH(B1480)-1)/3)+1</f>
        <v>1</v>
      </c>
      <c r="E1480" s="10" t="n">
        <f aca="false">MONTH(B1480)</f>
        <v>1</v>
      </c>
      <c r="F1480" s="10" t="str">
        <f aca="false">CHOOSE(MOD(A1480-1,5)+1,"Центр","Юг","Север","Запад","Восток")</f>
        <v>Запад</v>
      </c>
      <c r="G1480" s="10" t="str">
        <f aca="false">"Округ_"&amp;(MOD(A1480-1,5)+1)&amp;"_"&amp;(MOD(INT((A1480-1)/5),5)+1)</f>
        <v>Округ_4_1</v>
      </c>
      <c r="H1480" s="10" t="str">
        <f aca="false">"Город_"&amp;(MOD(A1480-1,5)+1)&amp;"_"&amp;(MOD(INT((A1480-1)/5),5)+1)&amp;"_"&amp;(MOD(INT((A1480-1)/25),10)+1)</f>
        <v>Город_4_1_10</v>
      </c>
      <c r="I1480" s="10" t="str">
        <f aca="false">CHOOSE(MOD(A1480-1,4)+1,"Электроника","Одежда","Продукты","Мебель")</f>
        <v>Продукты</v>
      </c>
      <c r="J1480" s="10" t="str">
        <f aca="false">CHOOSE(MOD(INT((A1480-1)/4),4)+1,CHOOSE(MOD(A1480-1,4)+1,"Смартфоны","Ноутбуки","Аксессуары","Аудио"),CHOOSE(MOD(A1480-1,4)+1,"Верхняя одежда","Спортивная","Повседневная","Обувь"),CHOOSE(MOD(A1480-1,4)+1,"Молочные","Мясные","Бакалея","Напитки"),CHOOSE(MOD(A1480-1,4)+1,"Мягкая мебель","Корпусная","Офисная","Кухонная"))</f>
        <v>Повседневная</v>
      </c>
      <c r="K1480" s="12" t="n">
        <f aca="false">1000+MOD(A1480*317+A1480*A1480*7,49001)</f>
        <v>3608</v>
      </c>
      <c r="L1480" s="12" t="n">
        <f aca="false">1+MOD(A1480*131,100)</f>
        <v>50</v>
      </c>
      <c r="M1480" s="12" t="n">
        <f aca="false">INT(K1480*(0.6+MOD(A1480*43,21)/100))</f>
        <v>2489</v>
      </c>
      <c r="N1480" s="12" t="n">
        <f aca="false">K1480-M1480</f>
        <v>1119</v>
      </c>
    </row>
    <row r="1481" customFormat="false" ht="12.8" hidden="false" customHeight="false" outlineLevel="0" collapsed="false">
      <c r="A1481" s="10" t="n">
        <f aca="false">A1480+1</f>
        <v>1480</v>
      </c>
      <c r="B1481" s="11" t="n">
        <f aca="false">B1480+1</f>
        <v>46406</v>
      </c>
      <c r="C1481" s="10" t="n">
        <f aca="false">YEAR(B1481)</f>
        <v>2027</v>
      </c>
      <c r="D1481" s="10" t="n">
        <f aca="false">INT((MONTH(B1481)-1)/3)+1</f>
        <v>1</v>
      </c>
      <c r="E1481" s="10" t="n">
        <f aca="false">MONTH(B1481)</f>
        <v>1</v>
      </c>
      <c r="F1481" s="10" t="str">
        <f aca="false">CHOOSE(MOD(A1481-1,5)+1,"Центр","Юг","Север","Запад","Восток")</f>
        <v>Восток</v>
      </c>
      <c r="G1481" s="10" t="str">
        <f aca="false">"Округ_"&amp;(MOD(A1481-1,5)+1)&amp;"_"&amp;(MOD(INT((A1481-1)/5),5)+1)</f>
        <v>Округ_5_1</v>
      </c>
      <c r="H1481" s="10" t="str">
        <f aca="false">"Город_"&amp;(MOD(A1481-1,5)+1)&amp;"_"&amp;(MOD(INT((A1481-1)/5),5)+1)&amp;"_"&amp;(MOD(INT((A1481-1)/25),10)+1)</f>
        <v>Город_5_1_10</v>
      </c>
      <c r="I1481" s="10" t="str">
        <f aca="false">CHOOSE(MOD(A1481-1,4)+1,"Электроника","Одежда","Продукты","Мебель")</f>
        <v>Мебель</v>
      </c>
      <c r="J1481" s="10" t="str">
        <f aca="false">CHOOSE(MOD(INT((A1481-1)/4),4)+1,CHOOSE(MOD(A1481-1,4)+1,"Смартфоны","Ноутбуки","Аксессуары","Аудио"),CHOOSE(MOD(A1481-1,4)+1,"Верхняя одежда","Спортивная","Повседневная","Обувь"),CHOOSE(MOD(A1481-1,4)+1,"Молочные","Мясные","Бакалея","Напитки"),CHOOSE(MOD(A1481-1,4)+1,"Мягкая мебель","Корпусная","Офисная","Кухонная"))</f>
        <v>Обувь</v>
      </c>
      <c r="K1481" s="12" t="n">
        <f aca="false">1000+MOD(A1481*317+A1481*A1481*7,49001)</f>
        <v>24638</v>
      </c>
      <c r="L1481" s="12" t="n">
        <f aca="false">1+MOD(A1481*131,100)</f>
        <v>81</v>
      </c>
      <c r="M1481" s="12" t="n">
        <f aca="false">INT(K1481*(0.6+MOD(A1481*43,21)/100))</f>
        <v>17246</v>
      </c>
      <c r="N1481" s="12" t="n">
        <f aca="false">K1481-M1481</f>
        <v>7392</v>
      </c>
    </row>
    <row r="1482" customFormat="false" ht="12.8" hidden="false" customHeight="false" outlineLevel="0" collapsed="false">
      <c r="A1482" s="10" t="n">
        <f aca="false">A1481+1</f>
        <v>1481</v>
      </c>
      <c r="B1482" s="11" t="n">
        <f aca="false">B1481+1</f>
        <v>46407</v>
      </c>
      <c r="C1482" s="10" t="n">
        <f aca="false">YEAR(B1482)</f>
        <v>2027</v>
      </c>
      <c r="D1482" s="10" t="n">
        <f aca="false">INT((MONTH(B1482)-1)/3)+1</f>
        <v>1</v>
      </c>
      <c r="E1482" s="10" t="n">
        <f aca="false">MONTH(B1482)</f>
        <v>1</v>
      </c>
      <c r="F1482" s="10" t="str">
        <f aca="false">CHOOSE(MOD(A1482-1,5)+1,"Центр","Юг","Север","Запад","Восток")</f>
        <v>Центр</v>
      </c>
      <c r="G1482" s="10" t="str">
        <f aca="false">"Округ_"&amp;(MOD(A1482-1,5)+1)&amp;"_"&amp;(MOD(INT((A1482-1)/5),5)+1)</f>
        <v>Округ_1_2</v>
      </c>
      <c r="H1482" s="10" t="str">
        <f aca="false">"Город_"&amp;(MOD(A1482-1,5)+1)&amp;"_"&amp;(MOD(INT((A1482-1)/5),5)+1)&amp;"_"&amp;(MOD(INT((A1482-1)/25),10)+1)</f>
        <v>Город_1_2_10</v>
      </c>
      <c r="I1482" s="10" t="str">
        <f aca="false">CHOOSE(MOD(A1482-1,4)+1,"Электроника","Одежда","Продукты","Мебель")</f>
        <v>Электроника</v>
      </c>
      <c r="J1482" s="10" t="str">
        <f aca="false">CHOOSE(MOD(INT((A1482-1)/4),4)+1,CHOOSE(MOD(A1482-1,4)+1,"Смартфоны","Ноутбуки","Аксессуары","Аудио"),CHOOSE(MOD(A1482-1,4)+1,"Верхняя одежда","Спортивная","Повседневная","Обувь"),CHOOSE(MOD(A1482-1,4)+1,"Молочные","Мясные","Бакалея","Напитки"),CHOOSE(MOD(A1482-1,4)+1,"Мягкая мебель","Корпусная","Офисная","Кухонная"))</f>
        <v>Молочные</v>
      </c>
      <c r="K1482" s="12" t="n">
        <f aca="false">1000+MOD(A1482*317+A1482*A1482*7,49001)</f>
        <v>45682</v>
      </c>
      <c r="L1482" s="12" t="n">
        <f aca="false">1+MOD(A1482*131,100)</f>
        <v>12</v>
      </c>
      <c r="M1482" s="12" t="n">
        <f aca="false">INT(K1482*(0.6+MOD(A1482*43,21)/100))</f>
        <v>32434</v>
      </c>
      <c r="N1482" s="12" t="n">
        <f aca="false">K1482-M1482</f>
        <v>13248</v>
      </c>
    </row>
    <row r="1483" customFormat="false" ht="12.8" hidden="false" customHeight="false" outlineLevel="0" collapsed="false">
      <c r="A1483" s="10" t="n">
        <f aca="false">A1482+1</f>
        <v>1482</v>
      </c>
      <c r="B1483" s="11" t="n">
        <f aca="false">B1482+1</f>
        <v>46408</v>
      </c>
      <c r="C1483" s="10" t="n">
        <f aca="false">YEAR(B1483)</f>
        <v>2027</v>
      </c>
      <c r="D1483" s="10" t="n">
        <f aca="false">INT((MONTH(B1483)-1)/3)+1</f>
        <v>1</v>
      </c>
      <c r="E1483" s="10" t="n">
        <f aca="false">MONTH(B1483)</f>
        <v>1</v>
      </c>
      <c r="F1483" s="10" t="str">
        <f aca="false">CHOOSE(MOD(A1483-1,5)+1,"Центр","Юг","Север","Запад","Восток")</f>
        <v>Юг</v>
      </c>
      <c r="G1483" s="10" t="str">
        <f aca="false">"Округ_"&amp;(MOD(A1483-1,5)+1)&amp;"_"&amp;(MOD(INT((A1483-1)/5),5)+1)</f>
        <v>Округ_2_2</v>
      </c>
      <c r="H1483" s="10" t="str">
        <f aca="false">"Город_"&amp;(MOD(A1483-1,5)+1)&amp;"_"&amp;(MOD(INT((A1483-1)/5),5)+1)&amp;"_"&amp;(MOD(INT((A1483-1)/25),10)+1)</f>
        <v>Город_2_2_10</v>
      </c>
      <c r="I1483" s="10" t="str">
        <f aca="false">CHOOSE(MOD(A1483-1,4)+1,"Электроника","Одежда","Продукты","Мебель")</f>
        <v>Одежда</v>
      </c>
      <c r="J1483" s="10" t="str">
        <f aca="false">CHOOSE(MOD(INT((A1483-1)/4),4)+1,CHOOSE(MOD(A1483-1,4)+1,"Смартфоны","Ноутбуки","Аксессуары","Аудио"),CHOOSE(MOD(A1483-1,4)+1,"Верхняя одежда","Спортивная","Повседневная","Обувь"),CHOOSE(MOD(A1483-1,4)+1,"Молочные","Мясные","Бакалея","Напитки"),CHOOSE(MOD(A1483-1,4)+1,"Мягкая мебель","Корпусная","Офисная","Кухонная"))</f>
        <v>Мясные</v>
      </c>
      <c r="K1483" s="12" t="n">
        <f aca="false">1000+MOD(A1483*317+A1483*A1483*7,49001)</f>
        <v>17739</v>
      </c>
      <c r="L1483" s="12" t="n">
        <f aca="false">1+MOD(A1483*131,100)</f>
        <v>43</v>
      </c>
      <c r="M1483" s="12" t="n">
        <f aca="false">INT(K1483*(0.6+MOD(A1483*43,21)/100))</f>
        <v>12772</v>
      </c>
      <c r="N1483" s="12" t="n">
        <f aca="false">K1483-M1483</f>
        <v>4967</v>
      </c>
    </row>
    <row r="1484" customFormat="false" ht="12.8" hidden="false" customHeight="false" outlineLevel="0" collapsed="false">
      <c r="A1484" s="10" t="n">
        <f aca="false">A1483+1</f>
        <v>1483</v>
      </c>
      <c r="B1484" s="11" t="n">
        <f aca="false">B1483+1</f>
        <v>46409</v>
      </c>
      <c r="C1484" s="10" t="n">
        <f aca="false">YEAR(B1484)</f>
        <v>2027</v>
      </c>
      <c r="D1484" s="10" t="n">
        <f aca="false">INT((MONTH(B1484)-1)/3)+1</f>
        <v>1</v>
      </c>
      <c r="E1484" s="10" t="n">
        <f aca="false">MONTH(B1484)</f>
        <v>1</v>
      </c>
      <c r="F1484" s="10" t="str">
        <f aca="false">CHOOSE(MOD(A1484-1,5)+1,"Центр","Юг","Север","Запад","Восток")</f>
        <v>Север</v>
      </c>
      <c r="G1484" s="10" t="str">
        <f aca="false">"Округ_"&amp;(MOD(A1484-1,5)+1)&amp;"_"&amp;(MOD(INT((A1484-1)/5),5)+1)</f>
        <v>Округ_3_2</v>
      </c>
      <c r="H1484" s="10" t="str">
        <f aca="false">"Город_"&amp;(MOD(A1484-1,5)+1)&amp;"_"&amp;(MOD(INT((A1484-1)/5),5)+1)&amp;"_"&amp;(MOD(INT((A1484-1)/25),10)+1)</f>
        <v>Город_3_2_10</v>
      </c>
      <c r="I1484" s="10" t="str">
        <f aca="false">CHOOSE(MOD(A1484-1,4)+1,"Электроника","Одежда","Продукты","Мебель")</f>
        <v>Продукты</v>
      </c>
      <c r="J1484" s="10" t="str">
        <f aca="false">CHOOSE(MOD(INT((A1484-1)/4),4)+1,CHOOSE(MOD(A1484-1,4)+1,"Смартфоны","Ноутбуки","Аксессуары","Аудио"),CHOOSE(MOD(A1484-1,4)+1,"Верхняя одежда","Спортивная","Повседневная","Обувь"),CHOOSE(MOD(A1484-1,4)+1,"Молочные","Мясные","Бакалея","Напитки"),CHOOSE(MOD(A1484-1,4)+1,"Мягкая мебель","Корпусная","Офисная","Кухонная"))</f>
        <v>Бакалея</v>
      </c>
      <c r="K1484" s="12" t="n">
        <f aca="false">1000+MOD(A1484*317+A1484*A1484*7,49001)</f>
        <v>38811</v>
      </c>
      <c r="L1484" s="12" t="n">
        <f aca="false">1+MOD(A1484*131,100)</f>
        <v>74</v>
      </c>
      <c r="M1484" s="12" t="n">
        <f aca="false">INT(K1484*(0.6+MOD(A1484*43,21)/100))</f>
        <v>28332</v>
      </c>
      <c r="N1484" s="12" t="n">
        <f aca="false">K1484-M1484</f>
        <v>10479</v>
      </c>
    </row>
    <row r="1485" customFormat="false" ht="12.8" hidden="false" customHeight="false" outlineLevel="0" collapsed="false">
      <c r="A1485" s="10" t="n">
        <f aca="false">A1484+1</f>
        <v>1484</v>
      </c>
      <c r="B1485" s="11" t="n">
        <f aca="false">B1484+1</f>
        <v>46410</v>
      </c>
      <c r="C1485" s="10" t="n">
        <f aca="false">YEAR(B1485)</f>
        <v>2027</v>
      </c>
      <c r="D1485" s="10" t="n">
        <f aca="false">INT((MONTH(B1485)-1)/3)+1</f>
        <v>1</v>
      </c>
      <c r="E1485" s="10" t="n">
        <f aca="false">MONTH(B1485)</f>
        <v>1</v>
      </c>
      <c r="F1485" s="10" t="str">
        <f aca="false">CHOOSE(MOD(A1485-1,5)+1,"Центр","Юг","Север","Запад","Восток")</f>
        <v>Запад</v>
      </c>
      <c r="G1485" s="10" t="str">
        <f aca="false">"Округ_"&amp;(MOD(A1485-1,5)+1)&amp;"_"&amp;(MOD(INT((A1485-1)/5),5)+1)</f>
        <v>Округ_4_2</v>
      </c>
      <c r="H1485" s="10" t="str">
        <f aca="false">"Город_"&amp;(MOD(A1485-1,5)+1)&amp;"_"&amp;(MOD(INT((A1485-1)/5),5)+1)&amp;"_"&amp;(MOD(INT((A1485-1)/25),10)+1)</f>
        <v>Город_4_2_10</v>
      </c>
      <c r="I1485" s="10" t="str">
        <f aca="false">CHOOSE(MOD(A1485-1,4)+1,"Электроника","Одежда","Продукты","Мебель")</f>
        <v>Мебель</v>
      </c>
      <c r="J1485" s="10" t="str">
        <f aca="false">CHOOSE(MOD(INT((A1485-1)/4),4)+1,CHOOSE(MOD(A1485-1,4)+1,"Смартфоны","Ноутбуки","Аксессуары","Аудио"),CHOOSE(MOD(A1485-1,4)+1,"Верхняя одежда","Спортивная","Повседневная","Обувь"),CHOOSE(MOD(A1485-1,4)+1,"Молочные","Мясные","Бакалея","Напитки"),CHOOSE(MOD(A1485-1,4)+1,"Мягкая мебель","Корпусная","Офисная","Кухонная"))</f>
        <v>Напитки</v>
      </c>
      <c r="K1485" s="12" t="n">
        <f aca="false">1000+MOD(A1485*317+A1485*A1485*7,49001)</f>
        <v>10896</v>
      </c>
      <c r="L1485" s="12" t="n">
        <f aca="false">1+MOD(A1485*131,100)</f>
        <v>5</v>
      </c>
      <c r="M1485" s="12" t="n">
        <f aca="false">INT(K1485*(0.6+MOD(A1485*43,21)/100))</f>
        <v>8063</v>
      </c>
      <c r="N1485" s="12" t="n">
        <f aca="false">K1485-M1485</f>
        <v>2833</v>
      </c>
    </row>
    <row r="1486" customFormat="false" ht="12.8" hidden="false" customHeight="false" outlineLevel="0" collapsed="false">
      <c r="A1486" s="10" t="n">
        <f aca="false">A1485+1</f>
        <v>1485</v>
      </c>
      <c r="B1486" s="11" t="n">
        <f aca="false">B1485+1</f>
        <v>46411</v>
      </c>
      <c r="C1486" s="10" t="n">
        <f aca="false">YEAR(B1486)</f>
        <v>2027</v>
      </c>
      <c r="D1486" s="10" t="n">
        <f aca="false">INT((MONTH(B1486)-1)/3)+1</f>
        <v>1</v>
      </c>
      <c r="E1486" s="10" t="n">
        <f aca="false">MONTH(B1486)</f>
        <v>1</v>
      </c>
      <c r="F1486" s="10" t="str">
        <f aca="false">CHOOSE(MOD(A1486-1,5)+1,"Центр","Юг","Север","Запад","Восток")</f>
        <v>Восток</v>
      </c>
      <c r="G1486" s="10" t="str">
        <f aca="false">"Округ_"&amp;(MOD(A1486-1,5)+1)&amp;"_"&amp;(MOD(INT((A1486-1)/5),5)+1)</f>
        <v>Округ_5_2</v>
      </c>
      <c r="H1486" s="10" t="str">
        <f aca="false">"Город_"&amp;(MOD(A1486-1,5)+1)&amp;"_"&amp;(MOD(INT((A1486-1)/5),5)+1)&amp;"_"&amp;(MOD(INT((A1486-1)/25),10)+1)</f>
        <v>Город_5_2_10</v>
      </c>
      <c r="I1486" s="10" t="str">
        <f aca="false">CHOOSE(MOD(A1486-1,4)+1,"Электроника","Одежда","Продукты","Мебель")</f>
        <v>Электроника</v>
      </c>
      <c r="J1486" s="10" t="str">
        <f aca="false">CHOOSE(MOD(INT((A1486-1)/4),4)+1,CHOOSE(MOD(A1486-1,4)+1,"Смартфоны","Ноутбуки","Аксессуары","Аудио"),CHOOSE(MOD(A1486-1,4)+1,"Верхняя одежда","Спортивная","Повседневная","Обувь"),CHOOSE(MOD(A1486-1,4)+1,"Молочные","Мясные","Бакалея","Напитки"),CHOOSE(MOD(A1486-1,4)+1,"Мягкая мебель","Корпусная","Офисная","Кухонная"))</f>
        <v>Мягкая мебель</v>
      </c>
      <c r="K1486" s="12" t="n">
        <f aca="false">1000+MOD(A1486*317+A1486*A1486*7,49001)</f>
        <v>31996</v>
      </c>
      <c r="L1486" s="12" t="n">
        <f aca="false">1+MOD(A1486*131,100)</f>
        <v>36</v>
      </c>
      <c r="M1486" s="12" t="n">
        <f aca="false">INT(K1486*(0.6+MOD(A1486*43,21)/100))</f>
        <v>23997</v>
      </c>
      <c r="N1486" s="12" t="n">
        <f aca="false">K1486-M1486</f>
        <v>7999</v>
      </c>
    </row>
    <row r="1487" customFormat="false" ht="12.8" hidden="false" customHeight="false" outlineLevel="0" collapsed="false">
      <c r="A1487" s="10" t="n">
        <f aca="false">A1486+1</f>
        <v>1486</v>
      </c>
      <c r="B1487" s="11" t="n">
        <f aca="false">B1486+1</f>
        <v>46412</v>
      </c>
      <c r="C1487" s="10" t="n">
        <f aca="false">YEAR(B1487)</f>
        <v>2027</v>
      </c>
      <c r="D1487" s="10" t="n">
        <f aca="false">INT((MONTH(B1487)-1)/3)+1</f>
        <v>1</v>
      </c>
      <c r="E1487" s="10" t="n">
        <f aca="false">MONTH(B1487)</f>
        <v>1</v>
      </c>
      <c r="F1487" s="10" t="str">
        <f aca="false">CHOOSE(MOD(A1487-1,5)+1,"Центр","Юг","Север","Запад","Восток")</f>
        <v>Центр</v>
      </c>
      <c r="G1487" s="10" t="str">
        <f aca="false">"Округ_"&amp;(MOD(A1487-1,5)+1)&amp;"_"&amp;(MOD(INT((A1487-1)/5),5)+1)</f>
        <v>Округ_1_3</v>
      </c>
      <c r="H1487" s="10" t="str">
        <f aca="false">"Город_"&amp;(MOD(A1487-1,5)+1)&amp;"_"&amp;(MOD(INT((A1487-1)/5),5)+1)&amp;"_"&amp;(MOD(INT((A1487-1)/25),10)+1)</f>
        <v>Город_1_3_10</v>
      </c>
      <c r="I1487" s="10" t="str">
        <f aca="false">CHOOSE(MOD(A1487-1,4)+1,"Электроника","Одежда","Продукты","Мебель")</f>
        <v>Одежда</v>
      </c>
      <c r="J1487" s="10" t="str">
        <f aca="false">CHOOSE(MOD(INT((A1487-1)/4),4)+1,CHOOSE(MOD(A1487-1,4)+1,"Смартфоны","Ноутбуки","Аксессуары","Аудио"),CHOOSE(MOD(A1487-1,4)+1,"Верхняя одежда","Спортивная","Повседневная","Обувь"),CHOOSE(MOD(A1487-1,4)+1,"Молочные","Мясные","Бакалея","Напитки"),CHOOSE(MOD(A1487-1,4)+1,"Мягкая мебель","Корпусная","Офисная","Кухонная"))</f>
        <v>Корпусная</v>
      </c>
      <c r="K1487" s="12" t="n">
        <f aca="false">1000+MOD(A1487*317+A1487*A1487*7,49001)</f>
        <v>4109</v>
      </c>
      <c r="L1487" s="12" t="n">
        <f aca="false">1+MOD(A1487*131,100)</f>
        <v>67</v>
      </c>
      <c r="M1487" s="12" t="n">
        <f aca="false">INT(K1487*(0.6+MOD(A1487*43,21)/100))</f>
        <v>3122</v>
      </c>
      <c r="N1487" s="12" t="n">
        <f aca="false">K1487-M1487</f>
        <v>987</v>
      </c>
    </row>
    <row r="1488" customFormat="false" ht="12.8" hidden="false" customHeight="false" outlineLevel="0" collapsed="false">
      <c r="A1488" s="10" t="n">
        <f aca="false">A1487+1</f>
        <v>1487</v>
      </c>
      <c r="B1488" s="11" t="n">
        <f aca="false">B1487+1</f>
        <v>46413</v>
      </c>
      <c r="C1488" s="10" t="n">
        <f aca="false">YEAR(B1488)</f>
        <v>2027</v>
      </c>
      <c r="D1488" s="10" t="n">
        <f aca="false">INT((MONTH(B1488)-1)/3)+1</f>
        <v>1</v>
      </c>
      <c r="E1488" s="10" t="n">
        <f aca="false">MONTH(B1488)</f>
        <v>1</v>
      </c>
      <c r="F1488" s="10" t="str">
        <f aca="false">CHOOSE(MOD(A1488-1,5)+1,"Центр","Юг","Север","Запад","Восток")</f>
        <v>Юг</v>
      </c>
      <c r="G1488" s="10" t="str">
        <f aca="false">"Округ_"&amp;(MOD(A1488-1,5)+1)&amp;"_"&amp;(MOD(INT((A1488-1)/5),5)+1)</f>
        <v>Округ_2_3</v>
      </c>
      <c r="H1488" s="10" t="str">
        <f aca="false">"Город_"&amp;(MOD(A1488-1,5)+1)&amp;"_"&amp;(MOD(INT((A1488-1)/5),5)+1)&amp;"_"&amp;(MOD(INT((A1488-1)/25),10)+1)</f>
        <v>Город_2_3_10</v>
      </c>
      <c r="I1488" s="10" t="str">
        <f aca="false">CHOOSE(MOD(A1488-1,4)+1,"Электроника","Одежда","Продукты","Мебель")</f>
        <v>Продукты</v>
      </c>
      <c r="J1488" s="10" t="str">
        <f aca="false">CHOOSE(MOD(INT((A1488-1)/4),4)+1,CHOOSE(MOD(A1488-1,4)+1,"Смартфоны","Ноутбуки","Аксессуары","Аудио"),CHOOSE(MOD(A1488-1,4)+1,"Верхняя одежда","Спортивная","Повседневная","Обувь"),CHOOSE(MOD(A1488-1,4)+1,"Молочные","Мясные","Бакалея","Напитки"),CHOOSE(MOD(A1488-1,4)+1,"Мягкая мебель","Корпусная","Офисная","Кухонная"))</f>
        <v>Офисная</v>
      </c>
      <c r="K1488" s="12" t="n">
        <f aca="false">1000+MOD(A1488*317+A1488*A1488*7,49001)</f>
        <v>25237</v>
      </c>
      <c r="L1488" s="12" t="n">
        <f aca="false">1+MOD(A1488*131,100)</f>
        <v>98</v>
      </c>
      <c r="M1488" s="12" t="n">
        <f aca="false">INT(K1488*(0.6+MOD(A1488*43,21)/100))</f>
        <v>19432</v>
      </c>
      <c r="N1488" s="12" t="n">
        <f aca="false">K1488-M1488</f>
        <v>5805</v>
      </c>
    </row>
    <row r="1489" customFormat="false" ht="12.8" hidden="false" customHeight="false" outlineLevel="0" collapsed="false">
      <c r="A1489" s="10" t="n">
        <f aca="false">A1488+1</f>
        <v>1488</v>
      </c>
      <c r="B1489" s="11" t="n">
        <f aca="false">B1488+1</f>
        <v>46414</v>
      </c>
      <c r="C1489" s="10" t="n">
        <f aca="false">YEAR(B1489)</f>
        <v>2027</v>
      </c>
      <c r="D1489" s="10" t="n">
        <f aca="false">INT((MONTH(B1489)-1)/3)+1</f>
        <v>1</v>
      </c>
      <c r="E1489" s="10" t="n">
        <f aca="false">MONTH(B1489)</f>
        <v>1</v>
      </c>
      <c r="F1489" s="10" t="str">
        <f aca="false">CHOOSE(MOD(A1489-1,5)+1,"Центр","Юг","Север","Запад","Восток")</f>
        <v>Север</v>
      </c>
      <c r="G1489" s="10" t="str">
        <f aca="false">"Округ_"&amp;(MOD(A1489-1,5)+1)&amp;"_"&amp;(MOD(INT((A1489-1)/5),5)+1)</f>
        <v>Округ_3_3</v>
      </c>
      <c r="H1489" s="10" t="str">
        <f aca="false">"Город_"&amp;(MOD(A1489-1,5)+1)&amp;"_"&amp;(MOD(INT((A1489-1)/5),5)+1)&amp;"_"&amp;(MOD(INT((A1489-1)/25),10)+1)</f>
        <v>Город_3_3_10</v>
      </c>
      <c r="I1489" s="10" t="str">
        <f aca="false">CHOOSE(MOD(A1489-1,4)+1,"Электроника","Одежда","Продукты","Мебель")</f>
        <v>Мебель</v>
      </c>
      <c r="J1489" s="10" t="str">
        <f aca="false">CHOOSE(MOD(INT((A1489-1)/4),4)+1,CHOOSE(MOD(A1489-1,4)+1,"Смартфоны","Ноутбуки","Аксессуары","Аудио"),CHOOSE(MOD(A1489-1,4)+1,"Верхняя одежда","Спортивная","Повседневная","Обувь"),CHOOSE(MOD(A1489-1,4)+1,"Молочные","Мясные","Бакалея","Напитки"),CHOOSE(MOD(A1489-1,4)+1,"Мягкая мебель","Корпусная","Офисная","Кухонная"))</f>
        <v>Кухонная</v>
      </c>
      <c r="K1489" s="12" t="n">
        <f aca="false">1000+MOD(A1489*317+A1489*A1489*7,49001)</f>
        <v>46379</v>
      </c>
      <c r="L1489" s="12" t="n">
        <f aca="false">1+MOD(A1489*131,100)</f>
        <v>29</v>
      </c>
      <c r="M1489" s="12" t="n">
        <f aca="false">INT(K1489*(0.6+MOD(A1489*43,21)/100))</f>
        <v>36175</v>
      </c>
      <c r="N1489" s="12" t="n">
        <f aca="false">K1489-M1489</f>
        <v>10204</v>
      </c>
    </row>
    <row r="1490" customFormat="false" ht="12.8" hidden="false" customHeight="false" outlineLevel="0" collapsed="false">
      <c r="A1490" s="10" t="n">
        <f aca="false">A1489+1</f>
        <v>1489</v>
      </c>
      <c r="B1490" s="11" t="n">
        <f aca="false">B1489+1</f>
        <v>46415</v>
      </c>
      <c r="C1490" s="10" t="n">
        <f aca="false">YEAR(B1490)</f>
        <v>2027</v>
      </c>
      <c r="D1490" s="10" t="n">
        <f aca="false">INT((MONTH(B1490)-1)/3)+1</f>
        <v>1</v>
      </c>
      <c r="E1490" s="10" t="n">
        <f aca="false">MONTH(B1490)</f>
        <v>1</v>
      </c>
      <c r="F1490" s="10" t="str">
        <f aca="false">CHOOSE(MOD(A1490-1,5)+1,"Центр","Юг","Север","Запад","Восток")</f>
        <v>Запад</v>
      </c>
      <c r="G1490" s="10" t="str">
        <f aca="false">"Округ_"&amp;(MOD(A1490-1,5)+1)&amp;"_"&amp;(MOD(INT((A1490-1)/5),5)+1)</f>
        <v>Округ_4_3</v>
      </c>
      <c r="H1490" s="10" t="str">
        <f aca="false">"Город_"&amp;(MOD(A1490-1,5)+1)&amp;"_"&amp;(MOD(INT((A1490-1)/5),5)+1)&amp;"_"&amp;(MOD(INT((A1490-1)/25),10)+1)</f>
        <v>Город_4_3_10</v>
      </c>
      <c r="I1490" s="10" t="str">
        <f aca="false">CHOOSE(MOD(A1490-1,4)+1,"Электроника","Одежда","Продукты","Мебель")</f>
        <v>Электроника</v>
      </c>
      <c r="J1490" s="10" t="str">
        <f aca="false">CHOOSE(MOD(INT((A1490-1)/4),4)+1,CHOOSE(MOD(A1490-1,4)+1,"Смартфоны","Ноутбуки","Аксессуары","Аудио"),CHOOSE(MOD(A1490-1,4)+1,"Верхняя одежда","Спортивная","Повседневная","Обувь"),CHOOSE(MOD(A1490-1,4)+1,"Молочные","Мясные","Бакалея","Напитки"),CHOOSE(MOD(A1490-1,4)+1,"Мягкая мебель","Корпусная","Офисная","Кухонная"))</f>
        <v>Смартфоны</v>
      </c>
      <c r="K1490" s="12" t="n">
        <f aca="false">1000+MOD(A1490*317+A1490*A1490*7,49001)</f>
        <v>18534</v>
      </c>
      <c r="L1490" s="12" t="n">
        <f aca="false">1+MOD(A1490*131,100)</f>
        <v>60</v>
      </c>
      <c r="M1490" s="12" t="n">
        <f aca="false">INT(K1490*(0.6+MOD(A1490*43,21)/100))</f>
        <v>14641</v>
      </c>
      <c r="N1490" s="12" t="n">
        <f aca="false">K1490-M1490</f>
        <v>3893</v>
      </c>
    </row>
    <row r="1491" customFormat="false" ht="12.8" hidden="false" customHeight="false" outlineLevel="0" collapsed="false">
      <c r="A1491" s="10" t="n">
        <f aca="false">A1490+1</f>
        <v>1490</v>
      </c>
      <c r="B1491" s="11" t="n">
        <f aca="false">B1490+1</f>
        <v>46416</v>
      </c>
      <c r="C1491" s="10" t="n">
        <f aca="false">YEAR(B1491)</f>
        <v>2027</v>
      </c>
      <c r="D1491" s="10" t="n">
        <f aca="false">INT((MONTH(B1491)-1)/3)+1</f>
        <v>1</v>
      </c>
      <c r="E1491" s="10" t="n">
        <f aca="false">MONTH(B1491)</f>
        <v>1</v>
      </c>
      <c r="F1491" s="10" t="str">
        <f aca="false">CHOOSE(MOD(A1491-1,5)+1,"Центр","Юг","Север","Запад","Восток")</f>
        <v>Восток</v>
      </c>
      <c r="G1491" s="10" t="str">
        <f aca="false">"Округ_"&amp;(MOD(A1491-1,5)+1)&amp;"_"&amp;(MOD(INT((A1491-1)/5),5)+1)</f>
        <v>Округ_5_3</v>
      </c>
      <c r="H1491" s="10" t="str">
        <f aca="false">"Город_"&amp;(MOD(A1491-1,5)+1)&amp;"_"&amp;(MOD(INT((A1491-1)/5),5)+1)&amp;"_"&amp;(MOD(INT((A1491-1)/25),10)+1)</f>
        <v>Город_5_3_10</v>
      </c>
      <c r="I1491" s="10" t="str">
        <f aca="false">CHOOSE(MOD(A1491-1,4)+1,"Электроника","Одежда","Продукты","Мебель")</f>
        <v>Одежда</v>
      </c>
      <c r="J1491" s="10" t="str">
        <f aca="false">CHOOSE(MOD(INT((A1491-1)/4),4)+1,CHOOSE(MOD(A1491-1,4)+1,"Смартфоны","Ноутбуки","Аксессуары","Аудио"),CHOOSE(MOD(A1491-1,4)+1,"Верхняя одежда","Спортивная","Повседневная","Обувь"),CHOOSE(MOD(A1491-1,4)+1,"Молочные","Мясные","Бакалея","Напитки"),CHOOSE(MOD(A1491-1,4)+1,"Мягкая мебель","Корпусная","Офисная","Кухонная"))</f>
        <v>Ноутбуки</v>
      </c>
      <c r="K1491" s="12" t="n">
        <f aca="false">1000+MOD(A1491*317+A1491*A1491*7,49001)</f>
        <v>39704</v>
      </c>
      <c r="L1491" s="12" t="n">
        <f aca="false">1+MOD(A1491*131,100)</f>
        <v>91</v>
      </c>
      <c r="M1491" s="12" t="n">
        <f aca="false">INT(K1491*(0.6+MOD(A1491*43,21)/100))</f>
        <v>31763</v>
      </c>
      <c r="N1491" s="12" t="n">
        <f aca="false">K1491-M1491</f>
        <v>7941</v>
      </c>
    </row>
    <row r="1492" customFormat="false" ht="12.8" hidden="false" customHeight="false" outlineLevel="0" collapsed="false">
      <c r="A1492" s="10" t="n">
        <f aca="false">A1491+1</f>
        <v>1491</v>
      </c>
      <c r="B1492" s="11" t="n">
        <f aca="false">B1491+1</f>
        <v>46417</v>
      </c>
      <c r="C1492" s="10" t="n">
        <f aca="false">YEAR(B1492)</f>
        <v>2027</v>
      </c>
      <c r="D1492" s="10" t="n">
        <f aca="false">INT((MONTH(B1492)-1)/3)+1</f>
        <v>1</v>
      </c>
      <c r="E1492" s="10" t="n">
        <f aca="false">MONTH(B1492)</f>
        <v>1</v>
      </c>
      <c r="F1492" s="10" t="str">
        <f aca="false">CHOOSE(MOD(A1492-1,5)+1,"Центр","Юг","Север","Запад","Восток")</f>
        <v>Центр</v>
      </c>
      <c r="G1492" s="10" t="str">
        <f aca="false">"Округ_"&amp;(MOD(A1492-1,5)+1)&amp;"_"&amp;(MOD(INT((A1492-1)/5),5)+1)</f>
        <v>Округ_1_4</v>
      </c>
      <c r="H1492" s="10" t="str">
        <f aca="false">"Город_"&amp;(MOD(A1492-1,5)+1)&amp;"_"&amp;(MOD(INT((A1492-1)/5),5)+1)&amp;"_"&amp;(MOD(INT((A1492-1)/25),10)+1)</f>
        <v>Город_1_4_10</v>
      </c>
      <c r="I1492" s="10" t="str">
        <f aca="false">CHOOSE(MOD(A1492-1,4)+1,"Электроника","Одежда","Продукты","Мебель")</f>
        <v>Продукты</v>
      </c>
      <c r="J1492" s="10" t="str">
        <f aca="false">CHOOSE(MOD(INT((A1492-1)/4),4)+1,CHOOSE(MOD(A1492-1,4)+1,"Смартфоны","Ноутбуки","Аксессуары","Аудио"),CHOOSE(MOD(A1492-1,4)+1,"Верхняя одежда","Спортивная","Повседневная","Обувь"),CHOOSE(MOD(A1492-1,4)+1,"Молочные","Мясные","Бакалея","Напитки"),CHOOSE(MOD(A1492-1,4)+1,"Мягкая мебель","Корпусная","Офисная","Кухонная"))</f>
        <v>Аксессуары</v>
      </c>
      <c r="K1492" s="12" t="n">
        <f aca="false">1000+MOD(A1492*317+A1492*A1492*7,49001)</f>
        <v>11887</v>
      </c>
      <c r="L1492" s="12" t="n">
        <f aca="false">1+MOD(A1492*131,100)</f>
        <v>22</v>
      </c>
      <c r="M1492" s="12" t="n">
        <f aca="false">INT(K1492*(0.6+MOD(A1492*43,21)/100))</f>
        <v>7132</v>
      </c>
      <c r="N1492" s="12" t="n">
        <f aca="false">K1492-M1492</f>
        <v>4755</v>
      </c>
    </row>
    <row r="1493" customFormat="false" ht="12.8" hidden="false" customHeight="false" outlineLevel="0" collapsed="false">
      <c r="A1493" s="10" t="n">
        <f aca="false">A1492+1</f>
        <v>1492</v>
      </c>
      <c r="B1493" s="11" t="n">
        <f aca="false">B1492+1</f>
        <v>46418</v>
      </c>
      <c r="C1493" s="10" t="n">
        <f aca="false">YEAR(B1493)</f>
        <v>2027</v>
      </c>
      <c r="D1493" s="10" t="n">
        <f aca="false">INT((MONTH(B1493)-1)/3)+1</f>
        <v>1</v>
      </c>
      <c r="E1493" s="10" t="n">
        <f aca="false">MONTH(B1493)</f>
        <v>1</v>
      </c>
      <c r="F1493" s="10" t="str">
        <f aca="false">CHOOSE(MOD(A1493-1,5)+1,"Центр","Юг","Север","Запад","Восток")</f>
        <v>Юг</v>
      </c>
      <c r="G1493" s="10" t="str">
        <f aca="false">"Округ_"&amp;(MOD(A1493-1,5)+1)&amp;"_"&amp;(MOD(INT((A1493-1)/5),5)+1)</f>
        <v>Округ_2_4</v>
      </c>
      <c r="H1493" s="10" t="str">
        <f aca="false">"Город_"&amp;(MOD(A1493-1,5)+1)&amp;"_"&amp;(MOD(INT((A1493-1)/5),5)+1)&amp;"_"&amp;(MOD(INT((A1493-1)/25),10)+1)</f>
        <v>Город_2_4_10</v>
      </c>
      <c r="I1493" s="10" t="str">
        <f aca="false">CHOOSE(MOD(A1493-1,4)+1,"Электроника","Одежда","Продукты","Мебель")</f>
        <v>Мебель</v>
      </c>
      <c r="J1493" s="10" t="str">
        <f aca="false">CHOOSE(MOD(INT((A1493-1)/4),4)+1,CHOOSE(MOD(A1493-1,4)+1,"Смартфоны","Ноутбуки","Аксессуары","Аудио"),CHOOSE(MOD(A1493-1,4)+1,"Верхняя одежда","Спортивная","Повседневная","Обувь"),CHOOSE(MOD(A1493-1,4)+1,"Молочные","Мясные","Бакалея","Напитки"),CHOOSE(MOD(A1493-1,4)+1,"Мягкая мебель","Корпусная","Офисная","Кухонная"))</f>
        <v>Аудио</v>
      </c>
      <c r="K1493" s="12" t="n">
        <f aca="false">1000+MOD(A1493*317+A1493*A1493*7,49001)</f>
        <v>33085</v>
      </c>
      <c r="L1493" s="12" t="n">
        <f aca="false">1+MOD(A1493*131,100)</f>
        <v>53</v>
      </c>
      <c r="M1493" s="12" t="n">
        <f aca="false">INT(K1493*(0.6+MOD(A1493*43,21)/100))</f>
        <v>20181</v>
      </c>
      <c r="N1493" s="12" t="n">
        <f aca="false">K1493-M1493</f>
        <v>12904</v>
      </c>
    </row>
    <row r="1494" customFormat="false" ht="12.8" hidden="false" customHeight="false" outlineLevel="0" collapsed="false">
      <c r="A1494" s="10" t="n">
        <f aca="false">A1493+1</f>
        <v>1493</v>
      </c>
      <c r="B1494" s="11" t="n">
        <f aca="false">B1493+1</f>
        <v>46419</v>
      </c>
      <c r="C1494" s="10" t="n">
        <f aca="false">YEAR(B1494)</f>
        <v>2027</v>
      </c>
      <c r="D1494" s="10" t="n">
        <f aca="false">INT((MONTH(B1494)-1)/3)+1</f>
        <v>1</v>
      </c>
      <c r="E1494" s="10" t="n">
        <f aca="false">MONTH(B1494)</f>
        <v>2</v>
      </c>
      <c r="F1494" s="10" t="str">
        <f aca="false">CHOOSE(MOD(A1494-1,5)+1,"Центр","Юг","Север","Запад","Восток")</f>
        <v>Север</v>
      </c>
      <c r="G1494" s="10" t="str">
        <f aca="false">"Округ_"&amp;(MOD(A1494-1,5)+1)&amp;"_"&amp;(MOD(INT((A1494-1)/5),5)+1)</f>
        <v>Округ_3_4</v>
      </c>
      <c r="H1494" s="10" t="str">
        <f aca="false">"Город_"&amp;(MOD(A1494-1,5)+1)&amp;"_"&amp;(MOD(INT((A1494-1)/5),5)+1)&amp;"_"&amp;(MOD(INT((A1494-1)/25),10)+1)</f>
        <v>Город_3_4_10</v>
      </c>
      <c r="I1494" s="10" t="str">
        <f aca="false">CHOOSE(MOD(A1494-1,4)+1,"Электроника","Одежда","Продукты","Мебель")</f>
        <v>Электроника</v>
      </c>
      <c r="J1494" s="10" t="str">
        <f aca="false">CHOOSE(MOD(INT((A1494-1)/4),4)+1,CHOOSE(MOD(A1494-1,4)+1,"Смартфоны","Ноутбуки","Аксессуары","Аудио"),CHOOSE(MOD(A1494-1,4)+1,"Верхняя одежда","Спортивная","Повседневная","Обувь"),CHOOSE(MOD(A1494-1,4)+1,"Молочные","Мясные","Бакалея","Напитки"),CHOOSE(MOD(A1494-1,4)+1,"Мягкая мебель","Корпусная","Офисная","Кухонная"))</f>
        <v>Верхняя одежда</v>
      </c>
      <c r="K1494" s="12" t="n">
        <f aca="false">1000+MOD(A1494*317+A1494*A1494*7,49001)</f>
        <v>5296</v>
      </c>
      <c r="L1494" s="12" t="n">
        <f aca="false">1+MOD(A1494*131,100)</f>
        <v>84</v>
      </c>
      <c r="M1494" s="12" t="n">
        <f aca="false">INT(K1494*(0.6+MOD(A1494*43,21)/100))</f>
        <v>3283</v>
      </c>
      <c r="N1494" s="12" t="n">
        <f aca="false">K1494-M1494</f>
        <v>2013</v>
      </c>
    </row>
    <row r="1495" customFormat="false" ht="12.8" hidden="false" customHeight="false" outlineLevel="0" collapsed="false">
      <c r="A1495" s="10" t="n">
        <f aca="false">A1494+1</f>
        <v>1494</v>
      </c>
      <c r="B1495" s="11" t="n">
        <f aca="false">B1494+1</f>
        <v>46420</v>
      </c>
      <c r="C1495" s="10" t="n">
        <f aca="false">YEAR(B1495)</f>
        <v>2027</v>
      </c>
      <c r="D1495" s="10" t="n">
        <f aca="false">INT((MONTH(B1495)-1)/3)+1</f>
        <v>1</v>
      </c>
      <c r="E1495" s="10" t="n">
        <f aca="false">MONTH(B1495)</f>
        <v>2</v>
      </c>
      <c r="F1495" s="10" t="str">
        <f aca="false">CHOOSE(MOD(A1495-1,5)+1,"Центр","Юг","Север","Запад","Восток")</f>
        <v>Запад</v>
      </c>
      <c r="G1495" s="10" t="str">
        <f aca="false">"Округ_"&amp;(MOD(A1495-1,5)+1)&amp;"_"&amp;(MOD(INT((A1495-1)/5),5)+1)</f>
        <v>Округ_4_4</v>
      </c>
      <c r="H1495" s="10" t="str">
        <f aca="false">"Город_"&amp;(MOD(A1495-1,5)+1)&amp;"_"&amp;(MOD(INT((A1495-1)/5),5)+1)&amp;"_"&amp;(MOD(INT((A1495-1)/25),10)+1)</f>
        <v>Город_4_4_10</v>
      </c>
      <c r="I1495" s="10" t="str">
        <f aca="false">CHOOSE(MOD(A1495-1,4)+1,"Электроника","Одежда","Продукты","Мебель")</f>
        <v>Одежда</v>
      </c>
      <c r="J1495" s="10" t="str">
        <f aca="false">CHOOSE(MOD(INT((A1495-1)/4),4)+1,CHOOSE(MOD(A1495-1,4)+1,"Смартфоны","Ноутбуки","Аксессуары","Аудио"),CHOOSE(MOD(A1495-1,4)+1,"Верхняя одежда","Спортивная","Повседневная","Обувь"),CHOOSE(MOD(A1495-1,4)+1,"Молочные","Мясные","Бакалея","Напитки"),CHOOSE(MOD(A1495-1,4)+1,"Мягкая мебель","Корпусная","Офисная","Кухонная"))</f>
        <v>Спортивная</v>
      </c>
      <c r="K1495" s="12" t="n">
        <f aca="false">1000+MOD(A1495*317+A1495*A1495*7,49001)</f>
        <v>26522</v>
      </c>
      <c r="L1495" s="12" t="n">
        <f aca="false">1+MOD(A1495*131,100)</f>
        <v>15</v>
      </c>
      <c r="M1495" s="12" t="n">
        <f aca="false">INT(K1495*(0.6+MOD(A1495*43,21)/100))</f>
        <v>16708</v>
      </c>
      <c r="N1495" s="12" t="n">
        <f aca="false">K1495-M1495</f>
        <v>9814</v>
      </c>
    </row>
    <row r="1496" customFormat="false" ht="12.8" hidden="false" customHeight="false" outlineLevel="0" collapsed="false">
      <c r="A1496" s="10" t="n">
        <f aca="false">A1495+1</f>
        <v>1495</v>
      </c>
      <c r="B1496" s="11" t="n">
        <f aca="false">B1495+1</f>
        <v>46421</v>
      </c>
      <c r="C1496" s="10" t="n">
        <f aca="false">YEAR(B1496)</f>
        <v>2027</v>
      </c>
      <c r="D1496" s="10" t="n">
        <f aca="false">INT((MONTH(B1496)-1)/3)+1</f>
        <v>1</v>
      </c>
      <c r="E1496" s="10" t="n">
        <f aca="false">MONTH(B1496)</f>
        <v>2</v>
      </c>
      <c r="F1496" s="10" t="str">
        <f aca="false">CHOOSE(MOD(A1496-1,5)+1,"Центр","Юг","Север","Запад","Восток")</f>
        <v>Восток</v>
      </c>
      <c r="G1496" s="10" t="str">
        <f aca="false">"Округ_"&amp;(MOD(A1496-1,5)+1)&amp;"_"&amp;(MOD(INT((A1496-1)/5),5)+1)</f>
        <v>Округ_5_4</v>
      </c>
      <c r="H1496" s="10" t="str">
        <f aca="false">"Город_"&amp;(MOD(A1496-1,5)+1)&amp;"_"&amp;(MOD(INT((A1496-1)/5),5)+1)&amp;"_"&amp;(MOD(INT((A1496-1)/25),10)+1)</f>
        <v>Город_5_4_10</v>
      </c>
      <c r="I1496" s="10" t="str">
        <f aca="false">CHOOSE(MOD(A1496-1,4)+1,"Электроника","Одежда","Продукты","Мебель")</f>
        <v>Продукты</v>
      </c>
      <c r="J1496" s="10" t="str">
        <f aca="false">CHOOSE(MOD(INT((A1496-1)/4),4)+1,CHOOSE(MOD(A1496-1,4)+1,"Смартфоны","Ноутбуки","Аксессуары","Аудио"),CHOOSE(MOD(A1496-1,4)+1,"Верхняя одежда","Спортивная","Повседневная","Обувь"),CHOOSE(MOD(A1496-1,4)+1,"Молочные","Мясные","Бакалея","Напитки"),CHOOSE(MOD(A1496-1,4)+1,"Мягкая мебель","Корпусная","Офисная","Кухонная"))</f>
        <v>Повседневная</v>
      </c>
      <c r="K1496" s="12" t="n">
        <f aca="false">1000+MOD(A1496*317+A1496*A1496*7,49001)</f>
        <v>47762</v>
      </c>
      <c r="L1496" s="12" t="n">
        <f aca="false">1+MOD(A1496*131,100)</f>
        <v>46</v>
      </c>
      <c r="M1496" s="12" t="n">
        <f aca="false">INT(K1496*(0.6+MOD(A1496*43,21)/100))</f>
        <v>30567</v>
      </c>
      <c r="N1496" s="12" t="n">
        <f aca="false">K1496-M1496</f>
        <v>17195</v>
      </c>
    </row>
    <row r="1497" customFormat="false" ht="12.8" hidden="false" customHeight="false" outlineLevel="0" collapsed="false">
      <c r="A1497" s="10" t="n">
        <f aca="false">A1496+1</f>
        <v>1496</v>
      </c>
      <c r="B1497" s="11" t="n">
        <f aca="false">B1496+1</f>
        <v>46422</v>
      </c>
      <c r="C1497" s="10" t="n">
        <f aca="false">YEAR(B1497)</f>
        <v>2027</v>
      </c>
      <c r="D1497" s="10" t="n">
        <f aca="false">INT((MONTH(B1497)-1)/3)+1</f>
        <v>1</v>
      </c>
      <c r="E1497" s="10" t="n">
        <f aca="false">MONTH(B1497)</f>
        <v>2</v>
      </c>
      <c r="F1497" s="10" t="str">
        <f aca="false">CHOOSE(MOD(A1497-1,5)+1,"Центр","Юг","Север","Запад","Восток")</f>
        <v>Центр</v>
      </c>
      <c r="G1497" s="10" t="str">
        <f aca="false">"Округ_"&amp;(MOD(A1497-1,5)+1)&amp;"_"&amp;(MOD(INT((A1497-1)/5),5)+1)</f>
        <v>Округ_1_5</v>
      </c>
      <c r="H1497" s="10" t="str">
        <f aca="false">"Город_"&amp;(MOD(A1497-1,5)+1)&amp;"_"&amp;(MOD(INT((A1497-1)/5),5)+1)&amp;"_"&amp;(MOD(INT((A1497-1)/25),10)+1)</f>
        <v>Город_1_5_10</v>
      </c>
      <c r="I1497" s="10" t="str">
        <f aca="false">CHOOSE(MOD(A1497-1,4)+1,"Электроника","Одежда","Продукты","Мебель")</f>
        <v>Мебель</v>
      </c>
      <c r="J1497" s="10" t="str">
        <f aca="false">CHOOSE(MOD(INT((A1497-1)/4),4)+1,CHOOSE(MOD(A1497-1,4)+1,"Смартфоны","Ноутбуки","Аксессуары","Аудио"),CHOOSE(MOD(A1497-1,4)+1,"Верхняя одежда","Спортивная","Повседневная","Обувь"),CHOOSE(MOD(A1497-1,4)+1,"Молочные","Мясные","Бакалея","Напитки"),CHOOSE(MOD(A1497-1,4)+1,"Мягкая мебель","Корпусная","Офисная","Кухонная"))</f>
        <v>Обувь</v>
      </c>
      <c r="K1497" s="12" t="n">
        <f aca="false">1000+MOD(A1497*317+A1497*A1497*7,49001)</f>
        <v>20015</v>
      </c>
      <c r="L1497" s="12" t="n">
        <f aca="false">1+MOD(A1497*131,100)</f>
        <v>77</v>
      </c>
      <c r="M1497" s="12" t="n">
        <f aca="false">INT(K1497*(0.6+MOD(A1497*43,21)/100))</f>
        <v>13009</v>
      </c>
      <c r="N1497" s="12" t="n">
        <f aca="false">K1497-M1497</f>
        <v>7006</v>
      </c>
    </row>
    <row r="1498" customFormat="false" ht="12.8" hidden="false" customHeight="false" outlineLevel="0" collapsed="false">
      <c r="A1498" s="10" t="n">
        <f aca="false">A1497+1</f>
        <v>1497</v>
      </c>
      <c r="B1498" s="11" t="n">
        <f aca="false">B1497+1</f>
        <v>46423</v>
      </c>
      <c r="C1498" s="10" t="n">
        <f aca="false">YEAR(B1498)</f>
        <v>2027</v>
      </c>
      <c r="D1498" s="10" t="n">
        <f aca="false">INT((MONTH(B1498)-1)/3)+1</f>
        <v>1</v>
      </c>
      <c r="E1498" s="10" t="n">
        <f aca="false">MONTH(B1498)</f>
        <v>2</v>
      </c>
      <c r="F1498" s="10" t="str">
        <f aca="false">CHOOSE(MOD(A1498-1,5)+1,"Центр","Юг","Север","Запад","Восток")</f>
        <v>Юг</v>
      </c>
      <c r="G1498" s="10" t="str">
        <f aca="false">"Округ_"&amp;(MOD(A1498-1,5)+1)&amp;"_"&amp;(MOD(INT((A1498-1)/5),5)+1)</f>
        <v>Округ_2_5</v>
      </c>
      <c r="H1498" s="10" t="str">
        <f aca="false">"Город_"&amp;(MOD(A1498-1,5)+1)&amp;"_"&amp;(MOD(INT((A1498-1)/5),5)+1)&amp;"_"&amp;(MOD(INT((A1498-1)/25),10)+1)</f>
        <v>Город_2_5_10</v>
      </c>
      <c r="I1498" s="10" t="str">
        <f aca="false">CHOOSE(MOD(A1498-1,4)+1,"Электроника","Одежда","Продукты","Мебель")</f>
        <v>Электроника</v>
      </c>
      <c r="J1498" s="10" t="str">
        <f aca="false">CHOOSE(MOD(INT((A1498-1)/4),4)+1,CHOOSE(MOD(A1498-1,4)+1,"Смартфоны","Ноутбуки","Аксессуары","Аудио"),CHOOSE(MOD(A1498-1,4)+1,"Верхняя одежда","Спортивная","Повседневная","Обувь"),CHOOSE(MOD(A1498-1,4)+1,"Молочные","Мясные","Бакалея","Напитки"),CHOOSE(MOD(A1498-1,4)+1,"Мягкая мебель","Корпусная","Офисная","Кухонная"))</f>
        <v>Молочные</v>
      </c>
      <c r="K1498" s="12" t="n">
        <f aca="false">1000+MOD(A1498*317+A1498*A1498*7,49001)</f>
        <v>41283</v>
      </c>
      <c r="L1498" s="12" t="n">
        <f aca="false">1+MOD(A1498*131,100)</f>
        <v>8</v>
      </c>
      <c r="M1498" s="12" t="n">
        <f aca="false">INT(K1498*(0.6+MOD(A1498*43,21)/100))</f>
        <v>27246</v>
      </c>
      <c r="N1498" s="12" t="n">
        <f aca="false">K1498-M1498</f>
        <v>14037</v>
      </c>
    </row>
    <row r="1499" customFormat="false" ht="12.8" hidden="false" customHeight="false" outlineLevel="0" collapsed="false">
      <c r="A1499" s="10" t="n">
        <f aca="false">A1498+1</f>
        <v>1498</v>
      </c>
      <c r="B1499" s="11" t="n">
        <f aca="false">B1498+1</f>
        <v>46424</v>
      </c>
      <c r="C1499" s="10" t="n">
        <f aca="false">YEAR(B1499)</f>
        <v>2027</v>
      </c>
      <c r="D1499" s="10" t="n">
        <f aca="false">INT((MONTH(B1499)-1)/3)+1</f>
        <v>1</v>
      </c>
      <c r="E1499" s="10" t="n">
        <f aca="false">MONTH(B1499)</f>
        <v>2</v>
      </c>
      <c r="F1499" s="10" t="str">
        <f aca="false">CHOOSE(MOD(A1499-1,5)+1,"Центр","Юг","Север","Запад","Восток")</f>
        <v>Север</v>
      </c>
      <c r="G1499" s="10" t="str">
        <f aca="false">"Округ_"&amp;(MOD(A1499-1,5)+1)&amp;"_"&amp;(MOD(INT((A1499-1)/5),5)+1)</f>
        <v>Округ_3_5</v>
      </c>
      <c r="H1499" s="10" t="str">
        <f aca="false">"Город_"&amp;(MOD(A1499-1,5)+1)&amp;"_"&amp;(MOD(INT((A1499-1)/5),5)+1)&amp;"_"&amp;(MOD(INT((A1499-1)/25),10)+1)</f>
        <v>Город_3_5_10</v>
      </c>
      <c r="I1499" s="10" t="str">
        <f aca="false">CHOOSE(MOD(A1499-1,4)+1,"Электроника","Одежда","Продукты","Мебель")</f>
        <v>Одежда</v>
      </c>
      <c r="J1499" s="10" t="str">
        <f aca="false">CHOOSE(MOD(INT((A1499-1)/4),4)+1,CHOOSE(MOD(A1499-1,4)+1,"Смартфоны","Ноутбуки","Аксессуары","Аудио"),CHOOSE(MOD(A1499-1,4)+1,"Верхняя одежда","Спортивная","Повседневная","Обувь"),CHOOSE(MOD(A1499-1,4)+1,"Молочные","Мясные","Бакалея","Напитки"),CHOOSE(MOD(A1499-1,4)+1,"Мягкая мебель","Корпусная","Офисная","Кухонная"))</f>
        <v>Мясные</v>
      </c>
      <c r="K1499" s="12" t="n">
        <f aca="false">1000+MOD(A1499*317+A1499*A1499*7,49001)</f>
        <v>13564</v>
      </c>
      <c r="L1499" s="12" t="n">
        <f aca="false">1+MOD(A1499*131,100)</f>
        <v>39</v>
      </c>
      <c r="M1499" s="12" t="n">
        <f aca="false">INT(K1499*(0.6+MOD(A1499*43,21)/100))</f>
        <v>9087</v>
      </c>
      <c r="N1499" s="12" t="n">
        <f aca="false">K1499-M1499</f>
        <v>4477</v>
      </c>
    </row>
    <row r="1500" customFormat="false" ht="12.8" hidden="false" customHeight="false" outlineLevel="0" collapsed="false">
      <c r="A1500" s="10" t="n">
        <f aca="false">A1499+1</f>
        <v>1499</v>
      </c>
      <c r="B1500" s="11" t="n">
        <f aca="false">B1499+1</f>
        <v>46425</v>
      </c>
      <c r="C1500" s="10" t="n">
        <f aca="false">YEAR(B1500)</f>
        <v>2027</v>
      </c>
      <c r="D1500" s="10" t="n">
        <f aca="false">INT((MONTH(B1500)-1)/3)+1</f>
        <v>1</v>
      </c>
      <c r="E1500" s="10" t="n">
        <f aca="false">MONTH(B1500)</f>
        <v>2</v>
      </c>
      <c r="F1500" s="10" t="str">
        <f aca="false">CHOOSE(MOD(A1500-1,5)+1,"Центр","Юг","Север","Запад","Восток")</f>
        <v>Запад</v>
      </c>
      <c r="G1500" s="10" t="str">
        <f aca="false">"Округ_"&amp;(MOD(A1500-1,5)+1)&amp;"_"&amp;(MOD(INT((A1500-1)/5),5)+1)</f>
        <v>Округ_4_5</v>
      </c>
      <c r="H1500" s="10" t="str">
        <f aca="false">"Город_"&amp;(MOD(A1500-1,5)+1)&amp;"_"&amp;(MOD(INT((A1500-1)/5),5)+1)&amp;"_"&amp;(MOD(INT((A1500-1)/25),10)+1)</f>
        <v>Город_4_5_10</v>
      </c>
      <c r="I1500" s="10" t="str">
        <f aca="false">CHOOSE(MOD(A1500-1,4)+1,"Электроника","Одежда","Продукты","Мебель")</f>
        <v>Продукты</v>
      </c>
      <c r="J1500" s="10" t="str">
        <f aca="false">CHOOSE(MOD(INT((A1500-1)/4),4)+1,CHOOSE(MOD(A1500-1,4)+1,"Смартфоны","Ноутбуки","Аксессуары","Аудио"),CHOOSE(MOD(A1500-1,4)+1,"Верхняя одежда","Спортивная","Повседневная","Обувь"),CHOOSE(MOD(A1500-1,4)+1,"Молочные","Мясные","Бакалея","Напитки"),CHOOSE(MOD(A1500-1,4)+1,"Мягкая мебель","Корпусная","Офисная","Кухонная"))</f>
        <v>Бакалея</v>
      </c>
      <c r="K1500" s="12" t="n">
        <f aca="false">1000+MOD(A1500*317+A1500*A1500*7,49001)</f>
        <v>34860</v>
      </c>
      <c r="L1500" s="12" t="n">
        <f aca="false">1+MOD(A1500*131,100)</f>
        <v>70</v>
      </c>
      <c r="M1500" s="12" t="n">
        <f aca="false">INT(K1500*(0.6+MOD(A1500*43,21)/100))</f>
        <v>23704</v>
      </c>
      <c r="N1500" s="12" t="n">
        <f aca="false">K1500-M1500</f>
        <v>11156</v>
      </c>
    </row>
    <row r="1501" customFormat="false" ht="12.8" hidden="false" customHeight="false" outlineLevel="0" collapsed="false">
      <c r="A1501" s="10" t="n">
        <f aca="false">A1500+1</f>
        <v>1500</v>
      </c>
      <c r="B1501" s="11" t="n">
        <f aca="false">B1500+1</f>
        <v>46426</v>
      </c>
      <c r="C1501" s="10" t="n">
        <f aca="false">YEAR(B1501)</f>
        <v>2027</v>
      </c>
      <c r="D1501" s="10" t="n">
        <f aca="false">INT((MONTH(B1501)-1)/3)+1</f>
        <v>1</v>
      </c>
      <c r="E1501" s="10" t="n">
        <f aca="false">MONTH(B1501)</f>
        <v>2</v>
      </c>
      <c r="F1501" s="10" t="str">
        <f aca="false">CHOOSE(MOD(A1501-1,5)+1,"Центр","Юг","Север","Запад","Восток")</f>
        <v>Восток</v>
      </c>
      <c r="G1501" s="10" t="str">
        <f aca="false">"Округ_"&amp;(MOD(A1501-1,5)+1)&amp;"_"&amp;(MOD(INT((A1501-1)/5),5)+1)</f>
        <v>Округ_5_5</v>
      </c>
      <c r="H1501" s="10" t="str">
        <f aca="false">"Город_"&amp;(MOD(A1501-1,5)+1)&amp;"_"&amp;(MOD(INT((A1501-1)/5),5)+1)&amp;"_"&amp;(MOD(INT((A1501-1)/25),10)+1)</f>
        <v>Город_5_5_10</v>
      </c>
      <c r="I1501" s="10" t="str">
        <f aca="false">CHOOSE(MOD(A1501-1,4)+1,"Электроника","Одежда","Продукты","Мебель")</f>
        <v>Мебель</v>
      </c>
      <c r="J1501" s="10" t="str">
        <f aca="false">CHOOSE(MOD(INT((A1501-1)/4),4)+1,CHOOSE(MOD(A1501-1,4)+1,"Смартфоны","Ноутбуки","Аксессуары","Аудио"),CHOOSE(MOD(A1501-1,4)+1,"Верхняя одежда","Спортивная","Повседневная","Обувь"),CHOOSE(MOD(A1501-1,4)+1,"Молочные","Мясные","Бакалея","Напитки"),CHOOSE(MOD(A1501-1,4)+1,"Мягкая мебель","Корпусная","Офисная","Кухонная"))</f>
        <v>Напитки</v>
      </c>
      <c r="K1501" s="12" t="n">
        <f aca="false">1000+MOD(A1501*317+A1501*A1501*7,49001)</f>
        <v>7169</v>
      </c>
      <c r="L1501" s="12" t="n">
        <f aca="false">1+MOD(A1501*131,100)</f>
        <v>1</v>
      </c>
      <c r="M1501" s="12" t="n">
        <f aca="false">INT(K1501*(0.6+MOD(A1501*43,21)/100))</f>
        <v>4946</v>
      </c>
      <c r="N1501" s="12" t="n">
        <f aca="false">K1501-M1501</f>
        <v>2223</v>
      </c>
    </row>
    <row r="1502" customFormat="false" ht="12.8" hidden="false" customHeight="false" outlineLevel="0" collapsed="false">
      <c r="A1502" s="10" t="n">
        <f aca="false">A1501+1</f>
        <v>1501</v>
      </c>
      <c r="B1502" s="11" t="n">
        <f aca="false">B1501+1</f>
        <v>46427</v>
      </c>
      <c r="C1502" s="10" t="n">
        <f aca="false">YEAR(B1502)</f>
        <v>2027</v>
      </c>
      <c r="D1502" s="10" t="n">
        <f aca="false">INT((MONTH(B1502)-1)/3)+1</f>
        <v>1</v>
      </c>
      <c r="E1502" s="10" t="n">
        <f aca="false">MONTH(B1502)</f>
        <v>2</v>
      </c>
      <c r="F1502" s="10" t="str">
        <f aca="false">CHOOSE(MOD(A1502-1,5)+1,"Центр","Юг","Север","Запад","Восток")</f>
        <v>Центр</v>
      </c>
      <c r="G1502" s="10" t="str">
        <f aca="false">"Округ_"&amp;(MOD(A1502-1,5)+1)&amp;"_"&amp;(MOD(INT((A1502-1)/5),5)+1)</f>
        <v>Округ_1_1</v>
      </c>
      <c r="H1502" s="10" t="str">
        <f aca="false">"Город_"&amp;(MOD(A1502-1,5)+1)&amp;"_"&amp;(MOD(INT((A1502-1)/5),5)+1)&amp;"_"&amp;(MOD(INT((A1502-1)/25),10)+1)</f>
        <v>Город_1_1_1</v>
      </c>
      <c r="I1502" s="10" t="str">
        <f aca="false">CHOOSE(MOD(A1502-1,4)+1,"Электроника","Одежда","Продукты","Мебель")</f>
        <v>Электроника</v>
      </c>
      <c r="J1502" s="10" t="str">
        <f aca="false">CHOOSE(MOD(INT((A1502-1)/4),4)+1,CHOOSE(MOD(A1502-1,4)+1,"Смартфоны","Ноутбуки","Аксессуары","Аудио"),CHOOSE(MOD(A1502-1,4)+1,"Верхняя одежда","Спортивная","Повседневная","Обувь"),CHOOSE(MOD(A1502-1,4)+1,"Молочные","Мясные","Бакалея","Напитки"),CHOOSE(MOD(A1502-1,4)+1,"Мягкая мебель","Корпусная","Офисная","Кухонная"))</f>
        <v>Мягкая мебель</v>
      </c>
      <c r="K1502" s="12" t="n">
        <f aca="false">1000+MOD(A1502*317+A1502*A1502*7,49001)</f>
        <v>28493</v>
      </c>
      <c r="L1502" s="12" t="n">
        <f aca="false">1+MOD(A1502*131,100)</f>
        <v>32</v>
      </c>
      <c r="M1502" s="12" t="n">
        <f aca="false">INT(K1502*(0.6+MOD(A1502*43,21)/100))</f>
        <v>19945</v>
      </c>
      <c r="N1502" s="12" t="n">
        <f aca="false">K1502-M1502</f>
        <v>8548</v>
      </c>
    </row>
    <row r="1503" customFormat="false" ht="12.8" hidden="false" customHeight="false" outlineLevel="0" collapsed="false">
      <c r="A1503" s="10" t="n">
        <f aca="false">A1502+1</f>
        <v>1502</v>
      </c>
      <c r="B1503" s="11" t="n">
        <f aca="false">B1502+1</f>
        <v>46428</v>
      </c>
      <c r="C1503" s="10" t="n">
        <f aca="false">YEAR(B1503)</f>
        <v>2027</v>
      </c>
      <c r="D1503" s="10" t="n">
        <f aca="false">INT((MONTH(B1503)-1)/3)+1</f>
        <v>1</v>
      </c>
      <c r="E1503" s="10" t="n">
        <f aca="false">MONTH(B1503)</f>
        <v>2</v>
      </c>
      <c r="F1503" s="10" t="str">
        <f aca="false">CHOOSE(MOD(A1503-1,5)+1,"Центр","Юг","Север","Запад","Восток")</f>
        <v>Юг</v>
      </c>
      <c r="G1503" s="10" t="str">
        <f aca="false">"Округ_"&amp;(MOD(A1503-1,5)+1)&amp;"_"&amp;(MOD(INT((A1503-1)/5),5)+1)</f>
        <v>Округ_2_1</v>
      </c>
      <c r="H1503" s="10" t="str">
        <f aca="false">"Город_"&amp;(MOD(A1503-1,5)+1)&amp;"_"&amp;(MOD(INT((A1503-1)/5),5)+1)&amp;"_"&amp;(MOD(INT((A1503-1)/25),10)+1)</f>
        <v>Город_2_1_1</v>
      </c>
      <c r="I1503" s="10" t="str">
        <f aca="false">CHOOSE(MOD(A1503-1,4)+1,"Электроника","Одежда","Продукты","Мебель")</f>
        <v>Одежда</v>
      </c>
      <c r="J1503" s="10" t="str">
        <f aca="false">CHOOSE(MOD(INT((A1503-1)/4),4)+1,CHOOSE(MOD(A1503-1,4)+1,"Смартфоны","Ноутбуки","Аксессуары","Аудио"),CHOOSE(MOD(A1503-1,4)+1,"Верхняя одежда","Спортивная","Повседневная","Обувь"),CHOOSE(MOD(A1503-1,4)+1,"Молочные","Мясные","Бакалея","Напитки"),CHOOSE(MOD(A1503-1,4)+1,"Мягкая мебель","Корпусная","Офисная","Кухонная"))</f>
        <v>Корпусная</v>
      </c>
      <c r="K1503" s="12" t="n">
        <f aca="false">1000+MOD(A1503*317+A1503*A1503*7,49001)</f>
        <v>49831</v>
      </c>
      <c r="L1503" s="12" t="n">
        <f aca="false">1+MOD(A1503*131,100)</f>
        <v>63</v>
      </c>
      <c r="M1503" s="12" t="n">
        <f aca="false">INT(K1503*(0.6+MOD(A1503*43,21)/100))</f>
        <v>35380</v>
      </c>
      <c r="N1503" s="12" t="n">
        <f aca="false">K1503-M1503</f>
        <v>14451</v>
      </c>
    </row>
    <row r="1504" customFormat="false" ht="12.8" hidden="false" customHeight="false" outlineLevel="0" collapsed="false">
      <c r="A1504" s="10" t="n">
        <f aca="false">A1503+1</f>
        <v>1503</v>
      </c>
      <c r="B1504" s="11" t="n">
        <f aca="false">B1503+1</f>
        <v>46429</v>
      </c>
      <c r="C1504" s="10" t="n">
        <f aca="false">YEAR(B1504)</f>
        <v>2027</v>
      </c>
      <c r="D1504" s="10" t="n">
        <f aca="false">INT((MONTH(B1504)-1)/3)+1</f>
        <v>1</v>
      </c>
      <c r="E1504" s="10" t="n">
        <f aca="false">MONTH(B1504)</f>
        <v>2</v>
      </c>
      <c r="F1504" s="10" t="str">
        <f aca="false">CHOOSE(MOD(A1504-1,5)+1,"Центр","Юг","Север","Запад","Восток")</f>
        <v>Север</v>
      </c>
      <c r="G1504" s="10" t="str">
        <f aca="false">"Округ_"&amp;(MOD(A1504-1,5)+1)&amp;"_"&amp;(MOD(INT((A1504-1)/5),5)+1)</f>
        <v>Округ_3_1</v>
      </c>
      <c r="H1504" s="10" t="str">
        <f aca="false">"Город_"&amp;(MOD(A1504-1,5)+1)&amp;"_"&amp;(MOD(INT((A1504-1)/5),5)+1)&amp;"_"&amp;(MOD(INT((A1504-1)/25),10)+1)</f>
        <v>Город_3_1_1</v>
      </c>
      <c r="I1504" s="10" t="str">
        <f aca="false">CHOOSE(MOD(A1504-1,4)+1,"Электроника","Одежда","Продукты","Мебель")</f>
        <v>Продукты</v>
      </c>
      <c r="J1504" s="10" t="str">
        <f aca="false">CHOOSE(MOD(INT((A1504-1)/4),4)+1,CHOOSE(MOD(A1504-1,4)+1,"Смартфоны","Ноутбуки","Аксессуары","Аудио"),CHOOSE(MOD(A1504-1,4)+1,"Верхняя одежда","Спортивная","Повседневная","Обувь"),CHOOSE(MOD(A1504-1,4)+1,"Молочные","Мясные","Бакалея","Напитки"),CHOOSE(MOD(A1504-1,4)+1,"Мягкая мебель","Корпусная","Офисная","Кухонная"))</f>
        <v>Офисная</v>
      </c>
      <c r="K1504" s="12" t="n">
        <f aca="false">1000+MOD(A1504*317+A1504*A1504*7,49001)</f>
        <v>22182</v>
      </c>
      <c r="L1504" s="12" t="n">
        <f aca="false">1+MOD(A1504*131,100)</f>
        <v>94</v>
      </c>
      <c r="M1504" s="12" t="n">
        <f aca="false">INT(K1504*(0.6+MOD(A1504*43,21)/100))</f>
        <v>15971</v>
      </c>
      <c r="N1504" s="12" t="n">
        <f aca="false">K1504-M1504</f>
        <v>6211</v>
      </c>
    </row>
    <row r="1505" customFormat="false" ht="12.8" hidden="false" customHeight="false" outlineLevel="0" collapsed="false">
      <c r="A1505" s="10" t="n">
        <f aca="false">A1504+1</f>
        <v>1504</v>
      </c>
      <c r="B1505" s="11" t="n">
        <f aca="false">B1504+1</f>
        <v>46430</v>
      </c>
      <c r="C1505" s="10" t="n">
        <f aca="false">YEAR(B1505)</f>
        <v>2027</v>
      </c>
      <c r="D1505" s="10" t="n">
        <f aca="false">INT((MONTH(B1505)-1)/3)+1</f>
        <v>1</v>
      </c>
      <c r="E1505" s="10" t="n">
        <f aca="false">MONTH(B1505)</f>
        <v>2</v>
      </c>
      <c r="F1505" s="10" t="str">
        <f aca="false">CHOOSE(MOD(A1505-1,5)+1,"Центр","Юг","Север","Запад","Восток")</f>
        <v>Запад</v>
      </c>
      <c r="G1505" s="10" t="str">
        <f aca="false">"Округ_"&amp;(MOD(A1505-1,5)+1)&amp;"_"&amp;(MOD(INT((A1505-1)/5),5)+1)</f>
        <v>Округ_4_1</v>
      </c>
      <c r="H1505" s="10" t="str">
        <f aca="false">"Город_"&amp;(MOD(A1505-1,5)+1)&amp;"_"&amp;(MOD(INT((A1505-1)/5),5)+1)&amp;"_"&amp;(MOD(INT((A1505-1)/25),10)+1)</f>
        <v>Город_4_1_1</v>
      </c>
      <c r="I1505" s="10" t="str">
        <f aca="false">CHOOSE(MOD(A1505-1,4)+1,"Электроника","Одежда","Продукты","Мебель")</f>
        <v>Мебель</v>
      </c>
      <c r="J1505" s="10" t="str">
        <f aca="false">CHOOSE(MOD(INT((A1505-1)/4),4)+1,CHOOSE(MOD(A1505-1,4)+1,"Смартфоны","Ноутбуки","Аксессуары","Аудио"),CHOOSE(MOD(A1505-1,4)+1,"Верхняя одежда","Спортивная","Повседневная","Обувь"),CHOOSE(MOD(A1505-1,4)+1,"Молочные","Мясные","Бакалея","Напитки"),CHOOSE(MOD(A1505-1,4)+1,"Мягкая мебель","Корпусная","Офисная","Кухонная"))</f>
        <v>Кухонная</v>
      </c>
      <c r="K1505" s="12" t="n">
        <f aca="false">1000+MOD(A1505*317+A1505*A1505*7,49001)</f>
        <v>43548</v>
      </c>
      <c r="L1505" s="12" t="n">
        <f aca="false">1+MOD(A1505*131,100)</f>
        <v>25</v>
      </c>
      <c r="M1505" s="12" t="n">
        <f aca="false">INT(K1505*(0.6+MOD(A1505*43,21)/100))</f>
        <v>31790</v>
      </c>
      <c r="N1505" s="12" t="n">
        <f aca="false">K1505-M1505</f>
        <v>11758</v>
      </c>
    </row>
    <row r="1506" customFormat="false" ht="12.8" hidden="false" customHeight="false" outlineLevel="0" collapsed="false">
      <c r="A1506" s="10" t="n">
        <f aca="false">A1505+1</f>
        <v>1505</v>
      </c>
      <c r="B1506" s="11" t="n">
        <f aca="false">B1505+1</f>
        <v>46431</v>
      </c>
      <c r="C1506" s="10" t="n">
        <f aca="false">YEAR(B1506)</f>
        <v>2027</v>
      </c>
      <c r="D1506" s="10" t="n">
        <f aca="false">INT((MONTH(B1506)-1)/3)+1</f>
        <v>1</v>
      </c>
      <c r="E1506" s="10" t="n">
        <f aca="false">MONTH(B1506)</f>
        <v>2</v>
      </c>
      <c r="F1506" s="10" t="str">
        <f aca="false">CHOOSE(MOD(A1506-1,5)+1,"Центр","Юг","Север","Запад","Восток")</f>
        <v>Восток</v>
      </c>
      <c r="G1506" s="10" t="str">
        <f aca="false">"Округ_"&amp;(MOD(A1506-1,5)+1)&amp;"_"&amp;(MOD(INT((A1506-1)/5),5)+1)</f>
        <v>Округ_5_1</v>
      </c>
      <c r="H1506" s="10" t="str">
        <f aca="false">"Город_"&amp;(MOD(A1506-1,5)+1)&amp;"_"&amp;(MOD(INT((A1506-1)/5),5)+1)&amp;"_"&amp;(MOD(INT((A1506-1)/25),10)+1)</f>
        <v>Город_5_1_1</v>
      </c>
      <c r="I1506" s="10" t="str">
        <f aca="false">CHOOSE(MOD(A1506-1,4)+1,"Электроника","Одежда","Продукты","Мебель")</f>
        <v>Электроника</v>
      </c>
      <c r="J1506" s="10" t="str">
        <f aca="false">CHOOSE(MOD(INT((A1506-1)/4),4)+1,CHOOSE(MOD(A1506-1,4)+1,"Смартфоны","Ноутбуки","Аксессуары","Аудио"),CHOOSE(MOD(A1506-1,4)+1,"Верхняя одежда","Спортивная","Повседневная","Обувь"),CHOOSE(MOD(A1506-1,4)+1,"Молочные","Мясные","Бакалея","Напитки"),CHOOSE(MOD(A1506-1,4)+1,"Мягкая мебель","Корпусная","Офисная","Кухонная"))</f>
        <v>Смартфоны</v>
      </c>
      <c r="K1506" s="12" t="n">
        <f aca="false">1000+MOD(A1506*317+A1506*A1506*7,49001)</f>
        <v>15927</v>
      </c>
      <c r="L1506" s="12" t="n">
        <f aca="false">1+MOD(A1506*131,100)</f>
        <v>56</v>
      </c>
      <c r="M1506" s="12" t="n">
        <f aca="false">INT(K1506*(0.6+MOD(A1506*43,21)/100))</f>
        <v>11785</v>
      </c>
      <c r="N1506" s="12" t="n">
        <f aca="false">K1506-M1506</f>
        <v>4142</v>
      </c>
    </row>
    <row r="1507" customFormat="false" ht="12.8" hidden="false" customHeight="false" outlineLevel="0" collapsed="false">
      <c r="A1507" s="10" t="n">
        <f aca="false">A1506+1</f>
        <v>1506</v>
      </c>
      <c r="B1507" s="11" t="n">
        <f aca="false">B1506+1</f>
        <v>46432</v>
      </c>
      <c r="C1507" s="10" t="n">
        <f aca="false">YEAR(B1507)</f>
        <v>2027</v>
      </c>
      <c r="D1507" s="10" t="n">
        <f aca="false">INT((MONTH(B1507)-1)/3)+1</f>
        <v>1</v>
      </c>
      <c r="E1507" s="10" t="n">
        <f aca="false">MONTH(B1507)</f>
        <v>2</v>
      </c>
      <c r="F1507" s="10" t="str">
        <f aca="false">CHOOSE(MOD(A1507-1,5)+1,"Центр","Юг","Север","Запад","Восток")</f>
        <v>Центр</v>
      </c>
      <c r="G1507" s="10" t="str">
        <f aca="false">"Округ_"&amp;(MOD(A1507-1,5)+1)&amp;"_"&amp;(MOD(INT((A1507-1)/5),5)+1)</f>
        <v>Округ_1_2</v>
      </c>
      <c r="H1507" s="10" t="str">
        <f aca="false">"Город_"&amp;(MOD(A1507-1,5)+1)&amp;"_"&amp;(MOD(INT((A1507-1)/5),5)+1)&amp;"_"&amp;(MOD(INT((A1507-1)/25),10)+1)</f>
        <v>Город_1_2_1</v>
      </c>
      <c r="I1507" s="10" t="str">
        <f aca="false">CHOOSE(MOD(A1507-1,4)+1,"Электроника","Одежда","Продукты","Мебель")</f>
        <v>Одежда</v>
      </c>
      <c r="J1507" s="10" t="str">
        <f aca="false">CHOOSE(MOD(INT((A1507-1)/4),4)+1,CHOOSE(MOD(A1507-1,4)+1,"Смартфоны","Ноутбуки","Аксессуары","Аудио"),CHOOSE(MOD(A1507-1,4)+1,"Верхняя одежда","Спортивная","Повседневная","Обувь"),CHOOSE(MOD(A1507-1,4)+1,"Молочные","Мясные","Бакалея","Напитки"),CHOOSE(MOD(A1507-1,4)+1,"Мягкая мебель","Корпусная","Офисная","Кухонная"))</f>
        <v>Ноутбуки</v>
      </c>
      <c r="K1507" s="12" t="n">
        <f aca="false">1000+MOD(A1507*317+A1507*A1507*7,49001)</f>
        <v>37321</v>
      </c>
      <c r="L1507" s="12" t="n">
        <f aca="false">1+MOD(A1507*131,100)</f>
        <v>87</v>
      </c>
      <c r="M1507" s="12" t="n">
        <f aca="false">INT(K1507*(0.6+MOD(A1507*43,21)/100))</f>
        <v>27990</v>
      </c>
      <c r="N1507" s="12" t="n">
        <f aca="false">K1507-M1507</f>
        <v>9331</v>
      </c>
    </row>
    <row r="1508" customFormat="false" ht="12.8" hidden="false" customHeight="false" outlineLevel="0" collapsed="false">
      <c r="A1508" s="10" t="n">
        <f aca="false">A1507+1</f>
        <v>1507</v>
      </c>
      <c r="B1508" s="11" t="n">
        <f aca="false">B1507+1</f>
        <v>46433</v>
      </c>
      <c r="C1508" s="10" t="n">
        <f aca="false">YEAR(B1508)</f>
        <v>2027</v>
      </c>
      <c r="D1508" s="10" t="n">
        <f aca="false">INT((MONTH(B1508)-1)/3)+1</f>
        <v>1</v>
      </c>
      <c r="E1508" s="10" t="n">
        <f aca="false">MONTH(B1508)</f>
        <v>2</v>
      </c>
      <c r="F1508" s="10" t="str">
        <f aca="false">CHOOSE(MOD(A1508-1,5)+1,"Центр","Юг","Север","Запад","Восток")</f>
        <v>Юг</v>
      </c>
      <c r="G1508" s="10" t="str">
        <f aca="false">"Округ_"&amp;(MOD(A1508-1,5)+1)&amp;"_"&amp;(MOD(INT((A1508-1)/5),5)+1)</f>
        <v>Округ_2_2</v>
      </c>
      <c r="H1508" s="10" t="str">
        <f aca="false">"Город_"&amp;(MOD(A1508-1,5)+1)&amp;"_"&amp;(MOD(INT((A1508-1)/5),5)+1)&amp;"_"&amp;(MOD(INT((A1508-1)/25),10)+1)</f>
        <v>Город_2_2_1</v>
      </c>
      <c r="I1508" s="10" t="str">
        <f aca="false">CHOOSE(MOD(A1508-1,4)+1,"Электроника","Одежда","Продукты","Мебель")</f>
        <v>Продукты</v>
      </c>
      <c r="J1508" s="10" t="str">
        <f aca="false">CHOOSE(MOD(INT((A1508-1)/4),4)+1,CHOOSE(MOD(A1508-1,4)+1,"Смартфоны","Ноутбуки","Аксессуары","Аудио"),CHOOSE(MOD(A1508-1,4)+1,"Верхняя одежда","Спортивная","Повседневная","Обувь"),CHOOSE(MOD(A1508-1,4)+1,"Молочные","Мясные","Бакалея","Напитки"),CHOOSE(MOD(A1508-1,4)+1,"Мягкая мебель","Корпусная","Офисная","Кухонная"))</f>
        <v>Аксессуары</v>
      </c>
      <c r="K1508" s="12" t="n">
        <f aca="false">1000+MOD(A1508*317+A1508*A1508*7,49001)</f>
        <v>9728</v>
      </c>
      <c r="L1508" s="12" t="n">
        <f aca="false">1+MOD(A1508*131,100)</f>
        <v>18</v>
      </c>
      <c r="M1508" s="12" t="n">
        <f aca="false">INT(K1508*(0.6+MOD(A1508*43,21)/100))</f>
        <v>7393</v>
      </c>
      <c r="N1508" s="12" t="n">
        <f aca="false">K1508-M1508</f>
        <v>2335</v>
      </c>
    </row>
    <row r="1509" customFormat="false" ht="12.8" hidden="false" customHeight="false" outlineLevel="0" collapsed="false">
      <c r="A1509" s="10" t="n">
        <f aca="false">A1508+1</f>
        <v>1508</v>
      </c>
      <c r="B1509" s="11" t="n">
        <f aca="false">B1508+1</f>
        <v>46434</v>
      </c>
      <c r="C1509" s="10" t="n">
        <f aca="false">YEAR(B1509)</f>
        <v>2027</v>
      </c>
      <c r="D1509" s="10" t="n">
        <f aca="false">INT((MONTH(B1509)-1)/3)+1</f>
        <v>1</v>
      </c>
      <c r="E1509" s="10" t="n">
        <f aca="false">MONTH(B1509)</f>
        <v>2</v>
      </c>
      <c r="F1509" s="10" t="str">
        <f aca="false">CHOOSE(MOD(A1509-1,5)+1,"Центр","Юг","Север","Запад","Восток")</f>
        <v>Север</v>
      </c>
      <c r="G1509" s="10" t="str">
        <f aca="false">"Округ_"&amp;(MOD(A1509-1,5)+1)&amp;"_"&amp;(MOD(INT((A1509-1)/5),5)+1)</f>
        <v>Округ_3_2</v>
      </c>
      <c r="H1509" s="10" t="str">
        <f aca="false">"Город_"&amp;(MOD(A1509-1,5)+1)&amp;"_"&amp;(MOD(INT((A1509-1)/5),5)+1)&amp;"_"&amp;(MOD(INT((A1509-1)/25),10)+1)</f>
        <v>Город_3_2_1</v>
      </c>
      <c r="I1509" s="10" t="str">
        <f aca="false">CHOOSE(MOD(A1509-1,4)+1,"Электроника","Одежда","Продукты","Мебель")</f>
        <v>Мебель</v>
      </c>
      <c r="J1509" s="10" t="str">
        <f aca="false">CHOOSE(MOD(INT((A1509-1)/4),4)+1,CHOOSE(MOD(A1509-1,4)+1,"Смартфоны","Ноутбуки","Аксессуары","Аудио"),CHOOSE(MOD(A1509-1,4)+1,"Верхняя одежда","Спортивная","Повседневная","Обувь"),CHOOSE(MOD(A1509-1,4)+1,"Молочные","Мясные","Бакалея","Напитки"),CHOOSE(MOD(A1509-1,4)+1,"Мягкая мебель","Корпусная","Офисная","Кухонная"))</f>
        <v>Аудио</v>
      </c>
      <c r="K1509" s="12" t="n">
        <f aca="false">1000+MOD(A1509*317+A1509*A1509*7,49001)</f>
        <v>31150</v>
      </c>
      <c r="L1509" s="12" t="n">
        <f aca="false">1+MOD(A1509*131,100)</f>
        <v>49</v>
      </c>
      <c r="M1509" s="12" t="n">
        <f aca="false">INT(K1509*(0.6+MOD(A1509*43,21)/100))</f>
        <v>23985</v>
      </c>
      <c r="N1509" s="12" t="n">
        <f aca="false">K1509-M1509</f>
        <v>7165</v>
      </c>
    </row>
    <row r="1510" customFormat="false" ht="12.8" hidden="false" customHeight="false" outlineLevel="0" collapsed="false">
      <c r="A1510" s="10" t="n">
        <f aca="false">A1509+1</f>
        <v>1509</v>
      </c>
      <c r="B1510" s="11" t="n">
        <f aca="false">B1509+1</f>
        <v>46435</v>
      </c>
      <c r="C1510" s="10" t="n">
        <f aca="false">YEAR(B1510)</f>
        <v>2027</v>
      </c>
      <c r="D1510" s="10" t="n">
        <f aca="false">INT((MONTH(B1510)-1)/3)+1</f>
        <v>1</v>
      </c>
      <c r="E1510" s="10" t="n">
        <f aca="false">MONTH(B1510)</f>
        <v>2</v>
      </c>
      <c r="F1510" s="10" t="str">
        <f aca="false">CHOOSE(MOD(A1510-1,5)+1,"Центр","Юг","Север","Запад","Восток")</f>
        <v>Запад</v>
      </c>
      <c r="G1510" s="10" t="str">
        <f aca="false">"Округ_"&amp;(MOD(A1510-1,5)+1)&amp;"_"&amp;(MOD(INT((A1510-1)/5),5)+1)</f>
        <v>Округ_4_2</v>
      </c>
      <c r="H1510" s="10" t="str">
        <f aca="false">"Город_"&amp;(MOD(A1510-1,5)+1)&amp;"_"&amp;(MOD(INT((A1510-1)/5),5)+1)&amp;"_"&amp;(MOD(INT((A1510-1)/25),10)+1)</f>
        <v>Город_4_2_1</v>
      </c>
      <c r="I1510" s="10" t="str">
        <f aca="false">CHOOSE(MOD(A1510-1,4)+1,"Электроника","Одежда","Продукты","Мебель")</f>
        <v>Электроника</v>
      </c>
      <c r="J1510" s="10" t="str">
        <f aca="false">CHOOSE(MOD(INT((A1510-1)/4),4)+1,CHOOSE(MOD(A1510-1,4)+1,"Смартфоны","Ноутбуки","Аксессуары","Аудио"),CHOOSE(MOD(A1510-1,4)+1,"Верхняя одежда","Спортивная","Повседневная","Обувь"),CHOOSE(MOD(A1510-1,4)+1,"Молочные","Мясные","Бакалея","Напитки"),CHOOSE(MOD(A1510-1,4)+1,"Мягкая мебель","Корпусная","Офисная","Кухонная"))</f>
        <v>Верхняя одежда</v>
      </c>
      <c r="K1510" s="12" t="n">
        <f aca="false">1000+MOD(A1510*317+A1510*A1510*7,49001)</f>
        <v>3585</v>
      </c>
      <c r="L1510" s="12" t="n">
        <f aca="false">1+MOD(A1510*131,100)</f>
        <v>80</v>
      </c>
      <c r="M1510" s="12" t="n">
        <f aca="false">INT(K1510*(0.6+MOD(A1510*43,21)/100))</f>
        <v>2796</v>
      </c>
      <c r="N1510" s="12" t="n">
        <f aca="false">K1510-M1510</f>
        <v>789</v>
      </c>
    </row>
    <row r="1511" customFormat="false" ht="12.8" hidden="false" customHeight="false" outlineLevel="0" collapsed="false">
      <c r="A1511" s="10" t="n">
        <f aca="false">A1510+1</f>
        <v>1510</v>
      </c>
      <c r="B1511" s="11" t="n">
        <f aca="false">B1510+1</f>
        <v>46436</v>
      </c>
      <c r="C1511" s="10" t="n">
        <f aca="false">YEAR(B1511)</f>
        <v>2027</v>
      </c>
      <c r="D1511" s="10" t="n">
        <f aca="false">INT((MONTH(B1511)-1)/3)+1</f>
        <v>1</v>
      </c>
      <c r="E1511" s="10" t="n">
        <f aca="false">MONTH(B1511)</f>
        <v>2</v>
      </c>
      <c r="F1511" s="10" t="str">
        <f aca="false">CHOOSE(MOD(A1511-1,5)+1,"Центр","Юг","Север","Запад","Восток")</f>
        <v>Восток</v>
      </c>
      <c r="G1511" s="10" t="str">
        <f aca="false">"Округ_"&amp;(MOD(A1511-1,5)+1)&amp;"_"&amp;(MOD(INT((A1511-1)/5),5)+1)</f>
        <v>Округ_5_2</v>
      </c>
      <c r="H1511" s="10" t="str">
        <f aca="false">"Город_"&amp;(MOD(A1511-1,5)+1)&amp;"_"&amp;(MOD(INT((A1511-1)/5),5)+1)&amp;"_"&amp;(MOD(INT((A1511-1)/25),10)+1)</f>
        <v>Город_5_2_1</v>
      </c>
      <c r="I1511" s="10" t="str">
        <f aca="false">CHOOSE(MOD(A1511-1,4)+1,"Электроника","Одежда","Продукты","Мебель")</f>
        <v>Одежда</v>
      </c>
      <c r="J1511" s="10" t="str">
        <f aca="false">CHOOSE(MOD(INT((A1511-1)/4),4)+1,CHOOSE(MOD(A1511-1,4)+1,"Смартфоны","Ноутбуки","Аксессуары","Аудио"),CHOOSE(MOD(A1511-1,4)+1,"Верхняя одежда","Спортивная","Повседневная","Обувь"),CHOOSE(MOD(A1511-1,4)+1,"Молочные","Мясные","Бакалея","Напитки"),CHOOSE(MOD(A1511-1,4)+1,"Мягкая мебель","Корпусная","Офисная","Кухонная"))</f>
        <v>Спортивная</v>
      </c>
      <c r="K1511" s="12" t="n">
        <f aca="false">1000+MOD(A1511*317+A1511*A1511*7,49001)</f>
        <v>25035</v>
      </c>
      <c r="L1511" s="12" t="n">
        <f aca="false">1+MOD(A1511*131,100)</f>
        <v>11</v>
      </c>
      <c r="M1511" s="12" t="n">
        <f aca="false">INT(K1511*(0.6+MOD(A1511*43,21)/100))</f>
        <v>19777</v>
      </c>
      <c r="N1511" s="12" t="n">
        <f aca="false">K1511-M1511</f>
        <v>5258</v>
      </c>
    </row>
    <row r="1512" customFormat="false" ht="12.8" hidden="false" customHeight="false" outlineLevel="0" collapsed="false">
      <c r="A1512" s="10" t="n">
        <f aca="false">A1511+1</f>
        <v>1511</v>
      </c>
      <c r="B1512" s="11" t="n">
        <f aca="false">B1511+1</f>
        <v>46437</v>
      </c>
      <c r="C1512" s="10" t="n">
        <f aca="false">YEAR(B1512)</f>
        <v>2027</v>
      </c>
      <c r="D1512" s="10" t="n">
        <f aca="false">INT((MONTH(B1512)-1)/3)+1</f>
        <v>1</v>
      </c>
      <c r="E1512" s="10" t="n">
        <f aca="false">MONTH(B1512)</f>
        <v>2</v>
      </c>
      <c r="F1512" s="10" t="str">
        <f aca="false">CHOOSE(MOD(A1512-1,5)+1,"Центр","Юг","Север","Запад","Восток")</f>
        <v>Центр</v>
      </c>
      <c r="G1512" s="10" t="str">
        <f aca="false">"Округ_"&amp;(MOD(A1512-1,5)+1)&amp;"_"&amp;(MOD(INT((A1512-1)/5),5)+1)</f>
        <v>Округ_1_3</v>
      </c>
      <c r="H1512" s="10" t="str">
        <f aca="false">"Город_"&amp;(MOD(A1512-1,5)+1)&amp;"_"&amp;(MOD(INT((A1512-1)/5),5)+1)&amp;"_"&amp;(MOD(INT((A1512-1)/25),10)+1)</f>
        <v>Город_1_3_1</v>
      </c>
      <c r="I1512" s="10" t="str">
        <f aca="false">CHOOSE(MOD(A1512-1,4)+1,"Электроника","Одежда","Продукты","Мебель")</f>
        <v>Продукты</v>
      </c>
      <c r="J1512" s="10" t="str">
        <f aca="false">CHOOSE(MOD(INT((A1512-1)/4),4)+1,CHOOSE(MOD(A1512-1,4)+1,"Смартфоны","Ноутбуки","Аксессуары","Аудио"),CHOOSE(MOD(A1512-1,4)+1,"Верхняя одежда","Спортивная","Повседневная","Обувь"),CHOOSE(MOD(A1512-1,4)+1,"Молочные","Мясные","Бакалея","Напитки"),CHOOSE(MOD(A1512-1,4)+1,"Мягкая мебель","Корпусная","Офисная","Кухонная"))</f>
        <v>Повседневная</v>
      </c>
      <c r="K1512" s="12" t="n">
        <f aca="false">1000+MOD(A1512*317+A1512*A1512*7,49001)</f>
        <v>46499</v>
      </c>
      <c r="L1512" s="12" t="n">
        <f aca="false">1+MOD(A1512*131,100)</f>
        <v>42</v>
      </c>
      <c r="M1512" s="12" t="n">
        <f aca="false">INT(K1512*(0.6+MOD(A1512*43,21)/100))</f>
        <v>37199</v>
      </c>
      <c r="N1512" s="12" t="n">
        <f aca="false">K1512-M1512</f>
        <v>9300</v>
      </c>
    </row>
    <row r="1513" customFormat="false" ht="12.8" hidden="false" customHeight="false" outlineLevel="0" collapsed="false">
      <c r="A1513" s="10" t="n">
        <f aca="false">A1512+1</f>
        <v>1512</v>
      </c>
      <c r="B1513" s="11" t="n">
        <f aca="false">B1512+1</f>
        <v>46438</v>
      </c>
      <c r="C1513" s="10" t="n">
        <f aca="false">YEAR(B1513)</f>
        <v>2027</v>
      </c>
      <c r="D1513" s="10" t="n">
        <f aca="false">INT((MONTH(B1513)-1)/3)+1</f>
        <v>1</v>
      </c>
      <c r="E1513" s="10" t="n">
        <f aca="false">MONTH(B1513)</f>
        <v>2</v>
      </c>
      <c r="F1513" s="10" t="str">
        <f aca="false">CHOOSE(MOD(A1513-1,5)+1,"Центр","Юг","Север","Запад","Восток")</f>
        <v>Юг</v>
      </c>
      <c r="G1513" s="10" t="str">
        <f aca="false">"Округ_"&amp;(MOD(A1513-1,5)+1)&amp;"_"&amp;(MOD(INT((A1513-1)/5),5)+1)</f>
        <v>Округ_2_3</v>
      </c>
      <c r="H1513" s="10" t="str">
        <f aca="false">"Город_"&amp;(MOD(A1513-1,5)+1)&amp;"_"&amp;(MOD(INT((A1513-1)/5),5)+1)&amp;"_"&amp;(MOD(INT((A1513-1)/25),10)+1)</f>
        <v>Город_2_3_1</v>
      </c>
      <c r="I1513" s="10" t="str">
        <f aca="false">CHOOSE(MOD(A1513-1,4)+1,"Электроника","Одежда","Продукты","Мебель")</f>
        <v>Мебель</v>
      </c>
      <c r="J1513" s="10" t="str">
        <f aca="false">CHOOSE(MOD(INT((A1513-1)/4),4)+1,CHOOSE(MOD(A1513-1,4)+1,"Смартфоны","Ноутбуки","Аксессуары","Аудио"),CHOOSE(MOD(A1513-1,4)+1,"Верхняя одежда","Спортивная","Повседневная","Обувь"),CHOOSE(MOD(A1513-1,4)+1,"Молочные","Мясные","Бакалея","Напитки"),CHOOSE(MOD(A1513-1,4)+1,"Мягкая мебель","Корпусная","Офисная","Кухонная"))</f>
        <v>Обувь</v>
      </c>
      <c r="K1513" s="12" t="n">
        <f aca="false">1000+MOD(A1513*317+A1513*A1513*7,49001)</f>
        <v>18976</v>
      </c>
      <c r="L1513" s="12" t="n">
        <f aca="false">1+MOD(A1513*131,100)</f>
        <v>73</v>
      </c>
      <c r="M1513" s="12" t="n">
        <f aca="false">INT(K1513*(0.6+MOD(A1513*43,21)/100))</f>
        <v>11385</v>
      </c>
      <c r="N1513" s="12" t="n">
        <f aca="false">K1513-M1513</f>
        <v>7591</v>
      </c>
    </row>
    <row r="1514" customFormat="false" ht="12.8" hidden="false" customHeight="false" outlineLevel="0" collapsed="false">
      <c r="A1514" s="10" t="n">
        <f aca="false">A1513+1</f>
        <v>1513</v>
      </c>
      <c r="B1514" s="11" t="n">
        <f aca="false">B1513+1</f>
        <v>46439</v>
      </c>
      <c r="C1514" s="10" t="n">
        <f aca="false">YEAR(B1514)</f>
        <v>2027</v>
      </c>
      <c r="D1514" s="10" t="n">
        <f aca="false">INT((MONTH(B1514)-1)/3)+1</f>
        <v>1</v>
      </c>
      <c r="E1514" s="10" t="n">
        <f aca="false">MONTH(B1514)</f>
        <v>2</v>
      </c>
      <c r="F1514" s="10" t="str">
        <f aca="false">CHOOSE(MOD(A1514-1,5)+1,"Центр","Юг","Север","Запад","Восток")</f>
        <v>Север</v>
      </c>
      <c r="G1514" s="10" t="str">
        <f aca="false">"Округ_"&amp;(MOD(A1514-1,5)+1)&amp;"_"&amp;(MOD(INT((A1514-1)/5),5)+1)</f>
        <v>Округ_3_3</v>
      </c>
      <c r="H1514" s="10" t="str">
        <f aca="false">"Город_"&amp;(MOD(A1514-1,5)+1)&amp;"_"&amp;(MOD(INT((A1514-1)/5),5)+1)&amp;"_"&amp;(MOD(INT((A1514-1)/25),10)+1)</f>
        <v>Город_3_3_1</v>
      </c>
      <c r="I1514" s="10" t="str">
        <f aca="false">CHOOSE(MOD(A1514-1,4)+1,"Электроника","Одежда","Продукты","Мебель")</f>
        <v>Электроника</v>
      </c>
      <c r="J1514" s="10" t="str">
        <f aca="false">CHOOSE(MOD(INT((A1514-1)/4),4)+1,CHOOSE(MOD(A1514-1,4)+1,"Смартфоны","Ноутбуки","Аксессуары","Аудио"),CHOOSE(MOD(A1514-1,4)+1,"Верхняя одежда","Спортивная","Повседневная","Обувь"),CHOOSE(MOD(A1514-1,4)+1,"Молочные","Мясные","Бакалея","Напитки"),CHOOSE(MOD(A1514-1,4)+1,"Мягкая мебель","Корпусная","Офисная","Кухонная"))</f>
        <v>Молочные</v>
      </c>
      <c r="K1514" s="12" t="n">
        <f aca="false">1000+MOD(A1514*317+A1514*A1514*7,49001)</f>
        <v>40468</v>
      </c>
      <c r="L1514" s="12" t="n">
        <f aca="false">1+MOD(A1514*131,100)</f>
        <v>4</v>
      </c>
      <c r="M1514" s="12" t="n">
        <f aca="false">INT(K1514*(0.6+MOD(A1514*43,21)/100))</f>
        <v>24685</v>
      </c>
      <c r="N1514" s="12" t="n">
        <f aca="false">K1514-M1514</f>
        <v>15783</v>
      </c>
    </row>
    <row r="1515" customFormat="false" ht="12.8" hidden="false" customHeight="false" outlineLevel="0" collapsed="false">
      <c r="A1515" s="10" t="n">
        <f aca="false">A1514+1</f>
        <v>1514</v>
      </c>
      <c r="B1515" s="11" t="n">
        <f aca="false">B1514+1</f>
        <v>46440</v>
      </c>
      <c r="C1515" s="10" t="n">
        <f aca="false">YEAR(B1515)</f>
        <v>2027</v>
      </c>
      <c r="D1515" s="10" t="n">
        <f aca="false">INT((MONTH(B1515)-1)/3)+1</f>
        <v>1</v>
      </c>
      <c r="E1515" s="10" t="n">
        <f aca="false">MONTH(B1515)</f>
        <v>2</v>
      </c>
      <c r="F1515" s="10" t="str">
        <f aca="false">CHOOSE(MOD(A1515-1,5)+1,"Центр","Юг","Север","Запад","Восток")</f>
        <v>Запад</v>
      </c>
      <c r="G1515" s="10" t="str">
        <f aca="false">"Округ_"&amp;(MOD(A1515-1,5)+1)&amp;"_"&amp;(MOD(INT((A1515-1)/5),5)+1)</f>
        <v>Округ_4_3</v>
      </c>
      <c r="H1515" s="10" t="str">
        <f aca="false">"Город_"&amp;(MOD(A1515-1,5)+1)&amp;"_"&amp;(MOD(INT((A1515-1)/5),5)+1)&amp;"_"&amp;(MOD(INT((A1515-1)/25),10)+1)</f>
        <v>Город_4_3_1</v>
      </c>
      <c r="I1515" s="10" t="str">
        <f aca="false">CHOOSE(MOD(A1515-1,4)+1,"Электроника","Одежда","Продукты","Мебель")</f>
        <v>Одежда</v>
      </c>
      <c r="J1515" s="10" t="str">
        <f aca="false">CHOOSE(MOD(INT((A1515-1)/4),4)+1,CHOOSE(MOD(A1515-1,4)+1,"Смартфоны","Ноутбуки","Аксессуары","Аудио"),CHOOSE(MOD(A1515-1,4)+1,"Верхняя одежда","Спортивная","Повседневная","Обувь"),CHOOSE(MOD(A1515-1,4)+1,"Молочные","Мясные","Бакалея","Напитки"),CHOOSE(MOD(A1515-1,4)+1,"Мягкая мебель","Корпусная","Офисная","Кухонная"))</f>
        <v>Мясные</v>
      </c>
      <c r="K1515" s="12" t="n">
        <f aca="false">1000+MOD(A1515*317+A1515*A1515*7,49001)</f>
        <v>12973</v>
      </c>
      <c r="L1515" s="12" t="n">
        <f aca="false">1+MOD(A1515*131,100)</f>
        <v>35</v>
      </c>
      <c r="M1515" s="12" t="n">
        <f aca="false">INT(K1515*(0.6+MOD(A1515*43,21)/100))</f>
        <v>8043</v>
      </c>
      <c r="N1515" s="12" t="n">
        <f aca="false">K1515-M1515</f>
        <v>4930</v>
      </c>
    </row>
    <row r="1516" customFormat="false" ht="12.8" hidden="false" customHeight="false" outlineLevel="0" collapsed="false">
      <c r="A1516" s="10" t="n">
        <f aca="false">A1515+1</f>
        <v>1515</v>
      </c>
      <c r="B1516" s="11" t="n">
        <f aca="false">B1515+1</f>
        <v>46441</v>
      </c>
      <c r="C1516" s="10" t="n">
        <f aca="false">YEAR(B1516)</f>
        <v>2027</v>
      </c>
      <c r="D1516" s="10" t="n">
        <f aca="false">INT((MONTH(B1516)-1)/3)+1</f>
        <v>1</v>
      </c>
      <c r="E1516" s="10" t="n">
        <f aca="false">MONTH(B1516)</f>
        <v>2</v>
      </c>
      <c r="F1516" s="10" t="str">
        <f aca="false">CHOOSE(MOD(A1516-1,5)+1,"Центр","Юг","Север","Запад","Восток")</f>
        <v>Восток</v>
      </c>
      <c r="G1516" s="10" t="str">
        <f aca="false">"Округ_"&amp;(MOD(A1516-1,5)+1)&amp;"_"&amp;(MOD(INT((A1516-1)/5),5)+1)</f>
        <v>Округ_5_3</v>
      </c>
      <c r="H1516" s="10" t="str">
        <f aca="false">"Город_"&amp;(MOD(A1516-1,5)+1)&amp;"_"&amp;(MOD(INT((A1516-1)/5),5)+1)&amp;"_"&amp;(MOD(INT((A1516-1)/25),10)+1)</f>
        <v>Город_5_3_1</v>
      </c>
      <c r="I1516" s="10" t="str">
        <f aca="false">CHOOSE(MOD(A1516-1,4)+1,"Электроника","Одежда","Продукты","Мебель")</f>
        <v>Продукты</v>
      </c>
      <c r="J1516" s="10" t="str">
        <f aca="false">CHOOSE(MOD(INT((A1516-1)/4),4)+1,CHOOSE(MOD(A1516-1,4)+1,"Смартфоны","Ноутбуки","Аксессуары","Аудио"),CHOOSE(MOD(A1516-1,4)+1,"Верхняя одежда","Спортивная","Повседневная","Обувь"),CHOOSE(MOD(A1516-1,4)+1,"Молочные","Мясные","Бакалея","Напитки"),CHOOSE(MOD(A1516-1,4)+1,"Мягкая мебель","Корпусная","Офисная","Кухонная"))</f>
        <v>Бакалея</v>
      </c>
      <c r="K1516" s="12" t="n">
        <f aca="false">1000+MOD(A1516*317+A1516*A1516*7,49001)</f>
        <v>34493</v>
      </c>
      <c r="L1516" s="12" t="n">
        <f aca="false">1+MOD(A1516*131,100)</f>
        <v>66</v>
      </c>
      <c r="M1516" s="12" t="n">
        <f aca="false">INT(K1516*(0.6+MOD(A1516*43,21)/100))</f>
        <v>21730</v>
      </c>
      <c r="N1516" s="12" t="n">
        <f aca="false">K1516-M1516</f>
        <v>12763</v>
      </c>
    </row>
    <row r="1517" customFormat="false" ht="12.8" hidden="false" customHeight="false" outlineLevel="0" collapsed="false">
      <c r="A1517" s="10" t="n">
        <f aca="false">A1516+1</f>
        <v>1516</v>
      </c>
      <c r="B1517" s="11" t="n">
        <f aca="false">B1516+1</f>
        <v>46442</v>
      </c>
      <c r="C1517" s="10" t="n">
        <f aca="false">YEAR(B1517)</f>
        <v>2027</v>
      </c>
      <c r="D1517" s="10" t="n">
        <f aca="false">INT((MONTH(B1517)-1)/3)+1</f>
        <v>1</v>
      </c>
      <c r="E1517" s="10" t="n">
        <f aca="false">MONTH(B1517)</f>
        <v>2</v>
      </c>
      <c r="F1517" s="10" t="str">
        <f aca="false">CHOOSE(MOD(A1517-1,5)+1,"Центр","Юг","Север","Запад","Восток")</f>
        <v>Центр</v>
      </c>
      <c r="G1517" s="10" t="str">
        <f aca="false">"Округ_"&amp;(MOD(A1517-1,5)+1)&amp;"_"&amp;(MOD(INT((A1517-1)/5),5)+1)</f>
        <v>Округ_1_4</v>
      </c>
      <c r="H1517" s="10" t="str">
        <f aca="false">"Город_"&amp;(MOD(A1517-1,5)+1)&amp;"_"&amp;(MOD(INT((A1517-1)/5),5)+1)&amp;"_"&amp;(MOD(INT((A1517-1)/25),10)+1)</f>
        <v>Город_1_4_1</v>
      </c>
      <c r="I1517" s="10" t="str">
        <f aca="false">CHOOSE(MOD(A1517-1,4)+1,"Электроника","Одежда","Продукты","Мебель")</f>
        <v>Мебель</v>
      </c>
      <c r="J1517" s="10" t="str">
        <f aca="false">CHOOSE(MOD(INT((A1517-1)/4),4)+1,CHOOSE(MOD(A1517-1,4)+1,"Смартфоны","Ноутбуки","Аксессуары","Аудио"),CHOOSE(MOD(A1517-1,4)+1,"Верхняя одежда","Спортивная","Повседневная","Обувь"),CHOOSE(MOD(A1517-1,4)+1,"Молочные","Мясные","Бакалея","Напитки"),CHOOSE(MOD(A1517-1,4)+1,"Мягкая мебель","Корпусная","Офисная","Кухонная"))</f>
        <v>Напитки</v>
      </c>
      <c r="K1517" s="12" t="n">
        <f aca="false">1000+MOD(A1517*317+A1517*A1517*7,49001)</f>
        <v>7026</v>
      </c>
      <c r="L1517" s="12" t="n">
        <f aca="false">1+MOD(A1517*131,100)</f>
        <v>97</v>
      </c>
      <c r="M1517" s="12" t="n">
        <f aca="false">INT(K1517*(0.6+MOD(A1517*43,21)/100))</f>
        <v>4496</v>
      </c>
      <c r="N1517" s="12" t="n">
        <f aca="false">K1517-M1517</f>
        <v>2530</v>
      </c>
    </row>
    <row r="1518" customFormat="false" ht="12.8" hidden="false" customHeight="false" outlineLevel="0" collapsed="false">
      <c r="A1518" s="10" t="n">
        <f aca="false">A1517+1</f>
        <v>1517</v>
      </c>
      <c r="B1518" s="11" t="n">
        <f aca="false">B1517+1</f>
        <v>46443</v>
      </c>
      <c r="C1518" s="10" t="n">
        <f aca="false">YEAR(B1518)</f>
        <v>2027</v>
      </c>
      <c r="D1518" s="10" t="n">
        <f aca="false">INT((MONTH(B1518)-1)/3)+1</f>
        <v>1</v>
      </c>
      <c r="E1518" s="10" t="n">
        <f aca="false">MONTH(B1518)</f>
        <v>2</v>
      </c>
      <c r="F1518" s="10" t="str">
        <f aca="false">CHOOSE(MOD(A1518-1,5)+1,"Центр","Юг","Север","Запад","Восток")</f>
        <v>Юг</v>
      </c>
      <c r="G1518" s="10" t="str">
        <f aca="false">"Округ_"&amp;(MOD(A1518-1,5)+1)&amp;"_"&amp;(MOD(INT((A1518-1)/5),5)+1)</f>
        <v>Округ_2_4</v>
      </c>
      <c r="H1518" s="10" t="str">
        <f aca="false">"Город_"&amp;(MOD(A1518-1,5)+1)&amp;"_"&amp;(MOD(INT((A1518-1)/5),5)+1)&amp;"_"&amp;(MOD(INT((A1518-1)/25),10)+1)</f>
        <v>Город_2_4_1</v>
      </c>
      <c r="I1518" s="10" t="str">
        <f aca="false">CHOOSE(MOD(A1518-1,4)+1,"Электроника","Одежда","Продукты","Мебель")</f>
        <v>Электроника</v>
      </c>
      <c r="J1518" s="10" t="str">
        <f aca="false">CHOOSE(MOD(INT((A1518-1)/4),4)+1,CHOOSE(MOD(A1518-1,4)+1,"Смартфоны","Ноутбуки","Аксессуары","Аудио"),CHOOSE(MOD(A1518-1,4)+1,"Верхняя одежда","Спортивная","Повседневная","Обувь"),CHOOSE(MOD(A1518-1,4)+1,"Молочные","Мясные","Бакалея","Напитки"),CHOOSE(MOD(A1518-1,4)+1,"Мягкая мебель","Корпусная","Офисная","Кухонная"))</f>
        <v>Мягкая мебель</v>
      </c>
      <c r="K1518" s="12" t="n">
        <f aca="false">1000+MOD(A1518*317+A1518*A1518*7,49001)</f>
        <v>28574</v>
      </c>
      <c r="L1518" s="12" t="n">
        <f aca="false">1+MOD(A1518*131,100)</f>
        <v>28</v>
      </c>
      <c r="M1518" s="12" t="n">
        <f aca="false">INT(K1518*(0.6+MOD(A1518*43,21)/100))</f>
        <v>18573</v>
      </c>
      <c r="N1518" s="12" t="n">
        <f aca="false">K1518-M1518</f>
        <v>10001</v>
      </c>
    </row>
    <row r="1519" customFormat="false" ht="12.8" hidden="false" customHeight="false" outlineLevel="0" collapsed="false">
      <c r="A1519" s="10" t="n">
        <f aca="false">A1518+1</f>
        <v>1518</v>
      </c>
      <c r="B1519" s="11" t="n">
        <f aca="false">B1518+1</f>
        <v>46444</v>
      </c>
      <c r="C1519" s="10" t="n">
        <f aca="false">YEAR(B1519)</f>
        <v>2027</v>
      </c>
      <c r="D1519" s="10" t="n">
        <f aca="false">INT((MONTH(B1519)-1)/3)+1</f>
        <v>1</v>
      </c>
      <c r="E1519" s="10" t="n">
        <f aca="false">MONTH(B1519)</f>
        <v>2</v>
      </c>
      <c r="F1519" s="10" t="str">
        <f aca="false">CHOOSE(MOD(A1519-1,5)+1,"Центр","Юг","Север","Запад","Восток")</f>
        <v>Север</v>
      </c>
      <c r="G1519" s="10" t="str">
        <f aca="false">"Округ_"&amp;(MOD(A1519-1,5)+1)&amp;"_"&amp;(MOD(INT((A1519-1)/5),5)+1)</f>
        <v>Округ_3_4</v>
      </c>
      <c r="H1519" s="10" t="str">
        <f aca="false">"Город_"&amp;(MOD(A1519-1,5)+1)&amp;"_"&amp;(MOD(INT((A1519-1)/5),5)+1)&amp;"_"&amp;(MOD(INT((A1519-1)/25),10)+1)</f>
        <v>Город_3_4_1</v>
      </c>
      <c r="I1519" s="10" t="str">
        <f aca="false">CHOOSE(MOD(A1519-1,4)+1,"Электроника","Одежда","Продукты","Мебель")</f>
        <v>Одежда</v>
      </c>
      <c r="J1519" s="10" t="str">
        <f aca="false">CHOOSE(MOD(INT((A1519-1)/4),4)+1,CHOOSE(MOD(A1519-1,4)+1,"Смартфоны","Ноутбуки","Аксессуары","Аудио"),CHOOSE(MOD(A1519-1,4)+1,"Верхняя одежда","Спортивная","Повседневная","Обувь"),CHOOSE(MOD(A1519-1,4)+1,"Молочные","Мясные","Бакалея","Напитки"),CHOOSE(MOD(A1519-1,4)+1,"Мягкая мебель","Корпусная","Офисная","Кухонная"))</f>
        <v>Корпусная</v>
      </c>
      <c r="K1519" s="12" t="n">
        <f aca="false">1000+MOD(A1519*317+A1519*A1519*7,49001)</f>
        <v>1135</v>
      </c>
      <c r="L1519" s="12" t="n">
        <f aca="false">1+MOD(A1519*131,100)</f>
        <v>59</v>
      </c>
      <c r="M1519" s="12" t="n">
        <f aca="false">INT(K1519*(0.6+MOD(A1519*43,21)/100))</f>
        <v>749</v>
      </c>
      <c r="N1519" s="12" t="n">
        <f aca="false">K1519-M1519</f>
        <v>386</v>
      </c>
    </row>
    <row r="1520" customFormat="false" ht="12.8" hidden="false" customHeight="false" outlineLevel="0" collapsed="false">
      <c r="A1520" s="10" t="n">
        <f aca="false">A1519+1</f>
        <v>1519</v>
      </c>
      <c r="B1520" s="11" t="n">
        <f aca="false">B1519+1</f>
        <v>46445</v>
      </c>
      <c r="C1520" s="10" t="n">
        <f aca="false">YEAR(B1520)</f>
        <v>2027</v>
      </c>
      <c r="D1520" s="10" t="n">
        <f aca="false">INT((MONTH(B1520)-1)/3)+1</f>
        <v>1</v>
      </c>
      <c r="E1520" s="10" t="n">
        <f aca="false">MONTH(B1520)</f>
        <v>2</v>
      </c>
      <c r="F1520" s="10" t="str">
        <f aca="false">CHOOSE(MOD(A1520-1,5)+1,"Центр","Юг","Север","Запад","Восток")</f>
        <v>Запад</v>
      </c>
      <c r="G1520" s="10" t="str">
        <f aca="false">"Округ_"&amp;(MOD(A1520-1,5)+1)&amp;"_"&amp;(MOD(INT((A1520-1)/5),5)+1)</f>
        <v>Округ_4_4</v>
      </c>
      <c r="H1520" s="10" t="str">
        <f aca="false">"Город_"&amp;(MOD(A1520-1,5)+1)&amp;"_"&amp;(MOD(INT((A1520-1)/5),5)+1)&amp;"_"&amp;(MOD(INT((A1520-1)/25),10)+1)</f>
        <v>Город_4_4_1</v>
      </c>
      <c r="I1520" s="10" t="str">
        <f aca="false">CHOOSE(MOD(A1520-1,4)+1,"Электроника","Одежда","Продукты","Мебель")</f>
        <v>Продукты</v>
      </c>
      <c r="J1520" s="10" t="str">
        <f aca="false">CHOOSE(MOD(INT((A1520-1)/4),4)+1,CHOOSE(MOD(A1520-1,4)+1,"Смартфоны","Ноутбуки","Аксессуары","Аудио"),CHOOSE(MOD(A1520-1,4)+1,"Верхняя одежда","Спортивная","Повседневная","Обувь"),CHOOSE(MOD(A1520-1,4)+1,"Молочные","Мясные","Бакалея","Напитки"),CHOOSE(MOD(A1520-1,4)+1,"Мягкая мебель","Корпусная","Офисная","Кухонная"))</f>
        <v>Офисная</v>
      </c>
      <c r="K1520" s="12" t="n">
        <f aca="false">1000+MOD(A1520*317+A1520*A1520*7,49001)</f>
        <v>22711</v>
      </c>
      <c r="L1520" s="12" t="n">
        <f aca="false">1+MOD(A1520*131,100)</f>
        <v>90</v>
      </c>
      <c r="M1520" s="12" t="n">
        <f aca="false">INT(K1520*(0.6+MOD(A1520*43,21)/100))</f>
        <v>15216</v>
      </c>
      <c r="N1520" s="12" t="n">
        <f aca="false">K1520-M1520</f>
        <v>7495</v>
      </c>
    </row>
    <row r="1521" customFormat="false" ht="12.8" hidden="false" customHeight="false" outlineLevel="0" collapsed="false">
      <c r="A1521" s="10" t="n">
        <f aca="false">A1520+1</f>
        <v>1520</v>
      </c>
      <c r="B1521" s="11" t="n">
        <f aca="false">B1520+1</f>
        <v>46446</v>
      </c>
      <c r="C1521" s="10" t="n">
        <f aca="false">YEAR(B1521)</f>
        <v>2027</v>
      </c>
      <c r="D1521" s="10" t="n">
        <f aca="false">INT((MONTH(B1521)-1)/3)+1</f>
        <v>1</v>
      </c>
      <c r="E1521" s="10" t="n">
        <f aca="false">MONTH(B1521)</f>
        <v>2</v>
      </c>
      <c r="F1521" s="10" t="str">
        <f aca="false">CHOOSE(MOD(A1521-1,5)+1,"Центр","Юг","Север","Запад","Восток")</f>
        <v>Восток</v>
      </c>
      <c r="G1521" s="10" t="str">
        <f aca="false">"Округ_"&amp;(MOD(A1521-1,5)+1)&amp;"_"&amp;(MOD(INT((A1521-1)/5),5)+1)</f>
        <v>Округ_5_4</v>
      </c>
      <c r="H1521" s="10" t="str">
        <f aca="false">"Город_"&amp;(MOD(A1521-1,5)+1)&amp;"_"&amp;(MOD(INT((A1521-1)/5),5)+1)&amp;"_"&amp;(MOD(INT((A1521-1)/25),10)+1)</f>
        <v>Город_5_4_1</v>
      </c>
      <c r="I1521" s="10" t="str">
        <f aca="false">CHOOSE(MOD(A1521-1,4)+1,"Электроника","Одежда","Продукты","Мебель")</f>
        <v>Мебель</v>
      </c>
      <c r="J1521" s="10" t="str">
        <f aca="false">CHOOSE(MOD(INT((A1521-1)/4),4)+1,CHOOSE(MOD(A1521-1,4)+1,"Смартфоны","Ноутбуки","Аксессуары","Аудио"),CHOOSE(MOD(A1521-1,4)+1,"Верхняя одежда","Спортивная","Повседневная","Обувь"),CHOOSE(MOD(A1521-1,4)+1,"Молочные","Мясные","Бакалея","Напитки"),CHOOSE(MOD(A1521-1,4)+1,"Мягкая мебель","Корпусная","Офисная","Кухонная"))</f>
        <v>Кухонная</v>
      </c>
      <c r="K1521" s="12" t="n">
        <f aca="false">1000+MOD(A1521*317+A1521*A1521*7,49001)</f>
        <v>44301</v>
      </c>
      <c r="L1521" s="12" t="n">
        <f aca="false">1+MOD(A1521*131,100)</f>
        <v>21</v>
      </c>
      <c r="M1521" s="12" t="n">
        <f aca="false">INT(K1521*(0.6+MOD(A1521*43,21)/100))</f>
        <v>30124</v>
      </c>
      <c r="N1521" s="12" t="n">
        <f aca="false">K1521-M1521</f>
        <v>14177</v>
      </c>
    </row>
    <row r="1522" customFormat="false" ht="12.8" hidden="false" customHeight="false" outlineLevel="0" collapsed="false">
      <c r="A1522" s="10" t="n">
        <f aca="false">A1521+1</f>
        <v>1521</v>
      </c>
      <c r="B1522" s="11" t="n">
        <f aca="false">B1521+1</f>
        <v>46447</v>
      </c>
      <c r="C1522" s="10" t="n">
        <f aca="false">YEAR(B1522)</f>
        <v>2027</v>
      </c>
      <c r="D1522" s="10" t="n">
        <f aca="false">INT((MONTH(B1522)-1)/3)+1</f>
        <v>1</v>
      </c>
      <c r="E1522" s="10" t="n">
        <f aca="false">MONTH(B1522)</f>
        <v>3</v>
      </c>
      <c r="F1522" s="10" t="str">
        <f aca="false">CHOOSE(MOD(A1522-1,5)+1,"Центр","Юг","Север","Запад","Восток")</f>
        <v>Центр</v>
      </c>
      <c r="G1522" s="10" t="str">
        <f aca="false">"Округ_"&amp;(MOD(A1522-1,5)+1)&amp;"_"&amp;(MOD(INT((A1522-1)/5),5)+1)</f>
        <v>Округ_1_5</v>
      </c>
      <c r="H1522" s="10" t="str">
        <f aca="false">"Город_"&amp;(MOD(A1522-1,5)+1)&amp;"_"&amp;(MOD(INT((A1522-1)/5),5)+1)&amp;"_"&amp;(MOD(INT((A1522-1)/25),10)+1)</f>
        <v>Город_1_5_1</v>
      </c>
      <c r="I1522" s="10" t="str">
        <f aca="false">CHOOSE(MOD(A1522-1,4)+1,"Электроника","Одежда","Продукты","Мебель")</f>
        <v>Электроника</v>
      </c>
      <c r="J1522" s="10" t="str">
        <f aca="false">CHOOSE(MOD(INT((A1522-1)/4),4)+1,CHOOSE(MOD(A1522-1,4)+1,"Смартфоны","Ноутбуки","Аксессуары","Аудио"),CHOOSE(MOD(A1522-1,4)+1,"Верхняя одежда","Спортивная","Повседневная","Обувь"),CHOOSE(MOD(A1522-1,4)+1,"Молочные","Мясные","Бакалея","Напитки"),CHOOSE(MOD(A1522-1,4)+1,"Мягкая мебель","Корпусная","Офисная","Кухонная"))</f>
        <v>Смартфоны</v>
      </c>
      <c r="K1522" s="12" t="n">
        <f aca="false">1000+MOD(A1522*317+A1522*A1522*7,49001)</f>
        <v>16904</v>
      </c>
      <c r="L1522" s="12" t="n">
        <f aca="false">1+MOD(A1522*131,100)</f>
        <v>52</v>
      </c>
      <c r="M1522" s="12" t="n">
        <f aca="false">INT(K1522*(0.6+MOD(A1522*43,21)/100))</f>
        <v>11663</v>
      </c>
      <c r="N1522" s="12" t="n">
        <f aca="false">K1522-M1522</f>
        <v>5241</v>
      </c>
    </row>
    <row r="1523" customFormat="false" ht="12.8" hidden="false" customHeight="false" outlineLevel="0" collapsed="false">
      <c r="A1523" s="10" t="n">
        <f aca="false">A1522+1</f>
        <v>1522</v>
      </c>
      <c r="B1523" s="11" t="n">
        <f aca="false">B1522+1</f>
        <v>46448</v>
      </c>
      <c r="C1523" s="10" t="n">
        <f aca="false">YEAR(B1523)</f>
        <v>2027</v>
      </c>
      <c r="D1523" s="10" t="n">
        <f aca="false">INT((MONTH(B1523)-1)/3)+1</f>
        <v>1</v>
      </c>
      <c r="E1523" s="10" t="n">
        <f aca="false">MONTH(B1523)</f>
        <v>3</v>
      </c>
      <c r="F1523" s="10" t="str">
        <f aca="false">CHOOSE(MOD(A1523-1,5)+1,"Центр","Юг","Север","Запад","Восток")</f>
        <v>Юг</v>
      </c>
      <c r="G1523" s="10" t="str">
        <f aca="false">"Округ_"&amp;(MOD(A1523-1,5)+1)&amp;"_"&amp;(MOD(INT((A1523-1)/5),5)+1)</f>
        <v>Округ_2_5</v>
      </c>
      <c r="H1523" s="10" t="str">
        <f aca="false">"Город_"&amp;(MOD(A1523-1,5)+1)&amp;"_"&amp;(MOD(INT((A1523-1)/5),5)+1)&amp;"_"&amp;(MOD(INT((A1523-1)/25),10)+1)</f>
        <v>Город_2_5_1</v>
      </c>
      <c r="I1523" s="10" t="str">
        <f aca="false">CHOOSE(MOD(A1523-1,4)+1,"Электроника","Одежда","Продукты","Мебель")</f>
        <v>Одежда</v>
      </c>
      <c r="J1523" s="10" t="str">
        <f aca="false">CHOOSE(MOD(INT((A1523-1)/4),4)+1,CHOOSE(MOD(A1523-1,4)+1,"Смартфоны","Ноутбуки","Аксессуары","Аудио"),CHOOSE(MOD(A1523-1,4)+1,"Верхняя одежда","Спортивная","Повседневная","Обувь"),CHOOSE(MOD(A1523-1,4)+1,"Молочные","Мясные","Бакалея","Напитки"),CHOOSE(MOD(A1523-1,4)+1,"Мягкая мебель","Корпусная","Офисная","Кухонная"))</f>
        <v>Ноутбуки</v>
      </c>
      <c r="K1523" s="12" t="n">
        <f aca="false">1000+MOD(A1523*317+A1523*A1523*7,49001)</f>
        <v>38522</v>
      </c>
      <c r="L1523" s="12" t="n">
        <f aca="false">1+MOD(A1523*131,100)</f>
        <v>83</v>
      </c>
      <c r="M1523" s="12" t="n">
        <f aca="false">INT(K1523*(0.6+MOD(A1523*43,21)/100))</f>
        <v>26965</v>
      </c>
      <c r="N1523" s="12" t="n">
        <f aca="false">K1523-M1523</f>
        <v>11557</v>
      </c>
    </row>
    <row r="1524" customFormat="false" ht="12.8" hidden="false" customHeight="false" outlineLevel="0" collapsed="false">
      <c r="A1524" s="10" t="n">
        <f aca="false">A1523+1</f>
        <v>1523</v>
      </c>
      <c r="B1524" s="11" t="n">
        <f aca="false">B1523+1</f>
        <v>46449</v>
      </c>
      <c r="C1524" s="10" t="n">
        <f aca="false">YEAR(B1524)</f>
        <v>2027</v>
      </c>
      <c r="D1524" s="10" t="n">
        <f aca="false">INT((MONTH(B1524)-1)/3)+1</f>
        <v>1</v>
      </c>
      <c r="E1524" s="10" t="n">
        <f aca="false">MONTH(B1524)</f>
        <v>3</v>
      </c>
      <c r="F1524" s="10" t="str">
        <f aca="false">CHOOSE(MOD(A1524-1,5)+1,"Центр","Юг","Север","Запад","Восток")</f>
        <v>Север</v>
      </c>
      <c r="G1524" s="10" t="str">
        <f aca="false">"Округ_"&amp;(MOD(A1524-1,5)+1)&amp;"_"&amp;(MOD(INT((A1524-1)/5),5)+1)</f>
        <v>Округ_3_5</v>
      </c>
      <c r="H1524" s="10" t="str">
        <f aca="false">"Город_"&amp;(MOD(A1524-1,5)+1)&amp;"_"&amp;(MOD(INT((A1524-1)/5),5)+1)&amp;"_"&amp;(MOD(INT((A1524-1)/25),10)+1)</f>
        <v>Город_3_5_1</v>
      </c>
      <c r="I1524" s="10" t="str">
        <f aca="false">CHOOSE(MOD(A1524-1,4)+1,"Электроника","Одежда","Продукты","Мебель")</f>
        <v>Продукты</v>
      </c>
      <c r="J1524" s="10" t="str">
        <f aca="false">CHOOSE(MOD(INT((A1524-1)/4),4)+1,CHOOSE(MOD(A1524-1,4)+1,"Смартфоны","Ноутбуки","Аксессуары","Аудио"),CHOOSE(MOD(A1524-1,4)+1,"Верхняя одежда","Спортивная","Повседневная","Обувь"),CHOOSE(MOD(A1524-1,4)+1,"Молочные","Мясные","Бакалея","Напитки"),CHOOSE(MOD(A1524-1,4)+1,"Мягкая мебель","Корпусная","Офисная","Кухонная"))</f>
        <v>Аксессуары</v>
      </c>
      <c r="K1524" s="12" t="n">
        <f aca="false">1000+MOD(A1524*317+A1524*A1524*7,49001)</f>
        <v>11153</v>
      </c>
      <c r="L1524" s="12" t="n">
        <f aca="false">1+MOD(A1524*131,100)</f>
        <v>14</v>
      </c>
      <c r="M1524" s="12" t="n">
        <f aca="false">INT(K1524*(0.6+MOD(A1524*43,21)/100))</f>
        <v>7918</v>
      </c>
      <c r="N1524" s="12" t="n">
        <f aca="false">K1524-M1524</f>
        <v>3235</v>
      </c>
    </row>
    <row r="1525" customFormat="false" ht="12.8" hidden="false" customHeight="false" outlineLevel="0" collapsed="false">
      <c r="A1525" s="10" t="n">
        <f aca="false">A1524+1</f>
        <v>1524</v>
      </c>
      <c r="B1525" s="11" t="n">
        <f aca="false">B1524+1</f>
        <v>46450</v>
      </c>
      <c r="C1525" s="10" t="n">
        <f aca="false">YEAR(B1525)</f>
        <v>2027</v>
      </c>
      <c r="D1525" s="10" t="n">
        <f aca="false">INT((MONTH(B1525)-1)/3)+1</f>
        <v>1</v>
      </c>
      <c r="E1525" s="10" t="n">
        <f aca="false">MONTH(B1525)</f>
        <v>3</v>
      </c>
      <c r="F1525" s="10" t="str">
        <f aca="false">CHOOSE(MOD(A1525-1,5)+1,"Центр","Юг","Север","Запад","Восток")</f>
        <v>Запад</v>
      </c>
      <c r="G1525" s="10" t="str">
        <f aca="false">"Округ_"&amp;(MOD(A1525-1,5)+1)&amp;"_"&amp;(MOD(INT((A1525-1)/5),5)+1)</f>
        <v>Округ_4_5</v>
      </c>
      <c r="H1525" s="10" t="str">
        <f aca="false">"Город_"&amp;(MOD(A1525-1,5)+1)&amp;"_"&amp;(MOD(INT((A1525-1)/5),5)+1)&amp;"_"&amp;(MOD(INT((A1525-1)/25),10)+1)</f>
        <v>Город_4_5_1</v>
      </c>
      <c r="I1525" s="10" t="str">
        <f aca="false">CHOOSE(MOD(A1525-1,4)+1,"Электроника","Одежда","Продукты","Мебель")</f>
        <v>Мебель</v>
      </c>
      <c r="J1525" s="10" t="str">
        <f aca="false">CHOOSE(MOD(INT((A1525-1)/4),4)+1,CHOOSE(MOD(A1525-1,4)+1,"Смартфоны","Ноутбуки","Аксессуары","Аудио"),CHOOSE(MOD(A1525-1,4)+1,"Верхняя одежда","Спортивная","Повседневная","Обувь"),CHOOSE(MOD(A1525-1,4)+1,"Молочные","Мясные","Бакалея","Напитки"),CHOOSE(MOD(A1525-1,4)+1,"Мягкая мебель","Корпусная","Офисная","Кухонная"))</f>
        <v>Аудио</v>
      </c>
      <c r="K1525" s="12" t="n">
        <f aca="false">1000+MOD(A1525*317+A1525*A1525*7,49001)</f>
        <v>32799</v>
      </c>
      <c r="L1525" s="12" t="n">
        <f aca="false">1+MOD(A1525*131,100)</f>
        <v>45</v>
      </c>
      <c r="M1525" s="12" t="n">
        <f aca="false">INT(K1525*(0.6+MOD(A1525*43,21)/100))</f>
        <v>23615</v>
      </c>
      <c r="N1525" s="12" t="n">
        <f aca="false">K1525-M1525</f>
        <v>9184</v>
      </c>
    </row>
    <row r="1526" customFormat="false" ht="12.8" hidden="false" customHeight="false" outlineLevel="0" collapsed="false">
      <c r="A1526" s="10" t="n">
        <f aca="false">A1525+1</f>
        <v>1525</v>
      </c>
      <c r="B1526" s="11" t="n">
        <f aca="false">B1525+1</f>
        <v>46451</v>
      </c>
      <c r="C1526" s="10" t="n">
        <f aca="false">YEAR(B1526)</f>
        <v>2027</v>
      </c>
      <c r="D1526" s="10" t="n">
        <f aca="false">INT((MONTH(B1526)-1)/3)+1</f>
        <v>1</v>
      </c>
      <c r="E1526" s="10" t="n">
        <f aca="false">MONTH(B1526)</f>
        <v>3</v>
      </c>
      <c r="F1526" s="10" t="str">
        <f aca="false">CHOOSE(MOD(A1526-1,5)+1,"Центр","Юг","Север","Запад","Восток")</f>
        <v>Восток</v>
      </c>
      <c r="G1526" s="10" t="str">
        <f aca="false">"Округ_"&amp;(MOD(A1526-1,5)+1)&amp;"_"&amp;(MOD(INT((A1526-1)/5),5)+1)</f>
        <v>Округ_5_5</v>
      </c>
      <c r="H1526" s="10" t="str">
        <f aca="false">"Город_"&amp;(MOD(A1526-1,5)+1)&amp;"_"&amp;(MOD(INT((A1526-1)/5),5)+1)&amp;"_"&amp;(MOD(INT((A1526-1)/25),10)+1)</f>
        <v>Город_5_5_1</v>
      </c>
      <c r="I1526" s="10" t="str">
        <f aca="false">CHOOSE(MOD(A1526-1,4)+1,"Электроника","Одежда","Продукты","Мебель")</f>
        <v>Электроника</v>
      </c>
      <c r="J1526" s="10" t="str">
        <f aca="false">CHOOSE(MOD(INT((A1526-1)/4),4)+1,CHOOSE(MOD(A1526-1,4)+1,"Смартфоны","Ноутбуки","Аксессуары","Аудио"),CHOOSE(MOD(A1526-1,4)+1,"Верхняя одежда","Спортивная","Повседневная","Обувь"),CHOOSE(MOD(A1526-1,4)+1,"Молочные","Мясные","Бакалея","Напитки"),CHOOSE(MOD(A1526-1,4)+1,"Мягкая мебель","Корпусная","Офисная","Кухонная"))</f>
        <v>Верхняя одежда</v>
      </c>
      <c r="K1526" s="12" t="n">
        <f aca="false">1000+MOD(A1526*317+A1526*A1526*7,49001)</f>
        <v>5458</v>
      </c>
      <c r="L1526" s="12" t="n">
        <f aca="false">1+MOD(A1526*131,100)</f>
        <v>76</v>
      </c>
      <c r="M1526" s="12" t="n">
        <f aca="false">INT(K1526*(0.6+MOD(A1526*43,21)/100))</f>
        <v>3984</v>
      </c>
      <c r="N1526" s="12" t="n">
        <f aca="false">K1526-M1526</f>
        <v>1474</v>
      </c>
    </row>
    <row r="1527" customFormat="false" ht="12.8" hidden="false" customHeight="false" outlineLevel="0" collapsed="false">
      <c r="A1527" s="10" t="n">
        <f aca="false">A1526+1</f>
        <v>1526</v>
      </c>
      <c r="B1527" s="11" t="n">
        <f aca="false">B1526+1</f>
        <v>46452</v>
      </c>
      <c r="C1527" s="10" t="n">
        <f aca="false">YEAR(B1527)</f>
        <v>2027</v>
      </c>
      <c r="D1527" s="10" t="n">
        <f aca="false">INT((MONTH(B1527)-1)/3)+1</f>
        <v>1</v>
      </c>
      <c r="E1527" s="10" t="n">
        <f aca="false">MONTH(B1527)</f>
        <v>3</v>
      </c>
      <c r="F1527" s="10" t="str">
        <f aca="false">CHOOSE(MOD(A1527-1,5)+1,"Центр","Юг","Север","Запад","Восток")</f>
        <v>Центр</v>
      </c>
      <c r="G1527" s="10" t="str">
        <f aca="false">"Округ_"&amp;(MOD(A1527-1,5)+1)&amp;"_"&amp;(MOD(INT((A1527-1)/5),5)+1)</f>
        <v>Округ_1_1</v>
      </c>
      <c r="H1527" s="10" t="str">
        <f aca="false">"Город_"&amp;(MOD(A1527-1,5)+1)&amp;"_"&amp;(MOD(INT((A1527-1)/5),5)+1)&amp;"_"&amp;(MOD(INT((A1527-1)/25),10)+1)</f>
        <v>Город_1_1_2</v>
      </c>
      <c r="I1527" s="10" t="str">
        <f aca="false">CHOOSE(MOD(A1527-1,4)+1,"Электроника","Одежда","Продукты","Мебель")</f>
        <v>Одежда</v>
      </c>
      <c r="J1527" s="10" t="str">
        <f aca="false">CHOOSE(MOD(INT((A1527-1)/4),4)+1,CHOOSE(MOD(A1527-1,4)+1,"Смартфоны","Ноутбуки","Аксессуары","Аудио"),CHOOSE(MOD(A1527-1,4)+1,"Верхняя одежда","Спортивная","Повседневная","Обувь"),CHOOSE(MOD(A1527-1,4)+1,"Молочные","Мясные","Бакалея","Напитки"),CHOOSE(MOD(A1527-1,4)+1,"Мягкая мебель","Корпусная","Офисная","Кухонная"))</f>
        <v>Спортивная</v>
      </c>
      <c r="K1527" s="12" t="n">
        <f aca="false">1000+MOD(A1527*317+A1527*A1527*7,49001)</f>
        <v>27132</v>
      </c>
      <c r="L1527" s="12" t="n">
        <f aca="false">1+MOD(A1527*131,100)</f>
        <v>7</v>
      </c>
      <c r="M1527" s="12" t="n">
        <f aca="false">INT(K1527*(0.6+MOD(A1527*43,21)/100))</f>
        <v>20077</v>
      </c>
      <c r="N1527" s="12" t="n">
        <f aca="false">K1527-M1527</f>
        <v>7055</v>
      </c>
    </row>
    <row r="1528" customFormat="false" ht="12.8" hidden="false" customHeight="false" outlineLevel="0" collapsed="false">
      <c r="A1528" s="10" t="n">
        <f aca="false">A1527+1</f>
        <v>1527</v>
      </c>
      <c r="B1528" s="11" t="n">
        <f aca="false">B1527+1</f>
        <v>46453</v>
      </c>
      <c r="C1528" s="10" t="n">
        <f aca="false">YEAR(B1528)</f>
        <v>2027</v>
      </c>
      <c r="D1528" s="10" t="n">
        <f aca="false">INT((MONTH(B1528)-1)/3)+1</f>
        <v>1</v>
      </c>
      <c r="E1528" s="10" t="n">
        <f aca="false">MONTH(B1528)</f>
        <v>3</v>
      </c>
      <c r="F1528" s="10" t="str">
        <f aca="false">CHOOSE(MOD(A1528-1,5)+1,"Центр","Юг","Север","Запад","Восток")</f>
        <v>Юг</v>
      </c>
      <c r="G1528" s="10" t="str">
        <f aca="false">"Округ_"&amp;(MOD(A1528-1,5)+1)&amp;"_"&amp;(MOD(INT((A1528-1)/5),5)+1)</f>
        <v>Округ_2_1</v>
      </c>
      <c r="H1528" s="10" t="str">
        <f aca="false">"Город_"&amp;(MOD(A1528-1,5)+1)&amp;"_"&amp;(MOD(INT((A1528-1)/5),5)+1)&amp;"_"&amp;(MOD(INT((A1528-1)/25),10)+1)</f>
        <v>Город_2_1_2</v>
      </c>
      <c r="I1528" s="10" t="str">
        <f aca="false">CHOOSE(MOD(A1528-1,4)+1,"Электроника","Одежда","Продукты","Мебель")</f>
        <v>Продукты</v>
      </c>
      <c r="J1528" s="10" t="str">
        <f aca="false">CHOOSE(MOD(INT((A1528-1)/4),4)+1,CHOOSE(MOD(A1528-1,4)+1,"Смартфоны","Ноутбуки","Аксессуары","Аудио"),CHOOSE(MOD(A1528-1,4)+1,"Верхняя одежда","Спортивная","Повседневная","Обувь"),CHOOSE(MOD(A1528-1,4)+1,"Молочные","Мясные","Бакалея","Напитки"),CHOOSE(MOD(A1528-1,4)+1,"Мягкая мебель","Корпусная","Офисная","Кухонная"))</f>
        <v>Повседневная</v>
      </c>
      <c r="K1528" s="12" t="n">
        <f aca="false">1000+MOD(A1528*317+A1528*A1528*7,49001)</f>
        <v>48820</v>
      </c>
      <c r="L1528" s="12" t="n">
        <f aca="false">1+MOD(A1528*131,100)</f>
        <v>38</v>
      </c>
      <c r="M1528" s="12" t="n">
        <f aca="false">INT(K1528*(0.6+MOD(A1528*43,21)/100))</f>
        <v>36615</v>
      </c>
      <c r="N1528" s="12" t="n">
        <f aca="false">K1528-M1528</f>
        <v>12205</v>
      </c>
    </row>
    <row r="1529" customFormat="false" ht="12.8" hidden="false" customHeight="false" outlineLevel="0" collapsed="false">
      <c r="A1529" s="10" t="n">
        <f aca="false">A1528+1</f>
        <v>1528</v>
      </c>
      <c r="B1529" s="11" t="n">
        <f aca="false">B1528+1</f>
        <v>46454</v>
      </c>
      <c r="C1529" s="10" t="n">
        <f aca="false">YEAR(B1529)</f>
        <v>2027</v>
      </c>
      <c r="D1529" s="10" t="n">
        <f aca="false">INT((MONTH(B1529)-1)/3)+1</f>
        <v>1</v>
      </c>
      <c r="E1529" s="10" t="n">
        <f aca="false">MONTH(B1529)</f>
        <v>3</v>
      </c>
      <c r="F1529" s="10" t="str">
        <f aca="false">CHOOSE(MOD(A1529-1,5)+1,"Центр","Юг","Север","Запад","Восток")</f>
        <v>Север</v>
      </c>
      <c r="G1529" s="10" t="str">
        <f aca="false">"Округ_"&amp;(MOD(A1529-1,5)+1)&amp;"_"&amp;(MOD(INT((A1529-1)/5),5)+1)</f>
        <v>Округ_3_1</v>
      </c>
      <c r="H1529" s="10" t="str">
        <f aca="false">"Город_"&amp;(MOD(A1529-1,5)+1)&amp;"_"&amp;(MOD(INT((A1529-1)/5),5)+1)&amp;"_"&amp;(MOD(INT((A1529-1)/25),10)+1)</f>
        <v>Город_3_1_2</v>
      </c>
      <c r="I1529" s="10" t="str">
        <f aca="false">CHOOSE(MOD(A1529-1,4)+1,"Электроника","Одежда","Продукты","Мебель")</f>
        <v>Мебель</v>
      </c>
      <c r="J1529" s="10" t="str">
        <f aca="false">CHOOSE(MOD(INT((A1529-1)/4),4)+1,CHOOSE(MOD(A1529-1,4)+1,"Смартфоны","Ноутбуки","Аксессуары","Аудио"),CHOOSE(MOD(A1529-1,4)+1,"Верхняя одежда","Спортивная","Повседневная","Обувь"),CHOOSE(MOD(A1529-1,4)+1,"Молочные","Мясные","Бакалея","Напитки"),CHOOSE(MOD(A1529-1,4)+1,"Мягкая мебель","Корпусная","Офисная","Кухонная"))</f>
        <v>Обувь</v>
      </c>
      <c r="K1529" s="12" t="n">
        <f aca="false">1000+MOD(A1529*317+A1529*A1529*7,49001)</f>
        <v>21521</v>
      </c>
      <c r="L1529" s="12" t="n">
        <f aca="false">1+MOD(A1529*131,100)</f>
        <v>69</v>
      </c>
      <c r="M1529" s="12" t="n">
        <f aca="false">INT(K1529*(0.6+MOD(A1529*43,21)/100))</f>
        <v>16355</v>
      </c>
      <c r="N1529" s="12" t="n">
        <f aca="false">K1529-M1529</f>
        <v>5166</v>
      </c>
    </row>
    <row r="1530" customFormat="false" ht="12.8" hidden="false" customHeight="false" outlineLevel="0" collapsed="false">
      <c r="A1530" s="10" t="n">
        <f aca="false">A1529+1</f>
        <v>1529</v>
      </c>
      <c r="B1530" s="11" t="n">
        <f aca="false">B1529+1</f>
        <v>46455</v>
      </c>
      <c r="C1530" s="10" t="n">
        <f aca="false">YEAR(B1530)</f>
        <v>2027</v>
      </c>
      <c r="D1530" s="10" t="n">
        <f aca="false">INT((MONTH(B1530)-1)/3)+1</f>
        <v>1</v>
      </c>
      <c r="E1530" s="10" t="n">
        <f aca="false">MONTH(B1530)</f>
        <v>3</v>
      </c>
      <c r="F1530" s="10" t="str">
        <f aca="false">CHOOSE(MOD(A1530-1,5)+1,"Центр","Юг","Север","Запад","Восток")</f>
        <v>Запад</v>
      </c>
      <c r="G1530" s="10" t="str">
        <f aca="false">"Округ_"&amp;(MOD(A1530-1,5)+1)&amp;"_"&amp;(MOD(INT((A1530-1)/5),5)+1)</f>
        <v>Округ_4_1</v>
      </c>
      <c r="H1530" s="10" t="str">
        <f aca="false">"Город_"&amp;(MOD(A1530-1,5)+1)&amp;"_"&amp;(MOD(INT((A1530-1)/5),5)+1)&amp;"_"&amp;(MOD(INT((A1530-1)/25),10)+1)</f>
        <v>Город_4_1_2</v>
      </c>
      <c r="I1530" s="10" t="str">
        <f aca="false">CHOOSE(MOD(A1530-1,4)+1,"Электроника","Одежда","Продукты","Мебель")</f>
        <v>Электроника</v>
      </c>
      <c r="J1530" s="10" t="str">
        <f aca="false">CHOOSE(MOD(INT((A1530-1)/4),4)+1,CHOOSE(MOD(A1530-1,4)+1,"Смартфоны","Ноутбуки","Аксессуары","Аудио"),CHOOSE(MOD(A1530-1,4)+1,"Верхняя одежда","Спортивная","Повседневная","Обувь"),CHOOSE(MOD(A1530-1,4)+1,"Молочные","Мясные","Бакалея","Напитки"),CHOOSE(MOD(A1530-1,4)+1,"Мягкая мебель","Корпусная","Офисная","Кухонная"))</f>
        <v>Молочные</v>
      </c>
      <c r="K1530" s="12" t="n">
        <f aca="false">1000+MOD(A1530*317+A1530*A1530*7,49001)</f>
        <v>43237</v>
      </c>
      <c r="L1530" s="12" t="n">
        <f aca="false">1+MOD(A1530*131,100)</f>
        <v>100</v>
      </c>
      <c r="M1530" s="12" t="n">
        <f aca="false">INT(K1530*(0.6+MOD(A1530*43,21)/100))</f>
        <v>33292</v>
      </c>
      <c r="N1530" s="12" t="n">
        <f aca="false">K1530-M1530</f>
        <v>9945</v>
      </c>
    </row>
    <row r="1531" customFormat="false" ht="12.8" hidden="false" customHeight="false" outlineLevel="0" collapsed="false">
      <c r="A1531" s="10" t="n">
        <f aca="false">A1530+1</f>
        <v>1530</v>
      </c>
      <c r="B1531" s="11" t="n">
        <f aca="false">B1530+1</f>
        <v>46456</v>
      </c>
      <c r="C1531" s="10" t="n">
        <f aca="false">YEAR(B1531)</f>
        <v>2027</v>
      </c>
      <c r="D1531" s="10" t="n">
        <f aca="false">INT((MONTH(B1531)-1)/3)+1</f>
        <v>1</v>
      </c>
      <c r="E1531" s="10" t="n">
        <f aca="false">MONTH(B1531)</f>
        <v>3</v>
      </c>
      <c r="F1531" s="10" t="str">
        <f aca="false">CHOOSE(MOD(A1531-1,5)+1,"Центр","Юг","Север","Запад","Восток")</f>
        <v>Восток</v>
      </c>
      <c r="G1531" s="10" t="str">
        <f aca="false">"Округ_"&amp;(MOD(A1531-1,5)+1)&amp;"_"&amp;(MOD(INT((A1531-1)/5),5)+1)</f>
        <v>Округ_5_1</v>
      </c>
      <c r="H1531" s="10" t="str">
        <f aca="false">"Город_"&amp;(MOD(A1531-1,5)+1)&amp;"_"&amp;(MOD(INT((A1531-1)/5),5)+1)&amp;"_"&amp;(MOD(INT((A1531-1)/25),10)+1)</f>
        <v>Город_5_1_2</v>
      </c>
      <c r="I1531" s="10" t="str">
        <f aca="false">CHOOSE(MOD(A1531-1,4)+1,"Электроника","Одежда","Продукты","Мебель")</f>
        <v>Одежда</v>
      </c>
      <c r="J1531" s="10" t="str">
        <f aca="false">CHOOSE(MOD(INT((A1531-1)/4),4)+1,CHOOSE(MOD(A1531-1,4)+1,"Смартфоны","Ноутбуки","Аксессуары","Аудио"),CHOOSE(MOD(A1531-1,4)+1,"Верхняя одежда","Спортивная","Повседневная","Обувь"),CHOOSE(MOD(A1531-1,4)+1,"Молочные","Мясные","Бакалея","Напитки"),CHOOSE(MOD(A1531-1,4)+1,"Мягкая мебель","Корпусная","Офисная","Кухонная"))</f>
        <v>Мясные</v>
      </c>
      <c r="K1531" s="12" t="n">
        <f aca="false">1000+MOD(A1531*317+A1531*A1531*7,49001)</f>
        <v>15966</v>
      </c>
      <c r="L1531" s="12" t="n">
        <f aca="false">1+MOD(A1531*131,100)</f>
        <v>31</v>
      </c>
      <c r="M1531" s="12" t="n">
        <f aca="false">INT(K1531*(0.6+MOD(A1531*43,21)/100))</f>
        <v>12453</v>
      </c>
      <c r="N1531" s="12" t="n">
        <f aca="false">K1531-M1531</f>
        <v>3513</v>
      </c>
    </row>
    <row r="1532" customFormat="false" ht="12.8" hidden="false" customHeight="false" outlineLevel="0" collapsed="false">
      <c r="A1532" s="10" t="n">
        <f aca="false">A1531+1</f>
        <v>1531</v>
      </c>
      <c r="B1532" s="11" t="n">
        <f aca="false">B1531+1</f>
        <v>46457</v>
      </c>
      <c r="C1532" s="10" t="n">
        <f aca="false">YEAR(B1532)</f>
        <v>2027</v>
      </c>
      <c r="D1532" s="10" t="n">
        <f aca="false">INT((MONTH(B1532)-1)/3)+1</f>
        <v>1</v>
      </c>
      <c r="E1532" s="10" t="n">
        <f aca="false">MONTH(B1532)</f>
        <v>3</v>
      </c>
      <c r="F1532" s="10" t="str">
        <f aca="false">CHOOSE(MOD(A1532-1,5)+1,"Центр","Юг","Север","Запад","Восток")</f>
        <v>Центр</v>
      </c>
      <c r="G1532" s="10" t="str">
        <f aca="false">"Округ_"&amp;(MOD(A1532-1,5)+1)&amp;"_"&amp;(MOD(INT((A1532-1)/5),5)+1)</f>
        <v>Округ_1_2</v>
      </c>
      <c r="H1532" s="10" t="str">
        <f aca="false">"Город_"&amp;(MOD(A1532-1,5)+1)&amp;"_"&amp;(MOD(INT((A1532-1)/5),5)+1)&amp;"_"&amp;(MOD(INT((A1532-1)/25),10)+1)</f>
        <v>Город_1_2_2</v>
      </c>
      <c r="I1532" s="10" t="str">
        <f aca="false">CHOOSE(MOD(A1532-1,4)+1,"Электроника","Одежда","Продукты","Мебель")</f>
        <v>Продукты</v>
      </c>
      <c r="J1532" s="10" t="str">
        <f aca="false">CHOOSE(MOD(INT((A1532-1)/4),4)+1,CHOOSE(MOD(A1532-1,4)+1,"Смартфоны","Ноутбуки","Аксессуары","Аудио"),CHOOSE(MOD(A1532-1,4)+1,"Верхняя одежда","Спортивная","Повседневная","Обувь"),CHOOSE(MOD(A1532-1,4)+1,"Молочные","Мясные","Бакалея","Напитки"),CHOOSE(MOD(A1532-1,4)+1,"Мягкая мебель","Корпусная","Офисная","Кухонная"))</f>
        <v>Бакалея</v>
      </c>
      <c r="K1532" s="12" t="n">
        <f aca="false">1000+MOD(A1532*317+A1532*A1532*7,49001)</f>
        <v>37710</v>
      </c>
      <c r="L1532" s="12" t="n">
        <f aca="false">1+MOD(A1532*131,100)</f>
        <v>62</v>
      </c>
      <c r="M1532" s="12" t="n">
        <f aca="false">INT(K1532*(0.6+MOD(A1532*43,21)/100))</f>
        <v>29790</v>
      </c>
      <c r="N1532" s="12" t="n">
        <f aca="false">K1532-M1532</f>
        <v>7920</v>
      </c>
    </row>
    <row r="1533" customFormat="false" ht="12.8" hidden="false" customHeight="false" outlineLevel="0" collapsed="false">
      <c r="A1533" s="10" t="n">
        <f aca="false">A1532+1</f>
        <v>1532</v>
      </c>
      <c r="B1533" s="11" t="n">
        <f aca="false">B1532+1</f>
        <v>46458</v>
      </c>
      <c r="C1533" s="10" t="n">
        <f aca="false">YEAR(B1533)</f>
        <v>2027</v>
      </c>
      <c r="D1533" s="10" t="n">
        <f aca="false">INT((MONTH(B1533)-1)/3)+1</f>
        <v>1</v>
      </c>
      <c r="E1533" s="10" t="n">
        <f aca="false">MONTH(B1533)</f>
        <v>3</v>
      </c>
      <c r="F1533" s="10" t="str">
        <f aca="false">CHOOSE(MOD(A1533-1,5)+1,"Центр","Юг","Север","Запад","Восток")</f>
        <v>Юг</v>
      </c>
      <c r="G1533" s="10" t="str">
        <f aca="false">"Округ_"&amp;(MOD(A1533-1,5)+1)&amp;"_"&amp;(MOD(INT((A1533-1)/5),5)+1)</f>
        <v>Округ_2_2</v>
      </c>
      <c r="H1533" s="10" t="str">
        <f aca="false">"Город_"&amp;(MOD(A1533-1,5)+1)&amp;"_"&amp;(MOD(INT((A1533-1)/5),5)+1)&amp;"_"&amp;(MOD(INT((A1533-1)/25),10)+1)</f>
        <v>Город_2_2_2</v>
      </c>
      <c r="I1533" s="10" t="str">
        <f aca="false">CHOOSE(MOD(A1533-1,4)+1,"Электроника","Одежда","Продукты","Мебель")</f>
        <v>Мебель</v>
      </c>
      <c r="J1533" s="10" t="str">
        <f aca="false">CHOOSE(MOD(INT((A1533-1)/4),4)+1,CHOOSE(MOD(A1533-1,4)+1,"Смартфоны","Ноутбуки","Аксессуары","Аудио"),CHOOSE(MOD(A1533-1,4)+1,"Верхняя одежда","Спортивная","Повседневная","Обувь"),CHOOSE(MOD(A1533-1,4)+1,"Молочные","Мясные","Бакалея","Напитки"),CHOOSE(MOD(A1533-1,4)+1,"Мягкая мебель","Корпусная","Офисная","Кухонная"))</f>
        <v>Напитки</v>
      </c>
      <c r="K1533" s="12" t="n">
        <f aca="false">1000+MOD(A1533*317+A1533*A1533*7,49001)</f>
        <v>10467</v>
      </c>
      <c r="L1533" s="12" t="n">
        <f aca="false">1+MOD(A1533*131,100)</f>
        <v>93</v>
      </c>
      <c r="M1533" s="12" t="n">
        <f aca="false">INT(K1533*(0.6+MOD(A1533*43,21)/100))</f>
        <v>8373</v>
      </c>
      <c r="N1533" s="12" t="n">
        <f aca="false">K1533-M1533</f>
        <v>2094</v>
      </c>
    </row>
    <row r="1534" customFormat="false" ht="12.8" hidden="false" customHeight="false" outlineLevel="0" collapsed="false">
      <c r="A1534" s="10" t="n">
        <f aca="false">A1533+1</f>
        <v>1533</v>
      </c>
      <c r="B1534" s="11" t="n">
        <f aca="false">B1533+1</f>
        <v>46459</v>
      </c>
      <c r="C1534" s="10" t="n">
        <f aca="false">YEAR(B1534)</f>
        <v>2027</v>
      </c>
      <c r="D1534" s="10" t="n">
        <f aca="false">INT((MONTH(B1534)-1)/3)+1</f>
        <v>1</v>
      </c>
      <c r="E1534" s="10" t="n">
        <f aca="false">MONTH(B1534)</f>
        <v>3</v>
      </c>
      <c r="F1534" s="10" t="str">
        <f aca="false">CHOOSE(MOD(A1534-1,5)+1,"Центр","Юг","Север","Запад","Восток")</f>
        <v>Север</v>
      </c>
      <c r="G1534" s="10" t="str">
        <f aca="false">"Округ_"&amp;(MOD(A1534-1,5)+1)&amp;"_"&amp;(MOD(INT((A1534-1)/5),5)+1)</f>
        <v>Округ_3_2</v>
      </c>
      <c r="H1534" s="10" t="str">
        <f aca="false">"Город_"&amp;(MOD(A1534-1,5)+1)&amp;"_"&amp;(MOD(INT((A1534-1)/5),5)+1)&amp;"_"&amp;(MOD(INT((A1534-1)/25),10)+1)</f>
        <v>Город_3_2_2</v>
      </c>
      <c r="I1534" s="10" t="str">
        <f aca="false">CHOOSE(MOD(A1534-1,4)+1,"Электроника","Одежда","Продукты","Мебель")</f>
        <v>Электроника</v>
      </c>
      <c r="J1534" s="10" t="str">
        <f aca="false">CHOOSE(MOD(INT((A1534-1)/4),4)+1,CHOOSE(MOD(A1534-1,4)+1,"Смартфоны","Ноутбуки","Аксессуары","Аудио"),CHOOSE(MOD(A1534-1,4)+1,"Верхняя одежда","Спортивная","Повседневная","Обувь"),CHOOSE(MOD(A1534-1,4)+1,"Молочные","Мясные","Бакалея","Напитки"),CHOOSE(MOD(A1534-1,4)+1,"Мягкая мебель","Корпусная","Офисная","Кухонная"))</f>
        <v>Мягкая мебель</v>
      </c>
      <c r="K1534" s="12" t="n">
        <f aca="false">1000+MOD(A1534*317+A1534*A1534*7,49001)</f>
        <v>32239</v>
      </c>
      <c r="L1534" s="12" t="n">
        <f aca="false">1+MOD(A1534*131,100)</f>
        <v>24</v>
      </c>
      <c r="M1534" s="12" t="n">
        <f aca="false">INT(K1534*(0.6+MOD(A1534*43,21)/100))</f>
        <v>19343</v>
      </c>
      <c r="N1534" s="12" t="n">
        <f aca="false">K1534-M1534</f>
        <v>12896</v>
      </c>
    </row>
    <row r="1535" customFormat="false" ht="12.8" hidden="false" customHeight="false" outlineLevel="0" collapsed="false">
      <c r="A1535" s="10" t="n">
        <f aca="false">A1534+1</f>
        <v>1534</v>
      </c>
      <c r="B1535" s="11" t="n">
        <f aca="false">B1534+1</f>
        <v>46460</v>
      </c>
      <c r="C1535" s="10" t="n">
        <f aca="false">YEAR(B1535)</f>
        <v>2027</v>
      </c>
      <c r="D1535" s="10" t="n">
        <f aca="false">INT((MONTH(B1535)-1)/3)+1</f>
        <v>1</v>
      </c>
      <c r="E1535" s="10" t="n">
        <f aca="false">MONTH(B1535)</f>
        <v>3</v>
      </c>
      <c r="F1535" s="10" t="str">
        <f aca="false">CHOOSE(MOD(A1535-1,5)+1,"Центр","Юг","Север","Запад","Восток")</f>
        <v>Запад</v>
      </c>
      <c r="G1535" s="10" t="str">
        <f aca="false">"Округ_"&amp;(MOD(A1535-1,5)+1)&amp;"_"&amp;(MOD(INT((A1535-1)/5),5)+1)</f>
        <v>Округ_4_2</v>
      </c>
      <c r="H1535" s="10" t="str">
        <f aca="false">"Город_"&amp;(MOD(A1535-1,5)+1)&amp;"_"&amp;(MOD(INT((A1535-1)/5),5)+1)&amp;"_"&amp;(MOD(INT((A1535-1)/25),10)+1)</f>
        <v>Город_4_2_2</v>
      </c>
      <c r="I1535" s="10" t="str">
        <f aca="false">CHOOSE(MOD(A1535-1,4)+1,"Электроника","Одежда","Продукты","Мебель")</f>
        <v>Одежда</v>
      </c>
      <c r="J1535" s="10" t="str">
        <f aca="false">CHOOSE(MOD(INT((A1535-1)/4),4)+1,CHOOSE(MOD(A1535-1,4)+1,"Смартфоны","Ноутбуки","Аксессуары","Аудио"),CHOOSE(MOD(A1535-1,4)+1,"Верхняя одежда","Спортивная","Повседневная","Обувь"),CHOOSE(MOD(A1535-1,4)+1,"Молочные","Мясные","Бакалея","Напитки"),CHOOSE(MOD(A1535-1,4)+1,"Мягкая мебель","Корпусная","Офисная","Кухонная"))</f>
        <v>Корпусная</v>
      </c>
      <c r="K1535" s="12" t="n">
        <f aca="false">1000+MOD(A1535*317+A1535*A1535*7,49001)</f>
        <v>5024</v>
      </c>
      <c r="L1535" s="12" t="n">
        <f aca="false">1+MOD(A1535*131,100)</f>
        <v>55</v>
      </c>
      <c r="M1535" s="12" t="n">
        <f aca="false">INT(K1535*(0.6+MOD(A1535*43,21)/100))</f>
        <v>3064</v>
      </c>
      <c r="N1535" s="12" t="n">
        <f aca="false">K1535-M1535</f>
        <v>1960</v>
      </c>
    </row>
    <row r="1536" customFormat="false" ht="12.8" hidden="false" customHeight="false" outlineLevel="0" collapsed="false">
      <c r="A1536" s="10" t="n">
        <f aca="false">A1535+1</f>
        <v>1535</v>
      </c>
      <c r="B1536" s="11" t="n">
        <f aca="false">B1535+1</f>
        <v>46461</v>
      </c>
      <c r="C1536" s="10" t="n">
        <f aca="false">YEAR(B1536)</f>
        <v>2027</v>
      </c>
      <c r="D1536" s="10" t="n">
        <f aca="false">INT((MONTH(B1536)-1)/3)+1</f>
        <v>1</v>
      </c>
      <c r="E1536" s="10" t="n">
        <f aca="false">MONTH(B1536)</f>
        <v>3</v>
      </c>
      <c r="F1536" s="10" t="str">
        <f aca="false">CHOOSE(MOD(A1536-1,5)+1,"Центр","Юг","Север","Запад","Восток")</f>
        <v>Восток</v>
      </c>
      <c r="G1536" s="10" t="str">
        <f aca="false">"Округ_"&amp;(MOD(A1536-1,5)+1)&amp;"_"&amp;(MOD(INT((A1536-1)/5),5)+1)</f>
        <v>Округ_5_2</v>
      </c>
      <c r="H1536" s="10" t="str">
        <f aca="false">"Город_"&amp;(MOD(A1536-1,5)+1)&amp;"_"&amp;(MOD(INT((A1536-1)/5),5)+1)&amp;"_"&amp;(MOD(INT((A1536-1)/25),10)+1)</f>
        <v>Город_5_2_2</v>
      </c>
      <c r="I1536" s="10" t="str">
        <f aca="false">CHOOSE(MOD(A1536-1,4)+1,"Электроника","Одежда","Продукты","Мебель")</f>
        <v>Продукты</v>
      </c>
      <c r="J1536" s="10" t="str">
        <f aca="false">CHOOSE(MOD(INT((A1536-1)/4),4)+1,CHOOSE(MOD(A1536-1,4)+1,"Смартфоны","Ноутбуки","Аксессуары","Аудио"),CHOOSE(MOD(A1536-1,4)+1,"Верхняя одежда","Спортивная","Повседневная","Обувь"),CHOOSE(MOD(A1536-1,4)+1,"Молочные","Мясные","Бакалея","Напитки"),CHOOSE(MOD(A1536-1,4)+1,"Мягкая мебель","Корпусная","Офисная","Кухонная"))</f>
        <v>Офисная</v>
      </c>
      <c r="K1536" s="12" t="n">
        <f aca="false">1000+MOD(A1536*317+A1536*A1536*7,49001)</f>
        <v>26824</v>
      </c>
      <c r="L1536" s="12" t="n">
        <f aca="false">1+MOD(A1536*131,100)</f>
        <v>86</v>
      </c>
      <c r="M1536" s="12" t="n">
        <f aca="false">INT(K1536*(0.6+MOD(A1536*43,21)/100))</f>
        <v>16630</v>
      </c>
      <c r="N1536" s="12" t="n">
        <f aca="false">K1536-M1536</f>
        <v>10194</v>
      </c>
    </row>
    <row r="1537" customFormat="false" ht="12.8" hidden="false" customHeight="false" outlineLevel="0" collapsed="false">
      <c r="A1537" s="10" t="n">
        <f aca="false">A1536+1</f>
        <v>1536</v>
      </c>
      <c r="B1537" s="11" t="n">
        <f aca="false">B1536+1</f>
        <v>46462</v>
      </c>
      <c r="C1537" s="10" t="n">
        <f aca="false">YEAR(B1537)</f>
        <v>2027</v>
      </c>
      <c r="D1537" s="10" t="n">
        <f aca="false">INT((MONTH(B1537)-1)/3)+1</f>
        <v>1</v>
      </c>
      <c r="E1537" s="10" t="n">
        <f aca="false">MONTH(B1537)</f>
        <v>3</v>
      </c>
      <c r="F1537" s="10" t="str">
        <f aca="false">CHOOSE(MOD(A1537-1,5)+1,"Центр","Юг","Север","Запад","Восток")</f>
        <v>Центр</v>
      </c>
      <c r="G1537" s="10" t="str">
        <f aca="false">"Округ_"&amp;(MOD(A1537-1,5)+1)&amp;"_"&amp;(MOD(INT((A1537-1)/5),5)+1)</f>
        <v>Округ_1_3</v>
      </c>
      <c r="H1537" s="10" t="str">
        <f aca="false">"Город_"&amp;(MOD(A1537-1,5)+1)&amp;"_"&amp;(MOD(INT((A1537-1)/5),5)+1)&amp;"_"&amp;(MOD(INT((A1537-1)/25),10)+1)</f>
        <v>Город_1_3_2</v>
      </c>
      <c r="I1537" s="10" t="str">
        <f aca="false">CHOOSE(MOD(A1537-1,4)+1,"Электроника","Одежда","Продукты","Мебель")</f>
        <v>Мебель</v>
      </c>
      <c r="J1537" s="10" t="str">
        <f aca="false">CHOOSE(MOD(INT((A1537-1)/4),4)+1,CHOOSE(MOD(A1537-1,4)+1,"Смартфоны","Ноутбуки","Аксессуары","Аудио"),CHOOSE(MOD(A1537-1,4)+1,"Верхняя одежда","Спортивная","Повседневная","Обувь"),CHOOSE(MOD(A1537-1,4)+1,"Молочные","Мясные","Бакалея","Напитки"),CHOOSE(MOD(A1537-1,4)+1,"Мягкая мебель","Корпусная","Офисная","Кухонная"))</f>
        <v>Кухонная</v>
      </c>
      <c r="K1537" s="12" t="n">
        <f aca="false">1000+MOD(A1537*317+A1537*A1537*7,49001)</f>
        <v>48638</v>
      </c>
      <c r="L1537" s="12" t="n">
        <f aca="false">1+MOD(A1537*131,100)</f>
        <v>17</v>
      </c>
      <c r="M1537" s="12" t="n">
        <f aca="false">INT(K1537*(0.6+MOD(A1537*43,21)/100))</f>
        <v>30641</v>
      </c>
      <c r="N1537" s="12" t="n">
        <f aca="false">K1537-M1537</f>
        <v>17997</v>
      </c>
    </row>
    <row r="1538" customFormat="false" ht="12.8" hidden="false" customHeight="false" outlineLevel="0" collapsed="false">
      <c r="A1538" s="10" t="n">
        <f aca="false">A1537+1</f>
        <v>1537</v>
      </c>
      <c r="B1538" s="11" t="n">
        <f aca="false">B1537+1</f>
        <v>46463</v>
      </c>
      <c r="C1538" s="10" t="n">
        <f aca="false">YEAR(B1538)</f>
        <v>2027</v>
      </c>
      <c r="D1538" s="10" t="n">
        <f aca="false">INT((MONTH(B1538)-1)/3)+1</f>
        <v>1</v>
      </c>
      <c r="E1538" s="10" t="n">
        <f aca="false">MONTH(B1538)</f>
        <v>3</v>
      </c>
      <c r="F1538" s="10" t="str">
        <f aca="false">CHOOSE(MOD(A1538-1,5)+1,"Центр","Юг","Север","Запад","Восток")</f>
        <v>Юг</v>
      </c>
      <c r="G1538" s="10" t="str">
        <f aca="false">"Округ_"&amp;(MOD(A1538-1,5)+1)&amp;"_"&amp;(MOD(INT((A1538-1)/5),5)+1)</f>
        <v>Округ_2_3</v>
      </c>
      <c r="H1538" s="10" t="str">
        <f aca="false">"Город_"&amp;(MOD(A1538-1,5)+1)&amp;"_"&amp;(MOD(INT((A1538-1)/5),5)+1)&amp;"_"&amp;(MOD(INT((A1538-1)/25),10)+1)</f>
        <v>Город_2_3_2</v>
      </c>
      <c r="I1538" s="10" t="str">
        <f aca="false">CHOOSE(MOD(A1538-1,4)+1,"Электроника","Одежда","Продукты","Мебель")</f>
        <v>Электроника</v>
      </c>
      <c r="J1538" s="10" t="str">
        <f aca="false">CHOOSE(MOD(INT((A1538-1)/4),4)+1,CHOOSE(MOD(A1538-1,4)+1,"Смартфоны","Ноутбуки","Аксессуары","Аудио"),CHOOSE(MOD(A1538-1,4)+1,"Верхняя одежда","Спортивная","Повседневная","Обувь"),CHOOSE(MOD(A1538-1,4)+1,"Молочные","Мясные","Бакалея","Напитки"),CHOOSE(MOD(A1538-1,4)+1,"Мягкая мебель","Корпусная","Офисная","Кухонная"))</f>
        <v>Смартфоны</v>
      </c>
      <c r="K1538" s="12" t="n">
        <f aca="false">1000+MOD(A1538*317+A1538*A1538*7,49001)</f>
        <v>21465</v>
      </c>
      <c r="L1538" s="12" t="n">
        <f aca="false">1+MOD(A1538*131,100)</f>
        <v>48</v>
      </c>
      <c r="M1538" s="12" t="n">
        <f aca="false">INT(K1538*(0.6+MOD(A1538*43,21)/100))</f>
        <v>13737</v>
      </c>
      <c r="N1538" s="12" t="n">
        <f aca="false">K1538-M1538</f>
        <v>7728</v>
      </c>
    </row>
    <row r="1539" customFormat="false" ht="12.8" hidden="false" customHeight="false" outlineLevel="0" collapsed="false">
      <c r="A1539" s="10" t="n">
        <f aca="false">A1538+1</f>
        <v>1538</v>
      </c>
      <c r="B1539" s="11" t="n">
        <f aca="false">B1538+1</f>
        <v>46464</v>
      </c>
      <c r="C1539" s="10" t="n">
        <f aca="false">YEAR(B1539)</f>
        <v>2027</v>
      </c>
      <c r="D1539" s="10" t="n">
        <f aca="false">INT((MONTH(B1539)-1)/3)+1</f>
        <v>1</v>
      </c>
      <c r="E1539" s="10" t="n">
        <f aca="false">MONTH(B1539)</f>
        <v>3</v>
      </c>
      <c r="F1539" s="10" t="str">
        <f aca="false">CHOOSE(MOD(A1539-1,5)+1,"Центр","Юг","Север","Запад","Восток")</f>
        <v>Север</v>
      </c>
      <c r="G1539" s="10" t="str">
        <f aca="false">"Округ_"&amp;(MOD(A1539-1,5)+1)&amp;"_"&amp;(MOD(INT((A1539-1)/5),5)+1)</f>
        <v>Округ_3_3</v>
      </c>
      <c r="H1539" s="10" t="str">
        <f aca="false">"Город_"&amp;(MOD(A1539-1,5)+1)&amp;"_"&amp;(MOD(INT((A1539-1)/5),5)+1)&amp;"_"&amp;(MOD(INT((A1539-1)/25),10)+1)</f>
        <v>Город_3_3_2</v>
      </c>
      <c r="I1539" s="10" t="str">
        <f aca="false">CHOOSE(MOD(A1539-1,4)+1,"Электроника","Одежда","Продукты","Мебель")</f>
        <v>Одежда</v>
      </c>
      <c r="J1539" s="10" t="str">
        <f aca="false">CHOOSE(MOD(INT((A1539-1)/4),4)+1,CHOOSE(MOD(A1539-1,4)+1,"Смартфоны","Ноутбуки","Аксессуары","Аудио"),CHOOSE(MOD(A1539-1,4)+1,"Верхняя одежда","Спортивная","Повседневная","Обувь"),CHOOSE(MOD(A1539-1,4)+1,"Молочные","Мясные","Бакалея","Напитки"),CHOOSE(MOD(A1539-1,4)+1,"Мягкая мебель","Корпусная","Офисная","Кухонная"))</f>
        <v>Ноутбуки</v>
      </c>
      <c r="K1539" s="12" t="n">
        <f aca="false">1000+MOD(A1539*317+A1539*A1539*7,49001)</f>
        <v>43307</v>
      </c>
      <c r="L1539" s="12" t="n">
        <f aca="false">1+MOD(A1539*131,100)</f>
        <v>79</v>
      </c>
      <c r="M1539" s="12" t="n">
        <f aca="false">INT(K1539*(0.6+MOD(A1539*43,21)/100))</f>
        <v>28149</v>
      </c>
      <c r="N1539" s="12" t="n">
        <f aca="false">K1539-M1539</f>
        <v>15158</v>
      </c>
    </row>
    <row r="1540" customFormat="false" ht="12.8" hidden="false" customHeight="false" outlineLevel="0" collapsed="false">
      <c r="A1540" s="10" t="n">
        <f aca="false">A1539+1</f>
        <v>1539</v>
      </c>
      <c r="B1540" s="11" t="n">
        <f aca="false">B1539+1</f>
        <v>46465</v>
      </c>
      <c r="C1540" s="10" t="n">
        <f aca="false">YEAR(B1540)</f>
        <v>2027</v>
      </c>
      <c r="D1540" s="10" t="n">
        <f aca="false">INT((MONTH(B1540)-1)/3)+1</f>
        <v>1</v>
      </c>
      <c r="E1540" s="10" t="n">
        <f aca="false">MONTH(B1540)</f>
        <v>3</v>
      </c>
      <c r="F1540" s="10" t="str">
        <f aca="false">CHOOSE(MOD(A1540-1,5)+1,"Центр","Юг","Север","Запад","Восток")</f>
        <v>Запад</v>
      </c>
      <c r="G1540" s="10" t="str">
        <f aca="false">"Округ_"&amp;(MOD(A1540-1,5)+1)&amp;"_"&amp;(MOD(INT((A1540-1)/5),5)+1)</f>
        <v>Округ_4_3</v>
      </c>
      <c r="H1540" s="10" t="str">
        <f aca="false">"Город_"&amp;(MOD(A1540-1,5)+1)&amp;"_"&amp;(MOD(INT((A1540-1)/5),5)+1)&amp;"_"&amp;(MOD(INT((A1540-1)/25),10)+1)</f>
        <v>Город_4_3_2</v>
      </c>
      <c r="I1540" s="10" t="str">
        <f aca="false">CHOOSE(MOD(A1540-1,4)+1,"Электроника","Одежда","Продукты","Мебель")</f>
        <v>Продукты</v>
      </c>
      <c r="J1540" s="10" t="str">
        <f aca="false">CHOOSE(MOD(INT((A1540-1)/4),4)+1,CHOOSE(MOD(A1540-1,4)+1,"Смартфоны","Ноутбуки","Аксессуары","Аудио"),CHOOSE(MOD(A1540-1,4)+1,"Верхняя одежда","Спортивная","Повседневная","Обувь"),CHOOSE(MOD(A1540-1,4)+1,"Молочные","Мясные","Бакалея","Напитки"),CHOOSE(MOD(A1540-1,4)+1,"Мягкая мебель","Корпусная","Офисная","Кухонная"))</f>
        <v>Аксессуары</v>
      </c>
      <c r="K1540" s="12" t="n">
        <f aca="false">1000+MOD(A1540*317+A1540*A1540*7,49001)</f>
        <v>16162</v>
      </c>
      <c r="L1540" s="12" t="n">
        <f aca="false">1+MOD(A1540*131,100)</f>
        <v>10</v>
      </c>
      <c r="M1540" s="12" t="n">
        <f aca="false">INT(K1540*(0.6+MOD(A1540*43,21)/100))</f>
        <v>10666</v>
      </c>
      <c r="N1540" s="12" t="n">
        <f aca="false">K1540-M1540</f>
        <v>5496</v>
      </c>
    </row>
    <row r="1541" customFormat="false" ht="12.8" hidden="false" customHeight="false" outlineLevel="0" collapsed="false">
      <c r="A1541" s="10" t="n">
        <f aca="false">A1540+1</f>
        <v>1540</v>
      </c>
      <c r="B1541" s="11" t="n">
        <f aca="false">B1540+1</f>
        <v>46466</v>
      </c>
      <c r="C1541" s="10" t="n">
        <f aca="false">YEAR(B1541)</f>
        <v>2027</v>
      </c>
      <c r="D1541" s="10" t="n">
        <f aca="false">INT((MONTH(B1541)-1)/3)+1</f>
        <v>1</v>
      </c>
      <c r="E1541" s="10" t="n">
        <f aca="false">MONTH(B1541)</f>
        <v>3</v>
      </c>
      <c r="F1541" s="10" t="str">
        <f aca="false">CHOOSE(MOD(A1541-1,5)+1,"Центр","Юг","Север","Запад","Восток")</f>
        <v>Восток</v>
      </c>
      <c r="G1541" s="10" t="str">
        <f aca="false">"Округ_"&amp;(MOD(A1541-1,5)+1)&amp;"_"&amp;(MOD(INT((A1541-1)/5),5)+1)</f>
        <v>Округ_5_3</v>
      </c>
      <c r="H1541" s="10" t="str">
        <f aca="false">"Город_"&amp;(MOD(A1541-1,5)+1)&amp;"_"&amp;(MOD(INT((A1541-1)/5),5)+1)&amp;"_"&amp;(MOD(INT((A1541-1)/25),10)+1)</f>
        <v>Город_5_3_2</v>
      </c>
      <c r="I1541" s="10" t="str">
        <f aca="false">CHOOSE(MOD(A1541-1,4)+1,"Электроника","Одежда","Продукты","Мебель")</f>
        <v>Мебель</v>
      </c>
      <c r="J1541" s="10" t="str">
        <f aca="false">CHOOSE(MOD(INT((A1541-1)/4),4)+1,CHOOSE(MOD(A1541-1,4)+1,"Смартфоны","Ноутбуки","Аксессуары","Аудио"),CHOOSE(MOD(A1541-1,4)+1,"Верхняя одежда","Спортивная","Повседневная","Обувь"),CHOOSE(MOD(A1541-1,4)+1,"Молочные","Мясные","Бакалея","Напитки"),CHOOSE(MOD(A1541-1,4)+1,"Мягкая мебель","Корпусная","Офисная","Кухонная"))</f>
        <v>Аудио</v>
      </c>
      <c r="K1541" s="12" t="n">
        <f aca="false">1000+MOD(A1541*317+A1541*A1541*7,49001)</f>
        <v>38032</v>
      </c>
      <c r="L1541" s="12" t="n">
        <f aca="false">1+MOD(A1541*131,100)</f>
        <v>41</v>
      </c>
      <c r="M1541" s="12" t="n">
        <f aca="false">INT(K1541*(0.6+MOD(A1541*43,21)/100))</f>
        <v>25481</v>
      </c>
      <c r="N1541" s="12" t="n">
        <f aca="false">K1541-M1541</f>
        <v>12551</v>
      </c>
    </row>
    <row r="1542" customFormat="false" ht="12.8" hidden="false" customHeight="false" outlineLevel="0" collapsed="false">
      <c r="A1542" s="10" t="n">
        <f aca="false">A1541+1</f>
        <v>1541</v>
      </c>
      <c r="B1542" s="11" t="n">
        <f aca="false">B1541+1</f>
        <v>46467</v>
      </c>
      <c r="C1542" s="10" t="n">
        <f aca="false">YEAR(B1542)</f>
        <v>2027</v>
      </c>
      <c r="D1542" s="10" t="n">
        <f aca="false">INT((MONTH(B1542)-1)/3)+1</f>
        <v>1</v>
      </c>
      <c r="E1542" s="10" t="n">
        <f aca="false">MONTH(B1542)</f>
        <v>3</v>
      </c>
      <c r="F1542" s="10" t="str">
        <f aca="false">CHOOSE(MOD(A1542-1,5)+1,"Центр","Юг","Север","Запад","Восток")</f>
        <v>Центр</v>
      </c>
      <c r="G1542" s="10" t="str">
        <f aca="false">"Округ_"&amp;(MOD(A1542-1,5)+1)&amp;"_"&amp;(MOD(INT((A1542-1)/5),5)+1)</f>
        <v>Округ_1_4</v>
      </c>
      <c r="H1542" s="10" t="str">
        <f aca="false">"Город_"&amp;(MOD(A1542-1,5)+1)&amp;"_"&amp;(MOD(INT((A1542-1)/5),5)+1)&amp;"_"&amp;(MOD(INT((A1542-1)/25),10)+1)</f>
        <v>Город_1_4_2</v>
      </c>
      <c r="I1542" s="10" t="str">
        <f aca="false">CHOOSE(MOD(A1542-1,4)+1,"Электроника","Одежда","Продукты","Мебель")</f>
        <v>Электроника</v>
      </c>
      <c r="J1542" s="10" t="str">
        <f aca="false">CHOOSE(MOD(INT((A1542-1)/4),4)+1,CHOOSE(MOD(A1542-1,4)+1,"Смартфоны","Ноутбуки","Аксессуары","Аудио"),CHOOSE(MOD(A1542-1,4)+1,"Верхняя одежда","Спортивная","Повседневная","Обувь"),CHOOSE(MOD(A1542-1,4)+1,"Молочные","Мясные","Бакалея","Напитки"),CHOOSE(MOD(A1542-1,4)+1,"Мягкая мебель","Корпусная","Офисная","Кухонная"))</f>
        <v>Верхняя одежда</v>
      </c>
      <c r="K1542" s="12" t="n">
        <f aca="false">1000+MOD(A1542*317+A1542*A1542*7,49001)</f>
        <v>10915</v>
      </c>
      <c r="L1542" s="12" t="n">
        <f aca="false">1+MOD(A1542*131,100)</f>
        <v>72</v>
      </c>
      <c r="M1542" s="12" t="n">
        <f aca="false">INT(K1542*(0.6+MOD(A1542*43,21)/100))</f>
        <v>7422</v>
      </c>
      <c r="N1542" s="12" t="n">
        <f aca="false">K1542-M1542</f>
        <v>3493</v>
      </c>
    </row>
    <row r="1543" customFormat="false" ht="12.8" hidden="false" customHeight="false" outlineLevel="0" collapsed="false">
      <c r="A1543" s="10" t="n">
        <f aca="false">A1542+1</f>
        <v>1542</v>
      </c>
      <c r="B1543" s="11" t="n">
        <f aca="false">B1542+1</f>
        <v>46468</v>
      </c>
      <c r="C1543" s="10" t="n">
        <f aca="false">YEAR(B1543)</f>
        <v>2027</v>
      </c>
      <c r="D1543" s="10" t="n">
        <f aca="false">INT((MONTH(B1543)-1)/3)+1</f>
        <v>1</v>
      </c>
      <c r="E1543" s="10" t="n">
        <f aca="false">MONTH(B1543)</f>
        <v>3</v>
      </c>
      <c r="F1543" s="10" t="str">
        <f aca="false">CHOOSE(MOD(A1543-1,5)+1,"Центр","Юг","Север","Запад","Восток")</f>
        <v>Юг</v>
      </c>
      <c r="G1543" s="10" t="str">
        <f aca="false">"Округ_"&amp;(MOD(A1543-1,5)+1)&amp;"_"&amp;(MOD(INT((A1543-1)/5),5)+1)</f>
        <v>Округ_2_4</v>
      </c>
      <c r="H1543" s="10" t="str">
        <f aca="false">"Город_"&amp;(MOD(A1543-1,5)+1)&amp;"_"&amp;(MOD(INT((A1543-1)/5),5)+1)&amp;"_"&amp;(MOD(INT((A1543-1)/25),10)+1)</f>
        <v>Город_2_4_2</v>
      </c>
      <c r="I1543" s="10" t="str">
        <f aca="false">CHOOSE(MOD(A1543-1,4)+1,"Электроника","Одежда","Продукты","Мебель")</f>
        <v>Одежда</v>
      </c>
      <c r="J1543" s="10" t="str">
        <f aca="false">CHOOSE(MOD(INT((A1543-1)/4),4)+1,CHOOSE(MOD(A1543-1,4)+1,"Смартфоны","Ноутбуки","Аксессуары","Аудио"),CHOOSE(MOD(A1543-1,4)+1,"Верхняя одежда","Спортивная","Повседневная","Обувь"),CHOOSE(MOD(A1543-1,4)+1,"Молочные","Мясные","Бакалея","Напитки"),CHOOSE(MOD(A1543-1,4)+1,"Мягкая мебель","Корпусная","Офисная","Кухонная"))</f>
        <v>Спортивная</v>
      </c>
      <c r="K1543" s="12" t="n">
        <f aca="false">1000+MOD(A1543*317+A1543*A1543*7,49001)</f>
        <v>32813</v>
      </c>
      <c r="L1543" s="12" t="n">
        <f aca="false">1+MOD(A1543*131,100)</f>
        <v>3</v>
      </c>
      <c r="M1543" s="12" t="n">
        <f aca="false">INT(K1543*(0.6+MOD(A1543*43,21)/100))</f>
        <v>22640</v>
      </c>
      <c r="N1543" s="12" t="n">
        <f aca="false">K1543-M1543</f>
        <v>10173</v>
      </c>
    </row>
    <row r="1544" customFormat="false" ht="12.8" hidden="false" customHeight="false" outlineLevel="0" collapsed="false">
      <c r="A1544" s="10" t="n">
        <f aca="false">A1543+1</f>
        <v>1543</v>
      </c>
      <c r="B1544" s="11" t="n">
        <f aca="false">B1543+1</f>
        <v>46469</v>
      </c>
      <c r="C1544" s="10" t="n">
        <f aca="false">YEAR(B1544)</f>
        <v>2027</v>
      </c>
      <c r="D1544" s="10" t="n">
        <f aca="false">INT((MONTH(B1544)-1)/3)+1</f>
        <v>1</v>
      </c>
      <c r="E1544" s="10" t="n">
        <f aca="false">MONTH(B1544)</f>
        <v>3</v>
      </c>
      <c r="F1544" s="10" t="str">
        <f aca="false">CHOOSE(MOD(A1544-1,5)+1,"Центр","Юг","Север","Запад","Восток")</f>
        <v>Север</v>
      </c>
      <c r="G1544" s="10" t="str">
        <f aca="false">"Округ_"&amp;(MOD(A1544-1,5)+1)&amp;"_"&amp;(MOD(INT((A1544-1)/5),5)+1)</f>
        <v>Округ_3_4</v>
      </c>
      <c r="H1544" s="10" t="str">
        <f aca="false">"Город_"&amp;(MOD(A1544-1,5)+1)&amp;"_"&amp;(MOD(INT((A1544-1)/5),5)+1)&amp;"_"&amp;(MOD(INT((A1544-1)/25),10)+1)</f>
        <v>Город_3_4_2</v>
      </c>
      <c r="I1544" s="10" t="str">
        <f aca="false">CHOOSE(MOD(A1544-1,4)+1,"Электроника","Одежда","Продукты","Мебель")</f>
        <v>Продукты</v>
      </c>
      <c r="J1544" s="10" t="str">
        <f aca="false">CHOOSE(MOD(INT((A1544-1)/4),4)+1,CHOOSE(MOD(A1544-1,4)+1,"Смартфоны","Ноутбуки","Аксессуары","Аудио"),CHOOSE(MOD(A1544-1,4)+1,"Верхняя одежда","Спортивная","Повседневная","Обувь"),CHOOSE(MOD(A1544-1,4)+1,"Молочные","Мясные","Бакалея","Напитки"),CHOOSE(MOD(A1544-1,4)+1,"Мягкая мебель","Корпусная","Офисная","Кухонная"))</f>
        <v>Повседневная</v>
      </c>
      <c r="K1544" s="12" t="n">
        <f aca="false">1000+MOD(A1544*317+A1544*A1544*7,49001)</f>
        <v>5724</v>
      </c>
      <c r="L1544" s="12" t="n">
        <f aca="false">1+MOD(A1544*131,100)</f>
        <v>34</v>
      </c>
      <c r="M1544" s="12" t="n">
        <f aca="false">INT(K1544*(0.6+MOD(A1544*43,21)/100))</f>
        <v>4006</v>
      </c>
      <c r="N1544" s="12" t="n">
        <f aca="false">K1544-M1544</f>
        <v>1718</v>
      </c>
    </row>
    <row r="1545" customFormat="false" ht="12.8" hidden="false" customHeight="false" outlineLevel="0" collapsed="false">
      <c r="A1545" s="10" t="n">
        <f aca="false">A1544+1</f>
        <v>1544</v>
      </c>
      <c r="B1545" s="11" t="n">
        <f aca="false">B1544+1</f>
        <v>46470</v>
      </c>
      <c r="C1545" s="10" t="n">
        <f aca="false">YEAR(B1545)</f>
        <v>2027</v>
      </c>
      <c r="D1545" s="10" t="n">
        <f aca="false">INT((MONTH(B1545)-1)/3)+1</f>
        <v>1</v>
      </c>
      <c r="E1545" s="10" t="n">
        <f aca="false">MONTH(B1545)</f>
        <v>3</v>
      </c>
      <c r="F1545" s="10" t="str">
        <f aca="false">CHOOSE(MOD(A1545-1,5)+1,"Центр","Юг","Север","Запад","Восток")</f>
        <v>Запад</v>
      </c>
      <c r="G1545" s="10" t="str">
        <f aca="false">"Округ_"&amp;(MOD(A1545-1,5)+1)&amp;"_"&amp;(MOD(INT((A1545-1)/5),5)+1)</f>
        <v>Округ_4_4</v>
      </c>
      <c r="H1545" s="10" t="str">
        <f aca="false">"Город_"&amp;(MOD(A1545-1,5)+1)&amp;"_"&amp;(MOD(INT((A1545-1)/5),5)+1)&amp;"_"&amp;(MOD(INT((A1545-1)/25),10)+1)</f>
        <v>Город_4_4_2</v>
      </c>
      <c r="I1545" s="10" t="str">
        <f aca="false">CHOOSE(MOD(A1545-1,4)+1,"Электроника","Одежда","Продукты","Мебель")</f>
        <v>Мебель</v>
      </c>
      <c r="J1545" s="10" t="str">
        <f aca="false">CHOOSE(MOD(INT((A1545-1)/4),4)+1,CHOOSE(MOD(A1545-1,4)+1,"Смартфоны","Ноутбуки","Аксессуары","Аудио"),CHOOSE(MOD(A1545-1,4)+1,"Верхняя одежда","Спортивная","Повседневная","Обувь"),CHOOSE(MOD(A1545-1,4)+1,"Молочные","Мясные","Бакалея","Напитки"),CHOOSE(MOD(A1545-1,4)+1,"Мягкая мебель","Корпусная","Офисная","Кухонная"))</f>
        <v>Обувь</v>
      </c>
      <c r="K1545" s="12" t="n">
        <f aca="false">1000+MOD(A1545*317+A1545*A1545*7,49001)</f>
        <v>27650</v>
      </c>
      <c r="L1545" s="12" t="n">
        <f aca="false">1+MOD(A1545*131,100)</f>
        <v>65</v>
      </c>
      <c r="M1545" s="12" t="n">
        <f aca="false">INT(K1545*(0.6+MOD(A1545*43,21)/100))</f>
        <v>19631</v>
      </c>
      <c r="N1545" s="12" t="n">
        <f aca="false">K1545-M1545</f>
        <v>8019</v>
      </c>
    </row>
    <row r="1546" customFormat="false" ht="12.8" hidden="false" customHeight="false" outlineLevel="0" collapsed="false">
      <c r="A1546" s="10" t="n">
        <f aca="false">A1545+1</f>
        <v>1545</v>
      </c>
      <c r="B1546" s="11" t="n">
        <f aca="false">B1545+1</f>
        <v>46471</v>
      </c>
      <c r="C1546" s="10" t="n">
        <f aca="false">YEAR(B1546)</f>
        <v>2027</v>
      </c>
      <c r="D1546" s="10" t="n">
        <f aca="false">INT((MONTH(B1546)-1)/3)+1</f>
        <v>1</v>
      </c>
      <c r="E1546" s="10" t="n">
        <f aca="false">MONTH(B1546)</f>
        <v>3</v>
      </c>
      <c r="F1546" s="10" t="str">
        <f aca="false">CHOOSE(MOD(A1546-1,5)+1,"Центр","Юг","Север","Запад","Восток")</f>
        <v>Восток</v>
      </c>
      <c r="G1546" s="10" t="str">
        <f aca="false">"Округ_"&amp;(MOD(A1546-1,5)+1)&amp;"_"&amp;(MOD(INT((A1546-1)/5),5)+1)</f>
        <v>Округ_5_4</v>
      </c>
      <c r="H1546" s="10" t="str">
        <f aca="false">"Город_"&amp;(MOD(A1546-1,5)+1)&amp;"_"&amp;(MOD(INT((A1546-1)/5),5)+1)&amp;"_"&amp;(MOD(INT((A1546-1)/25),10)+1)</f>
        <v>Город_5_4_2</v>
      </c>
      <c r="I1546" s="10" t="str">
        <f aca="false">CHOOSE(MOD(A1546-1,4)+1,"Электроника","Одежда","Продукты","Мебель")</f>
        <v>Электроника</v>
      </c>
      <c r="J1546" s="10" t="str">
        <f aca="false">CHOOSE(MOD(INT((A1546-1)/4),4)+1,CHOOSE(MOD(A1546-1,4)+1,"Смартфоны","Ноутбуки","Аксессуары","Аудио"),CHOOSE(MOD(A1546-1,4)+1,"Верхняя одежда","Спортивная","Повседневная","Обувь"),CHOOSE(MOD(A1546-1,4)+1,"Молочные","Мясные","Бакалея","Напитки"),CHOOSE(MOD(A1546-1,4)+1,"Мягкая мебель","Корпусная","Офисная","Кухонная"))</f>
        <v>Молочные</v>
      </c>
      <c r="K1546" s="12" t="n">
        <f aca="false">1000+MOD(A1546*317+A1546*A1546*7,49001)</f>
        <v>49590</v>
      </c>
      <c r="L1546" s="12" t="n">
        <f aca="false">1+MOD(A1546*131,100)</f>
        <v>96</v>
      </c>
      <c r="M1546" s="12" t="n">
        <f aca="false">INT(K1546*(0.6+MOD(A1546*43,21)/100))</f>
        <v>35704</v>
      </c>
      <c r="N1546" s="12" t="n">
        <f aca="false">K1546-M1546</f>
        <v>13886</v>
      </c>
    </row>
    <row r="1547" customFormat="false" ht="12.8" hidden="false" customHeight="false" outlineLevel="0" collapsed="false">
      <c r="A1547" s="10" t="n">
        <f aca="false">A1546+1</f>
        <v>1546</v>
      </c>
      <c r="B1547" s="11" t="n">
        <f aca="false">B1546+1</f>
        <v>46472</v>
      </c>
      <c r="C1547" s="10" t="n">
        <f aca="false">YEAR(B1547)</f>
        <v>2027</v>
      </c>
      <c r="D1547" s="10" t="n">
        <f aca="false">INT((MONTH(B1547)-1)/3)+1</f>
        <v>1</v>
      </c>
      <c r="E1547" s="10" t="n">
        <f aca="false">MONTH(B1547)</f>
        <v>3</v>
      </c>
      <c r="F1547" s="10" t="str">
        <f aca="false">CHOOSE(MOD(A1547-1,5)+1,"Центр","Юг","Север","Запад","Восток")</f>
        <v>Центр</v>
      </c>
      <c r="G1547" s="10" t="str">
        <f aca="false">"Округ_"&amp;(MOD(A1547-1,5)+1)&amp;"_"&amp;(MOD(INT((A1547-1)/5),5)+1)</f>
        <v>Округ_1_5</v>
      </c>
      <c r="H1547" s="10" t="str">
        <f aca="false">"Город_"&amp;(MOD(A1547-1,5)+1)&amp;"_"&amp;(MOD(INT((A1547-1)/5),5)+1)&amp;"_"&amp;(MOD(INT((A1547-1)/25),10)+1)</f>
        <v>Город_1_5_2</v>
      </c>
      <c r="I1547" s="10" t="str">
        <f aca="false">CHOOSE(MOD(A1547-1,4)+1,"Электроника","Одежда","Продукты","Мебель")</f>
        <v>Одежда</v>
      </c>
      <c r="J1547" s="10" t="str">
        <f aca="false">CHOOSE(MOD(INT((A1547-1)/4),4)+1,CHOOSE(MOD(A1547-1,4)+1,"Смартфоны","Ноутбуки","Аксессуары","Аудио"),CHOOSE(MOD(A1547-1,4)+1,"Верхняя одежда","Спортивная","Повседневная","Обувь"),CHOOSE(MOD(A1547-1,4)+1,"Молочные","Мясные","Бакалея","Напитки"),CHOOSE(MOD(A1547-1,4)+1,"Мягкая мебель","Корпусная","Офисная","Кухонная"))</f>
        <v>Мясные</v>
      </c>
      <c r="K1547" s="12" t="n">
        <f aca="false">1000+MOD(A1547*317+A1547*A1547*7,49001)</f>
        <v>22543</v>
      </c>
      <c r="L1547" s="12" t="n">
        <f aca="false">1+MOD(A1547*131,100)</f>
        <v>27</v>
      </c>
      <c r="M1547" s="12" t="n">
        <f aca="false">INT(K1547*(0.6+MOD(A1547*43,21)/100))</f>
        <v>16456</v>
      </c>
      <c r="N1547" s="12" t="n">
        <f aca="false">K1547-M1547</f>
        <v>6087</v>
      </c>
    </row>
    <row r="1548" customFormat="false" ht="12.8" hidden="false" customHeight="false" outlineLevel="0" collapsed="false">
      <c r="A1548" s="10" t="n">
        <f aca="false">A1547+1</f>
        <v>1547</v>
      </c>
      <c r="B1548" s="11" t="n">
        <f aca="false">B1547+1</f>
        <v>46473</v>
      </c>
      <c r="C1548" s="10" t="n">
        <f aca="false">YEAR(B1548)</f>
        <v>2027</v>
      </c>
      <c r="D1548" s="10" t="n">
        <f aca="false">INT((MONTH(B1548)-1)/3)+1</f>
        <v>1</v>
      </c>
      <c r="E1548" s="10" t="n">
        <f aca="false">MONTH(B1548)</f>
        <v>3</v>
      </c>
      <c r="F1548" s="10" t="str">
        <f aca="false">CHOOSE(MOD(A1548-1,5)+1,"Центр","Юг","Север","Запад","Восток")</f>
        <v>Юг</v>
      </c>
      <c r="G1548" s="10" t="str">
        <f aca="false">"Округ_"&amp;(MOD(A1548-1,5)+1)&amp;"_"&amp;(MOD(INT((A1548-1)/5),5)+1)</f>
        <v>Округ_2_5</v>
      </c>
      <c r="H1548" s="10" t="str">
        <f aca="false">"Город_"&amp;(MOD(A1548-1,5)+1)&amp;"_"&amp;(MOD(INT((A1548-1)/5),5)+1)&amp;"_"&amp;(MOD(INT((A1548-1)/25),10)+1)</f>
        <v>Город_2_5_2</v>
      </c>
      <c r="I1548" s="10" t="str">
        <f aca="false">CHOOSE(MOD(A1548-1,4)+1,"Электроника","Одежда","Продукты","Мебель")</f>
        <v>Продукты</v>
      </c>
      <c r="J1548" s="10" t="str">
        <f aca="false">CHOOSE(MOD(INT((A1548-1)/4),4)+1,CHOOSE(MOD(A1548-1,4)+1,"Смартфоны","Ноутбуки","Аксессуары","Аудио"),CHOOSE(MOD(A1548-1,4)+1,"Верхняя одежда","Спортивная","Повседневная","Обувь"),CHOOSE(MOD(A1548-1,4)+1,"Молочные","Мясные","Бакалея","Напитки"),CHOOSE(MOD(A1548-1,4)+1,"Мягкая мебель","Корпусная","Офисная","Кухонная"))</f>
        <v>Бакалея</v>
      </c>
      <c r="K1548" s="12" t="n">
        <f aca="false">1000+MOD(A1548*317+A1548*A1548*7,49001)</f>
        <v>44511</v>
      </c>
      <c r="L1548" s="12" t="n">
        <f aca="false">1+MOD(A1548*131,100)</f>
        <v>58</v>
      </c>
      <c r="M1548" s="12" t="n">
        <f aca="false">INT(K1548*(0.6+MOD(A1548*43,21)/100))</f>
        <v>32938</v>
      </c>
      <c r="N1548" s="12" t="n">
        <f aca="false">K1548-M1548</f>
        <v>11573</v>
      </c>
    </row>
    <row r="1549" customFormat="false" ht="12.8" hidden="false" customHeight="false" outlineLevel="0" collapsed="false">
      <c r="A1549" s="10" t="n">
        <f aca="false">A1548+1</f>
        <v>1548</v>
      </c>
      <c r="B1549" s="11" t="n">
        <f aca="false">B1548+1</f>
        <v>46474</v>
      </c>
      <c r="C1549" s="10" t="n">
        <f aca="false">YEAR(B1549)</f>
        <v>2027</v>
      </c>
      <c r="D1549" s="10" t="n">
        <f aca="false">INT((MONTH(B1549)-1)/3)+1</f>
        <v>1</v>
      </c>
      <c r="E1549" s="10" t="n">
        <f aca="false">MONTH(B1549)</f>
        <v>3</v>
      </c>
      <c r="F1549" s="10" t="str">
        <f aca="false">CHOOSE(MOD(A1549-1,5)+1,"Центр","Юг","Север","Запад","Восток")</f>
        <v>Север</v>
      </c>
      <c r="G1549" s="10" t="str">
        <f aca="false">"Округ_"&amp;(MOD(A1549-1,5)+1)&amp;"_"&amp;(MOD(INT((A1549-1)/5),5)+1)</f>
        <v>Округ_3_5</v>
      </c>
      <c r="H1549" s="10" t="str">
        <f aca="false">"Город_"&amp;(MOD(A1549-1,5)+1)&amp;"_"&amp;(MOD(INT((A1549-1)/5),5)+1)&amp;"_"&amp;(MOD(INT((A1549-1)/25),10)+1)</f>
        <v>Город_3_5_2</v>
      </c>
      <c r="I1549" s="10" t="str">
        <f aca="false">CHOOSE(MOD(A1549-1,4)+1,"Электроника","Одежда","Продукты","Мебель")</f>
        <v>Мебель</v>
      </c>
      <c r="J1549" s="10" t="str">
        <f aca="false">CHOOSE(MOD(INT((A1549-1)/4),4)+1,CHOOSE(MOD(A1549-1,4)+1,"Смартфоны","Ноутбуки","Аксессуары","Аудио"),CHOOSE(MOD(A1549-1,4)+1,"Верхняя одежда","Спортивная","Повседневная","Обувь"),CHOOSE(MOD(A1549-1,4)+1,"Молочные","Мясные","Бакалея","Напитки"),CHOOSE(MOD(A1549-1,4)+1,"Мягкая мебель","Корпусная","Офисная","Кухонная"))</f>
        <v>Напитки</v>
      </c>
      <c r="K1549" s="12" t="n">
        <f aca="false">1000+MOD(A1549*317+A1549*A1549*7,49001)</f>
        <v>17492</v>
      </c>
      <c r="L1549" s="12" t="n">
        <f aca="false">1+MOD(A1549*131,100)</f>
        <v>89</v>
      </c>
      <c r="M1549" s="12" t="n">
        <f aca="false">INT(K1549*(0.6+MOD(A1549*43,21)/100))</f>
        <v>13119</v>
      </c>
      <c r="N1549" s="12" t="n">
        <f aca="false">K1549-M1549</f>
        <v>4373</v>
      </c>
    </row>
    <row r="1550" customFormat="false" ht="12.8" hidden="false" customHeight="false" outlineLevel="0" collapsed="false">
      <c r="A1550" s="10" t="n">
        <f aca="false">A1549+1</f>
        <v>1549</v>
      </c>
      <c r="B1550" s="11" t="n">
        <f aca="false">B1549+1</f>
        <v>46475</v>
      </c>
      <c r="C1550" s="10" t="n">
        <f aca="false">YEAR(B1550)</f>
        <v>2027</v>
      </c>
      <c r="D1550" s="10" t="n">
        <f aca="false">INT((MONTH(B1550)-1)/3)+1</f>
        <v>1</v>
      </c>
      <c r="E1550" s="10" t="n">
        <f aca="false">MONTH(B1550)</f>
        <v>3</v>
      </c>
      <c r="F1550" s="10" t="str">
        <f aca="false">CHOOSE(MOD(A1550-1,5)+1,"Центр","Юг","Север","Запад","Восток")</f>
        <v>Запад</v>
      </c>
      <c r="G1550" s="10" t="str">
        <f aca="false">"Округ_"&amp;(MOD(A1550-1,5)+1)&amp;"_"&amp;(MOD(INT((A1550-1)/5),5)+1)</f>
        <v>Округ_4_5</v>
      </c>
      <c r="H1550" s="10" t="str">
        <f aca="false">"Город_"&amp;(MOD(A1550-1,5)+1)&amp;"_"&amp;(MOD(INT((A1550-1)/5),5)+1)&amp;"_"&amp;(MOD(INT((A1550-1)/25),10)+1)</f>
        <v>Город_4_5_2</v>
      </c>
      <c r="I1550" s="10" t="str">
        <f aca="false">CHOOSE(MOD(A1550-1,4)+1,"Электроника","Одежда","Продукты","Мебель")</f>
        <v>Электроника</v>
      </c>
      <c r="J1550" s="10" t="str">
        <f aca="false">CHOOSE(MOD(INT((A1550-1)/4),4)+1,CHOOSE(MOD(A1550-1,4)+1,"Смартфоны","Ноутбуки","Аксессуары","Аудио"),CHOOSE(MOD(A1550-1,4)+1,"Верхняя одежда","Спортивная","Повседневная","Обувь"),CHOOSE(MOD(A1550-1,4)+1,"Молочные","Мясные","Бакалея","Напитки"),CHOOSE(MOD(A1550-1,4)+1,"Мягкая мебель","Корпусная","Офисная","Кухонная"))</f>
        <v>Мягкая мебель</v>
      </c>
      <c r="K1550" s="12" t="n">
        <f aca="false">1000+MOD(A1550*317+A1550*A1550*7,49001)</f>
        <v>39488</v>
      </c>
      <c r="L1550" s="12" t="n">
        <f aca="false">1+MOD(A1550*131,100)</f>
        <v>20</v>
      </c>
      <c r="M1550" s="12" t="n">
        <f aca="false">INT(K1550*(0.6+MOD(A1550*43,21)/100))</f>
        <v>30010</v>
      </c>
      <c r="N1550" s="12" t="n">
        <f aca="false">K1550-M1550</f>
        <v>9478</v>
      </c>
    </row>
    <row r="1551" customFormat="false" ht="12.8" hidden="false" customHeight="false" outlineLevel="0" collapsed="false">
      <c r="A1551" s="10" t="n">
        <f aca="false">A1550+1</f>
        <v>1550</v>
      </c>
      <c r="B1551" s="11" t="n">
        <f aca="false">B1550+1</f>
        <v>46476</v>
      </c>
      <c r="C1551" s="10" t="n">
        <f aca="false">YEAR(B1551)</f>
        <v>2027</v>
      </c>
      <c r="D1551" s="10" t="n">
        <f aca="false">INT((MONTH(B1551)-1)/3)+1</f>
        <v>1</v>
      </c>
      <c r="E1551" s="10" t="n">
        <f aca="false">MONTH(B1551)</f>
        <v>3</v>
      </c>
      <c r="F1551" s="10" t="str">
        <f aca="false">CHOOSE(MOD(A1551-1,5)+1,"Центр","Юг","Север","Запад","Восток")</f>
        <v>Восток</v>
      </c>
      <c r="G1551" s="10" t="str">
        <f aca="false">"Округ_"&amp;(MOD(A1551-1,5)+1)&amp;"_"&amp;(MOD(INT((A1551-1)/5),5)+1)</f>
        <v>Округ_5_5</v>
      </c>
      <c r="H1551" s="10" t="str">
        <f aca="false">"Город_"&amp;(MOD(A1551-1,5)+1)&amp;"_"&amp;(MOD(INT((A1551-1)/5),5)+1)&amp;"_"&amp;(MOD(INT((A1551-1)/25),10)+1)</f>
        <v>Город_5_5_2</v>
      </c>
      <c r="I1551" s="10" t="str">
        <f aca="false">CHOOSE(MOD(A1551-1,4)+1,"Электроника","Одежда","Продукты","Мебель")</f>
        <v>Одежда</v>
      </c>
      <c r="J1551" s="10" t="str">
        <f aca="false">CHOOSE(MOD(INT((A1551-1)/4),4)+1,CHOOSE(MOD(A1551-1,4)+1,"Смартфоны","Ноутбуки","Аксессуары","Аудио"),CHOOSE(MOD(A1551-1,4)+1,"Верхняя одежда","Спортивная","Повседневная","Обувь"),CHOOSE(MOD(A1551-1,4)+1,"Молочные","Мясные","Бакалея","Напитки"),CHOOSE(MOD(A1551-1,4)+1,"Мягкая мебель","Корпусная","Офисная","Кухонная"))</f>
        <v>Корпусная</v>
      </c>
      <c r="K1551" s="12" t="n">
        <f aca="false">1000+MOD(A1551*317+A1551*A1551*7,49001)</f>
        <v>12497</v>
      </c>
      <c r="L1551" s="12" t="n">
        <f aca="false">1+MOD(A1551*131,100)</f>
        <v>51</v>
      </c>
      <c r="M1551" s="12" t="n">
        <f aca="false">INT(K1551*(0.6+MOD(A1551*43,21)/100))</f>
        <v>9622</v>
      </c>
      <c r="N1551" s="12" t="n">
        <f aca="false">K1551-M1551</f>
        <v>2875</v>
      </c>
    </row>
    <row r="1552" customFormat="false" ht="12.8" hidden="false" customHeight="false" outlineLevel="0" collapsed="false">
      <c r="A1552" s="10" t="n">
        <f aca="false">A1551+1</f>
        <v>1551</v>
      </c>
      <c r="B1552" s="11" t="n">
        <f aca="false">B1551+1</f>
        <v>46477</v>
      </c>
      <c r="C1552" s="10" t="n">
        <f aca="false">YEAR(B1552)</f>
        <v>2027</v>
      </c>
      <c r="D1552" s="10" t="n">
        <f aca="false">INT((MONTH(B1552)-1)/3)+1</f>
        <v>1</v>
      </c>
      <c r="E1552" s="10" t="n">
        <f aca="false">MONTH(B1552)</f>
        <v>3</v>
      </c>
      <c r="F1552" s="10" t="str">
        <f aca="false">CHOOSE(MOD(A1552-1,5)+1,"Центр","Юг","Север","Запад","Восток")</f>
        <v>Центр</v>
      </c>
      <c r="G1552" s="10" t="str">
        <f aca="false">"Округ_"&amp;(MOD(A1552-1,5)+1)&amp;"_"&amp;(MOD(INT((A1552-1)/5),5)+1)</f>
        <v>Округ_1_1</v>
      </c>
      <c r="H1552" s="10" t="str">
        <f aca="false">"Город_"&amp;(MOD(A1552-1,5)+1)&amp;"_"&amp;(MOD(INT((A1552-1)/5),5)+1)&amp;"_"&amp;(MOD(INT((A1552-1)/25),10)+1)</f>
        <v>Город_1_1_3</v>
      </c>
      <c r="I1552" s="10" t="str">
        <f aca="false">CHOOSE(MOD(A1552-1,4)+1,"Электроника","Одежда","Продукты","Мебель")</f>
        <v>Продукты</v>
      </c>
      <c r="J1552" s="10" t="str">
        <f aca="false">CHOOSE(MOD(INT((A1552-1)/4),4)+1,CHOOSE(MOD(A1552-1,4)+1,"Смартфоны","Ноутбуки","Аксессуары","Аудио"),CHOOSE(MOD(A1552-1,4)+1,"Верхняя одежда","Спортивная","Повседневная","Обувь"),CHOOSE(MOD(A1552-1,4)+1,"Молочные","Мясные","Бакалея","Напитки"),CHOOSE(MOD(A1552-1,4)+1,"Мягкая мебель","Корпусная","Офисная","Кухонная"))</f>
        <v>Офисная</v>
      </c>
      <c r="K1552" s="12" t="n">
        <f aca="false">1000+MOD(A1552*317+A1552*A1552*7,49001)</f>
        <v>34521</v>
      </c>
      <c r="L1552" s="12" t="n">
        <f aca="false">1+MOD(A1552*131,100)</f>
        <v>82</v>
      </c>
      <c r="M1552" s="12" t="n">
        <f aca="false">INT(K1552*(0.6+MOD(A1552*43,21)/100))</f>
        <v>26926</v>
      </c>
      <c r="N1552" s="12" t="n">
        <f aca="false">K1552-M1552</f>
        <v>7595</v>
      </c>
    </row>
    <row r="1553" customFormat="false" ht="12.8" hidden="false" customHeight="false" outlineLevel="0" collapsed="false">
      <c r="A1553" s="10" t="n">
        <f aca="false">A1552+1</f>
        <v>1552</v>
      </c>
      <c r="B1553" s="11" t="n">
        <f aca="false">B1552+1</f>
        <v>46478</v>
      </c>
      <c r="C1553" s="10" t="n">
        <f aca="false">YEAR(B1553)</f>
        <v>2027</v>
      </c>
      <c r="D1553" s="10" t="n">
        <f aca="false">INT((MONTH(B1553)-1)/3)+1</f>
        <v>2</v>
      </c>
      <c r="E1553" s="10" t="n">
        <f aca="false">MONTH(B1553)</f>
        <v>4</v>
      </c>
      <c r="F1553" s="10" t="str">
        <f aca="false">CHOOSE(MOD(A1553-1,5)+1,"Центр","Юг","Север","Запад","Восток")</f>
        <v>Юг</v>
      </c>
      <c r="G1553" s="10" t="str">
        <f aca="false">"Округ_"&amp;(MOD(A1553-1,5)+1)&amp;"_"&amp;(MOD(INT((A1553-1)/5),5)+1)</f>
        <v>Округ_2_1</v>
      </c>
      <c r="H1553" s="10" t="str">
        <f aca="false">"Город_"&amp;(MOD(A1553-1,5)+1)&amp;"_"&amp;(MOD(INT((A1553-1)/5),5)+1)&amp;"_"&amp;(MOD(INT((A1553-1)/25),10)+1)</f>
        <v>Город_2_1_3</v>
      </c>
      <c r="I1553" s="10" t="str">
        <f aca="false">CHOOSE(MOD(A1553-1,4)+1,"Электроника","Одежда","Продукты","Мебель")</f>
        <v>Мебель</v>
      </c>
      <c r="J1553" s="10" t="str">
        <f aca="false">CHOOSE(MOD(INT((A1553-1)/4),4)+1,CHOOSE(MOD(A1553-1,4)+1,"Смартфоны","Ноутбуки","Аксессуары","Аудио"),CHOOSE(MOD(A1553-1,4)+1,"Верхняя одежда","Спортивная","Повседневная","Обувь"),CHOOSE(MOD(A1553-1,4)+1,"Молочные","Мясные","Бакалея","Напитки"),CHOOSE(MOD(A1553-1,4)+1,"Мягкая мебель","Корпусная","Офисная","Кухонная"))</f>
        <v>Кухонная</v>
      </c>
      <c r="K1553" s="12" t="n">
        <f aca="false">1000+MOD(A1553*317+A1553*A1553*7,49001)</f>
        <v>7558</v>
      </c>
      <c r="L1553" s="12" t="n">
        <f aca="false">1+MOD(A1553*131,100)</f>
        <v>13</v>
      </c>
      <c r="M1553" s="12" t="n">
        <f aca="false">INT(K1553*(0.6+MOD(A1553*43,21)/100))</f>
        <v>5970</v>
      </c>
      <c r="N1553" s="12" t="n">
        <f aca="false">K1553-M1553</f>
        <v>1588</v>
      </c>
    </row>
    <row r="1554" customFormat="false" ht="12.8" hidden="false" customHeight="false" outlineLevel="0" collapsed="false">
      <c r="A1554" s="10" t="n">
        <f aca="false">A1553+1</f>
        <v>1553</v>
      </c>
      <c r="B1554" s="11" t="n">
        <f aca="false">B1553+1</f>
        <v>46479</v>
      </c>
      <c r="C1554" s="10" t="n">
        <f aca="false">YEAR(B1554)</f>
        <v>2027</v>
      </c>
      <c r="D1554" s="10" t="n">
        <f aca="false">INT((MONTH(B1554)-1)/3)+1</f>
        <v>2</v>
      </c>
      <c r="E1554" s="10" t="n">
        <f aca="false">MONTH(B1554)</f>
        <v>4</v>
      </c>
      <c r="F1554" s="10" t="str">
        <f aca="false">CHOOSE(MOD(A1554-1,5)+1,"Центр","Юг","Север","Запад","Восток")</f>
        <v>Север</v>
      </c>
      <c r="G1554" s="10" t="str">
        <f aca="false">"Округ_"&amp;(MOD(A1554-1,5)+1)&amp;"_"&amp;(MOD(INT((A1554-1)/5),5)+1)</f>
        <v>Округ_3_1</v>
      </c>
      <c r="H1554" s="10" t="str">
        <f aca="false">"Город_"&amp;(MOD(A1554-1,5)+1)&amp;"_"&amp;(MOD(INT((A1554-1)/5),5)+1)&amp;"_"&amp;(MOD(INT((A1554-1)/25),10)+1)</f>
        <v>Город_3_1_3</v>
      </c>
      <c r="I1554" s="10" t="str">
        <f aca="false">CHOOSE(MOD(A1554-1,4)+1,"Электроника","Одежда","Продукты","Мебель")</f>
        <v>Электроника</v>
      </c>
      <c r="J1554" s="10" t="str">
        <f aca="false">CHOOSE(MOD(INT((A1554-1)/4),4)+1,CHOOSE(MOD(A1554-1,4)+1,"Смартфоны","Ноутбуки","Аксессуары","Аудио"),CHOOSE(MOD(A1554-1,4)+1,"Верхняя одежда","Спортивная","Повседневная","Обувь"),CHOOSE(MOD(A1554-1,4)+1,"Молочные","Мясные","Бакалея","Напитки"),CHOOSE(MOD(A1554-1,4)+1,"Мягкая мебель","Корпусная","Офисная","Кухонная"))</f>
        <v>Смартфоны</v>
      </c>
      <c r="K1554" s="12" t="n">
        <f aca="false">1000+MOD(A1554*317+A1554*A1554*7,49001)</f>
        <v>29610</v>
      </c>
      <c r="L1554" s="12" t="n">
        <f aca="false">1+MOD(A1554*131,100)</f>
        <v>44</v>
      </c>
      <c r="M1554" s="12" t="n">
        <f aca="false">INT(K1554*(0.6+MOD(A1554*43,21)/100))</f>
        <v>23688</v>
      </c>
      <c r="N1554" s="12" t="n">
        <f aca="false">K1554-M1554</f>
        <v>5922</v>
      </c>
    </row>
    <row r="1555" customFormat="false" ht="12.8" hidden="false" customHeight="false" outlineLevel="0" collapsed="false">
      <c r="A1555" s="10" t="n">
        <f aca="false">A1554+1</f>
        <v>1554</v>
      </c>
      <c r="B1555" s="11" t="n">
        <f aca="false">B1554+1</f>
        <v>46480</v>
      </c>
      <c r="C1555" s="10" t="n">
        <f aca="false">YEAR(B1555)</f>
        <v>2027</v>
      </c>
      <c r="D1555" s="10" t="n">
        <f aca="false">INT((MONTH(B1555)-1)/3)+1</f>
        <v>2</v>
      </c>
      <c r="E1555" s="10" t="n">
        <f aca="false">MONTH(B1555)</f>
        <v>4</v>
      </c>
      <c r="F1555" s="10" t="str">
        <f aca="false">CHOOSE(MOD(A1555-1,5)+1,"Центр","Юг","Север","Запад","Восток")</f>
        <v>Запад</v>
      </c>
      <c r="G1555" s="10" t="str">
        <f aca="false">"Округ_"&amp;(MOD(A1555-1,5)+1)&amp;"_"&amp;(MOD(INT((A1555-1)/5),5)+1)</f>
        <v>Округ_4_1</v>
      </c>
      <c r="H1555" s="10" t="str">
        <f aca="false">"Город_"&amp;(MOD(A1555-1,5)+1)&amp;"_"&amp;(MOD(INT((A1555-1)/5),5)+1)&amp;"_"&amp;(MOD(INT((A1555-1)/25),10)+1)</f>
        <v>Город_4_1_3</v>
      </c>
      <c r="I1555" s="10" t="str">
        <f aca="false">CHOOSE(MOD(A1555-1,4)+1,"Электроника","Одежда","Продукты","Мебель")</f>
        <v>Одежда</v>
      </c>
      <c r="J1555" s="10" t="str">
        <f aca="false">CHOOSE(MOD(INT((A1555-1)/4),4)+1,CHOOSE(MOD(A1555-1,4)+1,"Смартфоны","Ноутбуки","Аксессуары","Аудио"),CHOOSE(MOD(A1555-1,4)+1,"Верхняя одежда","Спортивная","Повседневная","Обувь"),CHOOSE(MOD(A1555-1,4)+1,"Молочные","Мясные","Бакалея","Напитки"),CHOOSE(MOD(A1555-1,4)+1,"Мягкая мебель","Корпусная","Офисная","Кухонная"))</f>
        <v>Ноутбуки</v>
      </c>
      <c r="K1555" s="12" t="n">
        <f aca="false">1000+MOD(A1555*317+A1555*A1555*7,49001)</f>
        <v>2675</v>
      </c>
      <c r="L1555" s="12" t="n">
        <f aca="false">1+MOD(A1555*131,100)</f>
        <v>75</v>
      </c>
      <c r="M1555" s="12" t="n">
        <f aca="false">INT(K1555*(0.6+MOD(A1555*43,21)/100))</f>
        <v>1605</v>
      </c>
      <c r="N1555" s="12" t="n">
        <f aca="false">K1555-M1555</f>
        <v>1070</v>
      </c>
    </row>
    <row r="1556" customFormat="false" ht="12.8" hidden="false" customHeight="false" outlineLevel="0" collapsed="false">
      <c r="A1556" s="10" t="n">
        <f aca="false">A1555+1</f>
        <v>1555</v>
      </c>
      <c r="B1556" s="11" t="n">
        <f aca="false">B1555+1</f>
        <v>46481</v>
      </c>
      <c r="C1556" s="10" t="n">
        <f aca="false">YEAR(B1556)</f>
        <v>2027</v>
      </c>
      <c r="D1556" s="10" t="n">
        <f aca="false">INT((MONTH(B1556)-1)/3)+1</f>
        <v>2</v>
      </c>
      <c r="E1556" s="10" t="n">
        <f aca="false">MONTH(B1556)</f>
        <v>4</v>
      </c>
      <c r="F1556" s="10" t="str">
        <f aca="false">CHOOSE(MOD(A1556-1,5)+1,"Центр","Юг","Север","Запад","Восток")</f>
        <v>Восток</v>
      </c>
      <c r="G1556" s="10" t="str">
        <f aca="false">"Округ_"&amp;(MOD(A1556-1,5)+1)&amp;"_"&amp;(MOD(INT((A1556-1)/5),5)+1)</f>
        <v>Округ_5_1</v>
      </c>
      <c r="H1556" s="10" t="str">
        <f aca="false">"Город_"&amp;(MOD(A1556-1,5)+1)&amp;"_"&amp;(MOD(INT((A1556-1)/5),5)+1)&amp;"_"&amp;(MOD(INT((A1556-1)/25),10)+1)</f>
        <v>Город_5_1_3</v>
      </c>
      <c r="I1556" s="10" t="str">
        <f aca="false">CHOOSE(MOD(A1556-1,4)+1,"Электроника","Одежда","Продукты","Мебель")</f>
        <v>Продукты</v>
      </c>
      <c r="J1556" s="10" t="str">
        <f aca="false">CHOOSE(MOD(INT((A1556-1)/4),4)+1,CHOOSE(MOD(A1556-1,4)+1,"Смартфоны","Ноутбуки","Аксессуары","Аудио"),CHOOSE(MOD(A1556-1,4)+1,"Верхняя одежда","Спортивная","Повседневная","Обувь"),CHOOSE(MOD(A1556-1,4)+1,"Молочные","Мясные","Бакалея","Напитки"),CHOOSE(MOD(A1556-1,4)+1,"Мягкая мебель","Корпусная","Офисная","Кухонная"))</f>
        <v>Аксессуары</v>
      </c>
      <c r="K1556" s="12" t="n">
        <f aca="false">1000+MOD(A1556*317+A1556*A1556*7,49001)</f>
        <v>24755</v>
      </c>
      <c r="L1556" s="12" t="n">
        <f aca="false">1+MOD(A1556*131,100)</f>
        <v>6</v>
      </c>
      <c r="M1556" s="12" t="n">
        <f aca="false">INT(K1556*(0.6+MOD(A1556*43,21)/100))</f>
        <v>15100</v>
      </c>
      <c r="N1556" s="12" t="n">
        <f aca="false">K1556-M1556</f>
        <v>9655</v>
      </c>
    </row>
    <row r="1557" customFormat="false" ht="12.8" hidden="false" customHeight="false" outlineLevel="0" collapsed="false">
      <c r="A1557" s="10" t="n">
        <f aca="false">A1556+1</f>
        <v>1556</v>
      </c>
      <c r="B1557" s="11" t="n">
        <f aca="false">B1556+1</f>
        <v>46482</v>
      </c>
      <c r="C1557" s="10" t="n">
        <f aca="false">YEAR(B1557)</f>
        <v>2027</v>
      </c>
      <c r="D1557" s="10" t="n">
        <f aca="false">INT((MONTH(B1557)-1)/3)+1</f>
        <v>2</v>
      </c>
      <c r="E1557" s="10" t="n">
        <f aca="false">MONTH(B1557)</f>
        <v>4</v>
      </c>
      <c r="F1557" s="10" t="str">
        <f aca="false">CHOOSE(MOD(A1557-1,5)+1,"Центр","Юг","Север","Запад","Восток")</f>
        <v>Центр</v>
      </c>
      <c r="G1557" s="10" t="str">
        <f aca="false">"Округ_"&amp;(MOD(A1557-1,5)+1)&amp;"_"&amp;(MOD(INT((A1557-1)/5),5)+1)</f>
        <v>Округ_1_2</v>
      </c>
      <c r="H1557" s="10" t="str">
        <f aca="false">"Город_"&amp;(MOD(A1557-1,5)+1)&amp;"_"&amp;(MOD(INT((A1557-1)/5),5)+1)&amp;"_"&amp;(MOD(INT((A1557-1)/25),10)+1)</f>
        <v>Город_1_2_3</v>
      </c>
      <c r="I1557" s="10" t="str">
        <f aca="false">CHOOSE(MOD(A1557-1,4)+1,"Электроника","Одежда","Продукты","Мебель")</f>
        <v>Мебель</v>
      </c>
      <c r="J1557" s="10" t="str">
        <f aca="false">CHOOSE(MOD(INT((A1557-1)/4),4)+1,CHOOSE(MOD(A1557-1,4)+1,"Смартфоны","Ноутбуки","Аксессуары","Аудио"),CHOOSE(MOD(A1557-1,4)+1,"Верхняя одежда","Спортивная","Повседневная","Обувь"),CHOOSE(MOD(A1557-1,4)+1,"Молочные","Мясные","Бакалея","Напитки"),CHOOSE(MOD(A1557-1,4)+1,"Мягкая мебель","Корпусная","Офисная","Кухонная"))</f>
        <v>Аудио</v>
      </c>
      <c r="K1557" s="12" t="n">
        <f aca="false">1000+MOD(A1557*317+A1557*A1557*7,49001)</f>
        <v>46849</v>
      </c>
      <c r="L1557" s="12" t="n">
        <f aca="false">1+MOD(A1557*131,100)</f>
        <v>37</v>
      </c>
      <c r="M1557" s="12" t="n">
        <f aca="false">INT(K1557*(0.6+MOD(A1557*43,21)/100))</f>
        <v>29046</v>
      </c>
      <c r="N1557" s="12" t="n">
        <f aca="false">K1557-M1557</f>
        <v>17803</v>
      </c>
    </row>
    <row r="1558" customFormat="false" ht="12.8" hidden="false" customHeight="false" outlineLevel="0" collapsed="false">
      <c r="A1558" s="10" t="n">
        <f aca="false">A1557+1</f>
        <v>1557</v>
      </c>
      <c r="B1558" s="11" t="n">
        <f aca="false">B1557+1</f>
        <v>46483</v>
      </c>
      <c r="C1558" s="10" t="n">
        <f aca="false">YEAR(B1558)</f>
        <v>2027</v>
      </c>
      <c r="D1558" s="10" t="n">
        <f aca="false">INT((MONTH(B1558)-1)/3)+1</f>
        <v>2</v>
      </c>
      <c r="E1558" s="10" t="n">
        <f aca="false">MONTH(B1558)</f>
        <v>4</v>
      </c>
      <c r="F1558" s="10" t="str">
        <f aca="false">CHOOSE(MOD(A1558-1,5)+1,"Центр","Юг","Север","Запад","Восток")</f>
        <v>Юг</v>
      </c>
      <c r="G1558" s="10" t="str">
        <f aca="false">"Округ_"&amp;(MOD(A1558-1,5)+1)&amp;"_"&amp;(MOD(INT((A1558-1)/5),5)+1)</f>
        <v>Округ_2_2</v>
      </c>
      <c r="H1558" s="10" t="str">
        <f aca="false">"Город_"&amp;(MOD(A1558-1,5)+1)&amp;"_"&amp;(MOD(INT((A1558-1)/5),5)+1)&amp;"_"&amp;(MOD(INT((A1558-1)/25),10)+1)</f>
        <v>Город_2_2_3</v>
      </c>
      <c r="I1558" s="10" t="str">
        <f aca="false">CHOOSE(MOD(A1558-1,4)+1,"Электроника","Одежда","Продукты","Мебель")</f>
        <v>Электроника</v>
      </c>
      <c r="J1558" s="10" t="str">
        <f aca="false">CHOOSE(MOD(INT((A1558-1)/4),4)+1,CHOOSE(MOD(A1558-1,4)+1,"Смартфоны","Ноутбуки","Аксессуары","Аудио"),CHOOSE(MOD(A1558-1,4)+1,"Верхняя одежда","Спортивная","Повседневная","Обувь"),CHOOSE(MOD(A1558-1,4)+1,"Молочные","Мясные","Бакалея","Напитки"),CHOOSE(MOD(A1558-1,4)+1,"Мягкая мебель","Корпусная","Офисная","Кухонная"))</f>
        <v>Верхняя одежда</v>
      </c>
      <c r="K1558" s="12" t="n">
        <f aca="false">1000+MOD(A1558*317+A1558*A1558*7,49001)</f>
        <v>19956</v>
      </c>
      <c r="L1558" s="12" t="n">
        <f aca="false">1+MOD(A1558*131,100)</f>
        <v>68</v>
      </c>
      <c r="M1558" s="12" t="n">
        <f aca="false">INT(K1558*(0.6+MOD(A1558*43,21)/100))</f>
        <v>12572</v>
      </c>
      <c r="N1558" s="12" t="n">
        <f aca="false">K1558-M1558</f>
        <v>7384</v>
      </c>
    </row>
    <row r="1559" customFormat="false" ht="12.8" hidden="false" customHeight="false" outlineLevel="0" collapsed="false">
      <c r="A1559" s="10" t="n">
        <f aca="false">A1558+1</f>
        <v>1558</v>
      </c>
      <c r="B1559" s="11" t="n">
        <f aca="false">B1558+1</f>
        <v>46484</v>
      </c>
      <c r="C1559" s="10" t="n">
        <f aca="false">YEAR(B1559)</f>
        <v>2027</v>
      </c>
      <c r="D1559" s="10" t="n">
        <f aca="false">INT((MONTH(B1559)-1)/3)+1</f>
        <v>2</v>
      </c>
      <c r="E1559" s="10" t="n">
        <f aca="false">MONTH(B1559)</f>
        <v>4</v>
      </c>
      <c r="F1559" s="10" t="str">
        <f aca="false">CHOOSE(MOD(A1559-1,5)+1,"Центр","Юг","Север","Запад","Восток")</f>
        <v>Север</v>
      </c>
      <c r="G1559" s="10" t="str">
        <f aca="false">"Округ_"&amp;(MOD(A1559-1,5)+1)&amp;"_"&amp;(MOD(INT((A1559-1)/5),5)+1)</f>
        <v>Округ_3_2</v>
      </c>
      <c r="H1559" s="10" t="str">
        <f aca="false">"Город_"&amp;(MOD(A1559-1,5)+1)&amp;"_"&amp;(MOD(INT((A1559-1)/5),5)+1)&amp;"_"&amp;(MOD(INT((A1559-1)/25),10)+1)</f>
        <v>Город_3_2_3</v>
      </c>
      <c r="I1559" s="10" t="str">
        <f aca="false">CHOOSE(MOD(A1559-1,4)+1,"Электроника","Одежда","Продукты","Мебель")</f>
        <v>Одежда</v>
      </c>
      <c r="J1559" s="10" t="str">
        <f aca="false">CHOOSE(MOD(INT((A1559-1)/4),4)+1,CHOOSE(MOD(A1559-1,4)+1,"Смартфоны","Ноутбуки","Аксессуары","Аудио"),CHOOSE(MOD(A1559-1,4)+1,"Верхняя одежда","Спортивная","Повседневная","Обувь"),CHOOSE(MOD(A1559-1,4)+1,"Молочные","Мясные","Бакалея","Напитки"),CHOOSE(MOD(A1559-1,4)+1,"Мягкая мебель","Корпусная","Офисная","Кухонная"))</f>
        <v>Спортивная</v>
      </c>
      <c r="K1559" s="12" t="n">
        <f aca="false">1000+MOD(A1559*317+A1559*A1559*7,49001)</f>
        <v>42078</v>
      </c>
      <c r="L1559" s="12" t="n">
        <f aca="false">1+MOD(A1559*131,100)</f>
        <v>99</v>
      </c>
      <c r="M1559" s="12" t="n">
        <f aca="false">INT(K1559*(0.6+MOD(A1559*43,21)/100))</f>
        <v>26929</v>
      </c>
      <c r="N1559" s="12" t="n">
        <f aca="false">K1559-M1559</f>
        <v>15149</v>
      </c>
    </row>
    <row r="1560" customFormat="false" ht="12.8" hidden="false" customHeight="false" outlineLevel="0" collapsed="false">
      <c r="A1560" s="10" t="n">
        <f aca="false">A1559+1</f>
        <v>1559</v>
      </c>
      <c r="B1560" s="11" t="n">
        <f aca="false">B1559+1</f>
        <v>46485</v>
      </c>
      <c r="C1560" s="10" t="n">
        <f aca="false">YEAR(B1560)</f>
        <v>2027</v>
      </c>
      <c r="D1560" s="10" t="n">
        <f aca="false">INT((MONTH(B1560)-1)/3)+1</f>
        <v>2</v>
      </c>
      <c r="E1560" s="10" t="n">
        <f aca="false">MONTH(B1560)</f>
        <v>4</v>
      </c>
      <c r="F1560" s="10" t="str">
        <f aca="false">CHOOSE(MOD(A1560-1,5)+1,"Центр","Юг","Север","Запад","Восток")</f>
        <v>Запад</v>
      </c>
      <c r="G1560" s="10" t="str">
        <f aca="false">"Округ_"&amp;(MOD(A1560-1,5)+1)&amp;"_"&amp;(MOD(INT((A1560-1)/5),5)+1)</f>
        <v>Округ_4_2</v>
      </c>
      <c r="H1560" s="10" t="str">
        <f aca="false">"Город_"&amp;(MOD(A1560-1,5)+1)&amp;"_"&amp;(MOD(INT((A1560-1)/5),5)+1)&amp;"_"&amp;(MOD(INT((A1560-1)/25),10)+1)</f>
        <v>Город_4_2_3</v>
      </c>
      <c r="I1560" s="10" t="str">
        <f aca="false">CHOOSE(MOD(A1560-1,4)+1,"Электроника","Одежда","Продукты","Мебель")</f>
        <v>Продукты</v>
      </c>
      <c r="J1560" s="10" t="str">
        <f aca="false">CHOOSE(MOD(INT((A1560-1)/4),4)+1,CHOOSE(MOD(A1560-1,4)+1,"Смартфоны","Ноутбуки","Аксессуары","Аудио"),CHOOSE(MOD(A1560-1,4)+1,"Верхняя одежда","Спортивная","Повседневная","Обувь"),CHOOSE(MOD(A1560-1,4)+1,"Молочные","Мясные","Бакалея","Напитки"),CHOOSE(MOD(A1560-1,4)+1,"Мягкая мебель","Корпусная","Офисная","Кухонная"))</f>
        <v>Повседневная</v>
      </c>
      <c r="K1560" s="12" t="n">
        <f aca="false">1000+MOD(A1560*317+A1560*A1560*7,49001)</f>
        <v>15213</v>
      </c>
      <c r="L1560" s="12" t="n">
        <f aca="false">1+MOD(A1560*131,100)</f>
        <v>30</v>
      </c>
      <c r="M1560" s="12" t="n">
        <f aca="false">INT(K1560*(0.6+MOD(A1560*43,21)/100))</f>
        <v>9888</v>
      </c>
      <c r="N1560" s="12" t="n">
        <f aca="false">K1560-M1560</f>
        <v>5325</v>
      </c>
    </row>
    <row r="1561" customFormat="false" ht="12.8" hidden="false" customHeight="false" outlineLevel="0" collapsed="false">
      <c r="A1561" s="10" t="n">
        <f aca="false">A1560+1</f>
        <v>1560</v>
      </c>
      <c r="B1561" s="11" t="n">
        <f aca="false">B1560+1</f>
        <v>46486</v>
      </c>
      <c r="C1561" s="10" t="n">
        <f aca="false">YEAR(B1561)</f>
        <v>2027</v>
      </c>
      <c r="D1561" s="10" t="n">
        <f aca="false">INT((MONTH(B1561)-1)/3)+1</f>
        <v>2</v>
      </c>
      <c r="E1561" s="10" t="n">
        <f aca="false">MONTH(B1561)</f>
        <v>4</v>
      </c>
      <c r="F1561" s="10" t="str">
        <f aca="false">CHOOSE(MOD(A1561-1,5)+1,"Центр","Юг","Север","Запад","Восток")</f>
        <v>Восток</v>
      </c>
      <c r="G1561" s="10" t="str">
        <f aca="false">"Округ_"&amp;(MOD(A1561-1,5)+1)&amp;"_"&amp;(MOD(INT((A1561-1)/5),5)+1)</f>
        <v>Округ_5_2</v>
      </c>
      <c r="H1561" s="10" t="str">
        <f aca="false">"Город_"&amp;(MOD(A1561-1,5)+1)&amp;"_"&amp;(MOD(INT((A1561-1)/5),5)+1)&amp;"_"&amp;(MOD(INT((A1561-1)/25),10)+1)</f>
        <v>Город_5_2_3</v>
      </c>
      <c r="I1561" s="10" t="str">
        <f aca="false">CHOOSE(MOD(A1561-1,4)+1,"Электроника","Одежда","Продукты","Мебель")</f>
        <v>Мебель</v>
      </c>
      <c r="J1561" s="10" t="str">
        <f aca="false">CHOOSE(MOD(INT((A1561-1)/4),4)+1,CHOOSE(MOD(A1561-1,4)+1,"Смартфоны","Ноутбуки","Аксессуары","Аудио"),CHOOSE(MOD(A1561-1,4)+1,"Верхняя одежда","Спортивная","Повседневная","Обувь"),CHOOSE(MOD(A1561-1,4)+1,"Молочные","Мясные","Бакалея","Напитки"),CHOOSE(MOD(A1561-1,4)+1,"Мягкая мебель","Корпусная","Офисная","Кухонная"))</f>
        <v>Обувь</v>
      </c>
      <c r="K1561" s="12" t="n">
        <f aca="false">1000+MOD(A1561*317+A1561*A1561*7,49001)</f>
        <v>37363</v>
      </c>
      <c r="L1561" s="12" t="n">
        <f aca="false">1+MOD(A1561*131,100)</f>
        <v>61</v>
      </c>
      <c r="M1561" s="12" t="n">
        <f aca="false">INT(K1561*(0.6+MOD(A1561*43,21)/100))</f>
        <v>24659</v>
      </c>
      <c r="N1561" s="12" t="n">
        <f aca="false">K1561-M1561</f>
        <v>12704</v>
      </c>
    </row>
    <row r="1562" customFormat="false" ht="12.8" hidden="false" customHeight="false" outlineLevel="0" collapsed="false">
      <c r="A1562" s="10" t="n">
        <f aca="false">A1561+1</f>
        <v>1561</v>
      </c>
      <c r="B1562" s="11" t="n">
        <f aca="false">B1561+1</f>
        <v>46487</v>
      </c>
      <c r="C1562" s="10" t="n">
        <f aca="false">YEAR(B1562)</f>
        <v>2027</v>
      </c>
      <c r="D1562" s="10" t="n">
        <f aca="false">INT((MONTH(B1562)-1)/3)+1</f>
        <v>2</v>
      </c>
      <c r="E1562" s="10" t="n">
        <f aca="false">MONTH(B1562)</f>
        <v>4</v>
      </c>
      <c r="F1562" s="10" t="str">
        <f aca="false">CHOOSE(MOD(A1562-1,5)+1,"Центр","Юг","Север","Запад","Восток")</f>
        <v>Центр</v>
      </c>
      <c r="G1562" s="10" t="str">
        <f aca="false">"Округ_"&amp;(MOD(A1562-1,5)+1)&amp;"_"&amp;(MOD(INT((A1562-1)/5),5)+1)</f>
        <v>Округ_1_3</v>
      </c>
      <c r="H1562" s="10" t="str">
        <f aca="false">"Город_"&amp;(MOD(A1562-1,5)+1)&amp;"_"&amp;(MOD(INT((A1562-1)/5),5)+1)&amp;"_"&amp;(MOD(INT((A1562-1)/25),10)+1)</f>
        <v>Город_1_3_3</v>
      </c>
      <c r="I1562" s="10" t="str">
        <f aca="false">CHOOSE(MOD(A1562-1,4)+1,"Электроника","Одежда","Продукты","Мебель")</f>
        <v>Электроника</v>
      </c>
      <c r="J1562" s="10" t="str">
        <f aca="false">CHOOSE(MOD(INT((A1562-1)/4),4)+1,CHOOSE(MOD(A1562-1,4)+1,"Смартфоны","Ноутбуки","Аксессуары","Аудио"),CHOOSE(MOD(A1562-1,4)+1,"Верхняя одежда","Спортивная","Повседневная","Обувь"),CHOOSE(MOD(A1562-1,4)+1,"Молочные","Мясные","Бакалея","Напитки"),CHOOSE(MOD(A1562-1,4)+1,"Мягкая мебель","Корпусная","Офисная","Кухонная"))</f>
        <v>Молочные</v>
      </c>
      <c r="K1562" s="12" t="n">
        <f aca="false">1000+MOD(A1562*317+A1562*A1562*7,49001)</f>
        <v>10526</v>
      </c>
      <c r="L1562" s="12" t="n">
        <f aca="false">1+MOD(A1562*131,100)</f>
        <v>92</v>
      </c>
      <c r="M1562" s="12" t="n">
        <f aca="false">INT(K1562*(0.6+MOD(A1562*43,21)/100))</f>
        <v>7052</v>
      </c>
      <c r="N1562" s="12" t="n">
        <f aca="false">K1562-M1562</f>
        <v>3474</v>
      </c>
    </row>
    <row r="1563" customFormat="false" ht="12.8" hidden="false" customHeight="false" outlineLevel="0" collapsed="false">
      <c r="A1563" s="10" t="n">
        <f aca="false">A1562+1</f>
        <v>1562</v>
      </c>
      <c r="B1563" s="11" t="n">
        <f aca="false">B1562+1</f>
        <v>46488</v>
      </c>
      <c r="C1563" s="10" t="n">
        <f aca="false">YEAR(B1563)</f>
        <v>2027</v>
      </c>
      <c r="D1563" s="10" t="n">
        <f aca="false">INT((MONTH(B1563)-1)/3)+1</f>
        <v>2</v>
      </c>
      <c r="E1563" s="10" t="n">
        <f aca="false">MONTH(B1563)</f>
        <v>4</v>
      </c>
      <c r="F1563" s="10" t="str">
        <f aca="false">CHOOSE(MOD(A1563-1,5)+1,"Центр","Юг","Север","Запад","Восток")</f>
        <v>Юг</v>
      </c>
      <c r="G1563" s="10" t="str">
        <f aca="false">"Округ_"&amp;(MOD(A1563-1,5)+1)&amp;"_"&amp;(MOD(INT((A1563-1)/5),5)+1)</f>
        <v>Округ_2_3</v>
      </c>
      <c r="H1563" s="10" t="str">
        <f aca="false">"Город_"&amp;(MOD(A1563-1,5)+1)&amp;"_"&amp;(MOD(INT((A1563-1)/5),5)+1)&amp;"_"&amp;(MOD(INT((A1563-1)/25),10)+1)</f>
        <v>Город_2_3_3</v>
      </c>
      <c r="I1563" s="10" t="str">
        <f aca="false">CHOOSE(MOD(A1563-1,4)+1,"Электроника","Одежда","Продукты","Мебель")</f>
        <v>Одежда</v>
      </c>
      <c r="J1563" s="10" t="str">
        <f aca="false">CHOOSE(MOD(INT((A1563-1)/4),4)+1,CHOOSE(MOD(A1563-1,4)+1,"Смартфоны","Ноутбуки","Аксессуары","Аудио"),CHOOSE(MOD(A1563-1,4)+1,"Верхняя одежда","Спортивная","Повседневная","Обувь"),CHOOSE(MOD(A1563-1,4)+1,"Молочные","Мясные","Бакалея","Напитки"),CHOOSE(MOD(A1563-1,4)+1,"Мягкая мебель","Корпусная","Офисная","Кухонная"))</f>
        <v>Мясные</v>
      </c>
      <c r="K1563" s="12" t="n">
        <f aca="false">1000+MOD(A1563*317+A1563*A1563*7,49001)</f>
        <v>32704</v>
      </c>
      <c r="L1563" s="12" t="n">
        <f aca="false">1+MOD(A1563*131,100)</f>
        <v>23</v>
      </c>
      <c r="M1563" s="12" t="n">
        <f aca="false">INT(K1563*(0.6+MOD(A1563*43,21)/100))</f>
        <v>22238</v>
      </c>
      <c r="N1563" s="12" t="n">
        <f aca="false">K1563-M1563</f>
        <v>10466</v>
      </c>
    </row>
    <row r="1564" customFormat="false" ht="12.8" hidden="false" customHeight="false" outlineLevel="0" collapsed="false">
      <c r="A1564" s="10" t="n">
        <f aca="false">A1563+1</f>
        <v>1563</v>
      </c>
      <c r="B1564" s="11" t="n">
        <f aca="false">B1563+1</f>
        <v>46489</v>
      </c>
      <c r="C1564" s="10" t="n">
        <f aca="false">YEAR(B1564)</f>
        <v>2027</v>
      </c>
      <c r="D1564" s="10" t="n">
        <f aca="false">INT((MONTH(B1564)-1)/3)+1</f>
        <v>2</v>
      </c>
      <c r="E1564" s="10" t="n">
        <f aca="false">MONTH(B1564)</f>
        <v>4</v>
      </c>
      <c r="F1564" s="10" t="str">
        <f aca="false">CHOOSE(MOD(A1564-1,5)+1,"Центр","Юг","Север","Запад","Восток")</f>
        <v>Север</v>
      </c>
      <c r="G1564" s="10" t="str">
        <f aca="false">"Округ_"&amp;(MOD(A1564-1,5)+1)&amp;"_"&amp;(MOD(INT((A1564-1)/5),5)+1)</f>
        <v>Округ_3_3</v>
      </c>
      <c r="H1564" s="10" t="str">
        <f aca="false">"Город_"&amp;(MOD(A1564-1,5)+1)&amp;"_"&amp;(MOD(INT((A1564-1)/5),5)+1)&amp;"_"&amp;(MOD(INT((A1564-1)/25),10)+1)</f>
        <v>Город_3_3_3</v>
      </c>
      <c r="I1564" s="10" t="str">
        <f aca="false">CHOOSE(MOD(A1564-1,4)+1,"Электроника","Одежда","Продукты","Мебель")</f>
        <v>Продукты</v>
      </c>
      <c r="J1564" s="10" t="str">
        <f aca="false">CHOOSE(MOD(INT((A1564-1)/4),4)+1,CHOOSE(MOD(A1564-1,4)+1,"Смартфоны","Ноутбуки","Аксессуары","Аудио"),CHOOSE(MOD(A1564-1,4)+1,"Верхняя одежда","Спортивная","Повседневная","Обувь"),CHOOSE(MOD(A1564-1,4)+1,"Молочные","Мясные","Бакалея","Напитки"),CHOOSE(MOD(A1564-1,4)+1,"Мягкая мебель","Корпусная","Офисная","Кухонная"))</f>
        <v>Бакалея</v>
      </c>
      <c r="K1564" s="12" t="n">
        <f aca="false">1000+MOD(A1564*317+A1564*A1564*7,49001)</f>
        <v>5895</v>
      </c>
      <c r="L1564" s="12" t="n">
        <f aca="false">1+MOD(A1564*131,100)</f>
        <v>54</v>
      </c>
      <c r="M1564" s="12" t="n">
        <f aca="false">INT(K1564*(0.6+MOD(A1564*43,21)/100))</f>
        <v>4067</v>
      </c>
      <c r="N1564" s="12" t="n">
        <f aca="false">K1564-M1564</f>
        <v>1828</v>
      </c>
    </row>
    <row r="1565" customFormat="false" ht="12.8" hidden="false" customHeight="false" outlineLevel="0" collapsed="false">
      <c r="A1565" s="10" t="n">
        <f aca="false">A1564+1</f>
        <v>1564</v>
      </c>
      <c r="B1565" s="11" t="n">
        <f aca="false">B1564+1</f>
        <v>46490</v>
      </c>
      <c r="C1565" s="10" t="n">
        <f aca="false">YEAR(B1565)</f>
        <v>2027</v>
      </c>
      <c r="D1565" s="10" t="n">
        <f aca="false">INT((MONTH(B1565)-1)/3)+1</f>
        <v>2</v>
      </c>
      <c r="E1565" s="10" t="n">
        <f aca="false">MONTH(B1565)</f>
        <v>4</v>
      </c>
      <c r="F1565" s="10" t="str">
        <f aca="false">CHOOSE(MOD(A1565-1,5)+1,"Центр","Юг","Север","Запад","Восток")</f>
        <v>Запад</v>
      </c>
      <c r="G1565" s="10" t="str">
        <f aca="false">"Округ_"&amp;(MOD(A1565-1,5)+1)&amp;"_"&amp;(MOD(INT((A1565-1)/5),5)+1)</f>
        <v>Округ_4_3</v>
      </c>
      <c r="H1565" s="10" t="str">
        <f aca="false">"Город_"&amp;(MOD(A1565-1,5)+1)&amp;"_"&amp;(MOD(INT((A1565-1)/5),5)+1)&amp;"_"&amp;(MOD(INT((A1565-1)/25),10)+1)</f>
        <v>Город_4_3_3</v>
      </c>
      <c r="I1565" s="10" t="str">
        <f aca="false">CHOOSE(MOD(A1565-1,4)+1,"Электроника","Одежда","Продукты","Мебель")</f>
        <v>Мебель</v>
      </c>
      <c r="J1565" s="10" t="str">
        <f aca="false">CHOOSE(MOD(INT((A1565-1)/4),4)+1,CHOOSE(MOD(A1565-1,4)+1,"Смартфоны","Ноутбуки","Аксессуары","Аудио"),CHOOSE(MOD(A1565-1,4)+1,"Верхняя одежда","Спортивная","Повседневная","Обувь"),CHOOSE(MOD(A1565-1,4)+1,"Молочные","Мясные","Бакалея","Напитки"),CHOOSE(MOD(A1565-1,4)+1,"Мягкая мебель","Корпусная","Офисная","Кухонная"))</f>
        <v>Напитки</v>
      </c>
      <c r="K1565" s="12" t="n">
        <f aca="false">1000+MOD(A1565*317+A1565*A1565*7,49001)</f>
        <v>28101</v>
      </c>
      <c r="L1565" s="12" t="n">
        <f aca="false">1+MOD(A1565*131,100)</f>
        <v>85</v>
      </c>
      <c r="M1565" s="12" t="n">
        <f aca="false">INT(K1565*(0.6+MOD(A1565*43,21)/100))</f>
        <v>19670</v>
      </c>
      <c r="N1565" s="12" t="n">
        <f aca="false">K1565-M1565</f>
        <v>8431</v>
      </c>
    </row>
    <row r="1566" customFormat="false" ht="12.8" hidden="false" customHeight="false" outlineLevel="0" collapsed="false">
      <c r="A1566" s="10" t="n">
        <f aca="false">A1565+1</f>
        <v>1565</v>
      </c>
      <c r="B1566" s="11" t="n">
        <f aca="false">B1565+1</f>
        <v>46491</v>
      </c>
      <c r="C1566" s="10" t="n">
        <f aca="false">YEAR(B1566)</f>
        <v>2027</v>
      </c>
      <c r="D1566" s="10" t="n">
        <f aca="false">INT((MONTH(B1566)-1)/3)+1</f>
        <v>2</v>
      </c>
      <c r="E1566" s="10" t="n">
        <f aca="false">MONTH(B1566)</f>
        <v>4</v>
      </c>
      <c r="F1566" s="10" t="str">
        <f aca="false">CHOOSE(MOD(A1566-1,5)+1,"Центр","Юг","Север","Запад","Восток")</f>
        <v>Восток</v>
      </c>
      <c r="G1566" s="10" t="str">
        <f aca="false">"Округ_"&amp;(MOD(A1566-1,5)+1)&amp;"_"&amp;(MOD(INT((A1566-1)/5),5)+1)</f>
        <v>Округ_5_3</v>
      </c>
      <c r="H1566" s="10" t="str">
        <f aca="false">"Город_"&amp;(MOD(A1566-1,5)+1)&amp;"_"&amp;(MOD(INT((A1566-1)/5),5)+1)&amp;"_"&amp;(MOD(INT((A1566-1)/25),10)+1)</f>
        <v>Город_5_3_3</v>
      </c>
      <c r="I1566" s="10" t="str">
        <f aca="false">CHOOSE(MOD(A1566-1,4)+1,"Электроника","Одежда","Продукты","Мебель")</f>
        <v>Электроника</v>
      </c>
      <c r="J1566" s="10" t="str">
        <f aca="false">CHOOSE(MOD(INT((A1566-1)/4),4)+1,CHOOSE(MOD(A1566-1,4)+1,"Смартфоны","Ноутбуки","Аксессуары","Аудио"),CHOOSE(MOD(A1566-1,4)+1,"Верхняя одежда","Спортивная","Повседневная","Обувь"),CHOOSE(MOD(A1566-1,4)+1,"Молочные","Мясные","Бакалея","Напитки"),CHOOSE(MOD(A1566-1,4)+1,"Мягкая мебель","Корпусная","Офисная","Кухонная"))</f>
        <v>Мягкая мебель</v>
      </c>
      <c r="K1566" s="12" t="n">
        <f aca="false">1000+MOD(A1566*317+A1566*A1566*7,49001)</f>
        <v>1320</v>
      </c>
      <c r="L1566" s="12" t="n">
        <f aca="false">1+MOD(A1566*131,100)</f>
        <v>16</v>
      </c>
      <c r="M1566" s="12" t="n">
        <f aca="false">INT(K1566*(0.6+MOD(A1566*43,21)/100))</f>
        <v>937</v>
      </c>
      <c r="N1566" s="12" t="n">
        <f aca="false">K1566-M1566</f>
        <v>383</v>
      </c>
    </row>
    <row r="1567" customFormat="false" ht="12.8" hidden="false" customHeight="false" outlineLevel="0" collapsed="false">
      <c r="A1567" s="10" t="n">
        <f aca="false">A1566+1</f>
        <v>1566</v>
      </c>
      <c r="B1567" s="11" t="n">
        <f aca="false">B1566+1</f>
        <v>46492</v>
      </c>
      <c r="C1567" s="10" t="n">
        <f aca="false">YEAR(B1567)</f>
        <v>2027</v>
      </c>
      <c r="D1567" s="10" t="n">
        <f aca="false">INT((MONTH(B1567)-1)/3)+1</f>
        <v>2</v>
      </c>
      <c r="E1567" s="10" t="n">
        <f aca="false">MONTH(B1567)</f>
        <v>4</v>
      </c>
      <c r="F1567" s="10" t="str">
        <f aca="false">CHOOSE(MOD(A1567-1,5)+1,"Центр","Юг","Север","Запад","Восток")</f>
        <v>Центр</v>
      </c>
      <c r="G1567" s="10" t="str">
        <f aca="false">"Округ_"&amp;(MOD(A1567-1,5)+1)&amp;"_"&amp;(MOD(INT((A1567-1)/5),5)+1)</f>
        <v>Округ_1_4</v>
      </c>
      <c r="H1567" s="10" t="str">
        <f aca="false">"Город_"&amp;(MOD(A1567-1,5)+1)&amp;"_"&amp;(MOD(INT((A1567-1)/5),5)+1)&amp;"_"&amp;(MOD(INT((A1567-1)/25),10)+1)</f>
        <v>Город_1_4_3</v>
      </c>
      <c r="I1567" s="10" t="str">
        <f aca="false">CHOOSE(MOD(A1567-1,4)+1,"Электроника","Одежда","Продукты","Мебель")</f>
        <v>Одежда</v>
      </c>
      <c r="J1567" s="10" t="str">
        <f aca="false">CHOOSE(MOD(INT((A1567-1)/4),4)+1,CHOOSE(MOD(A1567-1,4)+1,"Смартфоны","Ноутбуки","Аксессуары","Аудио"),CHOOSE(MOD(A1567-1,4)+1,"Верхняя одежда","Спортивная","Повседневная","Обувь"),CHOOSE(MOD(A1567-1,4)+1,"Молочные","Мясные","Бакалея","Напитки"),CHOOSE(MOD(A1567-1,4)+1,"Мягкая мебель","Корпусная","Офисная","Кухонная"))</f>
        <v>Корпусная</v>
      </c>
      <c r="K1567" s="12" t="n">
        <f aca="false">1000+MOD(A1567*317+A1567*A1567*7,49001)</f>
        <v>23554</v>
      </c>
      <c r="L1567" s="12" t="n">
        <f aca="false">1+MOD(A1567*131,100)</f>
        <v>47</v>
      </c>
      <c r="M1567" s="12" t="n">
        <f aca="false">INT(K1567*(0.6+MOD(A1567*43,21)/100))</f>
        <v>16958</v>
      </c>
      <c r="N1567" s="12" t="n">
        <f aca="false">K1567-M1567</f>
        <v>6596</v>
      </c>
    </row>
    <row r="1568" customFormat="false" ht="12.8" hidden="false" customHeight="false" outlineLevel="0" collapsed="false">
      <c r="A1568" s="10" t="n">
        <f aca="false">A1567+1</f>
        <v>1567</v>
      </c>
      <c r="B1568" s="11" t="n">
        <f aca="false">B1567+1</f>
        <v>46493</v>
      </c>
      <c r="C1568" s="10" t="n">
        <f aca="false">YEAR(B1568)</f>
        <v>2027</v>
      </c>
      <c r="D1568" s="10" t="n">
        <f aca="false">INT((MONTH(B1568)-1)/3)+1</f>
        <v>2</v>
      </c>
      <c r="E1568" s="10" t="n">
        <f aca="false">MONTH(B1568)</f>
        <v>4</v>
      </c>
      <c r="F1568" s="10" t="str">
        <f aca="false">CHOOSE(MOD(A1568-1,5)+1,"Центр","Юг","Север","Запад","Восток")</f>
        <v>Юг</v>
      </c>
      <c r="G1568" s="10" t="str">
        <f aca="false">"Округ_"&amp;(MOD(A1568-1,5)+1)&amp;"_"&amp;(MOD(INT((A1568-1)/5),5)+1)</f>
        <v>Округ_2_4</v>
      </c>
      <c r="H1568" s="10" t="str">
        <f aca="false">"Город_"&amp;(MOD(A1568-1,5)+1)&amp;"_"&amp;(MOD(INT((A1568-1)/5),5)+1)&amp;"_"&amp;(MOD(INT((A1568-1)/25),10)+1)</f>
        <v>Город_2_4_3</v>
      </c>
      <c r="I1568" s="10" t="str">
        <f aca="false">CHOOSE(MOD(A1568-1,4)+1,"Электроника","Одежда","Продукты","Мебель")</f>
        <v>Продукты</v>
      </c>
      <c r="J1568" s="10" t="str">
        <f aca="false">CHOOSE(MOD(INT((A1568-1)/4),4)+1,CHOOSE(MOD(A1568-1,4)+1,"Смартфоны","Ноутбуки","Аксессуары","Аудио"),CHOOSE(MOD(A1568-1,4)+1,"Верхняя одежда","Спортивная","Повседневная","Обувь"),CHOOSE(MOD(A1568-1,4)+1,"Молочные","Мясные","Бакалея","Напитки"),CHOOSE(MOD(A1568-1,4)+1,"Мягкая мебель","Корпусная","Офисная","Кухонная"))</f>
        <v>Офисная</v>
      </c>
      <c r="K1568" s="12" t="n">
        <f aca="false">1000+MOD(A1568*317+A1568*A1568*7,49001)</f>
        <v>45802</v>
      </c>
      <c r="L1568" s="12" t="n">
        <f aca="false">1+MOD(A1568*131,100)</f>
        <v>78</v>
      </c>
      <c r="M1568" s="12" t="n">
        <f aca="false">INT(K1568*(0.6+MOD(A1568*43,21)/100))</f>
        <v>33435</v>
      </c>
      <c r="N1568" s="12" t="n">
        <f aca="false">K1568-M1568</f>
        <v>12367</v>
      </c>
    </row>
    <row r="1569" customFormat="false" ht="12.8" hidden="false" customHeight="false" outlineLevel="0" collapsed="false">
      <c r="A1569" s="10" t="n">
        <f aca="false">A1568+1</f>
        <v>1568</v>
      </c>
      <c r="B1569" s="11" t="n">
        <f aca="false">B1568+1</f>
        <v>46494</v>
      </c>
      <c r="C1569" s="10" t="n">
        <f aca="false">YEAR(B1569)</f>
        <v>2027</v>
      </c>
      <c r="D1569" s="10" t="n">
        <f aca="false">INT((MONTH(B1569)-1)/3)+1</f>
        <v>2</v>
      </c>
      <c r="E1569" s="10" t="n">
        <f aca="false">MONTH(B1569)</f>
        <v>4</v>
      </c>
      <c r="F1569" s="10" t="str">
        <f aca="false">CHOOSE(MOD(A1569-1,5)+1,"Центр","Юг","Север","Запад","Восток")</f>
        <v>Север</v>
      </c>
      <c r="G1569" s="10" t="str">
        <f aca="false">"Округ_"&amp;(MOD(A1569-1,5)+1)&amp;"_"&amp;(MOD(INT((A1569-1)/5),5)+1)</f>
        <v>Округ_3_4</v>
      </c>
      <c r="H1569" s="10" t="str">
        <f aca="false">"Город_"&amp;(MOD(A1569-1,5)+1)&amp;"_"&amp;(MOD(INT((A1569-1)/5),5)+1)&amp;"_"&amp;(MOD(INT((A1569-1)/25),10)+1)</f>
        <v>Город_3_4_3</v>
      </c>
      <c r="I1569" s="10" t="str">
        <f aca="false">CHOOSE(MOD(A1569-1,4)+1,"Электроника","Одежда","Продукты","Мебель")</f>
        <v>Мебель</v>
      </c>
      <c r="J1569" s="10" t="str">
        <f aca="false">CHOOSE(MOD(INT((A1569-1)/4),4)+1,CHOOSE(MOD(A1569-1,4)+1,"Смартфоны","Ноутбуки","Аксессуары","Аудио"),CHOOSE(MOD(A1569-1,4)+1,"Верхняя одежда","Спортивная","Повседневная","Обувь"),CHOOSE(MOD(A1569-1,4)+1,"Молочные","Мясные","Бакалея","Напитки"),CHOOSE(MOD(A1569-1,4)+1,"Мягкая мебель","Корпусная","Офисная","Кухонная"))</f>
        <v>Кухонная</v>
      </c>
      <c r="K1569" s="12" t="n">
        <f aca="false">1000+MOD(A1569*317+A1569*A1569*7,49001)</f>
        <v>19063</v>
      </c>
      <c r="L1569" s="12" t="n">
        <f aca="false">1+MOD(A1569*131,100)</f>
        <v>9</v>
      </c>
      <c r="M1569" s="12" t="n">
        <f aca="false">INT(K1569*(0.6+MOD(A1569*43,21)/100))</f>
        <v>14106</v>
      </c>
      <c r="N1569" s="12" t="n">
        <f aca="false">K1569-M1569</f>
        <v>4957</v>
      </c>
    </row>
    <row r="1570" customFormat="false" ht="12.8" hidden="false" customHeight="false" outlineLevel="0" collapsed="false">
      <c r="A1570" s="10" t="n">
        <f aca="false">A1569+1</f>
        <v>1569</v>
      </c>
      <c r="B1570" s="11" t="n">
        <f aca="false">B1569+1</f>
        <v>46495</v>
      </c>
      <c r="C1570" s="10" t="n">
        <f aca="false">YEAR(B1570)</f>
        <v>2027</v>
      </c>
      <c r="D1570" s="10" t="n">
        <f aca="false">INT((MONTH(B1570)-1)/3)+1</f>
        <v>2</v>
      </c>
      <c r="E1570" s="10" t="n">
        <f aca="false">MONTH(B1570)</f>
        <v>4</v>
      </c>
      <c r="F1570" s="10" t="str">
        <f aca="false">CHOOSE(MOD(A1570-1,5)+1,"Центр","Юг","Север","Запад","Восток")</f>
        <v>Запад</v>
      </c>
      <c r="G1570" s="10" t="str">
        <f aca="false">"Округ_"&amp;(MOD(A1570-1,5)+1)&amp;"_"&amp;(MOD(INT((A1570-1)/5),5)+1)</f>
        <v>Округ_4_4</v>
      </c>
      <c r="H1570" s="10" t="str">
        <f aca="false">"Город_"&amp;(MOD(A1570-1,5)+1)&amp;"_"&amp;(MOD(INT((A1570-1)/5),5)+1)&amp;"_"&amp;(MOD(INT((A1570-1)/25),10)+1)</f>
        <v>Город_4_4_3</v>
      </c>
      <c r="I1570" s="10" t="str">
        <f aca="false">CHOOSE(MOD(A1570-1,4)+1,"Электроника","Одежда","Продукты","Мебель")</f>
        <v>Электроника</v>
      </c>
      <c r="J1570" s="10" t="str">
        <f aca="false">CHOOSE(MOD(INT((A1570-1)/4),4)+1,CHOOSE(MOD(A1570-1,4)+1,"Смартфоны","Ноутбуки","Аксессуары","Аудио"),CHOOSE(MOD(A1570-1,4)+1,"Верхняя одежда","Спортивная","Повседневная","Обувь"),CHOOSE(MOD(A1570-1,4)+1,"Молочные","Мясные","Бакалея","Напитки"),CHOOSE(MOD(A1570-1,4)+1,"Мягкая мебель","Корпусная","Офисная","Кухонная"))</f>
        <v>Смартфоны</v>
      </c>
      <c r="K1570" s="12" t="n">
        <f aca="false">1000+MOD(A1570*317+A1570*A1570*7,49001)</f>
        <v>41339</v>
      </c>
      <c r="L1570" s="12" t="n">
        <f aca="false">1+MOD(A1570*131,100)</f>
        <v>40</v>
      </c>
      <c r="M1570" s="12" t="n">
        <f aca="false">INT(K1570*(0.6+MOD(A1570*43,21)/100))</f>
        <v>31004</v>
      </c>
      <c r="N1570" s="12" t="n">
        <f aca="false">K1570-M1570</f>
        <v>10335</v>
      </c>
    </row>
    <row r="1571" customFormat="false" ht="12.8" hidden="false" customHeight="false" outlineLevel="0" collapsed="false">
      <c r="A1571" s="10" t="n">
        <f aca="false">A1570+1</f>
        <v>1570</v>
      </c>
      <c r="B1571" s="11" t="n">
        <f aca="false">B1570+1</f>
        <v>46496</v>
      </c>
      <c r="C1571" s="10" t="n">
        <f aca="false">YEAR(B1571)</f>
        <v>2027</v>
      </c>
      <c r="D1571" s="10" t="n">
        <f aca="false">INT((MONTH(B1571)-1)/3)+1</f>
        <v>2</v>
      </c>
      <c r="E1571" s="10" t="n">
        <f aca="false">MONTH(B1571)</f>
        <v>4</v>
      </c>
      <c r="F1571" s="10" t="str">
        <f aca="false">CHOOSE(MOD(A1571-1,5)+1,"Центр","Юг","Север","Запад","Восток")</f>
        <v>Восток</v>
      </c>
      <c r="G1571" s="10" t="str">
        <f aca="false">"Округ_"&amp;(MOD(A1571-1,5)+1)&amp;"_"&amp;(MOD(INT((A1571-1)/5),5)+1)</f>
        <v>Округ_5_4</v>
      </c>
      <c r="H1571" s="10" t="str">
        <f aca="false">"Город_"&amp;(MOD(A1571-1,5)+1)&amp;"_"&amp;(MOD(INT((A1571-1)/5),5)+1)&amp;"_"&amp;(MOD(INT((A1571-1)/25),10)+1)</f>
        <v>Город_5_4_3</v>
      </c>
      <c r="I1571" s="10" t="str">
        <f aca="false">CHOOSE(MOD(A1571-1,4)+1,"Электроника","Одежда","Продукты","Мебель")</f>
        <v>Одежда</v>
      </c>
      <c r="J1571" s="10" t="str">
        <f aca="false">CHOOSE(MOD(INT((A1571-1)/4),4)+1,CHOOSE(MOD(A1571-1,4)+1,"Смартфоны","Ноутбуки","Аксессуары","Аудио"),CHOOSE(MOD(A1571-1,4)+1,"Верхняя одежда","Спортивная","Повседневная","Обувь"),CHOOSE(MOD(A1571-1,4)+1,"Молочные","Мясные","Бакалея","Напитки"),CHOOSE(MOD(A1571-1,4)+1,"Мягкая мебель","Корпусная","Офисная","Кухонная"))</f>
        <v>Ноутбуки</v>
      </c>
      <c r="K1571" s="12" t="n">
        <f aca="false">1000+MOD(A1571*317+A1571*A1571*7,49001)</f>
        <v>14628</v>
      </c>
      <c r="L1571" s="12" t="n">
        <f aca="false">1+MOD(A1571*131,100)</f>
        <v>71</v>
      </c>
      <c r="M1571" s="12" t="n">
        <f aca="false">INT(K1571*(0.6+MOD(A1571*43,21)/100))</f>
        <v>11117</v>
      </c>
      <c r="N1571" s="12" t="n">
        <f aca="false">K1571-M1571</f>
        <v>3511</v>
      </c>
    </row>
    <row r="1572" customFormat="false" ht="12.8" hidden="false" customHeight="false" outlineLevel="0" collapsed="false">
      <c r="A1572" s="10" t="n">
        <f aca="false">A1571+1</f>
        <v>1571</v>
      </c>
      <c r="B1572" s="11" t="n">
        <f aca="false">B1571+1</f>
        <v>46497</v>
      </c>
      <c r="C1572" s="10" t="n">
        <f aca="false">YEAR(B1572)</f>
        <v>2027</v>
      </c>
      <c r="D1572" s="10" t="n">
        <f aca="false">INT((MONTH(B1572)-1)/3)+1</f>
        <v>2</v>
      </c>
      <c r="E1572" s="10" t="n">
        <f aca="false">MONTH(B1572)</f>
        <v>4</v>
      </c>
      <c r="F1572" s="10" t="str">
        <f aca="false">CHOOSE(MOD(A1572-1,5)+1,"Центр","Юг","Север","Запад","Восток")</f>
        <v>Центр</v>
      </c>
      <c r="G1572" s="10" t="str">
        <f aca="false">"Округ_"&amp;(MOD(A1572-1,5)+1)&amp;"_"&amp;(MOD(INT((A1572-1)/5),5)+1)</f>
        <v>Округ_1_5</v>
      </c>
      <c r="H1572" s="10" t="str">
        <f aca="false">"Город_"&amp;(MOD(A1572-1,5)+1)&amp;"_"&amp;(MOD(INT((A1572-1)/5),5)+1)&amp;"_"&amp;(MOD(INT((A1572-1)/25),10)+1)</f>
        <v>Город_1_5_3</v>
      </c>
      <c r="I1572" s="10" t="str">
        <f aca="false">CHOOSE(MOD(A1572-1,4)+1,"Электроника","Одежда","Продукты","Мебель")</f>
        <v>Продукты</v>
      </c>
      <c r="J1572" s="10" t="str">
        <f aca="false">CHOOSE(MOD(INT((A1572-1)/4),4)+1,CHOOSE(MOD(A1572-1,4)+1,"Смартфоны","Ноутбуки","Аксессуары","Аудио"),CHOOSE(MOD(A1572-1,4)+1,"Верхняя одежда","Спортивная","Повседневная","Обувь"),CHOOSE(MOD(A1572-1,4)+1,"Молочные","Мясные","Бакалея","Напитки"),CHOOSE(MOD(A1572-1,4)+1,"Мягкая мебель","Корпусная","Офисная","Кухонная"))</f>
        <v>Аксессуары</v>
      </c>
      <c r="K1572" s="12" t="n">
        <f aca="false">1000+MOD(A1572*317+A1572*A1572*7,49001)</f>
        <v>36932</v>
      </c>
      <c r="L1572" s="12" t="n">
        <f aca="false">1+MOD(A1572*131,100)</f>
        <v>2</v>
      </c>
      <c r="M1572" s="12" t="n">
        <f aca="false">INT(K1572*(0.6+MOD(A1572*43,21)/100))</f>
        <v>28437</v>
      </c>
      <c r="N1572" s="12" t="n">
        <f aca="false">K1572-M1572</f>
        <v>8495</v>
      </c>
    </row>
    <row r="1573" customFormat="false" ht="12.8" hidden="false" customHeight="false" outlineLevel="0" collapsed="false">
      <c r="A1573" s="10" t="n">
        <f aca="false">A1572+1</f>
        <v>1572</v>
      </c>
      <c r="B1573" s="11" t="n">
        <f aca="false">B1572+1</f>
        <v>46498</v>
      </c>
      <c r="C1573" s="10" t="n">
        <f aca="false">YEAR(B1573)</f>
        <v>2027</v>
      </c>
      <c r="D1573" s="10" t="n">
        <f aca="false">INT((MONTH(B1573)-1)/3)+1</f>
        <v>2</v>
      </c>
      <c r="E1573" s="10" t="n">
        <f aca="false">MONTH(B1573)</f>
        <v>4</v>
      </c>
      <c r="F1573" s="10" t="str">
        <f aca="false">CHOOSE(MOD(A1573-1,5)+1,"Центр","Юг","Север","Запад","Восток")</f>
        <v>Юг</v>
      </c>
      <c r="G1573" s="10" t="str">
        <f aca="false">"Округ_"&amp;(MOD(A1573-1,5)+1)&amp;"_"&amp;(MOD(INT((A1573-1)/5),5)+1)</f>
        <v>Округ_2_5</v>
      </c>
      <c r="H1573" s="10" t="str">
        <f aca="false">"Город_"&amp;(MOD(A1573-1,5)+1)&amp;"_"&amp;(MOD(INT((A1573-1)/5),5)+1)&amp;"_"&amp;(MOD(INT((A1573-1)/25),10)+1)</f>
        <v>Город_2_5_3</v>
      </c>
      <c r="I1573" s="10" t="str">
        <f aca="false">CHOOSE(MOD(A1573-1,4)+1,"Электроника","Одежда","Продукты","Мебель")</f>
        <v>Мебель</v>
      </c>
      <c r="J1573" s="10" t="str">
        <f aca="false">CHOOSE(MOD(INT((A1573-1)/4),4)+1,CHOOSE(MOD(A1573-1,4)+1,"Смартфоны","Ноутбуки","Аксессуары","Аудио"),CHOOSE(MOD(A1573-1,4)+1,"Верхняя одежда","Спортивная","Повседневная","Обувь"),CHOOSE(MOD(A1573-1,4)+1,"Молочные","Мясные","Бакалея","Напитки"),CHOOSE(MOD(A1573-1,4)+1,"Мягкая мебель","Корпусная","Офисная","Кухонная"))</f>
        <v>Аудио</v>
      </c>
      <c r="K1573" s="12" t="n">
        <f aca="false">1000+MOD(A1573*317+A1573*A1573*7,49001)</f>
        <v>10249</v>
      </c>
      <c r="L1573" s="12" t="n">
        <f aca="false">1+MOD(A1573*131,100)</f>
        <v>33</v>
      </c>
      <c r="M1573" s="12" t="n">
        <f aca="false">INT(K1573*(0.6+MOD(A1573*43,21)/100))</f>
        <v>7994</v>
      </c>
      <c r="N1573" s="12" t="n">
        <f aca="false">K1573-M1573</f>
        <v>2255</v>
      </c>
    </row>
    <row r="1574" customFormat="false" ht="12.8" hidden="false" customHeight="false" outlineLevel="0" collapsed="false">
      <c r="A1574" s="10" t="n">
        <f aca="false">A1573+1</f>
        <v>1573</v>
      </c>
      <c r="B1574" s="11" t="n">
        <f aca="false">B1573+1</f>
        <v>46499</v>
      </c>
      <c r="C1574" s="10" t="n">
        <f aca="false">YEAR(B1574)</f>
        <v>2027</v>
      </c>
      <c r="D1574" s="10" t="n">
        <f aca="false">INT((MONTH(B1574)-1)/3)+1</f>
        <v>2</v>
      </c>
      <c r="E1574" s="10" t="n">
        <f aca="false">MONTH(B1574)</f>
        <v>4</v>
      </c>
      <c r="F1574" s="10" t="str">
        <f aca="false">CHOOSE(MOD(A1574-1,5)+1,"Центр","Юг","Север","Запад","Восток")</f>
        <v>Север</v>
      </c>
      <c r="G1574" s="10" t="str">
        <f aca="false">"Округ_"&amp;(MOD(A1574-1,5)+1)&amp;"_"&amp;(MOD(INT((A1574-1)/5),5)+1)</f>
        <v>Округ_3_5</v>
      </c>
      <c r="H1574" s="10" t="str">
        <f aca="false">"Город_"&amp;(MOD(A1574-1,5)+1)&amp;"_"&amp;(MOD(INT((A1574-1)/5),5)+1)&amp;"_"&amp;(MOD(INT((A1574-1)/25),10)+1)</f>
        <v>Город_3_5_3</v>
      </c>
      <c r="I1574" s="10" t="str">
        <f aca="false">CHOOSE(MOD(A1574-1,4)+1,"Электроника","Одежда","Продукты","Мебель")</f>
        <v>Электроника</v>
      </c>
      <c r="J1574" s="10" t="str">
        <f aca="false">CHOOSE(MOD(INT((A1574-1)/4),4)+1,CHOOSE(MOD(A1574-1,4)+1,"Смартфоны","Ноутбуки","Аксессуары","Аудио"),CHOOSE(MOD(A1574-1,4)+1,"Верхняя одежда","Спортивная","Повседневная","Обувь"),CHOOSE(MOD(A1574-1,4)+1,"Молочные","Мясные","Бакалея","Напитки"),CHOOSE(MOD(A1574-1,4)+1,"Мягкая мебель","Корпусная","Офисная","Кухонная"))</f>
        <v>Верхняя одежда</v>
      </c>
      <c r="K1574" s="12" t="n">
        <f aca="false">1000+MOD(A1574*317+A1574*A1574*7,49001)</f>
        <v>32581</v>
      </c>
      <c r="L1574" s="12" t="n">
        <f aca="false">1+MOD(A1574*131,100)</f>
        <v>64</v>
      </c>
      <c r="M1574" s="12" t="n">
        <f aca="false">INT(K1574*(0.6+MOD(A1574*43,21)/100))</f>
        <v>25738</v>
      </c>
      <c r="N1574" s="12" t="n">
        <f aca="false">K1574-M1574</f>
        <v>6843</v>
      </c>
    </row>
    <row r="1575" customFormat="false" ht="12.8" hidden="false" customHeight="false" outlineLevel="0" collapsed="false">
      <c r="A1575" s="10" t="n">
        <f aca="false">A1574+1</f>
        <v>1574</v>
      </c>
      <c r="B1575" s="11" t="n">
        <f aca="false">B1574+1</f>
        <v>46500</v>
      </c>
      <c r="C1575" s="10" t="n">
        <f aca="false">YEAR(B1575)</f>
        <v>2027</v>
      </c>
      <c r="D1575" s="10" t="n">
        <f aca="false">INT((MONTH(B1575)-1)/3)+1</f>
        <v>2</v>
      </c>
      <c r="E1575" s="10" t="n">
        <f aca="false">MONTH(B1575)</f>
        <v>4</v>
      </c>
      <c r="F1575" s="10" t="str">
        <f aca="false">CHOOSE(MOD(A1575-1,5)+1,"Центр","Юг","Север","Запад","Восток")</f>
        <v>Запад</v>
      </c>
      <c r="G1575" s="10" t="str">
        <f aca="false">"Округ_"&amp;(MOD(A1575-1,5)+1)&amp;"_"&amp;(MOD(INT((A1575-1)/5),5)+1)</f>
        <v>Округ_4_5</v>
      </c>
      <c r="H1575" s="10" t="str">
        <f aca="false">"Город_"&amp;(MOD(A1575-1,5)+1)&amp;"_"&amp;(MOD(INT((A1575-1)/5),5)+1)&amp;"_"&amp;(MOD(INT((A1575-1)/25),10)+1)</f>
        <v>Город_4_5_3</v>
      </c>
      <c r="I1575" s="10" t="str">
        <f aca="false">CHOOSE(MOD(A1575-1,4)+1,"Электроника","Одежда","Продукты","Мебель")</f>
        <v>Одежда</v>
      </c>
      <c r="J1575" s="10" t="str">
        <f aca="false">CHOOSE(MOD(INT((A1575-1)/4),4)+1,CHOOSE(MOD(A1575-1,4)+1,"Смартфоны","Ноутбуки","Аксессуары","Аудио"),CHOOSE(MOD(A1575-1,4)+1,"Верхняя одежда","Спортивная","Повседневная","Обувь"),CHOOSE(MOD(A1575-1,4)+1,"Молочные","Мясные","Бакалея","Напитки"),CHOOSE(MOD(A1575-1,4)+1,"Мягкая мебель","Корпусная","Офисная","Кухонная"))</f>
        <v>Спортивная</v>
      </c>
      <c r="K1575" s="12" t="n">
        <f aca="false">1000+MOD(A1575*317+A1575*A1575*7,49001)</f>
        <v>5926</v>
      </c>
      <c r="L1575" s="12" t="n">
        <f aca="false">1+MOD(A1575*131,100)</f>
        <v>95</v>
      </c>
      <c r="M1575" s="12" t="n">
        <f aca="false">INT(K1575*(0.6+MOD(A1575*43,21)/100))</f>
        <v>4740</v>
      </c>
      <c r="N1575" s="12" t="n">
        <f aca="false">K1575-M1575</f>
        <v>1186</v>
      </c>
    </row>
    <row r="1576" customFormat="false" ht="12.8" hidden="false" customHeight="false" outlineLevel="0" collapsed="false">
      <c r="A1576" s="10" t="n">
        <f aca="false">A1575+1</f>
        <v>1575</v>
      </c>
      <c r="B1576" s="11" t="n">
        <f aca="false">B1575+1</f>
        <v>46501</v>
      </c>
      <c r="C1576" s="10" t="n">
        <f aca="false">YEAR(B1576)</f>
        <v>2027</v>
      </c>
      <c r="D1576" s="10" t="n">
        <f aca="false">INT((MONTH(B1576)-1)/3)+1</f>
        <v>2</v>
      </c>
      <c r="E1576" s="10" t="n">
        <f aca="false">MONTH(B1576)</f>
        <v>4</v>
      </c>
      <c r="F1576" s="10" t="str">
        <f aca="false">CHOOSE(MOD(A1576-1,5)+1,"Центр","Юг","Север","Запад","Восток")</f>
        <v>Восток</v>
      </c>
      <c r="G1576" s="10" t="str">
        <f aca="false">"Округ_"&amp;(MOD(A1576-1,5)+1)&amp;"_"&amp;(MOD(INT((A1576-1)/5),5)+1)</f>
        <v>Округ_5_5</v>
      </c>
      <c r="H1576" s="10" t="str">
        <f aca="false">"Город_"&amp;(MOD(A1576-1,5)+1)&amp;"_"&amp;(MOD(INT((A1576-1)/5),5)+1)&amp;"_"&amp;(MOD(INT((A1576-1)/25),10)+1)</f>
        <v>Город_5_5_3</v>
      </c>
      <c r="I1576" s="10" t="str">
        <f aca="false">CHOOSE(MOD(A1576-1,4)+1,"Электроника","Одежда","Продукты","Мебель")</f>
        <v>Продукты</v>
      </c>
      <c r="J1576" s="10" t="str">
        <f aca="false">CHOOSE(MOD(INT((A1576-1)/4),4)+1,CHOOSE(MOD(A1576-1,4)+1,"Смартфоны","Ноутбуки","Аксессуары","Аудио"),CHOOSE(MOD(A1576-1,4)+1,"Верхняя одежда","Спортивная","Повседневная","Обувь"),CHOOSE(MOD(A1576-1,4)+1,"Молочные","Мясные","Бакалея","Напитки"),CHOOSE(MOD(A1576-1,4)+1,"Мягкая мебель","Корпусная","Офисная","Кухонная"))</f>
        <v>Повседневная</v>
      </c>
      <c r="K1576" s="12" t="n">
        <f aca="false">1000+MOD(A1576*317+A1576*A1576*7,49001)</f>
        <v>28286</v>
      </c>
      <c r="L1576" s="12" t="n">
        <f aca="false">1+MOD(A1576*131,100)</f>
        <v>26</v>
      </c>
      <c r="M1576" s="12" t="n">
        <f aca="false">INT(K1576*(0.6+MOD(A1576*43,21)/100))</f>
        <v>16971</v>
      </c>
      <c r="N1576" s="12" t="n">
        <f aca="false">K1576-M1576</f>
        <v>11315</v>
      </c>
    </row>
    <row r="1577" customFormat="false" ht="12.8" hidden="false" customHeight="false" outlineLevel="0" collapsed="false">
      <c r="A1577" s="10" t="n">
        <f aca="false">A1576+1</f>
        <v>1576</v>
      </c>
      <c r="B1577" s="11" t="n">
        <f aca="false">B1576+1</f>
        <v>46502</v>
      </c>
      <c r="C1577" s="10" t="n">
        <f aca="false">YEAR(B1577)</f>
        <v>2027</v>
      </c>
      <c r="D1577" s="10" t="n">
        <f aca="false">INT((MONTH(B1577)-1)/3)+1</f>
        <v>2</v>
      </c>
      <c r="E1577" s="10" t="n">
        <f aca="false">MONTH(B1577)</f>
        <v>4</v>
      </c>
      <c r="F1577" s="10" t="str">
        <f aca="false">CHOOSE(MOD(A1577-1,5)+1,"Центр","Юг","Север","Запад","Восток")</f>
        <v>Центр</v>
      </c>
      <c r="G1577" s="10" t="str">
        <f aca="false">"Округ_"&amp;(MOD(A1577-1,5)+1)&amp;"_"&amp;(MOD(INT((A1577-1)/5),5)+1)</f>
        <v>Округ_1_1</v>
      </c>
      <c r="H1577" s="10" t="str">
        <f aca="false">"Город_"&amp;(MOD(A1577-1,5)+1)&amp;"_"&amp;(MOD(INT((A1577-1)/5),5)+1)&amp;"_"&amp;(MOD(INT((A1577-1)/25),10)+1)</f>
        <v>Город_1_1_4</v>
      </c>
      <c r="I1577" s="10" t="str">
        <f aca="false">CHOOSE(MOD(A1577-1,4)+1,"Электроника","Одежда","Продукты","Мебель")</f>
        <v>Мебель</v>
      </c>
      <c r="J1577" s="10" t="str">
        <f aca="false">CHOOSE(MOD(INT((A1577-1)/4),4)+1,CHOOSE(MOD(A1577-1,4)+1,"Смартфоны","Ноутбуки","Аксессуары","Аудио"),CHOOSE(MOD(A1577-1,4)+1,"Верхняя одежда","Спортивная","Повседневная","Обувь"),CHOOSE(MOD(A1577-1,4)+1,"Молочные","Мясные","Бакалея","Напитки"),CHOOSE(MOD(A1577-1,4)+1,"Мягкая мебель","Корпусная","Офисная","Кухонная"))</f>
        <v>Обувь</v>
      </c>
      <c r="K1577" s="12" t="n">
        <f aca="false">1000+MOD(A1577*317+A1577*A1577*7,49001)</f>
        <v>1659</v>
      </c>
      <c r="L1577" s="12" t="n">
        <f aca="false">1+MOD(A1577*131,100)</f>
        <v>57</v>
      </c>
      <c r="M1577" s="12" t="n">
        <f aca="false">INT(K1577*(0.6+MOD(A1577*43,21)/100))</f>
        <v>1011</v>
      </c>
      <c r="N1577" s="12" t="n">
        <f aca="false">K1577-M1577</f>
        <v>648</v>
      </c>
    </row>
    <row r="1578" customFormat="false" ht="12.8" hidden="false" customHeight="false" outlineLevel="0" collapsed="false">
      <c r="A1578" s="10" t="n">
        <f aca="false">A1577+1</f>
        <v>1577</v>
      </c>
      <c r="B1578" s="11" t="n">
        <f aca="false">B1577+1</f>
        <v>46503</v>
      </c>
      <c r="C1578" s="10" t="n">
        <f aca="false">YEAR(B1578)</f>
        <v>2027</v>
      </c>
      <c r="D1578" s="10" t="n">
        <f aca="false">INT((MONTH(B1578)-1)/3)+1</f>
        <v>2</v>
      </c>
      <c r="E1578" s="10" t="n">
        <f aca="false">MONTH(B1578)</f>
        <v>4</v>
      </c>
      <c r="F1578" s="10" t="str">
        <f aca="false">CHOOSE(MOD(A1578-1,5)+1,"Центр","Юг","Север","Запад","Восток")</f>
        <v>Юг</v>
      </c>
      <c r="G1578" s="10" t="str">
        <f aca="false">"Округ_"&amp;(MOD(A1578-1,5)+1)&amp;"_"&amp;(MOD(INT((A1578-1)/5),5)+1)</f>
        <v>Округ_2_1</v>
      </c>
      <c r="H1578" s="10" t="str">
        <f aca="false">"Город_"&amp;(MOD(A1578-1,5)+1)&amp;"_"&amp;(MOD(INT((A1578-1)/5),5)+1)&amp;"_"&amp;(MOD(INT((A1578-1)/25),10)+1)</f>
        <v>Город_2_1_4</v>
      </c>
      <c r="I1578" s="10" t="str">
        <f aca="false">CHOOSE(MOD(A1578-1,4)+1,"Электроника","Одежда","Продукты","Мебель")</f>
        <v>Электроника</v>
      </c>
      <c r="J1578" s="10" t="str">
        <f aca="false">CHOOSE(MOD(INT((A1578-1)/4),4)+1,CHOOSE(MOD(A1578-1,4)+1,"Смартфоны","Ноутбуки","Аксессуары","Аудио"),CHOOSE(MOD(A1578-1,4)+1,"Верхняя одежда","Спортивная","Повседневная","Обувь"),CHOOSE(MOD(A1578-1,4)+1,"Молочные","Мясные","Бакалея","Напитки"),CHOOSE(MOD(A1578-1,4)+1,"Мягкая мебель","Корпусная","Офисная","Кухонная"))</f>
        <v>Молочные</v>
      </c>
      <c r="K1578" s="12" t="n">
        <f aca="false">1000+MOD(A1578*317+A1578*A1578*7,49001)</f>
        <v>24047</v>
      </c>
      <c r="L1578" s="12" t="n">
        <f aca="false">1+MOD(A1578*131,100)</f>
        <v>88</v>
      </c>
      <c r="M1578" s="12" t="n">
        <f aca="false">INT(K1578*(0.6+MOD(A1578*43,21)/100))</f>
        <v>14909</v>
      </c>
      <c r="N1578" s="12" t="n">
        <f aca="false">K1578-M1578</f>
        <v>9138</v>
      </c>
    </row>
    <row r="1579" customFormat="false" ht="12.8" hidden="false" customHeight="false" outlineLevel="0" collapsed="false">
      <c r="A1579" s="10" t="n">
        <f aca="false">A1578+1</f>
        <v>1578</v>
      </c>
      <c r="B1579" s="11" t="n">
        <f aca="false">B1578+1</f>
        <v>46504</v>
      </c>
      <c r="C1579" s="10" t="n">
        <f aca="false">YEAR(B1579)</f>
        <v>2027</v>
      </c>
      <c r="D1579" s="10" t="n">
        <f aca="false">INT((MONTH(B1579)-1)/3)+1</f>
        <v>2</v>
      </c>
      <c r="E1579" s="10" t="n">
        <f aca="false">MONTH(B1579)</f>
        <v>4</v>
      </c>
      <c r="F1579" s="10" t="str">
        <f aca="false">CHOOSE(MOD(A1579-1,5)+1,"Центр","Юг","Север","Запад","Восток")</f>
        <v>Север</v>
      </c>
      <c r="G1579" s="10" t="str">
        <f aca="false">"Округ_"&amp;(MOD(A1579-1,5)+1)&amp;"_"&amp;(MOD(INT((A1579-1)/5),5)+1)</f>
        <v>Округ_3_1</v>
      </c>
      <c r="H1579" s="10" t="str">
        <f aca="false">"Город_"&amp;(MOD(A1579-1,5)+1)&amp;"_"&amp;(MOD(INT((A1579-1)/5),5)+1)&amp;"_"&amp;(MOD(INT((A1579-1)/25),10)+1)</f>
        <v>Город_3_1_4</v>
      </c>
      <c r="I1579" s="10" t="str">
        <f aca="false">CHOOSE(MOD(A1579-1,4)+1,"Электроника","Одежда","Продукты","Мебель")</f>
        <v>Одежда</v>
      </c>
      <c r="J1579" s="10" t="str">
        <f aca="false">CHOOSE(MOD(INT((A1579-1)/4),4)+1,CHOOSE(MOD(A1579-1,4)+1,"Смартфоны","Ноутбуки","Аксессуары","Аудио"),CHOOSE(MOD(A1579-1,4)+1,"Верхняя одежда","Спортивная","Повседневная","Обувь"),CHOOSE(MOD(A1579-1,4)+1,"Молочные","Мясные","Бакалея","Напитки"),CHOOSE(MOD(A1579-1,4)+1,"Мягкая мебель","Корпусная","Офисная","Кухонная"))</f>
        <v>Мясные</v>
      </c>
      <c r="K1579" s="12" t="n">
        <f aca="false">1000+MOD(A1579*317+A1579*A1579*7,49001)</f>
        <v>46449</v>
      </c>
      <c r="L1579" s="12" t="n">
        <f aca="false">1+MOD(A1579*131,100)</f>
        <v>19</v>
      </c>
      <c r="M1579" s="12" t="n">
        <f aca="false">INT(K1579*(0.6+MOD(A1579*43,21)/100))</f>
        <v>29262</v>
      </c>
      <c r="N1579" s="12" t="n">
        <f aca="false">K1579-M1579</f>
        <v>17187</v>
      </c>
    </row>
    <row r="1580" customFormat="false" ht="12.8" hidden="false" customHeight="false" outlineLevel="0" collapsed="false">
      <c r="A1580" s="10" t="n">
        <f aca="false">A1579+1</f>
        <v>1579</v>
      </c>
      <c r="B1580" s="11" t="n">
        <f aca="false">B1579+1</f>
        <v>46505</v>
      </c>
      <c r="C1580" s="10" t="n">
        <f aca="false">YEAR(B1580)</f>
        <v>2027</v>
      </c>
      <c r="D1580" s="10" t="n">
        <f aca="false">INT((MONTH(B1580)-1)/3)+1</f>
        <v>2</v>
      </c>
      <c r="E1580" s="10" t="n">
        <f aca="false">MONTH(B1580)</f>
        <v>4</v>
      </c>
      <c r="F1580" s="10" t="str">
        <f aca="false">CHOOSE(MOD(A1580-1,5)+1,"Центр","Юг","Север","Запад","Восток")</f>
        <v>Запад</v>
      </c>
      <c r="G1580" s="10" t="str">
        <f aca="false">"Округ_"&amp;(MOD(A1580-1,5)+1)&amp;"_"&amp;(MOD(INT((A1580-1)/5),5)+1)</f>
        <v>Округ_4_1</v>
      </c>
      <c r="H1580" s="10" t="str">
        <f aca="false">"Город_"&amp;(MOD(A1580-1,5)+1)&amp;"_"&amp;(MOD(INT((A1580-1)/5),5)+1)&amp;"_"&amp;(MOD(INT((A1580-1)/25),10)+1)</f>
        <v>Город_4_1_4</v>
      </c>
      <c r="I1580" s="10" t="str">
        <f aca="false">CHOOSE(MOD(A1580-1,4)+1,"Электроника","Одежда","Продукты","Мебель")</f>
        <v>Продукты</v>
      </c>
      <c r="J1580" s="10" t="str">
        <f aca="false">CHOOSE(MOD(INT((A1580-1)/4),4)+1,CHOOSE(MOD(A1580-1,4)+1,"Смартфоны","Ноутбуки","Аксессуары","Аудио"),CHOOSE(MOD(A1580-1,4)+1,"Верхняя одежда","Спортивная","Повседневная","Обувь"),CHOOSE(MOD(A1580-1,4)+1,"Молочные","Мясные","Бакалея","Напитки"),CHOOSE(MOD(A1580-1,4)+1,"Мягкая мебель","Корпусная","Офисная","Кухонная"))</f>
        <v>Бакалея</v>
      </c>
      <c r="K1580" s="12" t="n">
        <f aca="false">1000+MOD(A1580*317+A1580*A1580*7,49001)</f>
        <v>19864</v>
      </c>
      <c r="L1580" s="12" t="n">
        <f aca="false">1+MOD(A1580*131,100)</f>
        <v>50</v>
      </c>
      <c r="M1580" s="12" t="n">
        <f aca="false">INT(K1580*(0.6+MOD(A1580*43,21)/100))</f>
        <v>12712</v>
      </c>
      <c r="N1580" s="12" t="n">
        <f aca="false">K1580-M1580</f>
        <v>7152</v>
      </c>
    </row>
    <row r="1581" customFormat="false" ht="12.8" hidden="false" customHeight="false" outlineLevel="0" collapsed="false">
      <c r="A1581" s="10" t="n">
        <f aca="false">A1580+1</f>
        <v>1580</v>
      </c>
      <c r="B1581" s="11" t="n">
        <f aca="false">B1580+1</f>
        <v>46506</v>
      </c>
      <c r="C1581" s="10" t="n">
        <f aca="false">YEAR(B1581)</f>
        <v>2027</v>
      </c>
      <c r="D1581" s="10" t="n">
        <f aca="false">INT((MONTH(B1581)-1)/3)+1</f>
        <v>2</v>
      </c>
      <c r="E1581" s="10" t="n">
        <f aca="false">MONTH(B1581)</f>
        <v>4</v>
      </c>
      <c r="F1581" s="10" t="str">
        <f aca="false">CHOOSE(MOD(A1581-1,5)+1,"Центр","Юг","Север","Запад","Восток")</f>
        <v>Восток</v>
      </c>
      <c r="G1581" s="10" t="str">
        <f aca="false">"Округ_"&amp;(MOD(A1581-1,5)+1)&amp;"_"&amp;(MOD(INT((A1581-1)/5),5)+1)</f>
        <v>Округ_5_1</v>
      </c>
      <c r="H1581" s="10" t="str">
        <f aca="false">"Город_"&amp;(MOD(A1581-1,5)+1)&amp;"_"&amp;(MOD(INT((A1581-1)/5),5)+1)&amp;"_"&amp;(MOD(INT((A1581-1)/25),10)+1)</f>
        <v>Город_5_1_4</v>
      </c>
      <c r="I1581" s="10" t="str">
        <f aca="false">CHOOSE(MOD(A1581-1,4)+1,"Электроника","Одежда","Продукты","Мебель")</f>
        <v>Мебель</v>
      </c>
      <c r="J1581" s="10" t="str">
        <f aca="false">CHOOSE(MOD(INT((A1581-1)/4),4)+1,CHOOSE(MOD(A1581-1,4)+1,"Смартфоны","Ноутбуки","Аксессуары","Аудио"),CHOOSE(MOD(A1581-1,4)+1,"Верхняя одежда","Спортивная","Повседневная","Обувь"),CHOOSE(MOD(A1581-1,4)+1,"Молочные","Мясные","Бакалея","Напитки"),CHOOSE(MOD(A1581-1,4)+1,"Мягкая мебель","Корпусная","Офисная","Кухонная"))</f>
        <v>Напитки</v>
      </c>
      <c r="K1581" s="12" t="n">
        <f aca="false">1000+MOD(A1581*317+A1581*A1581*7,49001)</f>
        <v>42294</v>
      </c>
      <c r="L1581" s="12" t="n">
        <f aca="false">1+MOD(A1581*131,100)</f>
        <v>81</v>
      </c>
      <c r="M1581" s="12" t="n">
        <f aca="false">INT(K1581*(0.6+MOD(A1581*43,21)/100))</f>
        <v>27491</v>
      </c>
      <c r="N1581" s="12" t="n">
        <f aca="false">K1581-M1581</f>
        <v>14803</v>
      </c>
    </row>
    <row r="1582" customFormat="false" ht="12.8" hidden="false" customHeight="false" outlineLevel="0" collapsed="false">
      <c r="A1582" s="10" t="n">
        <f aca="false">A1581+1</f>
        <v>1581</v>
      </c>
      <c r="B1582" s="11" t="n">
        <f aca="false">B1581+1</f>
        <v>46507</v>
      </c>
      <c r="C1582" s="10" t="n">
        <f aca="false">YEAR(B1582)</f>
        <v>2027</v>
      </c>
      <c r="D1582" s="10" t="n">
        <f aca="false">INT((MONTH(B1582)-1)/3)+1</f>
        <v>2</v>
      </c>
      <c r="E1582" s="10" t="n">
        <f aca="false">MONTH(B1582)</f>
        <v>4</v>
      </c>
      <c r="F1582" s="10" t="str">
        <f aca="false">CHOOSE(MOD(A1582-1,5)+1,"Центр","Юг","Север","Запад","Восток")</f>
        <v>Центр</v>
      </c>
      <c r="G1582" s="10" t="str">
        <f aca="false">"Округ_"&amp;(MOD(A1582-1,5)+1)&amp;"_"&amp;(MOD(INT((A1582-1)/5),5)+1)</f>
        <v>Округ_1_2</v>
      </c>
      <c r="H1582" s="10" t="str">
        <f aca="false">"Город_"&amp;(MOD(A1582-1,5)+1)&amp;"_"&amp;(MOD(INT((A1582-1)/5),5)+1)&amp;"_"&amp;(MOD(INT((A1582-1)/25),10)+1)</f>
        <v>Город_1_2_4</v>
      </c>
      <c r="I1582" s="10" t="str">
        <f aca="false">CHOOSE(MOD(A1582-1,4)+1,"Электроника","Одежда","Продукты","Мебель")</f>
        <v>Электроника</v>
      </c>
      <c r="J1582" s="10" t="str">
        <f aca="false">CHOOSE(MOD(INT((A1582-1)/4),4)+1,CHOOSE(MOD(A1582-1,4)+1,"Смартфоны","Ноутбуки","Аксессуары","Аудио"),CHOOSE(MOD(A1582-1,4)+1,"Верхняя одежда","Спортивная","Повседневная","Обувь"),CHOOSE(MOD(A1582-1,4)+1,"Молочные","Мясные","Бакалея","Напитки"),CHOOSE(MOD(A1582-1,4)+1,"Мягкая мебель","Корпусная","Офисная","Кухонная"))</f>
        <v>Мягкая мебель</v>
      </c>
      <c r="K1582" s="12" t="n">
        <f aca="false">1000+MOD(A1582*317+A1582*A1582*7,49001)</f>
        <v>15737</v>
      </c>
      <c r="L1582" s="12" t="n">
        <f aca="false">1+MOD(A1582*131,100)</f>
        <v>12</v>
      </c>
      <c r="M1582" s="12" t="n">
        <f aca="false">INT(K1582*(0.6+MOD(A1582*43,21)/100))</f>
        <v>10386</v>
      </c>
      <c r="N1582" s="12" t="n">
        <f aca="false">K1582-M1582</f>
        <v>5351</v>
      </c>
    </row>
    <row r="1583" customFormat="false" ht="12.8" hidden="false" customHeight="false" outlineLevel="0" collapsed="false">
      <c r="A1583" s="10" t="n">
        <f aca="false">A1582+1</f>
        <v>1582</v>
      </c>
      <c r="B1583" s="11" t="n">
        <f aca="false">B1582+1</f>
        <v>46508</v>
      </c>
      <c r="C1583" s="10" t="n">
        <f aca="false">YEAR(B1583)</f>
        <v>2027</v>
      </c>
      <c r="D1583" s="10" t="n">
        <f aca="false">INT((MONTH(B1583)-1)/3)+1</f>
        <v>2</v>
      </c>
      <c r="E1583" s="10" t="n">
        <f aca="false">MONTH(B1583)</f>
        <v>5</v>
      </c>
      <c r="F1583" s="10" t="str">
        <f aca="false">CHOOSE(MOD(A1583-1,5)+1,"Центр","Юг","Север","Запад","Восток")</f>
        <v>Юг</v>
      </c>
      <c r="G1583" s="10" t="str">
        <f aca="false">"Округ_"&amp;(MOD(A1583-1,5)+1)&amp;"_"&amp;(MOD(INT((A1583-1)/5),5)+1)</f>
        <v>Округ_2_2</v>
      </c>
      <c r="H1583" s="10" t="str">
        <f aca="false">"Город_"&amp;(MOD(A1583-1,5)+1)&amp;"_"&amp;(MOD(INT((A1583-1)/5),5)+1)&amp;"_"&amp;(MOD(INT((A1583-1)/25),10)+1)</f>
        <v>Город_2_2_4</v>
      </c>
      <c r="I1583" s="10" t="str">
        <f aca="false">CHOOSE(MOD(A1583-1,4)+1,"Электроника","Одежда","Продукты","Мебель")</f>
        <v>Одежда</v>
      </c>
      <c r="J1583" s="10" t="str">
        <f aca="false">CHOOSE(MOD(INT((A1583-1)/4),4)+1,CHOOSE(MOD(A1583-1,4)+1,"Смартфоны","Ноутбуки","Аксессуары","Аудио"),CHOOSE(MOD(A1583-1,4)+1,"Верхняя одежда","Спортивная","Повседневная","Обувь"),CHOOSE(MOD(A1583-1,4)+1,"Молочные","Мясные","Бакалея","Напитки"),CHOOSE(MOD(A1583-1,4)+1,"Мягкая мебель","Корпусная","Офисная","Кухонная"))</f>
        <v>Корпусная</v>
      </c>
      <c r="K1583" s="12" t="n">
        <f aca="false">1000+MOD(A1583*317+A1583*A1583*7,49001)</f>
        <v>38195</v>
      </c>
      <c r="L1583" s="12" t="n">
        <f aca="false">1+MOD(A1583*131,100)</f>
        <v>43</v>
      </c>
      <c r="M1583" s="12" t="n">
        <f aca="false">INT(K1583*(0.6+MOD(A1583*43,21)/100))</f>
        <v>25590</v>
      </c>
      <c r="N1583" s="12" t="n">
        <f aca="false">K1583-M1583</f>
        <v>12605</v>
      </c>
    </row>
    <row r="1584" customFormat="false" ht="12.8" hidden="false" customHeight="false" outlineLevel="0" collapsed="false">
      <c r="A1584" s="10" t="n">
        <f aca="false">A1583+1</f>
        <v>1583</v>
      </c>
      <c r="B1584" s="11" t="n">
        <f aca="false">B1583+1</f>
        <v>46509</v>
      </c>
      <c r="C1584" s="10" t="n">
        <f aca="false">YEAR(B1584)</f>
        <v>2027</v>
      </c>
      <c r="D1584" s="10" t="n">
        <f aca="false">INT((MONTH(B1584)-1)/3)+1</f>
        <v>2</v>
      </c>
      <c r="E1584" s="10" t="n">
        <f aca="false">MONTH(B1584)</f>
        <v>5</v>
      </c>
      <c r="F1584" s="10" t="str">
        <f aca="false">CHOOSE(MOD(A1584-1,5)+1,"Центр","Юг","Север","Запад","Восток")</f>
        <v>Север</v>
      </c>
      <c r="G1584" s="10" t="str">
        <f aca="false">"Округ_"&amp;(MOD(A1584-1,5)+1)&amp;"_"&amp;(MOD(INT((A1584-1)/5),5)+1)</f>
        <v>Округ_3_2</v>
      </c>
      <c r="H1584" s="10" t="str">
        <f aca="false">"Город_"&amp;(MOD(A1584-1,5)+1)&amp;"_"&amp;(MOD(INT((A1584-1)/5),5)+1)&amp;"_"&amp;(MOD(INT((A1584-1)/25),10)+1)</f>
        <v>Город_3_2_4</v>
      </c>
      <c r="I1584" s="10" t="str">
        <f aca="false">CHOOSE(MOD(A1584-1,4)+1,"Электроника","Одежда","Продукты","Мебель")</f>
        <v>Продукты</v>
      </c>
      <c r="J1584" s="10" t="str">
        <f aca="false">CHOOSE(MOD(INT((A1584-1)/4),4)+1,CHOOSE(MOD(A1584-1,4)+1,"Смартфоны","Ноутбуки","Аксессуары","Аудио"),CHOOSE(MOD(A1584-1,4)+1,"Верхняя одежда","Спортивная","Повседневная","Обувь"),CHOOSE(MOD(A1584-1,4)+1,"Молочные","Мясные","Бакалея","Напитки"),CHOOSE(MOD(A1584-1,4)+1,"Мягкая мебель","Корпусная","Офисная","Кухонная"))</f>
        <v>Офисная</v>
      </c>
      <c r="K1584" s="12" t="n">
        <f aca="false">1000+MOD(A1584*317+A1584*A1584*7,49001)</f>
        <v>11666</v>
      </c>
      <c r="L1584" s="12" t="n">
        <f aca="false">1+MOD(A1584*131,100)</f>
        <v>74</v>
      </c>
      <c r="M1584" s="12" t="n">
        <f aca="false">INT(K1584*(0.6+MOD(A1584*43,21)/100))</f>
        <v>7932</v>
      </c>
      <c r="N1584" s="12" t="n">
        <f aca="false">K1584-M1584</f>
        <v>3734</v>
      </c>
    </row>
    <row r="1585" customFormat="false" ht="12.8" hidden="false" customHeight="false" outlineLevel="0" collapsed="false">
      <c r="A1585" s="10" t="n">
        <f aca="false">A1584+1</f>
        <v>1584</v>
      </c>
      <c r="B1585" s="11" t="n">
        <f aca="false">B1584+1</f>
        <v>46510</v>
      </c>
      <c r="C1585" s="10" t="n">
        <f aca="false">YEAR(B1585)</f>
        <v>2027</v>
      </c>
      <c r="D1585" s="10" t="n">
        <f aca="false">INT((MONTH(B1585)-1)/3)+1</f>
        <v>2</v>
      </c>
      <c r="E1585" s="10" t="n">
        <f aca="false">MONTH(B1585)</f>
        <v>5</v>
      </c>
      <c r="F1585" s="10" t="str">
        <f aca="false">CHOOSE(MOD(A1585-1,5)+1,"Центр","Юг","Север","Запад","Восток")</f>
        <v>Запад</v>
      </c>
      <c r="G1585" s="10" t="str">
        <f aca="false">"Округ_"&amp;(MOD(A1585-1,5)+1)&amp;"_"&amp;(MOD(INT((A1585-1)/5),5)+1)</f>
        <v>Округ_4_2</v>
      </c>
      <c r="H1585" s="10" t="str">
        <f aca="false">"Город_"&amp;(MOD(A1585-1,5)+1)&amp;"_"&amp;(MOD(INT((A1585-1)/5),5)+1)&amp;"_"&amp;(MOD(INT((A1585-1)/25),10)+1)</f>
        <v>Город_4_2_4</v>
      </c>
      <c r="I1585" s="10" t="str">
        <f aca="false">CHOOSE(MOD(A1585-1,4)+1,"Электроника","Одежда","Продукты","Мебель")</f>
        <v>Мебель</v>
      </c>
      <c r="J1585" s="10" t="str">
        <f aca="false">CHOOSE(MOD(INT((A1585-1)/4),4)+1,CHOOSE(MOD(A1585-1,4)+1,"Смартфоны","Ноутбуки","Аксессуары","Аудио"),CHOOSE(MOD(A1585-1,4)+1,"Верхняя одежда","Спортивная","Повседневная","Обувь"),CHOOSE(MOD(A1585-1,4)+1,"Молочные","Мясные","Бакалея","Напитки"),CHOOSE(MOD(A1585-1,4)+1,"Мягкая мебель","Корпусная","Офисная","Кухонная"))</f>
        <v>Кухонная</v>
      </c>
      <c r="K1585" s="12" t="n">
        <f aca="false">1000+MOD(A1585*317+A1585*A1585*7,49001)</f>
        <v>34152</v>
      </c>
      <c r="L1585" s="12" t="n">
        <f aca="false">1+MOD(A1585*131,100)</f>
        <v>5</v>
      </c>
      <c r="M1585" s="12" t="n">
        <f aca="false">INT(K1585*(0.6+MOD(A1585*43,21)/100))</f>
        <v>23564</v>
      </c>
      <c r="N1585" s="12" t="n">
        <f aca="false">K1585-M1585</f>
        <v>10588</v>
      </c>
    </row>
    <row r="1586" customFormat="false" ht="12.8" hidden="false" customHeight="false" outlineLevel="0" collapsed="false">
      <c r="A1586" s="10" t="n">
        <f aca="false">A1585+1</f>
        <v>1585</v>
      </c>
      <c r="B1586" s="11" t="n">
        <f aca="false">B1585+1</f>
        <v>46511</v>
      </c>
      <c r="C1586" s="10" t="n">
        <f aca="false">YEAR(B1586)</f>
        <v>2027</v>
      </c>
      <c r="D1586" s="10" t="n">
        <f aca="false">INT((MONTH(B1586)-1)/3)+1</f>
        <v>2</v>
      </c>
      <c r="E1586" s="10" t="n">
        <f aca="false">MONTH(B1586)</f>
        <v>5</v>
      </c>
      <c r="F1586" s="10" t="str">
        <f aca="false">CHOOSE(MOD(A1586-1,5)+1,"Центр","Юг","Север","Запад","Восток")</f>
        <v>Восток</v>
      </c>
      <c r="G1586" s="10" t="str">
        <f aca="false">"Округ_"&amp;(MOD(A1586-1,5)+1)&amp;"_"&amp;(MOD(INT((A1586-1)/5),5)+1)</f>
        <v>Округ_5_2</v>
      </c>
      <c r="H1586" s="10" t="str">
        <f aca="false">"Город_"&amp;(MOD(A1586-1,5)+1)&amp;"_"&amp;(MOD(INT((A1586-1)/5),5)+1)&amp;"_"&amp;(MOD(INT((A1586-1)/25),10)+1)</f>
        <v>Город_5_2_4</v>
      </c>
      <c r="I1586" s="10" t="str">
        <f aca="false">CHOOSE(MOD(A1586-1,4)+1,"Электроника","Одежда","Продукты","Мебель")</f>
        <v>Электроника</v>
      </c>
      <c r="J1586" s="10" t="str">
        <f aca="false">CHOOSE(MOD(INT((A1586-1)/4),4)+1,CHOOSE(MOD(A1586-1,4)+1,"Смартфоны","Ноутбуки","Аксессуары","Аудио"),CHOOSE(MOD(A1586-1,4)+1,"Верхняя одежда","Спортивная","Повседневная","Обувь"),CHOOSE(MOD(A1586-1,4)+1,"Молочные","Мясные","Бакалея","Напитки"),CHOOSE(MOD(A1586-1,4)+1,"Мягкая мебель","Корпусная","Офисная","Кухонная"))</f>
        <v>Смартфоны</v>
      </c>
      <c r="K1586" s="12" t="n">
        <f aca="false">1000+MOD(A1586*317+A1586*A1586*7,49001)</f>
        <v>7651</v>
      </c>
      <c r="L1586" s="12" t="n">
        <f aca="false">1+MOD(A1586*131,100)</f>
        <v>36</v>
      </c>
      <c r="M1586" s="12" t="n">
        <f aca="false">INT(K1586*(0.6+MOD(A1586*43,21)/100))</f>
        <v>5355</v>
      </c>
      <c r="N1586" s="12" t="n">
        <f aca="false">K1586-M1586</f>
        <v>2296</v>
      </c>
    </row>
    <row r="1587" customFormat="false" ht="12.8" hidden="false" customHeight="false" outlineLevel="0" collapsed="false">
      <c r="A1587" s="10" t="n">
        <f aca="false">A1586+1</f>
        <v>1586</v>
      </c>
      <c r="B1587" s="11" t="n">
        <f aca="false">B1586+1</f>
        <v>46512</v>
      </c>
      <c r="C1587" s="10" t="n">
        <f aca="false">YEAR(B1587)</f>
        <v>2027</v>
      </c>
      <c r="D1587" s="10" t="n">
        <f aca="false">INT((MONTH(B1587)-1)/3)+1</f>
        <v>2</v>
      </c>
      <c r="E1587" s="10" t="n">
        <f aca="false">MONTH(B1587)</f>
        <v>5</v>
      </c>
      <c r="F1587" s="10" t="str">
        <f aca="false">CHOOSE(MOD(A1587-1,5)+1,"Центр","Юг","Север","Запад","Восток")</f>
        <v>Центр</v>
      </c>
      <c r="G1587" s="10" t="str">
        <f aca="false">"Округ_"&amp;(MOD(A1587-1,5)+1)&amp;"_"&amp;(MOD(INT((A1587-1)/5),5)+1)</f>
        <v>Округ_1_3</v>
      </c>
      <c r="H1587" s="10" t="str">
        <f aca="false">"Город_"&amp;(MOD(A1587-1,5)+1)&amp;"_"&amp;(MOD(INT((A1587-1)/5),5)+1)&amp;"_"&amp;(MOD(INT((A1587-1)/25),10)+1)</f>
        <v>Город_1_3_4</v>
      </c>
      <c r="I1587" s="10" t="str">
        <f aca="false">CHOOSE(MOD(A1587-1,4)+1,"Электроника","Одежда","Продукты","Мебель")</f>
        <v>Одежда</v>
      </c>
      <c r="J1587" s="10" t="str">
        <f aca="false">CHOOSE(MOD(INT((A1587-1)/4),4)+1,CHOOSE(MOD(A1587-1,4)+1,"Смартфоны","Ноутбуки","Аксессуары","Аудио"),CHOOSE(MOD(A1587-1,4)+1,"Верхняя одежда","Спортивная","Повседневная","Обувь"),CHOOSE(MOD(A1587-1,4)+1,"Молочные","Мясные","Бакалея","Напитки"),CHOOSE(MOD(A1587-1,4)+1,"Мягкая мебель","Корпусная","Офисная","Кухонная"))</f>
        <v>Ноутбуки</v>
      </c>
      <c r="K1587" s="12" t="n">
        <f aca="false">1000+MOD(A1587*317+A1587*A1587*7,49001)</f>
        <v>30165</v>
      </c>
      <c r="L1587" s="12" t="n">
        <f aca="false">1+MOD(A1587*131,100)</f>
        <v>67</v>
      </c>
      <c r="M1587" s="12" t="n">
        <f aca="false">INT(K1587*(0.6+MOD(A1587*43,21)/100))</f>
        <v>21417</v>
      </c>
      <c r="N1587" s="12" t="n">
        <f aca="false">K1587-M1587</f>
        <v>8748</v>
      </c>
    </row>
    <row r="1588" customFormat="false" ht="12.8" hidden="false" customHeight="false" outlineLevel="0" collapsed="false">
      <c r="A1588" s="10" t="n">
        <f aca="false">A1587+1</f>
        <v>1587</v>
      </c>
      <c r="B1588" s="11" t="n">
        <f aca="false">B1587+1</f>
        <v>46513</v>
      </c>
      <c r="C1588" s="10" t="n">
        <f aca="false">YEAR(B1588)</f>
        <v>2027</v>
      </c>
      <c r="D1588" s="10" t="n">
        <f aca="false">INT((MONTH(B1588)-1)/3)+1</f>
        <v>2</v>
      </c>
      <c r="E1588" s="10" t="n">
        <f aca="false">MONTH(B1588)</f>
        <v>5</v>
      </c>
      <c r="F1588" s="10" t="str">
        <f aca="false">CHOOSE(MOD(A1588-1,5)+1,"Центр","Юг","Север","Запад","Восток")</f>
        <v>Юг</v>
      </c>
      <c r="G1588" s="10" t="str">
        <f aca="false">"Округ_"&amp;(MOD(A1588-1,5)+1)&amp;"_"&amp;(MOD(INT((A1588-1)/5),5)+1)</f>
        <v>Округ_2_3</v>
      </c>
      <c r="H1588" s="10" t="str">
        <f aca="false">"Город_"&amp;(MOD(A1588-1,5)+1)&amp;"_"&amp;(MOD(INT((A1588-1)/5),5)+1)&amp;"_"&amp;(MOD(INT((A1588-1)/25),10)+1)</f>
        <v>Город_2_3_4</v>
      </c>
      <c r="I1588" s="10" t="str">
        <f aca="false">CHOOSE(MOD(A1588-1,4)+1,"Электроника","Одежда","Продукты","Мебель")</f>
        <v>Продукты</v>
      </c>
      <c r="J1588" s="10" t="str">
        <f aca="false">CHOOSE(MOD(INT((A1588-1)/4),4)+1,CHOOSE(MOD(A1588-1,4)+1,"Смартфоны","Ноутбуки","Аксессуары","Аудио"),CHOOSE(MOD(A1588-1,4)+1,"Верхняя одежда","Спортивная","Повседневная","Обувь"),CHOOSE(MOD(A1588-1,4)+1,"Молочные","Мясные","Бакалея","Напитки"),CHOOSE(MOD(A1588-1,4)+1,"Мягкая мебель","Корпусная","Офисная","Кухонная"))</f>
        <v>Аксессуары</v>
      </c>
      <c r="K1588" s="12" t="n">
        <f aca="false">1000+MOD(A1588*317+A1588*A1588*7,49001)</f>
        <v>3692</v>
      </c>
      <c r="L1588" s="12" t="n">
        <f aca="false">1+MOD(A1588*131,100)</f>
        <v>98</v>
      </c>
      <c r="M1588" s="12" t="n">
        <f aca="false">INT(K1588*(0.6+MOD(A1588*43,21)/100))</f>
        <v>2658</v>
      </c>
      <c r="N1588" s="12" t="n">
        <f aca="false">K1588-M1588</f>
        <v>1034</v>
      </c>
    </row>
    <row r="1589" customFormat="false" ht="12.8" hidden="false" customHeight="false" outlineLevel="0" collapsed="false">
      <c r="A1589" s="10" t="n">
        <f aca="false">A1588+1</f>
        <v>1588</v>
      </c>
      <c r="B1589" s="11" t="n">
        <f aca="false">B1588+1</f>
        <v>46514</v>
      </c>
      <c r="C1589" s="10" t="n">
        <f aca="false">YEAR(B1589)</f>
        <v>2027</v>
      </c>
      <c r="D1589" s="10" t="n">
        <f aca="false">INT((MONTH(B1589)-1)/3)+1</f>
        <v>2</v>
      </c>
      <c r="E1589" s="10" t="n">
        <f aca="false">MONTH(B1589)</f>
        <v>5</v>
      </c>
      <c r="F1589" s="10" t="str">
        <f aca="false">CHOOSE(MOD(A1589-1,5)+1,"Центр","Юг","Север","Запад","Восток")</f>
        <v>Север</v>
      </c>
      <c r="G1589" s="10" t="str">
        <f aca="false">"Округ_"&amp;(MOD(A1589-1,5)+1)&amp;"_"&amp;(MOD(INT((A1589-1)/5),5)+1)</f>
        <v>Округ_3_3</v>
      </c>
      <c r="H1589" s="10" t="str">
        <f aca="false">"Город_"&amp;(MOD(A1589-1,5)+1)&amp;"_"&amp;(MOD(INT((A1589-1)/5),5)+1)&amp;"_"&amp;(MOD(INT((A1589-1)/25),10)+1)</f>
        <v>Город_3_3_4</v>
      </c>
      <c r="I1589" s="10" t="str">
        <f aca="false">CHOOSE(MOD(A1589-1,4)+1,"Электроника","Одежда","Продукты","Мебель")</f>
        <v>Мебель</v>
      </c>
      <c r="J1589" s="10" t="str">
        <f aca="false">CHOOSE(MOD(INT((A1589-1)/4),4)+1,CHOOSE(MOD(A1589-1,4)+1,"Смартфоны","Ноутбуки","Аксессуары","Аудио"),CHOOSE(MOD(A1589-1,4)+1,"Верхняя одежда","Спортивная","Повседневная","Обувь"),CHOOSE(MOD(A1589-1,4)+1,"Молочные","Мясные","Бакалея","Напитки"),CHOOSE(MOD(A1589-1,4)+1,"Мягкая мебель","Корпусная","Офисная","Кухонная"))</f>
        <v>Аудио</v>
      </c>
      <c r="K1589" s="12" t="n">
        <f aca="false">1000+MOD(A1589*317+A1589*A1589*7,49001)</f>
        <v>26234</v>
      </c>
      <c r="L1589" s="12" t="n">
        <f aca="false">1+MOD(A1589*131,100)</f>
        <v>29</v>
      </c>
      <c r="M1589" s="12" t="n">
        <f aca="false">INT(K1589*(0.6+MOD(A1589*43,21)/100))</f>
        <v>19150</v>
      </c>
      <c r="N1589" s="12" t="n">
        <f aca="false">K1589-M1589</f>
        <v>7084</v>
      </c>
    </row>
    <row r="1590" customFormat="false" ht="12.8" hidden="false" customHeight="false" outlineLevel="0" collapsed="false">
      <c r="A1590" s="10" t="n">
        <f aca="false">A1589+1</f>
        <v>1589</v>
      </c>
      <c r="B1590" s="11" t="n">
        <f aca="false">B1589+1</f>
        <v>46515</v>
      </c>
      <c r="C1590" s="10" t="n">
        <f aca="false">YEAR(B1590)</f>
        <v>2027</v>
      </c>
      <c r="D1590" s="10" t="n">
        <f aca="false">INT((MONTH(B1590)-1)/3)+1</f>
        <v>2</v>
      </c>
      <c r="E1590" s="10" t="n">
        <f aca="false">MONTH(B1590)</f>
        <v>5</v>
      </c>
      <c r="F1590" s="10" t="str">
        <f aca="false">CHOOSE(MOD(A1590-1,5)+1,"Центр","Юг","Север","Запад","Восток")</f>
        <v>Запад</v>
      </c>
      <c r="G1590" s="10" t="str">
        <f aca="false">"Округ_"&amp;(MOD(A1590-1,5)+1)&amp;"_"&amp;(MOD(INT((A1590-1)/5),5)+1)</f>
        <v>Округ_4_3</v>
      </c>
      <c r="H1590" s="10" t="str">
        <f aca="false">"Город_"&amp;(MOD(A1590-1,5)+1)&amp;"_"&amp;(MOD(INT((A1590-1)/5),5)+1)&amp;"_"&amp;(MOD(INT((A1590-1)/25),10)+1)</f>
        <v>Город_4_3_4</v>
      </c>
      <c r="I1590" s="10" t="str">
        <f aca="false">CHOOSE(MOD(A1590-1,4)+1,"Электроника","Одежда","Продукты","Мебель")</f>
        <v>Электроника</v>
      </c>
      <c r="J1590" s="10" t="str">
        <f aca="false">CHOOSE(MOD(INT((A1590-1)/4),4)+1,CHOOSE(MOD(A1590-1,4)+1,"Смартфоны","Ноутбуки","Аксессуары","Аудио"),CHOOSE(MOD(A1590-1,4)+1,"Верхняя одежда","Спортивная","Повседневная","Обувь"),CHOOSE(MOD(A1590-1,4)+1,"Молочные","Мясные","Бакалея","Напитки"),CHOOSE(MOD(A1590-1,4)+1,"Мягкая мебель","Корпусная","Офисная","Кухонная"))</f>
        <v>Верхняя одежда</v>
      </c>
      <c r="K1590" s="12" t="n">
        <f aca="false">1000+MOD(A1590*317+A1590*A1590*7,49001)</f>
        <v>48790</v>
      </c>
      <c r="L1590" s="12" t="n">
        <f aca="false">1+MOD(A1590*131,100)</f>
        <v>60</v>
      </c>
      <c r="M1590" s="12" t="n">
        <f aca="false">INT(K1590*(0.6+MOD(A1590*43,21)/100))</f>
        <v>36104</v>
      </c>
      <c r="N1590" s="12" t="n">
        <f aca="false">K1590-M1590</f>
        <v>12686</v>
      </c>
    </row>
    <row r="1591" customFormat="false" ht="12.8" hidden="false" customHeight="false" outlineLevel="0" collapsed="false">
      <c r="A1591" s="10" t="n">
        <f aca="false">A1590+1</f>
        <v>1590</v>
      </c>
      <c r="B1591" s="11" t="n">
        <f aca="false">B1590+1</f>
        <v>46516</v>
      </c>
      <c r="C1591" s="10" t="n">
        <f aca="false">YEAR(B1591)</f>
        <v>2027</v>
      </c>
      <c r="D1591" s="10" t="n">
        <f aca="false">INT((MONTH(B1591)-1)/3)+1</f>
        <v>2</v>
      </c>
      <c r="E1591" s="10" t="n">
        <f aca="false">MONTH(B1591)</f>
        <v>5</v>
      </c>
      <c r="F1591" s="10" t="str">
        <f aca="false">CHOOSE(MOD(A1591-1,5)+1,"Центр","Юг","Север","Запад","Восток")</f>
        <v>Восток</v>
      </c>
      <c r="G1591" s="10" t="str">
        <f aca="false">"Округ_"&amp;(MOD(A1591-1,5)+1)&amp;"_"&amp;(MOD(INT((A1591-1)/5),5)+1)</f>
        <v>Округ_5_3</v>
      </c>
      <c r="H1591" s="10" t="str">
        <f aca="false">"Город_"&amp;(MOD(A1591-1,5)+1)&amp;"_"&amp;(MOD(INT((A1591-1)/5),5)+1)&amp;"_"&amp;(MOD(INT((A1591-1)/25),10)+1)</f>
        <v>Город_5_3_4</v>
      </c>
      <c r="I1591" s="10" t="str">
        <f aca="false">CHOOSE(MOD(A1591-1,4)+1,"Электроника","Одежда","Продукты","Мебель")</f>
        <v>Одежда</v>
      </c>
      <c r="J1591" s="10" t="str">
        <f aca="false">CHOOSE(MOD(INT((A1591-1)/4),4)+1,CHOOSE(MOD(A1591-1,4)+1,"Смартфоны","Ноутбуки","Аксессуары","Аудио"),CHOOSE(MOD(A1591-1,4)+1,"Верхняя одежда","Спортивная","Повседневная","Обувь"),CHOOSE(MOD(A1591-1,4)+1,"Молочные","Мясные","Бакалея","Напитки"),CHOOSE(MOD(A1591-1,4)+1,"Мягкая мебель","Корпусная","Офисная","Кухонная"))</f>
        <v>Спортивная</v>
      </c>
      <c r="K1591" s="12" t="n">
        <f aca="false">1000+MOD(A1591*317+A1591*A1591*7,49001)</f>
        <v>22359</v>
      </c>
      <c r="L1591" s="12" t="n">
        <f aca="false">1+MOD(A1591*131,100)</f>
        <v>91</v>
      </c>
      <c r="M1591" s="12" t="n">
        <f aca="false">INT(K1591*(0.6+MOD(A1591*43,21)/100))</f>
        <v>16769</v>
      </c>
      <c r="N1591" s="12" t="n">
        <f aca="false">K1591-M1591</f>
        <v>5590</v>
      </c>
    </row>
    <row r="1592" customFormat="false" ht="12.8" hidden="false" customHeight="false" outlineLevel="0" collapsed="false">
      <c r="A1592" s="10" t="n">
        <f aca="false">A1591+1</f>
        <v>1591</v>
      </c>
      <c r="B1592" s="11" t="n">
        <f aca="false">B1591+1</f>
        <v>46517</v>
      </c>
      <c r="C1592" s="10" t="n">
        <f aca="false">YEAR(B1592)</f>
        <v>2027</v>
      </c>
      <c r="D1592" s="10" t="n">
        <f aca="false">INT((MONTH(B1592)-1)/3)+1</f>
        <v>2</v>
      </c>
      <c r="E1592" s="10" t="n">
        <f aca="false">MONTH(B1592)</f>
        <v>5</v>
      </c>
      <c r="F1592" s="10" t="str">
        <f aca="false">CHOOSE(MOD(A1592-1,5)+1,"Центр","Юг","Север","Запад","Восток")</f>
        <v>Центр</v>
      </c>
      <c r="G1592" s="10" t="str">
        <f aca="false">"Округ_"&amp;(MOD(A1592-1,5)+1)&amp;"_"&amp;(MOD(INT((A1592-1)/5),5)+1)</f>
        <v>Округ_1_4</v>
      </c>
      <c r="H1592" s="10" t="str">
        <f aca="false">"Город_"&amp;(MOD(A1592-1,5)+1)&amp;"_"&amp;(MOD(INT((A1592-1)/5),5)+1)&amp;"_"&amp;(MOD(INT((A1592-1)/25),10)+1)</f>
        <v>Город_1_4_4</v>
      </c>
      <c r="I1592" s="10" t="str">
        <f aca="false">CHOOSE(MOD(A1592-1,4)+1,"Электроника","Одежда","Продукты","Мебель")</f>
        <v>Продукты</v>
      </c>
      <c r="J1592" s="10" t="str">
        <f aca="false">CHOOSE(MOD(INT((A1592-1)/4),4)+1,CHOOSE(MOD(A1592-1,4)+1,"Смартфоны","Ноутбуки","Аксессуары","Аудио"),CHOOSE(MOD(A1592-1,4)+1,"Верхняя одежда","Спортивная","Повседневная","Обувь"),CHOOSE(MOD(A1592-1,4)+1,"Молочные","Мясные","Бакалея","Напитки"),CHOOSE(MOD(A1592-1,4)+1,"Мягкая мебель","Корпусная","Офисная","Кухонная"))</f>
        <v>Повседневная</v>
      </c>
      <c r="K1592" s="12" t="n">
        <f aca="false">1000+MOD(A1592*317+A1592*A1592*7,49001)</f>
        <v>44943</v>
      </c>
      <c r="L1592" s="12" t="n">
        <f aca="false">1+MOD(A1592*131,100)</f>
        <v>22</v>
      </c>
      <c r="M1592" s="12" t="n">
        <f aca="false">INT(K1592*(0.6+MOD(A1592*43,21)/100))</f>
        <v>34156</v>
      </c>
      <c r="N1592" s="12" t="n">
        <f aca="false">K1592-M1592</f>
        <v>10787</v>
      </c>
    </row>
    <row r="1593" customFormat="false" ht="12.8" hidden="false" customHeight="false" outlineLevel="0" collapsed="false">
      <c r="A1593" s="10" t="n">
        <f aca="false">A1592+1</f>
        <v>1592</v>
      </c>
      <c r="B1593" s="11" t="n">
        <f aca="false">B1592+1</f>
        <v>46518</v>
      </c>
      <c r="C1593" s="10" t="n">
        <f aca="false">YEAR(B1593)</f>
        <v>2027</v>
      </c>
      <c r="D1593" s="10" t="n">
        <f aca="false">INT((MONTH(B1593)-1)/3)+1</f>
        <v>2</v>
      </c>
      <c r="E1593" s="10" t="n">
        <f aca="false">MONTH(B1593)</f>
        <v>5</v>
      </c>
      <c r="F1593" s="10" t="str">
        <f aca="false">CHOOSE(MOD(A1593-1,5)+1,"Центр","Юг","Север","Запад","Восток")</f>
        <v>Юг</v>
      </c>
      <c r="G1593" s="10" t="str">
        <f aca="false">"Округ_"&amp;(MOD(A1593-1,5)+1)&amp;"_"&amp;(MOD(INT((A1593-1)/5),5)+1)</f>
        <v>Округ_2_4</v>
      </c>
      <c r="H1593" s="10" t="str">
        <f aca="false">"Город_"&amp;(MOD(A1593-1,5)+1)&amp;"_"&amp;(MOD(INT((A1593-1)/5),5)+1)&amp;"_"&amp;(MOD(INT((A1593-1)/25),10)+1)</f>
        <v>Город_2_4_4</v>
      </c>
      <c r="I1593" s="10" t="str">
        <f aca="false">CHOOSE(MOD(A1593-1,4)+1,"Электроника","Одежда","Продукты","Мебель")</f>
        <v>Мебель</v>
      </c>
      <c r="J1593" s="10" t="str">
        <f aca="false">CHOOSE(MOD(INT((A1593-1)/4),4)+1,CHOOSE(MOD(A1593-1,4)+1,"Смартфоны","Ноутбуки","Аксессуары","Аудио"),CHOOSE(MOD(A1593-1,4)+1,"Верхняя одежда","Спортивная","Повседневная","Обувь"),CHOOSE(MOD(A1593-1,4)+1,"Молочные","Мясные","Бакалея","Напитки"),CHOOSE(MOD(A1593-1,4)+1,"Мягкая мебель","Корпусная","Офисная","Кухонная"))</f>
        <v>Обувь</v>
      </c>
      <c r="K1593" s="12" t="n">
        <f aca="false">1000+MOD(A1593*317+A1593*A1593*7,49001)</f>
        <v>18540</v>
      </c>
      <c r="L1593" s="12" t="n">
        <f aca="false">1+MOD(A1593*131,100)</f>
        <v>53</v>
      </c>
      <c r="M1593" s="12" t="n">
        <f aca="false">INT(K1593*(0.6+MOD(A1593*43,21)/100))</f>
        <v>14275</v>
      </c>
      <c r="N1593" s="12" t="n">
        <f aca="false">K1593-M1593</f>
        <v>4265</v>
      </c>
    </row>
    <row r="1594" customFormat="false" ht="12.8" hidden="false" customHeight="false" outlineLevel="0" collapsed="false">
      <c r="A1594" s="10" t="n">
        <f aca="false">A1593+1</f>
        <v>1593</v>
      </c>
      <c r="B1594" s="11" t="n">
        <f aca="false">B1593+1</f>
        <v>46519</v>
      </c>
      <c r="C1594" s="10" t="n">
        <f aca="false">YEAR(B1594)</f>
        <v>2027</v>
      </c>
      <c r="D1594" s="10" t="n">
        <f aca="false">INT((MONTH(B1594)-1)/3)+1</f>
        <v>2</v>
      </c>
      <c r="E1594" s="10" t="n">
        <f aca="false">MONTH(B1594)</f>
        <v>5</v>
      </c>
      <c r="F1594" s="10" t="str">
        <f aca="false">CHOOSE(MOD(A1594-1,5)+1,"Центр","Юг","Север","Запад","Восток")</f>
        <v>Север</v>
      </c>
      <c r="G1594" s="10" t="str">
        <f aca="false">"Округ_"&amp;(MOD(A1594-1,5)+1)&amp;"_"&amp;(MOD(INT((A1594-1)/5),5)+1)</f>
        <v>Округ_3_4</v>
      </c>
      <c r="H1594" s="10" t="str">
        <f aca="false">"Город_"&amp;(MOD(A1594-1,5)+1)&amp;"_"&amp;(MOD(INT((A1594-1)/5),5)+1)&amp;"_"&amp;(MOD(INT((A1594-1)/25),10)+1)</f>
        <v>Город_3_4_4</v>
      </c>
      <c r="I1594" s="10" t="str">
        <f aca="false">CHOOSE(MOD(A1594-1,4)+1,"Электроника","Одежда","Продукты","Мебель")</f>
        <v>Электроника</v>
      </c>
      <c r="J1594" s="10" t="str">
        <f aca="false">CHOOSE(MOD(INT((A1594-1)/4),4)+1,CHOOSE(MOD(A1594-1,4)+1,"Смартфоны","Ноутбуки","Аксессуары","Аудио"),CHOOSE(MOD(A1594-1,4)+1,"Верхняя одежда","Спортивная","Повседневная","Обувь"),CHOOSE(MOD(A1594-1,4)+1,"Молочные","Мясные","Бакалея","Напитки"),CHOOSE(MOD(A1594-1,4)+1,"Мягкая мебель","Корпусная","Офисная","Кухонная"))</f>
        <v>Молочные</v>
      </c>
      <c r="K1594" s="12" t="n">
        <f aca="false">1000+MOD(A1594*317+A1594*A1594*7,49001)</f>
        <v>41152</v>
      </c>
      <c r="L1594" s="12" t="n">
        <f aca="false">1+MOD(A1594*131,100)</f>
        <v>84</v>
      </c>
      <c r="M1594" s="12" t="n">
        <f aca="false">INT(K1594*(0.6+MOD(A1594*43,21)/100))</f>
        <v>32098</v>
      </c>
      <c r="N1594" s="12" t="n">
        <f aca="false">K1594-M1594</f>
        <v>9054</v>
      </c>
    </row>
    <row r="1595" customFormat="false" ht="12.8" hidden="false" customHeight="false" outlineLevel="0" collapsed="false">
      <c r="A1595" s="10" t="n">
        <f aca="false">A1594+1</f>
        <v>1594</v>
      </c>
      <c r="B1595" s="11" t="n">
        <f aca="false">B1594+1</f>
        <v>46520</v>
      </c>
      <c r="C1595" s="10" t="n">
        <f aca="false">YEAR(B1595)</f>
        <v>2027</v>
      </c>
      <c r="D1595" s="10" t="n">
        <f aca="false">INT((MONTH(B1595)-1)/3)+1</f>
        <v>2</v>
      </c>
      <c r="E1595" s="10" t="n">
        <f aca="false">MONTH(B1595)</f>
        <v>5</v>
      </c>
      <c r="F1595" s="10" t="str">
        <f aca="false">CHOOSE(MOD(A1595-1,5)+1,"Центр","Юг","Север","Запад","Восток")</f>
        <v>Запад</v>
      </c>
      <c r="G1595" s="10" t="str">
        <f aca="false">"Округ_"&amp;(MOD(A1595-1,5)+1)&amp;"_"&amp;(MOD(INT((A1595-1)/5),5)+1)</f>
        <v>Округ_4_4</v>
      </c>
      <c r="H1595" s="10" t="str">
        <f aca="false">"Город_"&amp;(MOD(A1595-1,5)+1)&amp;"_"&amp;(MOD(INT((A1595-1)/5),5)+1)&amp;"_"&amp;(MOD(INT((A1595-1)/25),10)+1)</f>
        <v>Город_4_4_4</v>
      </c>
      <c r="I1595" s="10" t="str">
        <f aca="false">CHOOSE(MOD(A1595-1,4)+1,"Электроника","Одежда","Продукты","Мебель")</f>
        <v>Одежда</v>
      </c>
      <c r="J1595" s="10" t="str">
        <f aca="false">CHOOSE(MOD(INT((A1595-1)/4),4)+1,CHOOSE(MOD(A1595-1,4)+1,"Смартфоны","Ноутбуки","Аксессуары","Аудио"),CHOOSE(MOD(A1595-1,4)+1,"Верхняя одежда","Спортивная","Повседневная","Обувь"),CHOOSE(MOD(A1595-1,4)+1,"Молочные","Мясные","Бакалея","Напитки"),CHOOSE(MOD(A1595-1,4)+1,"Мягкая мебель","Корпусная","Офисная","Кухонная"))</f>
        <v>Мясные</v>
      </c>
      <c r="K1595" s="12" t="n">
        <f aca="false">1000+MOD(A1595*317+A1595*A1595*7,49001)</f>
        <v>14777</v>
      </c>
      <c r="L1595" s="12" t="n">
        <f aca="false">1+MOD(A1595*131,100)</f>
        <v>15</v>
      </c>
      <c r="M1595" s="12" t="n">
        <f aca="false">INT(K1595*(0.6+MOD(A1595*43,21)/100))</f>
        <v>11673</v>
      </c>
      <c r="N1595" s="12" t="n">
        <f aca="false">K1595-M1595</f>
        <v>3104</v>
      </c>
    </row>
    <row r="1596" customFormat="false" ht="12.8" hidden="false" customHeight="false" outlineLevel="0" collapsed="false">
      <c r="A1596" s="10" t="n">
        <f aca="false">A1595+1</f>
        <v>1595</v>
      </c>
      <c r="B1596" s="11" t="n">
        <f aca="false">B1595+1</f>
        <v>46521</v>
      </c>
      <c r="C1596" s="10" t="n">
        <f aca="false">YEAR(B1596)</f>
        <v>2027</v>
      </c>
      <c r="D1596" s="10" t="n">
        <f aca="false">INT((MONTH(B1596)-1)/3)+1</f>
        <v>2</v>
      </c>
      <c r="E1596" s="10" t="n">
        <f aca="false">MONTH(B1596)</f>
        <v>5</v>
      </c>
      <c r="F1596" s="10" t="str">
        <f aca="false">CHOOSE(MOD(A1596-1,5)+1,"Центр","Юг","Север","Запад","Восток")</f>
        <v>Восток</v>
      </c>
      <c r="G1596" s="10" t="str">
        <f aca="false">"Округ_"&amp;(MOD(A1596-1,5)+1)&amp;"_"&amp;(MOD(INT((A1596-1)/5),5)+1)</f>
        <v>Округ_5_4</v>
      </c>
      <c r="H1596" s="10" t="str">
        <f aca="false">"Город_"&amp;(MOD(A1596-1,5)+1)&amp;"_"&amp;(MOD(INT((A1596-1)/5),5)+1)&amp;"_"&amp;(MOD(INT((A1596-1)/25),10)+1)</f>
        <v>Город_5_4_4</v>
      </c>
      <c r="I1596" s="10" t="str">
        <f aca="false">CHOOSE(MOD(A1596-1,4)+1,"Электроника","Одежда","Продукты","Мебель")</f>
        <v>Продукты</v>
      </c>
      <c r="J1596" s="10" t="str">
        <f aca="false">CHOOSE(MOD(INT((A1596-1)/4),4)+1,CHOOSE(MOD(A1596-1,4)+1,"Смартфоны","Ноутбуки","Аксессуары","Аудио"),CHOOSE(MOD(A1596-1,4)+1,"Верхняя одежда","Спортивная","Повседневная","Обувь"),CHOOSE(MOD(A1596-1,4)+1,"Молочные","Мясные","Бакалея","Напитки"),CHOOSE(MOD(A1596-1,4)+1,"Мягкая мебель","Корпусная","Офисная","Кухонная"))</f>
        <v>Бакалея</v>
      </c>
      <c r="K1596" s="12" t="n">
        <f aca="false">1000+MOD(A1596*317+A1596*A1596*7,49001)</f>
        <v>37417</v>
      </c>
      <c r="L1596" s="12" t="n">
        <f aca="false">1+MOD(A1596*131,100)</f>
        <v>46</v>
      </c>
      <c r="M1596" s="12" t="n">
        <f aca="false">INT(K1596*(0.6+MOD(A1596*43,21)/100))</f>
        <v>29933</v>
      </c>
      <c r="N1596" s="12" t="n">
        <f aca="false">K1596-M1596</f>
        <v>7484</v>
      </c>
    </row>
    <row r="1597" customFormat="false" ht="12.8" hidden="false" customHeight="false" outlineLevel="0" collapsed="false">
      <c r="A1597" s="10" t="n">
        <f aca="false">A1596+1</f>
        <v>1596</v>
      </c>
      <c r="B1597" s="11" t="n">
        <f aca="false">B1596+1</f>
        <v>46522</v>
      </c>
      <c r="C1597" s="10" t="n">
        <f aca="false">YEAR(B1597)</f>
        <v>2027</v>
      </c>
      <c r="D1597" s="10" t="n">
        <f aca="false">INT((MONTH(B1597)-1)/3)+1</f>
        <v>2</v>
      </c>
      <c r="E1597" s="10" t="n">
        <f aca="false">MONTH(B1597)</f>
        <v>5</v>
      </c>
      <c r="F1597" s="10" t="str">
        <f aca="false">CHOOSE(MOD(A1597-1,5)+1,"Центр","Юг","Север","Запад","Восток")</f>
        <v>Центр</v>
      </c>
      <c r="G1597" s="10" t="str">
        <f aca="false">"Округ_"&amp;(MOD(A1597-1,5)+1)&amp;"_"&amp;(MOD(INT((A1597-1)/5),5)+1)</f>
        <v>Округ_1_5</v>
      </c>
      <c r="H1597" s="10" t="str">
        <f aca="false">"Город_"&amp;(MOD(A1597-1,5)+1)&amp;"_"&amp;(MOD(INT((A1597-1)/5),5)+1)&amp;"_"&amp;(MOD(INT((A1597-1)/25),10)+1)</f>
        <v>Город_1_5_4</v>
      </c>
      <c r="I1597" s="10" t="str">
        <f aca="false">CHOOSE(MOD(A1597-1,4)+1,"Электроника","Одежда","Продукты","Мебель")</f>
        <v>Мебель</v>
      </c>
      <c r="J1597" s="10" t="str">
        <f aca="false">CHOOSE(MOD(INT((A1597-1)/4),4)+1,CHOOSE(MOD(A1597-1,4)+1,"Смартфоны","Ноутбуки","Аксессуары","Аудио"),CHOOSE(MOD(A1597-1,4)+1,"Верхняя одежда","Спортивная","Повседневная","Обувь"),CHOOSE(MOD(A1597-1,4)+1,"Молочные","Мясные","Бакалея","Напитки"),CHOOSE(MOD(A1597-1,4)+1,"Мягкая мебель","Корпусная","Офисная","Кухонная"))</f>
        <v>Напитки</v>
      </c>
      <c r="K1597" s="12" t="n">
        <f aca="false">1000+MOD(A1597*317+A1597*A1597*7,49001)</f>
        <v>11070</v>
      </c>
      <c r="L1597" s="12" t="n">
        <f aca="false">1+MOD(A1597*131,100)</f>
        <v>77</v>
      </c>
      <c r="M1597" s="12" t="n">
        <f aca="false">INT(K1597*(0.6+MOD(A1597*43,21)/100))</f>
        <v>6642</v>
      </c>
      <c r="N1597" s="12" t="n">
        <f aca="false">K1597-M1597</f>
        <v>4428</v>
      </c>
    </row>
    <row r="1598" customFormat="false" ht="12.8" hidden="false" customHeight="false" outlineLevel="0" collapsed="false">
      <c r="A1598" s="10" t="n">
        <f aca="false">A1597+1</f>
        <v>1597</v>
      </c>
      <c r="B1598" s="11" t="n">
        <f aca="false">B1597+1</f>
        <v>46523</v>
      </c>
      <c r="C1598" s="10" t="n">
        <f aca="false">YEAR(B1598)</f>
        <v>2027</v>
      </c>
      <c r="D1598" s="10" t="n">
        <f aca="false">INT((MONTH(B1598)-1)/3)+1</f>
        <v>2</v>
      </c>
      <c r="E1598" s="10" t="n">
        <f aca="false">MONTH(B1598)</f>
        <v>5</v>
      </c>
      <c r="F1598" s="10" t="str">
        <f aca="false">CHOOSE(MOD(A1598-1,5)+1,"Центр","Юг","Север","Запад","Восток")</f>
        <v>Юг</v>
      </c>
      <c r="G1598" s="10" t="str">
        <f aca="false">"Округ_"&amp;(MOD(A1598-1,5)+1)&amp;"_"&amp;(MOD(INT((A1598-1)/5),5)+1)</f>
        <v>Округ_2_5</v>
      </c>
      <c r="H1598" s="10" t="str">
        <f aca="false">"Город_"&amp;(MOD(A1598-1,5)+1)&amp;"_"&amp;(MOD(INT((A1598-1)/5),5)+1)&amp;"_"&amp;(MOD(INT((A1598-1)/25),10)+1)</f>
        <v>Город_2_5_4</v>
      </c>
      <c r="I1598" s="10" t="str">
        <f aca="false">CHOOSE(MOD(A1598-1,4)+1,"Электроника","Одежда","Продукты","Мебель")</f>
        <v>Электроника</v>
      </c>
      <c r="J1598" s="10" t="str">
        <f aca="false">CHOOSE(MOD(INT((A1598-1)/4),4)+1,CHOOSE(MOD(A1598-1,4)+1,"Смартфоны","Ноутбуки","Аксессуары","Аудио"),CHOOSE(MOD(A1598-1,4)+1,"Верхняя одежда","Спортивная","Повседневная","Обувь"),CHOOSE(MOD(A1598-1,4)+1,"Молочные","Мясные","Бакалея","Напитки"),CHOOSE(MOD(A1598-1,4)+1,"Мягкая мебель","Корпусная","Офисная","Кухонная"))</f>
        <v>Мягкая мебель</v>
      </c>
      <c r="K1598" s="12" t="n">
        <f aca="false">1000+MOD(A1598*317+A1598*A1598*7,49001)</f>
        <v>33738</v>
      </c>
      <c r="L1598" s="12" t="n">
        <f aca="false">1+MOD(A1598*131,100)</f>
        <v>8</v>
      </c>
      <c r="M1598" s="12" t="n">
        <f aca="false">INT(K1598*(0.6+MOD(A1598*43,21)/100))</f>
        <v>20580</v>
      </c>
      <c r="N1598" s="12" t="n">
        <f aca="false">K1598-M1598</f>
        <v>13158</v>
      </c>
    </row>
    <row r="1599" customFormat="false" ht="12.8" hidden="false" customHeight="false" outlineLevel="0" collapsed="false">
      <c r="A1599" s="10" t="n">
        <f aca="false">A1598+1</f>
        <v>1598</v>
      </c>
      <c r="B1599" s="11" t="n">
        <f aca="false">B1598+1</f>
        <v>46524</v>
      </c>
      <c r="C1599" s="10" t="n">
        <f aca="false">YEAR(B1599)</f>
        <v>2027</v>
      </c>
      <c r="D1599" s="10" t="n">
        <f aca="false">INT((MONTH(B1599)-1)/3)+1</f>
        <v>2</v>
      </c>
      <c r="E1599" s="10" t="n">
        <f aca="false">MONTH(B1599)</f>
        <v>5</v>
      </c>
      <c r="F1599" s="10" t="str">
        <f aca="false">CHOOSE(MOD(A1599-1,5)+1,"Центр","Юг","Север","Запад","Восток")</f>
        <v>Север</v>
      </c>
      <c r="G1599" s="10" t="str">
        <f aca="false">"Округ_"&amp;(MOD(A1599-1,5)+1)&amp;"_"&amp;(MOD(INT((A1599-1)/5),5)+1)</f>
        <v>Округ_3_5</v>
      </c>
      <c r="H1599" s="10" t="str">
        <f aca="false">"Город_"&amp;(MOD(A1599-1,5)+1)&amp;"_"&amp;(MOD(INT((A1599-1)/5),5)+1)&amp;"_"&amp;(MOD(INT((A1599-1)/25),10)+1)</f>
        <v>Город_3_5_4</v>
      </c>
      <c r="I1599" s="10" t="str">
        <f aca="false">CHOOSE(MOD(A1599-1,4)+1,"Электроника","Одежда","Продукты","Мебель")</f>
        <v>Одежда</v>
      </c>
      <c r="J1599" s="10" t="str">
        <f aca="false">CHOOSE(MOD(INT((A1599-1)/4),4)+1,CHOOSE(MOD(A1599-1,4)+1,"Смартфоны","Ноутбуки","Аксессуары","Аудио"),CHOOSE(MOD(A1599-1,4)+1,"Верхняя одежда","Спортивная","Повседневная","Обувь"),CHOOSE(MOD(A1599-1,4)+1,"Молочные","Мясные","Бакалея","Напитки"),CHOOSE(MOD(A1599-1,4)+1,"Мягкая мебель","Корпусная","Офисная","Кухонная"))</f>
        <v>Корпусная</v>
      </c>
      <c r="K1599" s="12" t="n">
        <f aca="false">1000+MOD(A1599*317+A1599*A1599*7,49001)</f>
        <v>7419</v>
      </c>
      <c r="L1599" s="12" t="n">
        <f aca="false">1+MOD(A1599*131,100)</f>
        <v>39</v>
      </c>
      <c r="M1599" s="12" t="n">
        <f aca="false">INT(K1599*(0.6+MOD(A1599*43,21)/100))</f>
        <v>4599</v>
      </c>
      <c r="N1599" s="12" t="n">
        <f aca="false">K1599-M1599</f>
        <v>2820</v>
      </c>
    </row>
    <row r="1600" customFormat="false" ht="12.8" hidden="false" customHeight="false" outlineLevel="0" collapsed="false">
      <c r="A1600" s="10" t="n">
        <f aca="false">A1599+1</f>
        <v>1599</v>
      </c>
      <c r="B1600" s="11" t="n">
        <f aca="false">B1599+1</f>
        <v>46525</v>
      </c>
      <c r="C1600" s="10" t="n">
        <f aca="false">YEAR(B1600)</f>
        <v>2027</v>
      </c>
      <c r="D1600" s="10" t="n">
        <f aca="false">INT((MONTH(B1600)-1)/3)+1</f>
        <v>2</v>
      </c>
      <c r="E1600" s="10" t="n">
        <f aca="false">MONTH(B1600)</f>
        <v>5</v>
      </c>
      <c r="F1600" s="10" t="str">
        <f aca="false">CHOOSE(MOD(A1600-1,5)+1,"Центр","Юг","Север","Запад","Восток")</f>
        <v>Запад</v>
      </c>
      <c r="G1600" s="10" t="str">
        <f aca="false">"Округ_"&amp;(MOD(A1600-1,5)+1)&amp;"_"&amp;(MOD(INT((A1600-1)/5),5)+1)</f>
        <v>Округ_4_5</v>
      </c>
      <c r="H1600" s="10" t="str">
        <f aca="false">"Город_"&amp;(MOD(A1600-1,5)+1)&amp;"_"&amp;(MOD(INT((A1600-1)/5),5)+1)&amp;"_"&amp;(MOD(INT((A1600-1)/25),10)+1)</f>
        <v>Город_4_5_4</v>
      </c>
      <c r="I1600" s="10" t="str">
        <f aca="false">CHOOSE(MOD(A1600-1,4)+1,"Электроника","Одежда","Продукты","Мебель")</f>
        <v>Продукты</v>
      </c>
      <c r="J1600" s="10" t="str">
        <f aca="false">CHOOSE(MOD(INT((A1600-1)/4),4)+1,CHOOSE(MOD(A1600-1,4)+1,"Смартфоны","Ноутбуки","Аксессуары","Аудио"),CHOOSE(MOD(A1600-1,4)+1,"Верхняя одежда","Спортивная","Повседневная","Обувь"),CHOOSE(MOD(A1600-1,4)+1,"Молочные","Мясные","Бакалея","Напитки"),CHOOSE(MOD(A1600-1,4)+1,"Мягкая мебель","Корпусная","Офисная","Кухонная"))</f>
        <v>Офисная</v>
      </c>
      <c r="K1600" s="12" t="n">
        <f aca="false">1000+MOD(A1600*317+A1600*A1600*7,49001)</f>
        <v>30115</v>
      </c>
      <c r="L1600" s="12" t="n">
        <f aca="false">1+MOD(A1600*131,100)</f>
        <v>70</v>
      </c>
      <c r="M1600" s="12" t="n">
        <f aca="false">INT(K1600*(0.6+MOD(A1600*43,21)/100))</f>
        <v>18972</v>
      </c>
      <c r="N1600" s="12" t="n">
        <f aca="false">K1600-M1600</f>
        <v>11143</v>
      </c>
    </row>
    <row r="1601" customFormat="false" ht="12.8" hidden="false" customHeight="false" outlineLevel="0" collapsed="false">
      <c r="A1601" s="10" t="n">
        <f aca="false">A1600+1</f>
        <v>1600</v>
      </c>
      <c r="B1601" s="11" t="n">
        <f aca="false">B1600+1</f>
        <v>46526</v>
      </c>
      <c r="C1601" s="10" t="n">
        <f aca="false">YEAR(B1601)</f>
        <v>2027</v>
      </c>
      <c r="D1601" s="10" t="n">
        <f aca="false">INT((MONTH(B1601)-1)/3)+1</f>
        <v>2</v>
      </c>
      <c r="E1601" s="10" t="n">
        <f aca="false">MONTH(B1601)</f>
        <v>5</v>
      </c>
      <c r="F1601" s="10" t="str">
        <f aca="false">CHOOSE(MOD(A1601-1,5)+1,"Центр","Юг","Север","Запад","Восток")</f>
        <v>Восток</v>
      </c>
      <c r="G1601" s="10" t="str">
        <f aca="false">"Округ_"&amp;(MOD(A1601-1,5)+1)&amp;"_"&amp;(MOD(INT((A1601-1)/5),5)+1)</f>
        <v>Округ_5_5</v>
      </c>
      <c r="H1601" s="10" t="str">
        <f aca="false">"Город_"&amp;(MOD(A1601-1,5)+1)&amp;"_"&amp;(MOD(INT((A1601-1)/5),5)+1)&amp;"_"&amp;(MOD(INT((A1601-1)/25),10)+1)</f>
        <v>Город_5_5_4</v>
      </c>
      <c r="I1601" s="10" t="str">
        <f aca="false">CHOOSE(MOD(A1601-1,4)+1,"Электроника","Одежда","Продукты","Мебель")</f>
        <v>Мебель</v>
      </c>
      <c r="J1601" s="10" t="str">
        <f aca="false">CHOOSE(MOD(INT((A1601-1)/4),4)+1,CHOOSE(MOD(A1601-1,4)+1,"Смартфоны","Ноутбуки","Аксессуары","Аудио"),CHOOSE(MOD(A1601-1,4)+1,"Верхняя одежда","Спортивная","Повседневная","Обувь"),CHOOSE(MOD(A1601-1,4)+1,"Молочные","Мясные","Бакалея","Напитки"),CHOOSE(MOD(A1601-1,4)+1,"Мягкая мебель","Корпусная","Офисная","Кухонная"))</f>
        <v>Кухонная</v>
      </c>
      <c r="K1601" s="12" t="n">
        <f aca="false">1000+MOD(A1601*317+A1601*A1601*7,49001)</f>
        <v>3824</v>
      </c>
      <c r="L1601" s="12" t="n">
        <f aca="false">1+MOD(A1601*131,100)</f>
        <v>1</v>
      </c>
      <c r="M1601" s="12" t="n">
        <f aca="false">INT(K1601*(0.6+MOD(A1601*43,21)/100))</f>
        <v>2447</v>
      </c>
      <c r="N1601" s="12" t="n">
        <f aca="false">K1601-M1601</f>
        <v>1377</v>
      </c>
    </row>
    <row r="1602" customFormat="false" ht="12.8" hidden="false" customHeight="false" outlineLevel="0" collapsed="false">
      <c r="A1602" s="10" t="n">
        <f aca="false">A1601+1</f>
        <v>1601</v>
      </c>
      <c r="B1602" s="11" t="n">
        <f aca="false">B1601+1</f>
        <v>46527</v>
      </c>
      <c r="C1602" s="10" t="n">
        <f aca="false">YEAR(B1602)</f>
        <v>2027</v>
      </c>
      <c r="D1602" s="10" t="n">
        <f aca="false">INT((MONTH(B1602)-1)/3)+1</f>
        <v>2</v>
      </c>
      <c r="E1602" s="10" t="n">
        <f aca="false">MONTH(B1602)</f>
        <v>5</v>
      </c>
      <c r="F1602" s="10" t="str">
        <f aca="false">CHOOSE(MOD(A1602-1,5)+1,"Центр","Юг","Север","Запад","Восток")</f>
        <v>Центр</v>
      </c>
      <c r="G1602" s="10" t="str">
        <f aca="false">"Округ_"&amp;(MOD(A1602-1,5)+1)&amp;"_"&amp;(MOD(INT((A1602-1)/5),5)+1)</f>
        <v>Округ_1_1</v>
      </c>
      <c r="H1602" s="10" t="str">
        <f aca="false">"Город_"&amp;(MOD(A1602-1,5)+1)&amp;"_"&amp;(MOD(INT((A1602-1)/5),5)+1)&amp;"_"&amp;(MOD(INT((A1602-1)/25),10)+1)</f>
        <v>Город_1_1_5</v>
      </c>
      <c r="I1602" s="10" t="str">
        <f aca="false">CHOOSE(MOD(A1602-1,4)+1,"Электроника","Одежда","Продукты","Мебель")</f>
        <v>Электроника</v>
      </c>
      <c r="J1602" s="10" t="str">
        <f aca="false">CHOOSE(MOD(INT((A1602-1)/4),4)+1,CHOOSE(MOD(A1602-1,4)+1,"Смартфоны","Ноутбуки","Аксессуары","Аудио"),CHOOSE(MOD(A1602-1,4)+1,"Верхняя одежда","Спортивная","Повседневная","Обувь"),CHOOSE(MOD(A1602-1,4)+1,"Молочные","Мясные","Бакалея","Напитки"),CHOOSE(MOD(A1602-1,4)+1,"Мягкая мебель","Корпусная","Офисная","Кухонная"))</f>
        <v>Смартфоны</v>
      </c>
      <c r="K1602" s="12" t="n">
        <f aca="false">1000+MOD(A1602*317+A1602*A1602*7,49001)</f>
        <v>26548</v>
      </c>
      <c r="L1602" s="12" t="n">
        <f aca="false">1+MOD(A1602*131,100)</f>
        <v>32</v>
      </c>
      <c r="M1602" s="12" t="n">
        <f aca="false">INT(K1602*(0.6+MOD(A1602*43,21)/100))</f>
        <v>17256</v>
      </c>
      <c r="N1602" s="12" t="n">
        <f aca="false">K1602-M1602</f>
        <v>9292</v>
      </c>
    </row>
    <row r="1603" customFormat="false" ht="12.8" hidden="false" customHeight="false" outlineLevel="0" collapsed="false">
      <c r="A1603" s="10" t="n">
        <f aca="false">A1602+1</f>
        <v>1602</v>
      </c>
      <c r="B1603" s="11" t="n">
        <f aca="false">B1602+1</f>
        <v>46528</v>
      </c>
      <c r="C1603" s="10" t="n">
        <f aca="false">YEAR(B1603)</f>
        <v>2027</v>
      </c>
      <c r="D1603" s="10" t="n">
        <f aca="false">INT((MONTH(B1603)-1)/3)+1</f>
        <v>2</v>
      </c>
      <c r="E1603" s="10" t="n">
        <f aca="false">MONTH(B1603)</f>
        <v>5</v>
      </c>
      <c r="F1603" s="10" t="str">
        <f aca="false">CHOOSE(MOD(A1603-1,5)+1,"Центр","Юг","Север","Запад","Восток")</f>
        <v>Юг</v>
      </c>
      <c r="G1603" s="10" t="str">
        <f aca="false">"Округ_"&amp;(MOD(A1603-1,5)+1)&amp;"_"&amp;(MOD(INT((A1603-1)/5),5)+1)</f>
        <v>Округ_2_1</v>
      </c>
      <c r="H1603" s="10" t="str">
        <f aca="false">"Город_"&amp;(MOD(A1603-1,5)+1)&amp;"_"&amp;(MOD(INT((A1603-1)/5),5)+1)&amp;"_"&amp;(MOD(INT((A1603-1)/25),10)+1)</f>
        <v>Город_2_1_5</v>
      </c>
      <c r="I1603" s="10" t="str">
        <f aca="false">CHOOSE(MOD(A1603-1,4)+1,"Электроника","Одежда","Продукты","Мебель")</f>
        <v>Одежда</v>
      </c>
      <c r="J1603" s="10" t="str">
        <f aca="false">CHOOSE(MOD(INT((A1603-1)/4),4)+1,CHOOSE(MOD(A1603-1,4)+1,"Смартфоны","Ноутбуки","Аксессуары","Аудио"),CHOOSE(MOD(A1603-1,4)+1,"Верхняя одежда","Спортивная","Повседневная","Обувь"),CHOOSE(MOD(A1603-1,4)+1,"Молочные","Мясные","Бакалея","Напитки"),CHOOSE(MOD(A1603-1,4)+1,"Мягкая мебель","Корпусная","Офисная","Кухонная"))</f>
        <v>Ноутбуки</v>
      </c>
      <c r="K1603" s="12" t="n">
        <f aca="false">1000+MOD(A1603*317+A1603*A1603*7,49001)</f>
        <v>49286</v>
      </c>
      <c r="L1603" s="12" t="n">
        <f aca="false">1+MOD(A1603*131,100)</f>
        <v>63</v>
      </c>
      <c r="M1603" s="12" t="n">
        <f aca="false">INT(K1603*(0.6+MOD(A1603*43,21)/100))</f>
        <v>32528</v>
      </c>
      <c r="N1603" s="12" t="n">
        <f aca="false">K1603-M1603</f>
        <v>16758</v>
      </c>
    </row>
    <row r="1604" customFormat="false" ht="12.8" hidden="false" customHeight="false" outlineLevel="0" collapsed="false">
      <c r="A1604" s="10" t="n">
        <f aca="false">A1603+1</f>
        <v>1603</v>
      </c>
      <c r="B1604" s="11" t="n">
        <f aca="false">B1603+1</f>
        <v>46529</v>
      </c>
      <c r="C1604" s="10" t="n">
        <f aca="false">YEAR(B1604)</f>
        <v>2027</v>
      </c>
      <c r="D1604" s="10" t="n">
        <f aca="false">INT((MONTH(B1604)-1)/3)+1</f>
        <v>2</v>
      </c>
      <c r="E1604" s="10" t="n">
        <f aca="false">MONTH(B1604)</f>
        <v>5</v>
      </c>
      <c r="F1604" s="10" t="str">
        <f aca="false">CHOOSE(MOD(A1604-1,5)+1,"Центр","Юг","Север","Запад","Восток")</f>
        <v>Север</v>
      </c>
      <c r="G1604" s="10" t="str">
        <f aca="false">"Округ_"&amp;(MOD(A1604-1,5)+1)&amp;"_"&amp;(MOD(INT((A1604-1)/5),5)+1)</f>
        <v>Округ_3_1</v>
      </c>
      <c r="H1604" s="10" t="str">
        <f aca="false">"Город_"&amp;(MOD(A1604-1,5)+1)&amp;"_"&amp;(MOD(INT((A1604-1)/5),5)+1)&amp;"_"&amp;(MOD(INT((A1604-1)/25),10)+1)</f>
        <v>Город_3_1_5</v>
      </c>
      <c r="I1604" s="10" t="str">
        <f aca="false">CHOOSE(MOD(A1604-1,4)+1,"Электроника","Одежда","Продукты","Мебель")</f>
        <v>Продукты</v>
      </c>
      <c r="J1604" s="10" t="str">
        <f aca="false">CHOOSE(MOD(INT((A1604-1)/4),4)+1,CHOOSE(MOD(A1604-1,4)+1,"Смартфоны","Ноутбуки","Аксессуары","Аудио"),CHOOSE(MOD(A1604-1,4)+1,"Верхняя одежда","Спортивная","Повседневная","Обувь"),CHOOSE(MOD(A1604-1,4)+1,"Молочные","Мясные","Бакалея","Напитки"),CHOOSE(MOD(A1604-1,4)+1,"Мягкая мебель","Корпусная","Офисная","Кухонная"))</f>
        <v>Аксессуары</v>
      </c>
      <c r="K1604" s="12" t="n">
        <f aca="false">1000+MOD(A1604*317+A1604*A1604*7,49001)</f>
        <v>23037</v>
      </c>
      <c r="L1604" s="12" t="n">
        <f aca="false">1+MOD(A1604*131,100)</f>
        <v>94</v>
      </c>
      <c r="M1604" s="12" t="n">
        <f aca="false">INT(K1604*(0.6+MOD(A1604*43,21)/100))</f>
        <v>15434</v>
      </c>
      <c r="N1604" s="12" t="n">
        <f aca="false">K1604-M1604</f>
        <v>7603</v>
      </c>
    </row>
    <row r="1605" customFormat="false" ht="12.8" hidden="false" customHeight="false" outlineLevel="0" collapsed="false">
      <c r="A1605" s="10" t="n">
        <f aca="false">A1604+1</f>
        <v>1604</v>
      </c>
      <c r="B1605" s="11" t="n">
        <f aca="false">B1604+1</f>
        <v>46530</v>
      </c>
      <c r="C1605" s="10" t="n">
        <f aca="false">YEAR(B1605)</f>
        <v>2027</v>
      </c>
      <c r="D1605" s="10" t="n">
        <f aca="false">INT((MONTH(B1605)-1)/3)+1</f>
        <v>2</v>
      </c>
      <c r="E1605" s="10" t="n">
        <f aca="false">MONTH(B1605)</f>
        <v>5</v>
      </c>
      <c r="F1605" s="10" t="str">
        <f aca="false">CHOOSE(MOD(A1605-1,5)+1,"Центр","Юг","Север","Запад","Восток")</f>
        <v>Запад</v>
      </c>
      <c r="G1605" s="10" t="str">
        <f aca="false">"Округ_"&amp;(MOD(A1605-1,5)+1)&amp;"_"&amp;(MOD(INT((A1605-1)/5),5)+1)</f>
        <v>Округ_4_1</v>
      </c>
      <c r="H1605" s="10" t="str">
        <f aca="false">"Город_"&amp;(MOD(A1605-1,5)+1)&amp;"_"&amp;(MOD(INT((A1605-1)/5),5)+1)&amp;"_"&amp;(MOD(INT((A1605-1)/25),10)+1)</f>
        <v>Город_4_1_5</v>
      </c>
      <c r="I1605" s="10" t="str">
        <f aca="false">CHOOSE(MOD(A1605-1,4)+1,"Электроника","Одежда","Продукты","Мебель")</f>
        <v>Мебель</v>
      </c>
      <c r="J1605" s="10" t="str">
        <f aca="false">CHOOSE(MOD(INT((A1605-1)/4),4)+1,CHOOSE(MOD(A1605-1,4)+1,"Смартфоны","Ноутбуки","Аксессуары","Аудио"),CHOOSE(MOD(A1605-1,4)+1,"Верхняя одежда","Спортивная","Повседневная","Обувь"),CHOOSE(MOD(A1605-1,4)+1,"Молочные","Мясные","Бакалея","Напитки"),CHOOSE(MOD(A1605-1,4)+1,"Мягкая мебель","Корпусная","Офисная","Кухонная"))</f>
        <v>Аудио</v>
      </c>
      <c r="K1605" s="12" t="n">
        <f aca="false">1000+MOD(A1605*317+A1605*A1605*7,49001)</f>
        <v>45803</v>
      </c>
      <c r="L1605" s="12" t="n">
        <f aca="false">1+MOD(A1605*131,100)</f>
        <v>25</v>
      </c>
      <c r="M1605" s="12" t="n">
        <f aca="false">INT(K1605*(0.6+MOD(A1605*43,21)/100))</f>
        <v>31146</v>
      </c>
      <c r="N1605" s="12" t="n">
        <f aca="false">K1605-M1605</f>
        <v>14657</v>
      </c>
    </row>
    <row r="1606" customFormat="false" ht="12.8" hidden="false" customHeight="false" outlineLevel="0" collapsed="false">
      <c r="A1606" s="10" t="n">
        <f aca="false">A1605+1</f>
        <v>1605</v>
      </c>
      <c r="B1606" s="11" t="n">
        <f aca="false">B1605+1</f>
        <v>46531</v>
      </c>
      <c r="C1606" s="10" t="n">
        <f aca="false">YEAR(B1606)</f>
        <v>2027</v>
      </c>
      <c r="D1606" s="10" t="n">
        <f aca="false">INT((MONTH(B1606)-1)/3)+1</f>
        <v>2</v>
      </c>
      <c r="E1606" s="10" t="n">
        <f aca="false">MONTH(B1606)</f>
        <v>5</v>
      </c>
      <c r="F1606" s="10" t="str">
        <f aca="false">CHOOSE(MOD(A1606-1,5)+1,"Центр","Юг","Север","Запад","Восток")</f>
        <v>Восток</v>
      </c>
      <c r="G1606" s="10" t="str">
        <f aca="false">"Округ_"&amp;(MOD(A1606-1,5)+1)&amp;"_"&amp;(MOD(INT((A1606-1)/5),5)+1)</f>
        <v>Округ_5_1</v>
      </c>
      <c r="H1606" s="10" t="str">
        <f aca="false">"Город_"&amp;(MOD(A1606-1,5)+1)&amp;"_"&amp;(MOD(INT((A1606-1)/5),5)+1)&amp;"_"&amp;(MOD(INT((A1606-1)/25),10)+1)</f>
        <v>Город_5_1_5</v>
      </c>
      <c r="I1606" s="10" t="str">
        <f aca="false">CHOOSE(MOD(A1606-1,4)+1,"Электроника","Одежда","Продукты","Мебель")</f>
        <v>Электроника</v>
      </c>
      <c r="J1606" s="10" t="str">
        <f aca="false">CHOOSE(MOD(INT((A1606-1)/4),4)+1,CHOOSE(MOD(A1606-1,4)+1,"Смартфоны","Ноутбуки","Аксессуары","Аудио"),CHOOSE(MOD(A1606-1,4)+1,"Верхняя одежда","Спортивная","Повседневная","Обувь"),CHOOSE(MOD(A1606-1,4)+1,"Молочные","Мясные","Бакалея","Напитки"),CHOOSE(MOD(A1606-1,4)+1,"Мягкая мебель","Корпусная","Офисная","Кухонная"))</f>
        <v>Верхняя одежда</v>
      </c>
      <c r="K1606" s="12" t="n">
        <f aca="false">1000+MOD(A1606*317+A1606*A1606*7,49001)</f>
        <v>19582</v>
      </c>
      <c r="L1606" s="12" t="n">
        <f aca="false">1+MOD(A1606*131,100)</f>
        <v>56</v>
      </c>
      <c r="M1606" s="12" t="n">
        <f aca="false">INT(K1606*(0.6+MOD(A1606*43,21)/100))</f>
        <v>13511</v>
      </c>
      <c r="N1606" s="12" t="n">
        <f aca="false">K1606-M1606</f>
        <v>6071</v>
      </c>
    </row>
    <row r="1607" customFormat="false" ht="12.8" hidden="false" customHeight="false" outlineLevel="0" collapsed="false">
      <c r="A1607" s="10" t="n">
        <f aca="false">A1606+1</f>
        <v>1606</v>
      </c>
      <c r="B1607" s="11" t="n">
        <f aca="false">B1606+1</f>
        <v>46532</v>
      </c>
      <c r="C1607" s="10" t="n">
        <f aca="false">YEAR(B1607)</f>
        <v>2027</v>
      </c>
      <c r="D1607" s="10" t="n">
        <f aca="false">INT((MONTH(B1607)-1)/3)+1</f>
        <v>2</v>
      </c>
      <c r="E1607" s="10" t="n">
        <f aca="false">MONTH(B1607)</f>
        <v>5</v>
      </c>
      <c r="F1607" s="10" t="str">
        <f aca="false">CHOOSE(MOD(A1607-1,5)+1,"Центр","Юг","Север","Запад","Восток")</f>
        <v>Центр</v>
      </c>
      <c r="G1607" s="10" t="str">
        <f aca="false">"Округ_"&amp;(MOD(A1607-1,5)+1)&amp;"_"&amp;(MOD(INT((A1607-1)/5),5)+1)</f>
        <v>Округ_1_2</v>
      </c>
      <c r="H1607" s="10" t="str">
        <f aca="false">"Город_"&amp;(MOD(A1607-1,5)+1)&amp;"_"&amp;(MOD(INT((A1607-1)/5),5)+1)&amp;"_"&amp;(MOD(INT((A1607-1)/25),10)+1)</f>
        <v>Город_1_2_5</v>
      </c>
      <c r="I1607" s="10" t="str">
        <f aca="false">CHOOSE(MOD(A1607-1,4)+1,"Электроника","Одежда","Продукты","Мебель")</f>
        <v>Одежда</v>
      </c>
      <c r="J1607" s="10" t="str">
        <f aca="false">CHOOSE(MOD(INT((A1607-1)/4),4)+1,CHOOSE(MOD(A1607-1,4)+1,"Смартфоны","Ноутбуки","Аксессуары","Аудио"),CHOOSE(MOD(A1607-1,4)+1,"Верхняя одежда","Спортивная","Повседневная","Обувь"),CHOOSE(MOD(A1607-1,4)+1,"Молочные","Мясные","Бакалея","Напитки"),CHOOSE(MOD(A1607-1,4)+1,"Мягкая мебель","Корпусная","Офисная","Кухонная"))</f>
        <v>Спортивная</v>
      </c>
      <c r="K1607" s="12" t="n">
        <f aca="false">1000+MOD(A1607*317+A1607*A1607*7,49001)</f>
        <v>42376</v>
      </c>
      <c r="L1607" s="12" t="n">
        <f aca="false">1+MOD(A1607*131,100)</f>
        <v>87</v>
      </c>
      <c r="M1607" s="12" t="n">
        <f aca="false">INT(K1607*(0.6+MOD(A1607*43,21)/100))</f>
        <v>29663</v>
      </c>
      <c r="N1607" s="12" t="n">
        <f aca="false">K1607-M1607</f>
        <v>12713</v>
      </c>
    </row>
    <row r="1608" customFormat="false" ht="12.8" hidden="false" customHeight="false" outlineLevel="0" collapsed="false">
      <c r="A1608" s="10" t="n">
        <f aca="false">A1607+1</f>
        <v>1607</v>
      </c>
      <c r="B1608" s="11" t="n">
        <f aca="false">B1607+1</f>
        <v>46533</v>
      </c>
      <c r="C1608" s="10" t="n">
        <f aca="false">YEAR(B1608)</f>
        <v>2027</v>
      </c>
      <c r="D1608" s="10" t="n">
        <f aca="false">INT((MONTH(B1608)-1)/3)+1</f>
        <v>2</v>
      </c>
      <c r="E1608" s="10" t="n">
        <f aca="false">MONTH(B1608)</f>
        <v>5</v>
      </c>
      <c r="F1608" s="10" t="str">
        <f aca="false">CHOOSE(MOD(A1608-1,5)+1,"Центр","Юг","Север","Запад","Восток")</f>
        <v>Юг</v>
      </c>
      <c r="G1608" s="10" t="str">
        <f aca="false">"Округ_"&amp;(MOD(A1608-1,5)+1)&amp;"_"&amp;(MOD(INT((A1608-1)/5),5)+1)</f>
        <v>Округ_2_2</v>
      </c>
      <c r="H1608" s="10" t="str">
        <f aca="false">"Город_"&amp;(MOD(A1608-1,5)+1)&amp;"_"&amp;(MOD(INT((A1608-1)/5),5)+1)&amp;"_"&amp;(MOD(INT((A1608-1)/25),10)+1)</f>
        <v>Город_2_2_5</v>
      </c>
      <c r="I1608" s="10" t="str">
        <f aca="false">CHOOSE(MOD(A1608-1,4)+1,"Электроника","Одежда","Продукты","Мебель")</f>
        <v>Продукты</v>
      </c>
      <c r="J1608" s="10" t="str">
        <f aca="false">CHOOSE(MOD(INT((A1608-1)/4),4)+1,CHOOSE(MOD(A1608-1,4)+1,"Смартфоны","Ноутбуки","Аксессуары","Аудио"),CHOOSE(MOD(A1608-1,4)+1,"Верхняя одежда","Спортивная","Повседневная","Обувь"),CHOOSE(MOD(A1608-1,4)+1,"Молочные","Мясные","Бакалея","Напитки"),CHOOSE(MOD(A1608-1,4)+1,"Мягкая мебель","Корпусная","Офисная","Кухонная"))</f>
        <v>Повседневная</v>
      </c>
      <c r="K1608" s="12" t="n">
        <f aca="false">1000+MOD(A1608*317+A1608*A1608*7,49001)</f>
        <v>16183</v>
      </c>
      <c r="L1608" s="12" t="n">
        <f aca="false">1+MOD(A1608*131,100)</f>
        <v>18</v>
      </c>
      <c r="M1608" s="12" t="n">
        <f aca="false">INT(K1608*(0.6+MOD(A1608*43,21)/100))</f>
        <v>11489</v>
      </c>
      <c r="N1608" s="12" t="n">
        <f aca="false">K1608-M1608</f>
        <v>4694</v>
      </c>
    </row>
    <row r="1609" customFormat="false" ht="12.8" hidden="false" customHeight="false" outlineLevel="0" collapsed="false">
      <c r="A1609" s="10" t="n">
        <f aca="false">A1608+1</f>
        <v>1608</v>
      </c>
      <c r="B1609" s="11" t="n">
        <f aca="false">B1608+1</f>
        <v>46534</v>
      </c>
      <c r="C1609" s="10" t="n">
        <f aca="false">YEAR(B1609)</f>
        <v>2027</v>
      </c>
      <c r="D1609" s="10" t="n">
        <f aca="false">INT((MONTH(B1609)-1)/3)+1</f>
        <v>2</v>
      </c>
      <c r="E1609" s="10" t="n">
        <f aca="false">MONTH(B1609)</f>
        <v>5</v>
      </c>
      <c r="F1609" s="10" t="str">
        <f aca="false">CHOOSE(MOD(A1609-1,5)+1,"Центр","Юг","Север","Запад","Восток")</f>
        <v>Север</v>
      </c>
      <c r="G1609" s="10" t="str">
        <f aca="false">"Округ_"&amp;(MOD(A1609-1,5)+1)&amp;"_"&amp;(MOD(INT((A1609-1)/5),5)+1)</f>
        <v>Округ_3_2</v>
      </c>
      <c r="H1609" s="10" t="str">
        <f aca="false">"Город_"&amp;(MOD(A1609-1,5)+1)&amp;"_"&amp;(MOD(INT((A1609-1)/5),5)+1)&amp;"_"&amp;(MOD(INT((A1609-1)/25),10)+1)</f>
        <v>Город_3_2_5</v>
      </c>
      <c r="I1609" s="10" t="str">
        <f aca="false">CHOOSE(MOD(A1609-1,4)+1,"Электроника","Одежда","Продукты","Мебель")</f>
        <v>Мебель</v>
      </c>
      <c r="J1609" s="10" t="str">
        <f aca="false">CHOOSE(MOD(INT((A1609-1)/4),4)+1,CHOOSE(MOD(A1609-1,4)+1,"Смартфоны","Ноутбуки","Аксессуары","Аудио"),CHOOSE(MOD(A1609-1,4)+1,"Верхняя одежда","Спортивная","Повседневная","Обувь"),CHOOSE(MOD(A1609-1,4)+1,"Молочные","Мясные","Бакалея","Напитки"),CHOOSE(MOD(A1609-1,4)+1,"Мягкая мебель","Корпусная","Офисная","Кухонная"))</f>
        <v>Обувь</v>
      </c>
      <c r="K1609" s="12" t="n">
        <f aca="false">1000+MOD(A1609*317+A1609*A1609*7,49001)</f>
        <v>39005</v>
      </c>
      <c r="L1609" s="12" t="n">
        <f aca="false">1+MOD(A1609*131,100)</f>
        <v>49</v>
      </c>
      <c r="M1609" s="12" t="n">
        <f aca="false">INT(K1609*(0.6+MOD(A1609*43,21)/100))</f>
        <v>28083</v>
      </c>
      <c r="N1609" s="12" t="n">
        <f aca="false">K1609-M1609</f>
        <v>10922</v>
      </c>
    </row>
    <row r="1610" customFormat="false" ht="12.8" hidden="false" customHeight="false" outlineLevel="0" collapsed="false">
      <c r="A1610" s="10" t="n">
        <f aca="false">A1609+1</f>
        <v>1609</v>
      </c>
      <c r="B1610" s="11" t="n">
        <f aca="false">B1609+1</f>
        <v>46535</v>
      </c>
      <c r="C1610" s="10" t="n">
        <f aca="false">YEAR(B1610)</f>
        <v>2027</v>
      </c>
      <c r="D1610" s="10" t="n">
        <f aca="false">INT((MONTH(B1610)-1)/3)+1</f>
        <v>2</v>
      </c>
      <c r="E1610" s="10" t="n">
        <f aca="false">MONTH(B1610)</f>
        <v>5</v>
      </c>
      <c r="F1610" s="10" t="str">
        <f aca="false">CHOOSE(MOD(A1610-1,5)+1,"Центр","Юг","Север","Запад","Восток")</f>
        <v>Запад</v>
      </c>
      <c r="G1610" s="10" t="str">
        <f aca="false">"Округ_"&amp;(MOD(A1610-1,5)+1)&amp;"_"&amp;(MOD(INT((A1610-1)/5),5)+1)</f>
        <v>Округ_4_2</v>
      </c>
      <c r="H1610" s="10" t="str">
        <f aca="false">"Город_"&amp;(MOD(A1610-1,5)+1)&amp;"_"&amp;(MOD(INT((A1610-1)/5),5)+1)&amp;"_"&amp;(MOD(INT((A1610-1)/25),10)+1)</f>
        <v>Город_4_2_5</v>
      </c>
      <c r="I1610" s="10" t="str">
        <f aca="false">CHOOSE(MOD(A1610-1,4)+1,"Электроника","Одежда","Продукты","Мебель")</f>
        <v>Электроника</v>
      </c>
      <c r="J1610" s="10" t="str">
        <f aca="false">CHOOSE(MOD(INT((A1610-1)/4),4)+1,CHOOSE(MOD(A1610-1,4)+1,"Смартфоны","Ноутбуки","Аксессуары","Аудио"),CHOOSE(MOD(A1610-1,4)+1,"Верхняя одежда","Спортивная","Повседневная","Обувь"),CHOOSE(MOD(A1610-1,4)+1,"Молочные","Мясные","Бакалея","Напитки"),CHOOSE(MOD(A1610-1,4)+1,"Мягкая мебель","Корпусная","Офисная","Кухонная"))</f>
        <v>Молочные</v>
      </c>
      <c r="K1610" s="12" t="n">
        <f aca="false">1000+MOD(A1610*317+A1610*A1610*7,49001)</f>
        <v>12840</v>
      </c>
      <c r="L1610" s="12" t="n">
        <f aca="false">1+MOD(A1610*131,100)</f>
        <v>80</v>
      </c>
      <c r="M1610" s="12" t="n">
        <f aca="false">INT(K1610*(0.6+MOD(A1610*43,21)/100))</f>
        <v>9373</v>
      </c>
      <c r="N1610" s="12" t="n">
        <f aca="false">K1610-M1610</f>
        <v>3467</v>
      </c>
    </row>
    <row r="1611" customFormat="false" ht="12.8" hidden="false" customHeight="false" outlineLevel="0" collapsed="false">
      <c r="A1611" s="10" t="n">
        <f aca="false">A1610+1</f>
        <v>1610</v>
      </c>
      <c r="B1611" s="11" t="n">
        <f aca="false">B1610+1</f>
        <v>46536</v>
      </c>
      <c r="C1611" s="10" t="n">
        <f aca="false">YEAR(B1611)</f>
        <v>2027</v>
      </c>
      <c r="D1611" s="10" t="n">
        <f aca="false">INT((MONTH(B1611)-1)/3)+1</f>
        <v>2</v>
      </c>
      <c r="E1611" s="10" t="n">
        <f aca="false">MONTH(B1611)</f>
        <v>5</v>
      </c>
      <c r="F1611" s="10" t="str">
        <f aca="false">CHOOSE(MOD(A1611-1,5)+1,"Центр","Юг","Север","Запад","Восток")</f>
        <v>Восток</v>
      </c>
      <c r="G1611" s="10" t="str">
        <f aca="false">"Округ_"&amp;(MOD(A1611-1,5)+1)&amp;"_"&amp;(MOD(INT((A1611-1)/5),5)+1)</f>
        <v>Округ_5_2</v>
      </c>
      <c r="H1611" s="10" t="str">
        <f aca="false">"Город_"&amp;(MOD(A1611-1,5)+1)&amp;"_"&amp;(MOD(INT((A1611-1)/5),5)+1)&amp;"_"&amp;(MOD(INT((A1611-1)/25),10)+1)</f>
        <v>Город_5_2_5</v>
      </c>
      <c r="I1611" s="10" t="str">
        <f aca="false">CHOOSE(MOD(A1611-1,4)+1,"Электроника","Одежда","Продукты","Мебель")</f>
        <v>Одежда</v>
      </c>
      <c r="J1611" s="10" t="str">
        <f aca="false">CHOOSE(MOD(INT((A1611-1)/4),4)+1,CHOOSE(MOD(A1611-1,4)+1,"Смартфоны","Ноутбуки","Аксессуары","Аудио"),CHOOSE(MOD(A1611-1,4)+1,"Верхняя одежда","Спортивная","Повседневная","Обувь"),CHOOSE(MOD(A1611-1,4)+1,"Молочные","Мясные","Бакалея","Напитки"),CHOOSE(MOD(A1611-1,4)+1,"Мягкая мебель","Корпусная","Офисная","Кухонная"))</f>
        <v>Мясные</v>
      </c>
      <c r="K1611" s="12" t="n">
        <f aca="false">1000+MOD(A1611*317+A1611*A1611*7,49001)</f>
        <v>35690</v>
      </c>
      <c r="L1611" s="12" t="n">
        <f aca="false">1+MOD(A1611*131,100)</f>
        <v>11</v>
      </c>
      <c r="M1611" s="12" t="n">
        <f aca="false">INT(K1611*(0.6+MOD(A1611*43,21)/100))</f>
        <v>26410</v>
      </c>
      <c r="N1611" s="12" t="n">
        <f aca="false">K1611-M1611</f>
        <v>9280</v>
      </c>
    </row>
    <row r="1612" customFormat="false" ht="12.8" hidden="false" customHeight="false" outlineLevel="0" collapsed="false">
      <c r="A1612" s="10" t="n">
        <f aca="false">A1611+1</f>
        <v>1611</v>
      </c>
      <c r="B1612" s="11" t="n">
        <f aca="false">B1611+1</f>
        <v>46537</v>
      </c>
      <c r="C1612" s="10" t="n">
        <f aca="false">YEAR(B1612)</f>
        <v>2027</v>
      </c>
      <c r="D1612" s="10" t="n">
        <f aca="false">INT((MONTH(B1612)-1)/3)+1</f>
        <v>2</v>
      </c>
      <c r="E1612" s="10" t="n">
        <f aca="false">MONTH(B1612)</f>
        <v>5</v>
      </c>
      <c r="F1612" s="10" t="str">
        <f aca="false">CHOOSE(MOD(A1612-1,5)+1,"Центр","Юг","Север","Запад","Восток")</f>
        <v>Центр</v>
      </c>
      <c r="G1612" s="10" t="str">
        <f aca="false">"Округ_"&amp;(MOD(A1612-1,5)+1)&amp;"_"&amp;(MOD(INT((A1612-1)/5),5)+1)</f>
        <v>Округ_1_3</v>
      </c>
      <c r="H1612" s="10" t="str">
        <f aca="false">"Город_"&amp;(MOD(A1612-1,5)+1)&amp;"_"&amp;(MOD(INT((A1612-1)/5),5)+1)&amp;"_"&amp;(MOD(INT((A1612-1)/25),10)+1)</f>
        <v>Город_1_3_5</v>
      </c>
      <c r="I1612" s="10" t="str">
        <f aca="false">CHOOSE(MOD(A1612-1,4)+1,"Электроника","Одежда","Продукты","Мебель")</f>
        <v>Продукты</v>
      </c>
      <c r="J1612" s="10" t="str">
        <f aca="false">CHOOSE(MOD(INT((A1612-1)/4),4)+1,CHOOSE(MOD(A1612-1,4)+1,"Смартфоны","Ноутбуки","Аксессуары","Аудио"),CHOOSE(MOD(A1612-1,4)+1,"Верхняя одежда","Спортивная","Повседневная","Обувь"),CHOOSE(MOD(A1612-1,4)+1,"Молочные","Мясные","Бакалея","Напитки"),CHOOSE(MOD(A1612-1,4)+1,"Мягкая мебель","Корпусная","Офисная","Кухонная"))</f>
        <v>Бакалея</v>
      </c>
      <c r="K1612" s="12" t="n">
        <f aca="false">1000+MOD(A1612*317+A1612*A1612*7,49001)</f>
        <v>9553</v>
      </c>
      <c r="L1612" s="12" t="n">
        <f aca="false">1+MOD(A1612*131,100)</f>
        <v>42</v>
      </c>
      <c r="M1612" s="12" t="n">
        <f aca="false">INT(K1612*(0.6+MOD(A1612*43,21)/100))</f>
        <v>7164</v>
      </c>
      <c r="N1612" s="12" t="n">
        <f aca="false">K1612-M1612</f>
        <v>2389</v>
      </c>
    </row>
    <row r="1613" customFormat="false" ht="12.8" hidden="false" customHeight="false" outlineLevel="0" collapsed="false">
      <c r="A1613" s="10" t="n">
        <f aca="false">A1612+1</f>
        <v>1612</v>
      </c>
      <c r="B1613" s="11" t="n">
        <f aca="false">B1612+1</f>
        <v>46538</v>
      </c>
      <c r="C1613" s="10" t="n">
        <f aca="false">YEAR(B1613)</f>
        <v>2027</v>
      </c>
      <c r="D1613" s="10" t="n">
        <f aca="false">INT((MONTH(B1613)-1)/3)+1</f>
        <v>2</v>
      </c>
      <c r="E1613" s="10" t="n">
        <f aca="false">MONTH(B1613)</f>
        <v>5</v>
      </c>
      <c r="F1613" s="10" t="str">
        <f aca="false">CHOOSE(MOD(A1613-1,5)+1,"Центр","Юг","Север","Запад","Восток")</f>
        <v>Юг</v>
      </c>
      <c r="G1613" s="10" t="str">
        <f aca="false">"Округ_"&amp;(MOD(A1613-1,5)+1)&amp;"_"&amp;(MOD(INT((A1613-1)/5),5)+1)</f>
        <v>Округ_2_3</v>
      </c>
      <c r="H1613" s="10" t="str">
        <f aca="false">"Город_"&amp;(MOD(A1613-1,5)+1)&amp;"_"&amp;(MOD(INT((A1613-1)/5),5)+1)&amp;"_"&amp;(MOD(INT((A1613-1)/25),10)+1)</f>
        <v>Город_2_3_5</v>
      </c>
      <c r="I1613" s="10" t="str">
        <f aca="false">CHOOSE(MOD(A1613-1,4)+1,"Электроника","Одежда","Продукты","Мебель")</f>
        <v>Мебель</v>
      </c>
      <c r="J1613" s="10" t="str">
        <f aca="false">CHOOSE(MOD(INT((A1613-1)/4),4)+1,CHOOSE(MOD(A1613-1,4)+1,"Смартфоны","Ноутбуки","Аксессуары","Аудио"),CHOOSE(MOD(A1613-1,4)+1,"Верхняя одежда","Спортивная","Повседневная","Обувь"),CHOOSE(MOD(A1613-1,4)+1,"Молочные","Мясные","Бакалея","Напитки"),CHOOSE(MOD(A1613-1,4)+1,"Мягкая мебель","Корпусная","Офисная","Кухонная"))</f>
        <v>Напитки</v>
      </c>
      <c r="K1613" s="12" t="n">
        <f aca="false">1000+MOD(A1613*317+A1613*A1613*7,49001)</f>
        <v>32431</v>
      </c>
      <c r="L1613" s="12" t="n">
        <f aca="false">1+MOD(A1613*131,100)</f>
        <v>73</v>
      </c>
      <c r="M1613" s="12" t="n">
        <f aca="false">INT(K1613*(0.6+MOD(A1613*43,21)/100))</f>
        <v>24647</v>
      </c>
      <c r="N1613" s="12" t="n">
        <f aca="false">K1613-M1613</f>
        <v>7784</v>
      </c>
    </row>
    <row r="1614" customFormat="false" ht="12.8" hidden="false" customHeight="false" outlineLevel="0" collapsed="false">
      <c r="A1614" s="10" t="n">
        <f aca="false">A1613+1</f>
        <v>1613</v>
      </c>
      <c r="B1614" s="11" t="n">
        <f aca="false">B1613+1</f>
        <v>46539</v>
      </c>
      <c r="C1614" s="10" t="n">
        <f aca="false">YEAR(B1614)</f>
        <v>2027</v>
      </c>
      <c r="D1614" s="10" t="n">
        <f aca="false">INT((MONTH(B1614)-1)/3)+1</f>
        <v>2</v>
      </c>
      <c r="E1614" s="10" t="n">
        <f aca="false">MONTH(B1614)</f>
        <v>6</v>
      </c>
      <c r="F1614" s="10" t="str">
        <f aca="false">CHOOSE(MOD(A1614-1,5)+1,"Центр","Юг","Север","Запад","Восток")</f>
        <v>Север</v>
      </c>
      <c r="G1614" s="10" t="str">
        <f aca="false">"Округ_"&amp;(MOD(A1614-1,5)+1)&amp;"_"&amp;(MOD(INT((A1614-1)/5),5)+1)</f>
        <v>Округ_3_3</v>
      </c>
      <c r="H1614" s="10" t="str">
        <f aca="false">"Город_"&amp;(MOD(A1614-1,5)+1)&amp;"_"&amp;(MOD(INT((A1614-1)/5),5)+1)&amp;"_"&amp;(MOD(INT((A1614-1)/25),10)+1)</f>
        <v>Город_3_3_5</v>
      </c>
      <c r="I1614" s="10" t="str">
        <f aca="false">CHOOSE(MOD(A1614-1,4)+1,"Электроника","Одежда","Продукты","Мебель")</f>
        <v>Электроника</v>
      </c>
      <c r="J1614" s="10" t="str">
        <f aca="false">CHOOSE(MOD(INT((A1614-1)/4),4)+1,CHOOSE(MOD(A1614-1,4)+1,"Смартфоны","Ноутбуки","Аксессуары","Аудио"),CHOOSE(MOD(A1614-1,4)+1,"Верхняя одежда","Спортивная","Повседневная","Обувь"),CHOOSE(MOD(A1614-1,4)+1,"Молочные","Мясные","Бакалея","Напитки"),CHOOSE(MOD(A1614-1,4)+1,"Мягкая мебель","Корпусная","Офисная","Кухонная"))</f>
        <v>Мягкая мебель</v>
      </c>
      <c r="K1614" s="12" t="n">
        <f aca="false">1000+MOD(A1614*317+A1614*A1614*7,49001)</f>
        <v>6322</v>
      </c>
      <c r="L1614" s="12" t="n">
        <f aca="false">1+MOD(A1614*131,100)</f>
        <v>4</v>
      </c>
      <c r="M1614" s="12" t="n">
        <f aca="false">INT(K1614*(0.6+MOD(A1614*43,21)/100))</f>
        <v>4867</v>
      </c>
      <c r="N1614" s="12" t="n">
        <f aca="false">K1614-M1614</f>
        <v>1455</v>
      </c>
    </row>
    <row r="1615" customFormat="false" ht="12.8" hidden="false" customHeight="false" outlineLevel="0" collapsed="false">
      <c r="A1615" s="10" t="n">
        <f aca="false">A1614+1</f>
        <v>1614</v>
      </c>
      <c r="B1615" s="11" t="n">
        <f aca="false">B1614+1</f>
        <v>46540</v>
      </c>
      <c r="C1615" s="10" t="n">
        <f aca="false">YEAR(B1615)</f>
        <v>2027</v>
      </c>
      <c r="D1615" s="10" t="n">
        <f aca="false">INT((MONTH(B1615)-1)/3)+1</f>
        <v>2</v>
      </c>
      <c r="E1615" s="10" t="n">
        <f aca="false">MONTH(B1615)</f>
        <v>6</v>
      </c>
      <c r="F1615" s="10" t="str">
        <f aca="false">CHOOSE(MOD(A1615-1,5)+1,"Центр","Юг","Север","Запад","Восток")</f>
        <v>Запад</v>
      </c>
      <c r="G1615" s="10" t="str">
        <f aca="false">"Округ_"&amp;(MOD(A1615-1,5)+1)&amp;"_"&amp;(MOD(INT((A1615-1)/5),5)+1)</f>
        <v>Округ_4_3</v>
      </c>
      <c r="H1615" s="10" t="str">
        <f aca="false">"Город_"&amp;(MOD(A1615-1,5)+1)&amp;"_"&amp;(MOD(INT((A1615-1)/5),5)+1)&amp;"_"&amp;(MOD(INT((A1615-1)/25),10)+1)</f>
        <v>Город_4_3_5</v>
      </c>
      <c r="I1615" s="10" t="str">
        <f aca="false">CHOOSE(MOD(A1615-1,4)+1,"Электроника","Одежда","Продукты","Мебель")</f>
        <v>Одежда</v>
      </c>
      <c r="J1615" s="10" t="str">
        <f aca="false">CHOOSE(MOD(INT((A1615-1)/4),4)+1,CHOOSE(MOD(A1615-1,4)+1,"Смартфоны","Ноутбуки","Аксессуары","Аудио"),CHOOSE(MOD(A1615-1,4)+1,"Верхняя одежда","Спортивная","Повседневная","Обувь"),CHOOSE(MOD(A1615-1,4)+1,"Молочные","Мясные","Бакалея","Напитки"),CHOOSE(MOD(A1615-1,4)+1,"Мягкая мебель","Корпусная","Офисная","Кухонная"))</f>
        <v>Корпусная</v>
      </c>
      <c r="K1615" s="12" t="n">
        <f aca="false">1000+MOD(A1615*317+A1615*A1615*7,49001)</f>
        <v>29228</v>
      </c>
      <c r="L1615" s="12" t="n">
        <f aca="false">1+MOD(A1615*131,100)</f>
        <v>35</v>
      </c>
      <c r="M1615" s="12" t="n">
        <f aca="false">INT(K1615*(0.6+MOD(A1615*43,21)/100))</f>
        <v>22797</v>
      </c>
      <c r="N1615" s="12" t="n">
        <f aca="false">K1615-M1615</f>
        <v>6431</v>
      </c>
    </row>
    <row r="1616" customFormat="false" ht="12.8" hidden="false" customHeight="false" outlineLevel="0" collapsed="false">
      <c r="A1616" s="10" t="n">
        <f aca="false">A1615+1</f>
        <v>1615</v>
      </c>
      <c r="B1616" s="11" t="n">
        <f aca="false">B1615+1</f>
        <v>46541</v>
      </c>
      <c r="C1616" s="10" t="n">
        <f aca="false">YEAR(B1616)</f>
        <v>2027</v>
      </c>
      <c r="D1616" s="10" t="n">
        <f aca="false">INT((MONTH(B1616)-1)/3)+1</f>
        <v>2</v>
      </c>
      <c r="E1616" s="10" t="n">
        <f aca="false">MONTH(B1616)</f>
        <v>6</v>
      </c>
      <c r="F1616" s="10" t="str">
        <f aca="false">CHOOSE(MOD(A1616-1,5)+1,"Центр","Юг","Север","Запад","Восток")</f>
        <v>Восток</v>
      </c>
      <c r="G1616" s="10" t="str">
        <f aca="false">"Округ_"&amp;(MOD(A1616-1,5)+1)&amp;"_"&amp;(MOD(INT((A1616-1)/5),5)+1)</f>
        <v>Округ_5_3</v>
      </c>
      <c r="H1616" s="10" t="str">
        <f aca="false">"Город_"&amp;(MOD(A1616-1,5)+1)&amp;"_"&amp;(MOD(INT((A1616-1)/5),5)+1)&amp;"_"&amp;(MOD(INT((A1616-1)/25),10)+1)</f>
        <v>Город_5_3_5</v>
      </c>
      <c r="I1616" s="10" t="str">
        <f aca="false">CHOOSE(MOD(A1616-1,4)+1,"Электроника","Одежда","Продукты","Мебель")</f>
        <v>Продукты</v>
      </c>
      <c r="J1616" s="10" t="str">
        <f aca="false">CHOOSE(MOD(INT((A1616-1)/4),4)+1,CHOOSE(MOD(A1616-1,4)+1,"Смартфоны","Ноутбуки","Аксессуары","Аудио"),CHOOSE(MOD(A1616-1,4)+1,"Верхняя одежда","Спортивная","Повседневная","Обувь"),CHOOSE(MOD(A1616-1,4)+1,"Молочные","Мясные","Бакалея","Напитки"),CHOOSE(MOD(A1616-1,4)+1,"Мягкая мебель","Корпусная","Офисная","Кухонная"))</f>
        <v>Офисная</v>
      </c>
      <c r="K1616" s="12" t="n">
        <f aca="false">1000+MOD(A1616*317+A1616*A1616*7,49001)</f>
        <v>3147</v>
      </c>
      <c r="L1616" s="12" t="n">
        <f aca="false">1+MOD(A1616*131,100)</f>
        <v>66</v>
      </c>
      <c r="M1616" s="12" t="n">
        <f aca="false">INT(K1616*(0.6+MOD(A1616*43,21)/100))</f>
        <v>2486</v>
      </c>
      <c r="N1616" s="12" t="n">
        <f aca="false">K1616-M1616</f>
        <v>661</v>
      </c>
    </row>
    <row r="1617" customFormat="false" ht="12.8" hidden="false" customHeight="false" outlineLevel="0" collapsed="false">
      <c r="A1617" s="10" t="n">
        <f aca="false">A1616+1</f>
        <v>1616</v>
      </c>
      <c r="B1617" s="11" t="n">
        <f aca="false">B1616+1</f>
        <v>46542</v>
      </c>
      <c r="C1617" s="10" t="n">
        <f aca="false">YEAR(B1617)</f>
        <v>2027</v>
      </c>
      <c r="D1617" s="10" t="n">
        <f aca="false">INT((MONTH(B1617)-1)/3)+1</f>
        <v>2</v>
      </c>
      <c r="E1617" s="10" t="n">
        <f aca="false">MONTH(B1617)</f>
        <v>6</v>
      </c>
      <c r="F1617" s="10" t="str">
        <f aca="false">CHOOSE(MOD(A1617-1,5)+1,"Центр","Юг","Север","Запад","Восток")</f>
        <v>Центр</v>
      </c>
      <c r="G1617" s="10" t="str">
        <f aca="false">"Округ_"&amp;(MOD(A1617-1,5)+1)&amp;"_"&amp;(MOD(INT((A1617-1)/5),5)+1)</f>
        <v>Округ_1_4</v>
      </c>
      <c r="H1617" s="10" t="str">
        <f aca="false">"Город_"&amp;(MOD(A1617-1,5)+1)&amp;"_"&amp;(MOD(INT((A1617-1)/5),5)+1)&amp;"_"&amp;(MOD(INT((A1617-1)/25),10)+1)</f>
        <v>Город_1_4_5</v>
      </c>
      <c r="I1617" s="10" t="str">
        <f aca="false">CHOOSE(MOD(A1617-1,4)+1,"Электроника","Одежда","Продукты","Мебель")</f>
        <v>Мебель</v>
      </c>
      <c r="J1617" s="10" t="str">
        <f aca="false">CHOOSE(MOD(INT((A1617-1)/4),4)+1,CHOOSE(MOD(A1617-1,4)+1,"Смартфоны","Ноутбуки","Аксессуары","Аудио"),CHOOSE(MOD(A1617-1,4)+1,"Верхняя одежда","Спортивная","Повседневная","Обувь"),CHOOSE(MOD(A1617-1,4)+1,"Молочные","Мясные","Бакалея","Напитки"),CHOOSE(MOD(A1617-1,4)+1,"Мягкая мебель","Корпусная","Офисная","Кухонная"))</f>
        <v>Кухонная</v>
      </c>
      <c r="K1617" s="12" t="n">
        <f aca="false">1000+MOD(A1617*317+A1617*A1617*7,49001)</f>
        <v>26081</v>
      </c>
      <c r="L1617" s="12" t="n">
        <f aca="false">1+MOD(A1617*131,100)</f>
        <v>97</v>
      </c>
      <c r="M1617" s="12" t="n">
        <f aca="false">INT(K1617*(0.6+MOD(A1617*43,21)/100))</f>
        <v>20864</v>
      </c>
      <c r="N1617" s="12" t="n">
        <f aca="false">K1617-M1617</f>
        <v>5217</v>
      </c>
    </row>
    <row r="1618" customFormat="false" ht="12.8" hidden="false" customHeight="false" outlineLevel="0" collapsed="false">
      <c r="A1618" s="10" t="n">
        <f aca="false">A1617+1</f>
        <v>1617</v>
      </c>
      <c r="B1618" s="11" t="n">
        <f aca="false">B1617+1</f>
        <v>46543</v>
      </c>
      <c r="C1618" s="10" t="n">
        <f aca="false">YEAR(B1618)</f>
        <v>2027</v>
      </c>
      <c r="D1618" s="10" t="n">
        <f aca="false">INT((MONTH(B1618)-1)/3)+1</f>
        <v>2</v>
      </c>
      <c r="E1618" s="10" t="n">
        <f aca="false">MONTH(B1618)</f>
        <v>6</v>
      </c>
      <c r="F1618" s="10" t="str">
        <f aca="false">CHOOSE(MOD(A1618-1,5)+1,"Центр","Юг","Север","Запад","Восток")</f>
        <v>Юг</v>
      </c>
      <c r="G1618" s="10" t="str">
        <f aca="false">"Округ_"&amp;(MOD(A1618-1,5)+1)&amp;"_"&amp;(MOD(INT((A1618-1)/5),5)+1)</f>
        <v>Округ_2_4</v>
      </c>
      <c r="H1618" s="10" t="str">
        <f aca="false">"Город_"&amp;(MOD(A1618-1,5)+1)&amp;"_"&amp;(MOD(INT((A1618-1)/5),5)+1)&amp;"_"&amp;(MOD(INT((A1618-1)/25),10)+1)</f>
        <v>Город_2_4_5</v>
      </c>
      <c r="I1618" s="10" t="str">
        <f aca="false">CHOOSE(MOD(A1618-1,4)+1,"Электроника","Одежда","Продукты","Мебель")</f>
        <v>Электроника</v>
      </c>
      <c r="J1618" s="10" t="str">
        <f aca="false">CHOOSE(MOD(INT((A1618-1)/4),4)+1,CHOOSE(MOD(A1618-1,4)+1,"Смартфоны","Ноутбуки","Аксессуары","Аудио"),CHOOSE(MOD(A1618-1,4)+1,"Верхняя одежда","Спортивная","Повседневная","Обувь"),CHOOSE(MOD(A1618-1,4)+1,"Молочные","Мясные","Бакалея","Напитки"),CHOOSE(MOD(A1618-1,4)+1,"Мягкая мебель","Корпусная","Офисная","Кухонная"))</f>
        <v>Смартфоны</v>
      </c>
      <c r="K1618" s="12" t="n">
        <f aca="false">1000+MOD(A1618*317+A1618*A1618*7,49001)</f>
        <v>49029</v>
      </c>
      <c r="L1618" s="12" t="n">
        <f aca="false">1+MOD(A1618*131,100)</f>
        <v>28</v>
      </c>
      <c r="M1618" s="12" t="n">
        <f aca="false">INT(K1618*(0.6+MOD(A1618*43,21)/100))</f>
        <v>29417</v>
      </c>
      <c r="N1618" s="12" t="n">
        <f aca="false">K1618-M1618</f>
        <v>19612</v>
      </c>
    </row>
    <row r="1619" customFormat="false" ht="12.8" hidden="false" customHeight="false" outlineLevel="0" collapsed="false">
      <c r="A1619" s="10" t="n">
        <f aca="false">A1618+1</f>
        <v>1618</v>
      </c>
      <c r="B1619" s="11" t="n">
        <f aca="false">B1618+1</f>
        <v>46544</v>
      </c>
      <c r="C1619" s="10" t="n">
        <f aca="false">YEAR(B1619)</f>
        <v>2027</v>
      </c>
      <c r="D1619" s="10" t="n">
        <f aca="false">INT((MONTH(B1619)-1)/3)+1</f>
        <v>2</v>
      </c>
      <c r="E1619" s="10" t="n">
        <f aca="false">MONTH(B1619)</f>
        <v>6</v>
      </c>
      <c r="F1619" s="10" t="str">
        <f aca="false">CHOOSE(MOD(A1619-1,5)+1,"Центр","Юг","Север","Запад","Восток")</f>
        <v>Север</v>
      </c>
      <c r="G1619" s="10" t="str">
        <f aca="false">"Округ_"&amp;(MOD(A1619-1,5)+1)&amp;"_"&amp;(MOD(INT((A1619-1)/5),5)+1)</f>
        <v>Округ_3_4</v>
      </c>
      <c r="H1619" s="10" t="str">
        <f aca="false">"Город_"&amp;(MOD(A1619-1,5)+1)&amp;"_"&amp;(MOD(INT((A1619-1)/5),5)+1)&amp;"_"&amp;(MOD(INT((A1619-1)/25),10)+1)</f>
        <v>Город_3_4_5</v>
      </c>
      <c r="I1619" s="10" t="str">
        <f aca="false">CHOOSE(MOD(A1619-1,4)+1,"Электроника","Одежда","Продукты","Мебель")</f>
        <v>Одежда</v>
      </c>
      <c r="J1619" s="10" t="str">
        <f aca="false">CHOOSE(MOD(INT((A1619-1)/4),4)+1,CHOOSE(MOD(A1619-1,4)+1,"Смартфоны","Ноутбуки","Аксессуары","Аудио"),CHOOSE(MOD(A1619-1,4)+1,"Верхняя одежда","Спортивная","Повседневная","Обувь"),CHOOSE(MOD(A1619-1,4)+1,"Молочные","Мясные","Бакалея","Напитки"),CHOOSE(MOD(A1619-1,4)+1,"Мягкая мебель","Корпусная","Офисная","Кухонная"))</f>
        <v>Ноутбуки</v>
      </c>
      <c r="K1619" s="12" t="n">
        <f aca="false">1000+MOD(A1619*317+A1619*A1619*7,49001)</f>
        <v>22990</v>
      </c>
      <c r="L1619" s="12" t="n">
        <f aca="false">1+MOD(A1619*131,100)</f>
        <v>59</v>
      </c>
      <c r="M1619" s="12" t="n">
        <f aca="false">INT(K1619*(0.6+MOD(A1619*43,21)/100))</f>
        <v>14023</v>
      </c>
      <c r="N1619" s="12" t="n">
        <f aca="false">K1619-M1619</f>
        <v>8967</v>
      </c>
    </row>
    <row r="1620" customFormat="false" ht="12.8" hidden="false" customHeight="false" outlineLevel="0" collapsed="false">
      <c r="A1620" s="10" t="n">
        <f aca="false">A1619+1</f>
        <v>1619</v>
      </c>
      <c r="B1620" s="11" t="n">
        <f aca="false">B1619+1</f>
        <v>46545</v>
      </c>
      <c r="C1620" s="10" t="n">
        <f aca="false">YEAR(B1620)</f>
        <v>2027</v>
      </c>
      <c r="D1620" s="10" t="n">
        <f aca="false">INT((MONTH(B1620)-1)/3)+1</f>
        <v>2</v>
      </c>
      <c r="E1620" s="10" t="n">
        <f aca="false">MONTH(B1620)</f>
        <v>6</v>
      </c>
      <c r="F1620" s="10" t="str">
        <f aca="false">CHOOSE(MOD(A1620-1,5)+1,"Центр","Юг","Север","Запад","Восток")</f>
        <v>Запад</v>
      </c>
      <c r="G1620" s="10" t="str">
        <f aca="false">"Округ_"&amp;(MOD(A1620-1,5)+1)&amp;"_"&amp;(MOD(INT((A1620-1)/5),5)+1)</f>
        <v>Округ_4_4</v>
      </c>
      <c r="H1620" s="10" t="str">
        <f aca="false">"Город_"&amp;(MOD(A1620-1,5)+1)&amp;"_"&amp;(MOD(INT((A1620-1)/5),5)+1)&amp;"_"&amp;(MOD(INT((A1620-1)/25),10)+1)</f>
        <v>Город_4_4_5</v>
      </c>
      <c r="I1620" s="10" t="str">
        <f aca="false">CHOOSE(MOD(A1620-1,4)+1,"Электроника","Одежда","Продукты","Мебель")</f>
        <v>Продукты</v>
      </c>
      <c r="J1620" s="10" t="str">
        <f aca="false">CHOOSE(MOD(INT((A1620-1)/4),4)+1,CHOOSE(MOD(A1620-1,4)+1,"Смартфоны","Ноутбуки","Аксессуары","Аудио"),CHOOSE(MOD(A1620-1,4)+1,"Верхняя одежда","Спортивная","Повседневная","Обувь"),CHOOSE(MOD(A1620-1,4)+1,"Молочные","Мясные","Бакалея","Напитки"),CHOOSE(MOD(A1620-1,4)+1,"Мягкая мебель","Корпусная","Офисная","Кухонная"))</f>
        <v>Аксессуары</v>
      </c>
      <c r="K1620" s="12" t="n">
        <f aca="false">1000+MOD(A1620*317+A1620*A1620*7,49001)</f>
        <v>45966</v>
      </c>
      <c r="L1620" s="12" t="n">
        <f aca="false">1+MOD(A1620*131,100)</f>
        <v>90</v>
      </c>
      <c r="M1620" s="12" t="n">
        <f aca="false">INT(K1620*(0.6+MOD(A1620*43,21)/100))</f>
        <v>28498</v>
      </c>
      <c r="N1620" s="12" t="n">
        <f aca="false">K1620-M1620</f>
        <v>17468</v>
      </c>
    </row>
    <row r="1621" customFormat="false" ht="12.8" hidden="false" customHeight="false" outlineLevel="0" collapsed="false">
      <c r="A1621" s="10" t="n">
        <f aca="false">A1620+1</f>
        <v>1620</v>
      </c>
      <c r="B1621" s="11" t="n">
        <f aca="false">B1620+1</f>
        <v>46546</v>
      </c>
      <c r="C1621" s="10" t="n">
        <f aca="false">YEAR(B1621)</f>
        <v>2027</v>
      </c>
      <c r="D1621" s="10" t="n">
        <f aca="false">INT((MONTH(B1621)-1)/3)+1</f>
        <v>2</v>
      </c>
      <c r="E1621" s="10" t="n">
        <f aca="false">MONTH(B1621)</f>
        <v>6</v>
      </c>
      <c r="F1621" s="10" t="str">
        <f aca="false">CHOOSE(MOD(A1621-1,5)+1,"Центр","Юг","Север","Запад","Восток")</f>
        <v>Восток</v>
      </c>
      <c r="G1621" s="10" t="str">
        <f aca="false">"Округ_"&amp;(MOD(A1621-1,5)+1)&amp;"_"&amp;(MOD(INT((A1621-1)/5),5)+1)</f>
        <v>Округ_5_4</v>
      </c>
      <c r="H1621" s="10" t="str">
        <f aca="false">"Город_"&amp;(MOD(A1621-1,5)+1)&amp;"_"&amp;(MOD(INT((A1621-1)/5),5)+1)&amp;"_"&amp;(MOD(INT((A1621-1)/25),10)+1)</f>
        <v>Город_5_4_5</v>
      </c>
      <c r="I1621" s="10" t="str">
        <f aca="false">CHOOSE(MOD(A1621-1,4)+1,"Электроника","Одежда","Продукты","Мебель")</f>
        <v>Мебель</v>
      </c>
      <c r="J1621" s="10" t="str">
        <f aca="false">CHOOSE(MOD(INT((A1621-1)/4),4)+1,CHOOSE(MOD(A1621-1,4)+1,"Смартфоны","Ноутбуки","Аксессуары","Аудио"),CHOOSE(MOD(A1621-1,4)+1,"Верхняя одежда","Спортивная","Повседневная","Обувь"),CHOOSE(MOD(A1621-1,4)+1,"Молочные","Мясные","Бакалея","Напитки"),CHOOSE(MOD(A1621-1,4)+1,"Мягкая мебель","Корпусная","Офисная","Кухонная"))</f>
        <v>Аудио</v>
      </c>
      <c r="K1621" s="12" t="n">
        <f aca="false">1000+MOD(A1621*317+A1621*A1621*7,49001)</f>
        <v>19955</v>
      </c>
      <c r="L1621" s="12" t="n">
        <f aca="false">1+MOD(A1621*131,100)</f>
        <v>21</v>
      </c>
      <c r="M1621" s="12" t="n">
        <f aca="false">INT(K1621*(0.6+MOD(A1621*43,21)/100))</f>
        <v>12571</v>
      </c>
      <c r="N1621" s="12" t="n">
        <f aca="false">K1621-M1621</f>
        <v>7384</v>
      </c>
    </row>
    <row r="1622" customFormat="false" ht="12.8" hidden="false" customHeight="false" outlineLevel="0" collapsed="false">
      <c r="A1622" s="10" t="n">
        <f aca="false">A1621+1</f>
        <v>1621</v>
      </c>
      <c r="B1622" s="11" t="n">
        <f aca="false">B1621+1</f>
        <v>46547</v>
      </c>
      <c r="C1622" s="10" t="n">
        <f aca="false">YEAR(B1622)</f>
        <v>2027</v>
      </c>
      <c r="D1622" s="10" t="n">
        <f aca="false">INT((MONTH(B1622)-1)/3)+1</f>
        <v>2</v>
      </c>
      <c r="E1622" s="10" t="n">
        <f aca="false">MONTH(B1622)</f>
        <v>6</v>
      </c>
      <c r="F1622" s="10" t="str">
        <f aca="false">CHOOSE(MOD(A1622-1,5)+1,"Центр","Юг","Север","Запад","Восток")</f>
        <v>Центр</v>
      </c>
      <c r="G1622" s="10" t="str">
        <f aca="false">"Округ_"&amp;(MOD(A1622-1,5)+1)&amp;"_"&amp;(MOD(INT((A1622-1)/5),5)+1)</f>
        <v>Округ_1_5</v>
      </c>
      <c r="H1622" s="10" t="str">
        <f aca="false">"Город_"&amp;(MOD(A1622-1,5)+1)&amp;"_"&amp;(MOD(INT((A1622-1)/5),5)+1)&amp;"_"&amp;(MOD(INT((A1622-1)/25),10)+1)</f>
        <v>Город_1_5_5</v>
      </c>
      <c r="I1622" s="10" t="str">
        <f aca="false">CHOOSE(MOD(A1622-1,4)+1,"Электроника","Одежда","Продукты","Мебель")</f>
        <v>Электроника</v>
      </c>
      <c r="J1622" s="10" t="str">
        <f aca="false">CHOOSE(MOD(INT((A1622-1)/4),4)+1,CHOOSE(MOD(A1622-1,4)+1,"Смартфоны","Ноутбуки","Аксессуары","Аудио"),CHOOSE(MOD(A1622-1,4)+1,"Верхняя одежда","Спортивная","Повседневная","Обувь"),CHOOSE(MOD(A1622-1,4)+1,"Молочные","Мясные","Бакалея","Напитки"),CHOOSE(MOD(A1622-1,4)+1,"Мягкая мебель","Корпусная","Офисная","Кухонная"))</f>
        <v>Верхняя одежда</v>
      </c>
      <c r="K1622" s="12" t="n">
        <f aca="false">1000+MOD(A1622*317+A1622*A1622*7,49001)</f>
        <v>42959</v>
      </c>
      <c r="L1622" s="12" t="n">
        <f aca="false">1+MOD(A1622*131,100)</f>
        <v>52</v>
      </c>
      <c r="M1622" s="12" t="n">
        <f aca="false">INT(K1622*(0.6+MOD(A1622*43,21)/100))</f>
        <v>27493</v>
      </c>
      <c r="N1622" s="12" t="n">
        <f aca="false">K1622-M1622</f>
        <v>15466</v>
      </c>
    </row>
    <row r="1623" customFormat="false" ht="12.8" hidden="false" customHeight="false" outlineLevel="0" collapsed="false">
      <c r="A1623" s="10" t="n">
        <f aca="false">A1622+1</f>
        <v>1622</v>
      </c>
      <c r="B1623" s="11" t="n">
        <f aca="false">B1622+1</f>
        <v>46548</v>
      </c>
      <c r="C1623" s="10" t="n">
        <f aca="false">YEAR(B1623)</f>
        <v>2027</v>
      </c>
      <c r="D1623" s="10" t="n">
        <f aca="false">INT((MONTH(B1623)-1)/3)+1</f>
        <v>2</v>
      </c>
      <c r="E1623" s="10" t="n">
        <f aca="false">MONTH(B1623)</f>
        <v>6</v>
      </c>
      <c r="F1623" s="10" t="str">
        <f aca="false">CHOOSE(MOD(A1623-1,5)+1,"Центр","Юг","Север","Запад","Восток")</f>
        <v>Юг</v>
      </c>
      <c r="G1623" s="10" t="str">
        <f aca="false">"Округ_"&amp;(MOD(A1623-1,5)+1)&amp;"_"&amp;(MOD(INT((A1623-1)/5),5)+1)</f>
        <v>Округ_2_5</v>
      </c>
      <c r="H1623" s="10" t="str">
        <f aca="false">"Город_"&amp;(MOD(A1623-1,5)+1)&amp;"_"&amp;(MOD(INT((A1623-1)/5),5)+1)&amp;"_"&amp;(MOD(INT((A1623-1)/25),10)+1)</f>
        <v>Город_2_5_5</v>
      </c>
      <c r="I1623" s="10" t="str">
        <f aca="false">CHOOSE(MOD(A1623-1,4)+1,"Электроника","Одежда","Продукты","Мебель")</f>
        <v>Одежда</v>
      </c>
      <c r="J1623" s="10" t="str">
        <f aca="false">CHOOSE(MOD(INT((A1623-1)/4),4)+1,CHOOSE(MOD(A1623-1,4)+1,"Смартфоны","Ноутбуки","Аксессуары","Аудио"),CHOOSE(MOD(A1623-1,4)+1,"Верхняя одежда","Спортивная","Повседневная","Обувь"),CHOOSE(MOD(A1623-1,4)+1,"Молочные","Мясные","Бакалея","Напитки"),CHOOSE(MOD(A1623-1,4)+1,"Мягкая мебель","Корпусная","Офисная","Кухонная"))</f>
        <v>Спортивная</v>
      </c>
      <c r="K1623" s="12" t="n">
        <f aca="false">1000+MOD(A1623*317+A1623*A1623*7,49001)</f>
        <v>16976</v>
      </c>
      <c r="L1623" s="12" t="n">
        <f aca="false">1+MOD(A1623*131,100)</f>
        <v>83</v>
      </c>
      <c r="M1623" s="12" t="n">
        <f aca="false">INT(K1623*(0.6+MOD(A1623*43,21)/100))</f>
        <v>11034</v>
      </c>
      <c r="N1623" s="12" t="n">
        <f aca="false">K1623-M1623</f>
        <v>5942</v>
      </c>
    </row>
    <row r="1624" customFormat="false" ht="12.8" hidden="false" customHeight="false" outlineLevel="0" collapsed="false">
      <c r="A1624" s="10" t="n">
        <f aca="false">A1623+1</f>
        <v>1623</v>
      </c>
      <c r="B1624" s="11" t="n">
        <f aca="false">B1623+1</f>
        <v>46549</v>
      </c>
      <c r="C1624" s="10" t="n">
        <f aca="false">YEAR(B1624)</f>
        <v>2027</v>
      </c>
      <c r="D1624" s="10" t="n">
        <f aca="false">INT((MONTH(B1624)-1)/3)+1</f>
        <v>2</v>
      </c>
      <c r="E1624" s="10" t="n">
        <f aca="false">MONTH(B1624)</f>
        <v>6</v>
      </c>
      <c r="F1624" s="10" t="str">
        <f aca="false">CHOOSE(MOD(A1624-1,5)+1,"Центр","Юг","Север","Запад","Восток")</f>
        <v>Север</v>
      </c>
      <c r="G1624" s="10" t="str">
        <f aca="false">"Округ_"&amp;(MOD(A1624-1,5)+1)&amp;"_"&amp;(MOD(INT((A1624-1)/5),5)+1)</f>
        <v>Округ_3_5</v>
      </c>
      <c r="H1624" s="10" t="str">
        <f aca="false">"Город_"&amp;(MOD(A1624-1,5)+1)&amp;"_"&amp;(MOD(INT((A1624-1)/5),5)+1)&amp;"_"&amp;(MOD(INT((A1624-1)/25),10)+1)</f>
        <v>Город_3_5_5</v>
      </c>
      <c r="I1624" s="10" t="str">
        <f aca="false">CHOOSE(MOD(A1624-1,4)+1,"Электроника","Одежда","Продукты","Мебель")</f>
        <v>Продукты</v>
      </c>
      <c r="J1624" s="10" t="str">
        <f aca="false">CHOOSE(MOD(INT((A1624-1)/4),4)+1,CHOOSE(MOD(A1624-1,4)+1,"Смартфоны","Ноутбуки","Аксессуары","Аудио"),CHOOSE(MOD(A1624-1,4)+1,"Верхняя одежда","Спортивная","Повседневная","Обувь"),CHOOSE(MOD(A1624-1,4)+1,"Молочные","Мясные","Бакалея","Напитки"),CHOOSE(MOD(A1624-1,4)+1,"Мягкая мебель","Корпусная","Офисная","Кухонная"))</f>
        <v>Повседневная</v>
      </c>
      <c r="K1624" s="12" t="n">
        <f aca="false">1000+MOD(A1624*317+A1624*A1624*7,49001)</f>
        <v>40008</v>
      </c>
      <c r="L1624" s="12" t="n">
        <f aca="false">1+MOD(A1624*131,100)</f>
        <v>14</v>
      </c>
      <c r="M1624" s="12" t="n">
        <f aca="false">INT(K1624*(0.6+MOD(A1624*43,21)/100))</f>
        <v>26405</v>
      </c>
      <c r="N1624" s="12" t="n">
        <f aca="false">K1624-M1624</f>
        <v>13603</v>
      </c>
    </row>
    <row r="1625" customFormat="false" ht="12.8" hidden="false" customHeight="false" outlineLevel="0" collapsed="false">
      <c r="A1625" s="10" t="n">
        <f aca="false">A1624+1</f>
        <v>1624</v>
      </c>
      <c r="B1625" s="11" t="n">
        <f aca="false">B1624+1</f>
        <v>46550</v>
      </c>
      <c r="C1625" s="10" t="n">
        <f aca="false">YEAR(B1625)</f>
        <v>2027</v>
      </c>
      <c r="D1625" s="10" t="n">
        <f aca="false">INT((MONTH(B1625)-1)/3)+1</f>
        <v>2</v>
      </c>
      <c r="E1625" s="10" t="n">
        <f aca="false">MONTH(B1625)</f>
        <v>6</v>
      </c>
      <c r="F1625" s="10" t="str">
        <f aca="false">CHOOSE(MOD(A1625-1,5)+1,"Центр","Юг","Север","Запад","Восток")</f>
        <v>Запад</v>
      </c>
      <c r="G1625" s="10" t="str">
        <f aca="false">"Округ_"&amp;(MOD(A1625-1,5)+1)&amp;"_"&amp;(MOD(INT((A1625-1)/5),5)+1)</f>
        <v>Округ_4_5</v>
      </c>
      <c r="H1625" s="10" t="str">
        <f aca="false">"Город_"&amp;(MOD(A1625-1,5)+1)&amp;"_"&amp;(MOD(INT((A1625-1)/5),5)+1)&amp;"_"&amp;(MOD(INT((A1625-1)/25),10)+1)</f>
        <v>Город_4_5_5</v>
      </c>
      <c r="I1625" s="10" t="str">
        <f aca="false">CHOOSE(MOD(A1625-1,4)+1,"Электроника","Одежда","Продукты","Мебель")</f>
        <v>Мебель</v>
      </c>
      <c r="J1625" s="10" t="str">
        <f aca="false">CHOOSE(MOD(INT((A1625-1)/4),4)+1,CHOOSE(MOD(A1625-1,4)+1,"Смартфоны","Ноутбуки","Аксессуары","Аудио"),CHOOSE(MOD(A1625-1,4)+1,"Верхняя одежда","Спортивная","Повседневная","Обувь"),CHOOSE(MOD(A1625-1,4)+1,"Молочные","Мясные","Бакалея","Напитки"),CHOOSE(MOD(A1625-1,4)+1,"Мягкая мебель","Корпусная","Офисная","Кухонная"))</f>
        <v>Обувь</v>
      </c>
      <c r="K1625" s="12" t="n">
        <f aca="false">1000+MOD(A1625*317+A1625*A1625*7,49001)</f>
        <v>14053</v>
      </c>
      <c r="L1625" s="12" t="n">
        <f aca="false">1+MOD(A1625*131,100)</f>
        <v>45</v>
      </c>
      <c r="M1625" s="12" t="n">
        <f aca="false">INT(K1625*(0.6+MOD(A1625*43,21)/100))</f>
        <v>9415</v>
      </c>
      <c r="N1625" s="12" t="n">
        <f aca="false">K1625-M1625</f>
        <v>4638</v>
      </c>
    </row>
    <row r="1626" customFormat="false" ht="12.8" hidden="false" customHeight="false" outlineLevel="0" collapsed="false">
      <c r="A1626" s="10" t="n">
        <f aca="false">A1625+1</f>
        <v>1625</v>
      </c>
      <c r="B1626" s="11" t="n">
        <f aca="false">B1625+1</f>
        <v>46551</v>
      </c>
      <c r="C1626" s="10" t="n">
        <f aca="false">YEAR(B1626)</f>
        <v>2027</v>
      </c>
      <c r="D1626" s="10" t="n">
        <f aca="false">INT((MONTH(B1626)-1)/3)+1</f>
        <v>2</v>
      </c>
      <c r="E1626" s="10" t="n">
        <f aca="false">MONTH(B1626)</f>
        <v>6</v>
      </c>
      <c r="F1626" s="10" t="str">
        <f aca="false">CHOOSE(MOD(A1626-1,5)+1,"Центр","Юг","Север","Запад","Восток")</f>
        <v>Восток</v>
      </c>
      <c r="G1626" s="10" t="str">
        <f aca="false">"Округ_"&amp;(MOD(A1626-1,5)+1)&amp;"_"&amp;(MOD(INT((A1626-1)/5),5)+1)</f>
        <v>Округ_5_5</v>
      </c>
      <c r="H1626" s="10" t="str">
        <f aca="false">"Город_"&amp;(MOD(A1626-1,5)+1)&amp;"_"&amp;(MOD(INT((A1626-1)/5),5)+1)&amp;"_"&amp;(MOD(INT((A1626-1)/25),10)+1)</f>
        <v>Город_5_5_5</v>
      </c>
      <c r="I1626" s="10" t="str">
        <f aca="false">CHOOSE(MOD(A1626-1,4)+1,"Электроника","Одежда","Продукты","Мебель")</f>
        <v>Электроника</v>
      </c>
      <c r="J1626" s="10" t="str">
        <f aca="false">CHOOSE(MOD(INT((A1626-1)/4),4)+1,CHOOSE(MOD(A1626-1,4)+1,"Смартфоны","Ноутбуки","Аксессуары","Аудио"),CHOOSE(MOD(A1626-1,4)+1,"Верхняя одежда","Спортивная","Повседневная","Обувь"),CHOOSE(MOD(A1626-1,4)+1,"Молочные","Мясные","Бакалея","Напитки"),CHOOSE(MOD(A1626-1,4)+1,"Мягкая мебель","Корпусная","Офисная","Кухонная"))</f>
        <v>Молочные</v>
      </c>
      <c r="K1626" s="12" t="n">
        <f aca="false">1000+MOD(A1626*317+A1626*A1626*7,49001)</f>
        <v>37113</v>
      </c>
      <c r="L1626" s="12" t="n">
        <f aca="false">1+MOD(A1626*131,100)</f>
        <v>76</v>
      </c>
      <c r="M1626" s="12" t="n">
        <f aca="false">INT(K1626*(0.6+MOD(A1626*43,21)/100))</f>
        <v>25236</v>
      </c>
      <c r="N1626" s="12" t="n">
        <f aca="false">K1626-M1626</f>
        <v>11877</v>
      </c>
    </row>
    <row r="1627" customFormat="false" ht="12.8" hidden="false" customHeight="false" outlineLevel="0" collapsed="false">
      <c r="A1627" s="10" t="n">
        <f aca="false">A1626+1</f>
        <v>1626</v>
      </c>
      <c r="B1627" s="11" t="n">
        <f aca="false">B1626+1</f>
        <v>46552</v>
      </c>
      <c r="C1627" s="10" t="n">
        <f aca="false">YEAR(B1627)</f>
        <v>2027</v>
      </c>
      <c r="D1627" s="10" t="n">
        <f aca="false">INT((MONTH(B1627)-1)/3)+1</f>
        <v>2</v>
      </c>
      <c r="E1627" s="10" t="n">
        <f aca="false">MONTH(B1627)</f>
        <v>6</v>
      </c>
      <c r="F1627" s="10" t="str">
        <f aca="false">CHOOSE(MOD(A1627-1,5)+1,"Центр","Юг","Север","Запад","Восток")</f>
        <v>Центр</v>
      </c>
      <c r="G1627" s="10" t="str">
        <f aca="false">"Округ_"&amp;(MOD(A1627-1,5)+1)&amp;"_"&amp;(MOD(INT((A1627-1)/5),5)+1)</f>
        <v>Округ_1_1</v>
      </c>
      <c r="H1627" s="10" t="str">
        <f aca="false">"Город_"&amp;(MOD(A1627-1,5)+1)&amp;"_"&amp;(MOD(INT((A1627-1)/5),5)+1)&amp;"_"&amp;(MOD(INT((A1627-1)/25),10)+1)</f>
        <v>Город_1_1_6</v>
      </c>
      <c r="I1627" s="10" t="str">
        <f aca="false">CHOOSE(MOD(A1627-1,4)+1,"Электроника","Одежда","Продукты","Мебель")</f>
        <v>Одежда</v>
      </c>
      <c r="J1627" s="10" t="str">
        <f aca="false">CHOOSE(MOD(INT((A1627-1)/4),4)+1,CHOOSE(MOD(A1627-1,4)+1,"Смартфоны","Ноутбуки","Аксессуары","Аудио"),CHOOSE(MOD(A1627-1,4)+1,"Верхняя одежда","Спортивная","Повседневная","Обувь"),CHOOSE(MOD(A1627-1,4)+1,"Молочные","Мясные","Бакалея","Напитки"),CHOOSE(MOD(A1627-1,4)+1,"Мягкая мебель","Корпусная","Офисная","Кухонная"))</f>
        <v>Мясные</v>
      </c>
      <c r="K1627" s="12" t="n">
        <f aca="false">1000+MOD(A1627*317+A1627*A1627*7,49001)</f>
        <v>11186</v>
      </c>
      <c r="L1627" s="12" t="n">
        <f aca="false">1+MOD(A1627*131,100)</f>
        <v>7</v>
      </c>
      <c r="M1627" s="12" t="n">
        <f aca="false">INT(K1627*(0.6+MOD(A1627*43,21)/100))</f>
        <v>7718</v>
      </c>
      <c r="N1627" s="12" t="n">
        <f aca="false">K1627-M1627</f>
        <v>3468</v>
      </c>
    </row>
    <row r="1628" customFormat="false" ht="12.8" hidden="false" customHeight="false" outlineLevel="0" collapsed="false">
      <c r="A1628" s="10" t="n">
        <f aca="false">A1627+1</f>
        <v>1627</v>
      </c>
      <c r="B1628" s="11" t="n">
        <f aca="false">B1627+1</f>
        <v>46553</v>
      </c>
      <c r="C1628" s="10" t="n">
        <f aca="false">YEAR(B1628)</f>
        <v>2027</v>
      </c>
      <c r="D1628" s="10" t="n">
        <f aca="false">INT((MONTH(B1628)-1)/3)+1</f>
        <v>2</v>
      </c>
      <c r="E1628" s="10" t="n">
        <f aca="false">MONTH(B1628)</f>
        <v>6</v>
      </c>
      <c r="F1628" s="10" t="str">
        <f aca="false">CHOOSE(MOD(A1628-1,5)+1,"Центр","Юг","Север","Запад","Восток")</f>
        <v>Юг</v>
      </c>
      <c r="G1628" s="10" t="str">
        <f aca="false">"Округ_"&amp;(MOD(A1628-1,5)+1)&amp;"_"&amp;(MOD(INT((A1628-1)/5),5)+1)</f>
        <v>Округ_2_1</v>
      </c>
      <c r="H1628" s="10" t="str">
        <f aca="false">"Город_"&amp;(MOD(A1628-1,5)+1)&amp;"_"&amp;(MOD(INT((A1628-1)/5),5)+1)&amp;"_"&amp;(MOD(INT((A1628-1)/25),10)+1)</f>
        <v>Город_2_1_6</v>
      </c>
      <c r="I1628" s="10" t="str">
        <f aca="false">CHOOSE(MOD(A1628-1,4)+1,"Электроника","Одежда","Продукты","Мебель")</f>
        <v>Продукты</v>
      </c>
      <c r="J1628" s="10" t="str">
        <f aca="false">CHOOSE(MOD(INT((A1628-1)/4),4)+1,CHOOSE(MOD(A1628-1,4)+1,"Смартфоны","Ноутбуки","Аксессуары","Аудио"),CHOOSE(MOD(A1628-1,4)+1,"Верхняя одежда","Спортивная","Повседневная","Обувь"),CHOOSE(MOD(A1628-1,4)+1,"Молочные","Мясные","Бакалея","Напитки"),CHOOSE(MOD(A1628-1,4)+1,"Мягкая мебель","Корпусная","Офисная","Кухонная"))</f>
        <v>Бакалея</v>
      </c>
      <c r="K1628" s="12" t="n">
        <f aca="false">1000+MOD(A1628*317+A1628*A1628*7,49001)</f>
        <v>34274</v>
      </c>
      <c r="L1628" s="12" t="n">
        <f aca="false">1+MOD(A1628*131,100)</f>
        <v>38</v>
      </c>
      <c r="M1628" s="12" t="n">
        <f aca="false">INT(K1628*(0.6+MOD(A1628*43,21)/100))</f>
        <v>23991</v>
      </c>
      <c r="N1628" s="12" t="n">
        <f aca="false">K1628-M1628</f>
        <v>10283</v>
      </c>
    </row>
    <row r="1629" customFormat="false" ht="12.8" hidden="false" customHeight="false" outlineLevel="0" collapsed="false">
      <c r="A1629" s="10" t="n">
        <f aca="false">A1628+1</f>
        <v>1628</v>
      </c>
      <c r="B1629" s="11" t="n">
        <f aca="false">B1628+1</f>
        <v>46554</v>
      </c>
      <c r="C1629" s="10" t="n">
        <f aca="false">YEAR(B1629)</f>
        <v>2027</v>
      </c>
      <c r="D1629" s="10" t="n">
        <f aca="false">INT((MONTH(B1629)-1)/3)+1</f>
        <v>2</v>
      </c>
      <c r="E1629" s="10" t="n">
        <f aca="false">MONTH(B1629)</f>
        <v>6</v>
      </c>
      <c r="F1629" s="10" t="str">
        <f aca="false">CHOOSE(MOD(A1629-1,5)+1,"Центр","Юг","Север","Запад","Восток")</f>
        <v>Север</v>
      </c>
      <c r="G1629" s="10" t="str">
        <f aca="false">"Округ_"&amp;(MOD(A1629-1,5)+1)&amp;"_"&amp;(MOD(INT((A1629-1)/5),5)+1)</f>
        <v>Округ_3_1</v>
      </c>
      <c r="H1629" s="10" t="str">
        <f aca="false">"Город_"&amp;(MOD(A1629-1,5)+1)&amp;"_"&amp;(MOD(INT((A1629-1)/5),5)+1)&amp;"_"&amp;(MOD(INT((A1629-1)/25),10)+1)</f>
        <v>Город_3_1_6</v>
      </c>
      <c r="I1629" s="10" t="str">
        <f aca="false">CHOOSE(MOD(A1629-1,4)+1,"Электроника","Одежда","Продукты","Мебель")</f>
        <v>Мебель</v>
      </c>
      <c r="J1629" s="10" t="str">
        <f aca="false">CHOOSE(MOD(INT((A1629-1)/4),4)+1,CHOOSE(MOD(A1629-1,4)+1,"Смартфоны","Ноутбуки","Аксессуары","Аудио"),CHOOSE(MOD(A1629-1,4)+1,"Верхняя одежда","Спортивная","Повседневная","Обувь"),CHOOSE(MOD(A1629-1,4)+1,"Молочные","Мясные","Бакалея","Напитки"),CHOOSE(MOD(A1629-1,4)+1,"Мягкая мебель","Корпусная","Офисная","Кухонная"))</f>
        <v>Напитки</v>
      </c>
      <c r="K1629" s="12" t="n">
        <f aca="false">1000+MOD(A1629*317+A1629*A1629*7,49001)</f>
        <v>8375</v>
      </c>
      <c r="L1629" s="12" t="n">
        <f aca="false">1+MOD(A1629*131,100)</f>
        <v>69</v>
      </c>
      <c r="M1629" s="12" t="n">
        <f aca="false">INT(K1629*(0.6+MOD(A1629*43,21)/100))</f>
        <v>5946</v>
      </c>
      <c r="N1629" s="12" t="n">
        <f aca="false">K1629-M1629</f>
        <v>2429</v>
      </c>
    </row>
    <row r="1630" customFormat="false" ht="12.8" hidden="false" customHeight="false" outlineLevel="0" collapsed="false">
      <c r="A1630" s="10" t="n">
        <f aca="false">A1629+1</f>
        <v>1629</v>
      </c>
      <c r="B1630" s="11" t="n">
        <f aca="false">B1629+1</f>
        <v>46555</v>
      </c>
      <c r="C1630" s="10" t="n">
        <f aca="false">YEAR(B1630)</f>
        <v>2027</v>
      </c>
      <c r="D1630" s="10" t="n">
        <f aca="false">INT((MONTH(B1630)-1)/3)+1</f>
        <v>2</v>
      </c>
      <c r="E1630" s="10" t="n">
        <f aca="false">MONTH(B1630)</f>
        <v>6</v>
      </c>
      <c r="F1630" s="10" t="str">
        <f aca="false">CHOOSE(MOD(A1630-1,5)+1,"Центр","Юг","Север","Запад","Восток")</f>
        <v>Запад</v>
      </c>
      <c r="G1630" s="10" t="str">
        <f aca="false">"Округ_"&amp;(MOD(A1630-1,5)+1)&amp;"_"&amp;(MOD(INT((A1630-1)/5),5)+1)</f>
        <v>Округ_4_1</v>
      </c>
      <c r="H1630" s="10" t="str">
        <f aca="false">"Город_"&amp;(MOD(A1630-1,5)+1)&amp;"_"&amp;(MOD(INT((A1630-1)/5),5)+1)&amp;"_"&amp;(MOD(INT((A1630-1)/25),10)+1)</f>
        <v>Город_4_1_6</v>
      </c>
      <c r="I1630" s="10" t="str">
        <f aca="false">CHOOSE(MOD(A1630-1,4)+1,"Электроника","Одежда","Продукты","Мебель")</f>
        <v>Электроника</v>
      </c>
      <c r="J1630" s="10" t="str">
        <f aca="false">CHOOSE(MOD(INT((A1630-1)/4),4)+1,CHOOSE(MOD(A1630-1,4)+1,"Смартфоны","Ноутбуки","Аксессуары","Аудио"),CHOOSE(MOD(A1630-1,4)+1,"Верхняя одежда","Спортивная","Повседневная","Обувь"),CHOOSE(MOD(A1630-1,4)+1,"Молочные","Мясные","Бакалея","Напитки"),CHOOSE(MOD(A1630-1,4)+1,"Мягкая мебель","Корпусная","Офисная","Кухонная"))</f>
        <v>Мягкая мебель</v>
      </c>
      <c r="K1630" s="12" t="n">
        <f aca="false">1000+MOD(A1630*317+A1630*A1630*7,49001)</f>
        <v>31491</v>
      </c>
      <c r="L1630" s="12" t="n">
        <f aca="false">1+MOD(A1630*131,100)</f>
        <v>100</v>
      </c>
      <c r="M1630" s="12" t="n">
        <f aca="false">INT(K1630*(0.6+MOD(A1630*43,21)/100))</f>
        <v>22673</v>
      </c>
      <c r="N1630" s="12" t="n">
        <f aca="false">K1630-M1630</f>
        <v>8818</v>
      </c>
    </row>
    <row r="1631" customFormat="false" ht="12.8" hidden="false" customHeight="false" outlineLevel="0" collapsed="false">
      <c r="A1631" s="10" t="n">
        <f aca="false">A1630+1</f>
        <v>1630</v>
      </c>
      <c r="B1631" s="11" t="n">
        <f aca="false">B1630+1</f>
        <v>46556</v>
      </c>
      <c r="C1631" s="10" t="n">
        <f aca="false">YEAR(B1631)</f>
        <v>2027</v>
      </c>
      <c r="D1631" s="10" t="n">
        <f aca="false">INT((MONTH(B1631)-1)/3)+1</f>
        <v>2</v>
      </c>
      <c r="E1631" s="10" t="n">
        <f aca="false">MONTH(B1631)</f>
        <v>6</v>
      </c>
      <c r="F1631" s="10" t="str">
        <f aca="false">CHOOSE(MOD(A1631-1,5)+1,"Центр","Юг","Север","Запад","Восток")</f>
        <v>Восток</v>
      </c>
      <c r="G1631" s="10" t="str">
        <f aca="false">"Округ_"&amp;(MOD(A1631-1,5)+1)&amp;"_"&amp;(MOD(INT((A1631-1)/5),5)+1)</f>
        <v>Округ_5_1</v>
      </c>
      <c r="H1631" s="10" t="str">
        <f aca="false">"Город_"&amp;(MOD(A1631-1,5)+1)&amp;"_"&amp;(MOD(INT((A1631-1)/5),5)+1)&amp;"_"&amp;(MOD(INT((A1631-1)/25),10)+1)</f>
        <v>Город_5_1_6</v>
      </c>
      <c r="I1631" s="10" t="str">
        <f aca="false">CHOOSE(MOD(A1631-1,4)+1,"Электроника","Одежда","Продукты","Мебель")</f>
        <v>Одежда</v>
      </c>
      <c r="J1631" s="10" t="str">
        <f aca="false">CHOOSE(MOD(INT((A1631-1)/4),4)+1,CHOOSE(MOD(A1631-1,4)+1,"Смартфоны","Ноутбуки","Аксессуары","Аудио"),CHOOSE(MOD(A1631-1,4)+1,"Верхняя одежда","Спортивная","Повседневная","Обувь"),CHOOSE(MOD(A1631-1,4)+1,"Молочные","Мясные","Бакалея","Напитки"),CHOOSE(MOD(A1631-1,4)+1,"Мягкая мебель","Корпусная","Офисная","Кухонная"))</f>
        <v>Корпусная</v>
      </c>
      <c r="K1631" s="12" t="n">
        <f aca="false">1000+MOD(A1631*317+A1631*A1631*7,49001)</f>
        <v>5620</v>
      </c>
      <c r="L1631" s="12" t="n">
        <f aca="false">1+MOD(A1631*131,100)</f>
        <v>31</v>
      </c>
      <c r="M1631" s="12" t="n">
        <f aca="false">INT(K1631*(0.6+MOD(A1631*43,21)/100))</f>
        <v>4102</v>
      </c>
      <c r="N1631" s="12" t="n">
        <f aca="false">K1631-M1631</f>
        <v>1518</v>
      </c>
    </row>
    <row r="1632" customFormat="false" ht="12.8" hidden="false" customHeight="false" outlineLevel="0" collapsed="false">
      <c r="A1632" s="10" t="n">
        <f aca="false">A1631+1</f>
        <v>1631</v>
      </c>
      <c r="B1632" s="11" t="n">
        <f aca="false">B1631+1</f>
        <v>46557</v>
      </c>
      <c r="C1632" s="10" t="n">
        <f aca="false">YEAR(B1632)</f>
        <v>2027</v>
      </c>
      <c r="D1632" s="10" t="n">
        <f aca="false">INT((MONTH(B1632)-1)/3)+1</f>
        <v>2</v>
      </c>
      <c r="E1632" s="10" t="n">
        <f aca="false">MONTH(B1632)</f>
        <v>6</v>
      </c>
      <c r="F1632" s="10" t="str">
        <f aca="false">CHOOSE(MOD(A1632-1,5)+1,"Центр","Юг","Север","Запад","Восток")</f>
        <v>Центр</v>
      </c>
      <c r="G1632" s="10" t="str">
        <f aca="false">"Округ_"&amp;(MOD(A1632-1,5)+1)&amp;"_"&amp;(MOD(INT((A1632-1)/5),5)+1)</f>
        <v>Округ_1_2</v>
      </c>
      <c r="H1632" s="10" t="str">
        <f aca="false">"Город_"&amp;(MOD(A1632-1,5)+1)&amp;"_"&amp;(MOD(INT((A1632-1)/5),5)+1)&amp;"_"&amp;(MOD(INT((A1632-1)/25),10)+1)</f>
        <v>Город_1_2_6</v>
      </c>
      <c r="I1632" s="10" t="str">
        <f aca="false">CHOOSE(MOD(A1632-1,4)+1,"Электроника","Одежда","Продукты","Мебель")</f>
        <v>Продукты</v>
      </c>
      <c r="J1632" s="10" t="str">
        <f aca="false">CHOOSE(MOD(INT((A1632-1)/4),4)+1,CHOOSE(MOD(A1632-1,4)+1,"Смартфоны","Ноутбуки","Аксессуары","Аудио"),CHOOSE(MOD(A1632-1,4)+1,"Верхняя одежда","Спортивная","Повседневная","Обувь"),CHOOSE(MOD(A1632-1,4)+1,"Молочные","Мясные","Бакалея","Напитки"),CHOOSE(MOD(A1632-1,4)+1,"Мягкая мебель","Корпусная","Офисная","Кухонная"))</f>
        <v>Офисная</v>
      </c>
      <c r="K1632" s="12" t="n">
        <f aca="false">1000+MOD(A1632*317+A1632*A1632*7,49001)</f>
        <v>28764</v>
      </c>
      <c r="L1632" s="12" t="n">
        <f aca="false">1+MOD(A1632*131,100)</f>
        <v>62</v>
      </c>
      <c r="M1632" s="12" t="n">
        <f aca="false">INT(K1632*(0.6+MOD(A1632*43,21)/100))</f>
        <v>21285</v>
      </c>
      <c r="N1632" s="12" t="n">
        <f aca="false">K1632-M1632</f>
        <v>7479</v>
      </c>
    </row>
    <row r="1633" customFormat="false" ht="12.8" hidden="false" customHeight="false" outlineLevel="0" collapsed="false">
      <c r="A1633" s="10" t="n">
        <f aca="false">A1632+1</f>
        <v>1632</v>
      </c>
      <c r="B1633" s="11" t="n">
        <f aca="false">B1632+1</f>
        <v>46558</v>
      </c>
      <c r="C1633" s="10" t="n">
        <f aca="false">YEAR(B1633)</f>
        <v>2027</v>
      </c>
      <c r="D1633" s="10" t="n">
        <f aca="false">INT((MONTH(B1633)-1)/3)+1</f>
        <v>2</v>
      </c>
      <c r="E1633" s="10" t="n">
        <f aca="false">MONTH(B1633)</f>
        <v>6</v>
      </c>
      <c r="F1633" s="10" t="str">
        <f aca="false">CHOOSE(MOD(A1633-1,5)+1,"Центр","Юг","Север","Запад","Восток")</f>
        <v>Юг</v>
      </c>
      <c r="G1633" s="10" t="str">
        <f aca="false">"Округ_"&amp;(MOD(A1633-1,5)+1)&amp;"_"&amp;(MOD(INT((A1633-1)/5),5)+1)</f>
        <v>Округ_2_2</v>
      </c>
      <c r="H1633" s="10" t="str">
        <f aca="false">"Город_"&amp;(MOD(A1633-1,5)+1)&amp;"_"&amp;(MOD(INT((A1633-1)/5),5)+1)&amp;"_"&amp;(MOD(INT((A1633-1)/25),10)+1)</f>
        <v>Город_2_2_6</v>
      </c>
      <c r="I1633" s="10" t="str">
        <f aca="false">CHOOSE(MOD(A1633-1,4)+1,"Электроника","Одежда","Продукты","Мебель")</f>
        <v>Мебель</v>
      </c>
      <c r="J1633" s="10" t="str">
        <f aca="false">CHOOSE(MOD(INT((A1633-1)/4),4)+1,CHOOSE(MOD(A1633-1,4)+1,"Смартфоны","Ноутбуки","Аксессуары","Аудио"),CHOOSE(MOD(A1633-1,4)+1,"Верхняя одежда","Спортивная","Повседневная","Обувь"),CHOOSE(MOD(A1633-1,4)+1,"Молочные","Мясные","Бакалея","Напитки"),CHOOSE(MOD(A1633-1,4)+1,"Мягкая мебель","Корпусная","Офисная","Кухонная"))</f>
        <v>Кухонная</v>
      </c>
      <c r="K1633" s="12" t="n">
        <f aca="false">1000+MOD(A1633*317+A1633*A1633*7,49001)</f>
        <v>2921</v>
      </c>
      <c r="L1633" s="12" t="n">
        <f aca="false">1+MOD(A1633*131,100)</f>
        <v>93</v>
      </c>
      <c r="M1633" s="12" t="n">
        <f aca="false">INT(K1633*(0.6+MOD(A1633*43,21)/100))</f>
        <v>2190</v>
      </c>
      <c r="N1633" s="12" t="n">
        <f aca="false">K1633-M1633</f>
        <v>731</v>
      </c>
    </row>
    <row r="1634" customFormat="false" ht="12.8" hidden="false" customHeight="false" outlineLevel="0" collapsed="false">
      <c r="A1634" s="10" t="n">
        <f aca="false">A1633+1</f>
        <v>1633</v>
      </c>
      <c r="B1634" s="11" t="n">
        <f aca="false">B1633+1</f>
        <v>46559</v>
      </c>
      <c r="C1634" s="10" t="n">
        <f aca="false">YEAR(B1634)</f>
        <v>2027</v>
      </c>
      <c r="D1634" s="10" t="n">
        <f aca="false">INT((MONTH(B1634)-1)/3)+1</f>
        <v>2</v>
      </c>
      <c r="E1634" s="10" t="n">
        <f aca="false">MONTH(B1634)</f>
        <v>6</v>
      </c>
      <c r="F1634" s="10" t="str">
        <f aca="false">CHOOSE(MOD(A1634-1,5)+1,"Центр","Юг","Север","Запад","Восток")</f>
        <v>Север</v>
      </c>
      <c r="G1634" s="10" t="str">
        <f aca="false">"Округ_"&amp;(MOD(A1634-1,5)+1)&amp;"_"&amp;(MOD(INT((A1634-1)/5),5)+1)</f>
        <v>Округ_3_2</v>
      </c>
      <c r="H1634" s="10" t="str">
        <f aca="false">"Город_"&amp;(MOD(A1634-1,5)+1)&amp;"_"&amp;(MOD(INT((A1634-1)/5),5)+1)&amp;"_"&amp;(MOD(INT((A1634-1)/25),10)+1)</f>
        <v>Город_3_2_6</v>
      </c>
      <c r="I1634" s="10" t="str">
        <f aca="false">CHOOSE(MOD(A1634-1,4)+1,"Электроника","Одежда","Продукты","Мебель")</f>
        <v>Электроника</v>
      </c>
      <c r="J1634" s="10" t="str">
        <f aca="false">CHOOSE(MOD(INT((A1634-1)/4),4)+1,CHOOSE(MOD(A1634-1,4)+1,"Смартфоны","Ноутбуки","Аксессуары","Аудио"),CHOOSE(MOD(A1634-1,4)+1,"Верхняя одежда","Спортивная","Повседневная","Обувь"),CHOOSE(MOD(A1634-1,4)+1,"Молочные","Мясные","Бакалея","Напитки"),CHOOSE(MOD(A1634-1,4)+1,"Мягкая мебель","Корпусная","Офисная","Кухонная"))</f>
        <v>Смартфоны</v>
      </c>
      <c r="K1634" s="12" t="n">
        <f aca="false">1000+MOD(A1634*317+A1634*A1634*7,49001)</f>
        <v>26093</v>
      </c>
      <c r="L1634" s="12" t="n">
        <f aca="false">1+MOD(A1634*131,100)</f>
        <v>24</v>
      </c>
      <c r="M1634" s="12" t="n">
        <f aca="false">INT(K1634*(0.6+MOD(A1634*43,21)/100))</f>
        <v>19830</v>
      </c>
      <c r="N1634" s="12" t="n">
        <f aca="false">K1634-M1634</f>
        <v>6263</v>
      </c>
    </row>
    <row r="1635" customFormat="false" ht="12.8" hidden="false" customHeight="false" outlineLevel="0" collapsed="false">
      <c r="A1635" s="10" t="n">
        <f aca="false">A1634+1</f>
        <v>1634</v>
      </c>
      <c r="B1635" s="11" t="n">
        <f aca="false">B1634+1</f>
        <v>46560</v>
      </c>
      <c r="C1635" s="10" t="n">
        <f aca="false">YEAR(B1635)</f>
        <v>2027</v>
      </c>
      <c r="D1635" s="10" t="n">
        <f aca="false">INT((MONTH(B1635)-1)/3)+1</f>
        <v>2</v>
      </c>
      <c r="E1635" s="10" t="n">
        <f aca="false">MONTH(B1635)</f>
        <v>6</v>
      </c>
      <c r="F1635" s="10" t="str">
        <f aca="false">CHOOSE(MOD(A1635-1,5)+1,"Центр","Юг","Север","Запад","Восток")</f>
        <v>Запад</v>
      </c>
      <c r="G1635" s="10" t="str">
        <f aca="false">"Округ_"&amp;(MOD(A1635-1,5)+1)&amp;"_"&amp;(MOD(INT((A1635-1)/5),5)+1)</f>
        <v>Округ_4_2</v>
      </c>
      <c r="H1635" s="10" t="str">
        <f aca="false">"Город_"&amp;(MOD(A1635-1,5)+1)&amp;"_"&amp;(MOD(INT((A1635-1)/5),5)+1)&amp;"_"&amp;(MOD(INT((A1635-1)/25),10)+1)</f>
        <v>Город_4_2_6</v>
      </c>
      <c r="I1635" s="10" t="str">
        <f aca="false">CHOOSE(MOD(A1635-1,4)+1,"Электроника","Одежда","Продукты","Мебель")</f>
        <v>Одежда</v>
      </c>
      <c r="J1635" s="10" t="str">
        <f aca="false">CHOOSE(MOD(INT((A1635-1)/4),4)+1,CHOOSE(MOD(A1635-1,4)+1,"Смартфоны","Ноутбуки","Аксессуары","Аудио"),CHOOSE(MOD(A1635-1,4)+1,"Верхняя одежда","Спортивная","Повседневная","Обувь"),CHOOSE(MOD(A1635-1,4)+1,"Молочные","Мясные","Бакалея","Напитки"),CHOOSE(MOD(A1635-1,4)+1,"Мягкая мебель","Корпусная","Офисная","Кухонная"))</f>
        <v>Ноутбуки</v>
      </c>
      <c r="K1635" s="12" t="n">
        <f aca="false">1000+MOD(A1635*317+A1635*A1635*7,49001)</f>
        <v>49279</v>
      </c>
      <c r="L1635" s="12" t="n">
        <f aca="false">1+MOD(A1635*131,100)</f>
        <v>55</v>
      </c>
      <c r="M1635" s="12" t="n">
        <f aca="false">INT(K1635*(0.6+MOD(A1635*43,21)/100))</f>
        <v>37944</v>
      </c>
      <c r="N1635" s="12" t="n">
        <f aca="false">K1635-M1635</f>
        <v>11335</v>
      </c>
    </row>
    <row r="1636" customFormat="false" ht="12.8" hidden="false" customHeight="false" outlineLevel="0" collapsed="false">
      <c r="A1636" s="10" t="n">
        <f aca="false">A1635+1</f>
        <v>1635</v>
      </c>
      <c r="B1636" s="11" t="n">
        <f aca="false">B1635+1</f>
        <v>46561</v>
      </c>
      <c r="C1636" s="10" t="n">
        <f aca="false">YEAR(B1636)</f>
        <v>2027</v>
      </c>
      <c r="D1636" s="10" t="n">
        <f aca="false">INT((MONTH(B1636)-1)/3)+1</f>
        <v>2</v>
      </c>
      <c r="E1636" s="10" t="n">
        <f aca="false">MONTH(B1636)</f>
        <v>6</v>
      </c>
      <c r="F1636" s="10" t="str">
        <f aca="false">CHOOSE(MOD(A1636-1,5)+1,"Центр","Юг","Север","Запад","Восток")</f>
        <v>Восток</v>
      </c>
      <c r="G1636" s="10" t="str">
        <f aca="false">"Округ_"&amp;(MOD(A1636-1,5)+1)&amp;"_"&amp;(MOD(INT((A1636-1)/5),5)+1)</f>
        <v>Округ_5_2</v>
      </c>
      <c r="H1636" s="10" t="str">
        <f aca="false">"Город_"&amp;(MOD(A1636-1,5)+1)&amp;"_"&amp;(MOD(INT((A1636-1)/5),5)+1)&amp;"_"&amp;(MOD(INT((A1636-1)/25),10)+1)</f>
        <v>Город_5_2_6</v>
      </c>
      <c r="I1636" s="10" t="str">
        <f aca="false">CHOOSE(MOD(A1636-1,4)+1,"Электроника","Одежда","Продукты","Мебель")</f>
        <v>Продукты</v>
      </c>
      <c r="J1636" s="10" t="str">
        <f aca="false">CHOOSE(MOD(INT((A1636-1)/4),4)+1,CHOOSE(MOD(A1636-1,4)+1,"Смартфоны","Ноутбуки","Аксессуары","Аудио"),CHOOSE(MOD(A1636-1,4)+1,"Верхняя одежда","Спортивная","Повседневная","Обувь"),CHOOSE(MOD(A1636-1,4)+1,"Молочные","Мясные","Бакалея","Напитки"),CHOOSE(MOD(A1636-1,4)+1,"Мягкая мебель","Корпусная","Офисная","Кухонная"))</f>
        <v>Аксессуары</v>
      </c>
      <c r="K1636" s="12" t="n">
        <f aca="false">1000+MOD(A1636*317+A1636*A1636*7,49001)</f>
        <v>23478</v>
      </c>
      <c r="L1636" s="12" t="n">
        <f aca="false">1+MOD(A1636*131,100)</f>
        <v>86</v>
      </c>
      <c r="M1636" s="12" t="n">
        <f aca="false">INT(K1636*(0.6+MOD(A1636*43,21)/100))</f>
        <v>18312</v>
      </c>
      <c r="N1636" s="12" t="n">
        <f aca="false">K1636-M1636</f>
        <v>5166</v>
      </c>
    </row>
    <row r="1637" customFormat="false" ht="12.8" hidden="false" customHeight="false" outlineLevel="0" collapsed="false">
      <c r="A1637" s="10" t="n">
        <f aca="false">A1636+1</f>
        <v>1636</v>
      </c>
      <c r="B1637" s="11" t="n">
        <f aca="false">B1636+1</f>
        <v>46562</v>
      </c>
      <c r="C1637" s="10" t="n">
        <f aca="false">YEAR(B1637)</f>
        <v>2027</v>
      </c>
      <c r="D1637" s="10" t="n">
        <f aca="false">INT((MONTH(B1637)-1)/3)+1</f>
        <v>2</v>
      </c>
      <c r="E1637" s="10" t="n">
        <f aca="false">MONTH(B1637)</f>
        <v>6</v>
      </c>
      <c r="F1637" s="10" t="str">
        <f aca="false">CHOOSE(MOD(A1637-1,5)+1,"Центр","Юг","Север","Запад","Восток")</f>
        <v>Центр</v>
      </c>
      <c r="G1637" s="10" t="str">
        <f aca="false">"Округ_"&amp;(MOD(A1637-1,5)+1)&amp;"_"&amp;(MOD(INT((A1637-1)/5),5)+1)</f>
        <v>Округ_1_3</v>
      </c>
      <c r="H1637" s="10" t="str">
        <f aca="false">"Город_"&amp;(MOD(A1637-1,5)+1)&amp;"_"&amp;(MOD(INT((A1637-1)/5),5)+1)&amp;"_"&amp;(MOD(INT((A1637-1)/25),10)+1)</f>
        <v>Город_1_3_6</v>
      </c>
      <c r="I1637" s="10" t="str">
        <f aca="false">CHOOSE(MOD(A1637-1,4)+1,"Электроника","Одежда","Продукты","Мебель")</f>
        <v>Мебель</v>
      </c>
      <c r="J1637" s="10" t="str">
        <f aca="false">CHOOSE(MOD(INT((A1637-1)/4),4)+1,CHOOSE(MOD(A1637-1,4)+1,"Смартфоны","Ноутбуки","Аксессуары","Аудио"),CHOOSE(MOD(A1637-1,4)+1,"Верхняя одежда","Спортивная","Повседневная","Обувь"),CHOOSE(MOD(A1637-1,4)+1,"Молочные","Мясные","Бакалея","Напитки"),CHOOSE(MOD(A1637-1,4)+1,"Мягкая мебель","Корпусная","Офисная","Кухонная"))</f>
        <v>Аудио</v>
      </c>
      <c r="K1637" s="12" t="n">
        <f aca="false">1000+MOD(A1637*317+A1637*A1637*7,49001)</f>
        <v>46692</v>
      </c>
      <c r="L1637" s="12" t="n">
        <f aca="false">1+MOD(A1637*131,100)</f>
        <v>17</v>
      </c>
      <c r="M1637" s="12" t="n">
        <f aca="false">INT(K1637*(0.6+MOD(A1637*43,21)/100))</f>
        <v>36886</v>
      </c>
      <c r="N1637" s="12" t="n">
        <f aca="false">K1637-M1637</f>
        <v>9806</v>
      </c>
    </row>
    <row r="1638" customFormat="false" ht="12.8" hidden="false" customHeight="false" outlineLevel="0" collapsed="false">
      <c r="A1638" s="10" t="n">
        <f aca="false">A1637+1</f>
        <v>1637</v>
      </c>
      <c r="B1638" s="11" t="n">
        <f aca="false">B1637+1</f>
        <v>46563</v>
      </c>
      <c r="C1638" s="10" t="n">
        <f aca="false">YEAR(B1638)</f>
        <v>2027</v>
      </c>
      <c r="D1638" s="10" t="n">
        <f aca="false">INT((MONTH(B1638)-1)/3)+1</f>
        <v>2</v>
      </c>
      <c r="E1638" s="10" t="n">
        <f aca="false">MONTH(B1638)</f>
        <v>6</v>
      </c>
      <c r="F1638" s="10" t="str">
        <f aca="false">CHOOSE(MOD(A1638-1,5)+1,"Центр","Юг","Север","Запад","Восток")</f>
        <v>Юг</v>
      </c>
      <c r="G1638" s="10" t="str">
        <f aca="false">"Округ_"&amp;(MOD(A1638-1,5)+1)&amp;"_"&amp;(MOD(INT((A1638-1)/5),5)+1)</f>
        <v>Округ_2_3</v>
      </c>
      <c r="H1638" s="10" t="str">
        <f aca="false">"Город_"&amp;(MOD(A1638-1,5)+1)&amp;"_"&amp;(MOD(INT((A1638-1)/5),5)+1)&amp;"_"&amp;(MOD(INT((A1638-1)/25),10)+1)</f>
        <v>Город_2_3_6</v>
      </c>
      <c r="I1638" s="10" t="str">
        <f aca="false">CHOOSE(MOD(A1638-1,4)+1,"Электроника","Одежда","Продукты","Мебель")</f>
        <v>Электроника</v>
      </c>
      <c r="J1638" s="10" t="str">
        <f aca="false">CHOOSE(MOD(INT((A1638-1)/4),4)+1,CHOOSE(MOD(A1638-1,4)+1,"Смартфоны","Ноутбуки","Аксессуары","Аудио"),CHOOSE(MOD(A1638-1,4)+1,"Верхняя одежда","Спортивная","Повседневная","Обувь"),CHOOSE(MOD(A1638-1,4)+1,"Молочные","Мясные","Бакалея","Напитки"),CHOOSE(MOD(A1638-1,4)+1,"Мягкая мебель","Корпусная","Офисная","Кухонная"))</f>
        <v>Верхняя одежда</v>
      </c>
      <c r="K1638" s="12" t="n">
        <f aca="false">1000+MOD(A1638*317+A1638*A1638*7,49001)</f>
        <v>20919</v>
      </c>
      <c r="L1638" s="12" t="n">
        <f aca="false">1+MOD(A1638*131,100)</f>
        <v>48</v>
      </c>
      <c r="M1638" s="12" t="n">
        <f aca="false">INT(K1638*(0.6+MOD(A1638*43,21)/100))</f>
        <v>16735</v>
      </c>
      <c r="N1638" s="12" t="n">
        <f aca="false">K1638-M1638</f>
        <v>4184</v>
      </c>
    </row>
    <row r="1639" customFormat="false" ht="12.8" hidden="false" customHeight="false" outlineLevel="0" collapsed="false">
      <c r="A1639" s="10" t="n">
        <f aca="false">A1638+1</f>
        <v>1638</v>
      </c>
      <c r="B1639" s="11" t="n">
        <f aca="false">B1638+1</f>
        <v>46564</v>
      </c>
      <c r="C1639" s="10" t="n">
        <f aca="false">YEAR(B1639)</f>
        <v>2027</v>
      </c>
      <c r="D1639" s="10" t="n">
        <f aca="false">INT((MONTH(B1639)-1)/3)+1</f>
        <v>2</v>
      </c>
      <c r="E1639" s="10" t="n">
        <f aca="false">MONTH(B1639)</f>
        <v>6</v>
      </c>
      <c r="F1639" s="10" t="str">
        <f aca="false">CHOOSE(MOD(A1639-1,5)+1,"Центр","Юг","Север","Запад","Восток")</f>
        <v>Север</v>
      </c>
      <c r="G1639" s="10" t="str">
        <f aca="false">"Округ_"&amp;(MOD(A1639-1,5)+1)&amp;"_"&amp;(MOD(INT((A1639-1)/5),5)+1)</f>
        <v>Округ_3_3</v>
      </c>
      <c r="H1639" s="10" t="str">
        <f aca="false">"Город_"&amp;(MOD(A1639-1,5)+1)&amp;"_"&amp;(MOD(INT((A1639-1)/5),5)+1)&amp;"_"&amp;(MOD(INT((A1639-1)/25),10)+1)</f>
        <v>Город_3_3_6</v>
      </c>
      <c r="I1639" s="10" t="str">
        <f aca="false">CHOOSE(MOD(A1639-1,4)+1,"Электроника","Одежда","Продукты","Мебель")</f>
        <v>Одежда</v>
      </c>
      <c r="J1639" s="10" t="str">
        <f aca="false">CHOOSE(MOD(INT((A1639-1)/4),4)+1,CHOOSE(MOD(A1639-1,4)+1,"Смартфоны","Ноутбуки","Аксессуары","Аудио"),CHOOSE(MOD(A1639-1,4)+1,"Верхняя одежда","Спортивная","Повседневная","Обувь"),CHOOSE(MOD(A1639-1,4)+1,"Молочные","Мясные","Бакалея","Напитки"),CHOOSE(MOD(A1639-1,4)+1,"Мягкая мебель","Корпусная","Офисная","Кухонная"))</f>
        <v>Спортивная</v>
      </c>
      <c r="K1639" s="12" t="n">
        <f aca="false">1000+MOD(A1639*317+A1639*A1639*7,49001)</f>
        <v>44161</v>
      </c>
      <c r="L1639" s="12" t="n">
        <f aca="false">1+MOD(A1639*131,100)</f>
        <v>79</v>
      </c>
      <c r="M1639" s="12" t="n">
        <f aca="false">INT(K1639*(0.6+MOD(A1639*43,21)/100))</f>
        <v>26496</v>
      </c>
      <c r="N1639" s="12" t="n">
        <f aca="false">K1639-M1639</f>
        <v>17665</v>
      </c>
    </row>
    <row r="1640" customFormat="false" ht="12.8" hidden="false" customHeight="false" outlineLevel="0" collapsed="false">
      <c r="A1640" s="10" t="n">
        <f aca="false">A1639+1</f>
        <v>1639</v>
      </c>
      <c r="B1640" s="11" t="n">
        <f aca="false">B1639+1</f>
        <v>46565</v>
      </c>
      <c r="C1640" s="10" t="n">
        <f aca="false">YEAR(B1640)</f>
        <v>2027</v>
      </c>
      <c r="D1640" s="10" t="n">
        <f aca="false">INT((MONTH(B1640)-1)/3)+1</f>
        <v>2</v>
      </c>
      <c r="E1640" s="10" t="n">
        <f aca="false">MONTH(B1640)</f>
        <v>6</v>
      </c>
      <c r="F1640" s="10" t="str">
        <f aca="false">CHOOSE(MOD(A1640-1,5)+1,"Центр","Юг","Север","Запад","Восток")</f>
        <v>Запад</v>
      </c>
      <c r="G1640" s="10" t="str">
        <f aca="false">"Округ_"&amp;(MOD(A1640-1,5)+1)&amp;"_"&amp;(MOD(INT((A1640-1)/5),5)+1)</f>
        <v>Округ_4_3</v>
      </c>
      <c r="H1640" s="10" t="str">
        <f aca="false">"Город_"&amp;(MOD(A1640-1,5)+1)&amp;"_"&amp;(MOD(INT((A1640-1)/5),5)+1)&amp;"_"&amp;(MOD(INT((A1640-1)/25),10)+1)</f>
        <v>Город_4_3_6</v>
      </c>
      <c r="I1640" s="10" t="str">
        <f aca="false">CHOOSE(MOD(A1640-1,4)+1,"Электроника","Одежда","Продукты","Мебель")</f>
        <v>Продукты</v>
      </c>
      <c r="J1640" s="10" t="str">
        <f aca="false">CHOOSE(MOD(INT((A1640-1)/4),4)+1,CHOOSE(MOD(A1640-1,4)+1,"Смартфоны","Ноутбуки","Аксессуары","Аудио"),CHOOSE(MOD(A1640-1,4)+1,"Верхняя одежда","Спортивная","Повседневная","Обувь"),CHOOSE(MOD(A1640-1,4)+1,"Молочные","Мясные","Бакалея","Напитки"),CHOOSE(MOD(A1640-1,4)+1,"Мягкая мебель","Корпусная","Офисная","Кухонная"))</f>
        <v>Повседневная</v>
      </c>
      <c r="K1640" s="12" t="n">
        <f aca="false">1000+MOD(A1640*317+A1640*A1640*7,49001)</f>
        <v>18416</v>
      </c>
      <c r="L1640" s="12" t="n">
        <f aca="false">1+MOD(A1640*131,100)</f>
        <v>10</v>
      </c>
      <c r="M1640" s="12" t="n">
        <f aca="false">INT(K1640*(0.6+MOD(A1640*43,21)/100))</f>
        <v>11233</v>
      </c>
      <c r="N1640" s="12" t="n">
        <f aca="false">K1640-M1640</f>
        <v>7183</v>
      </c>
    </row>
    <row r="1641" customFormat="false" ht="12.8" hidden="false" customHeight="false" outlineLevel="0" collapsed="false">
      <c r="A1641" s="10" t="n">
        <f aca="false">A1640+1</f>
        <v>1640</v>
      </c>
      <c r="B1641" s="11" t="n">
        <f aca="false">B1640+1</f>
        <v>46566</v>
      </c>
      <c r="C1641" s="10" t="n">
        <f aca="false">YEAR(B1641)</f>
        <v>2027</v>
      </c>
      <c r="D1641" s="10" t="n">
        <f aca="false">INT((MONTH(B1641)-1)/3)+1</f>
        <v>2</v>
      </c>
      <c r="E1641" s="10" t="n">
        <f aca="false">MONTH(B1641)</f>
        <v>6</v>
      </c>
      <c r="F1641" s="10" t="str">
        <f aca="false">CHOOSE(MOD(A1641-1,5)+1,"Центр","Юг","Север","Запад","Восток")</f>
        <v>Восток</v>
      </c>
      <c r="G1641" s="10" t="str">
        <f aca="false">"Округ_"&amp;(MOD(A1641-1,5)+1)&amp;"_"&amp;(MOD(INT((A1641-1)/5),5)+1)</f>
        <v>Округ_5_3</v>
      </c>
      <c r="H1641" s="10" t="str">
        <f aca="false">"Город_"&amp;(MOD(A1641-1,5)+1)&amp;"_"&amp;(MOD(INT((A1641-1)/5),5)+1)&amp;"_"&amp;(MOD(INT((A1641-1)/25),10)+1)</f>
        <v>Город_5_3_6</v>
      </c>
      <c r="I1641" s="10" t="str">
        <f aca="false">CHOOSE(MOD(A1641-1,4)+1,"Электроника","Одежда","Продукты","Мебель")</f>
        <v>Мебель</v>
      </c>
      <c r="J1641" s="10" t="str">
        <f aca="false">CHOOSE(MOD(INT((A1641-1)/4),4)+1,CHOOSE(MOD(A1641-1,4)+1,"Смартфоны","Ноутбуки","Аксессуары","Аудио"),CHOOSE(MOD(A1641-1,4)+1,"Верхняя одежда","Спортивная","Повседневная","Обувь"),CHOOSE(MOD(A1641-1,4)+1,"Молочные","Мясные","Бакалея","Напитки"),CHOOSE(MOD(A1641-1,4)+1,"Мягкая мебель","Корпусная","Офисная","Кухонная"))</f>
        <v>Обувь</v>
      </c>
      <c r="K1641" s="12" t="n">
        <f aca="false">1000+MOD(A1641*317+A1641*A1641*7,49001)</f>
        <v>41686</v>
      </c>
      <c r="L1641" s="12" t="n">
        <f aca="false">1+MOD(A1641*131,100)</f>
        <v>41</v>
      </c>
      <c r="M1641" s="12" t="n">
        <f aca="false">INT(K1641*(0.6+MOD(A1641*43,21)/100))</f>
        <v>25845</v>
      </c>
      <c r="N1641" s="12" t="n">
        <f aca="false">K1641-M1641</f>
        <v>15841</v>
      </c>
    </row>
    <row r="1642" customFormat="false" ht="12.8" hidden="false" customHeight="false" outlineLevel="0" collapsed="false">
      <c r="A1642" s="10" t="n">
        <f aca="false">A1641+1</f>
        <v>1641</v>
      </c>
      <c r="B1642" s="11" t="n">
        <f aca="false">B1641+1</f>
        <v>46567</v>
      </c>
      <c r="C1642" s="10" t="n">
        <f aca="false">YEAR(B1642)</f>
        <v>2027</v>
      </c>
      <c r="D1642" s="10" t="n">
        <f aca="false">INT((MONTH(B1642)-1)/3)+1</f>
        <v>2</v>
      </c>
      <c r="E1642" s="10" t="n">
        <f aca="false">MONTH(B1642)</f>
        <v>6</v>
      </c>
      <c r="F1642" s="10" t="str">
        <f aca="false">CHOOSE(MOD(A1642-1,5)+1,"Центр","Юг","Север","Запад","Восток")</f>
        <v>Центр</v>
      </c>
      <c r="G1642" s="10" t="str">
        <f aca="false">"Округ_"&amp;(MOD(A1642-1,5)+1)&amp;"_"&amp;(MOD(INT((A1642-1)/5),5)+1)</f>
        <v>Округ_1_4</v>
      </c>
      <c r="H1642" s="10" t="str">
        <f aca="false">"Город_"&amp;(MOD(A1642-1,5)+1)&amp;"_"&amp;(MOD(INT((A1642-1)/5),5)+1)&amp;"_"&amp;(MOD(INT((A1642-1)/25),10)+1)</f>
        <v>Город_1_4_6</v>
      </c>
      <c r="I1642" s="10" t="str">
        <f aca="false">CHOOSE(MOD(A1642-1,4)+1,"Электроника","Одежда","Продукты","Мебель")</f>
        <v>Электроника</v>
      </c>
      <c r="J1642" s="10" t="str">
        <f aca="false">CHOOSE(MOD(INT((A1642-1)/4),4)+1,CHOOSE(MOD(A1642-1,4)+1,"Смартфоны","Ноутбуки","Аксессуары","Аудио"),CHOOSE(MOD(A1642-1,4)+1,"Верхняя одежда","Спортивная","Повседневная","Обувь"),CHOOSE(MOD(A1642-1,4)+1,"Молочные","Мясные","Бакалея","Напитки"),CHOOSE(MOD(A1642-1,4)+1,"Мягкая мебель","Корпусная","Офисная","Кухонная"))</f>
        <v>Молочные</v>
      </c>
      <c r="K1642" s="12" t="n">
        <f aca="false">1000+MOD(A1642*317+A1642*A1642*7,49001)</f>
        <v>15969</v>
      </c>
      <c r="L1642" s="12" t="n">
        <f aca="false">1+MOD(A1642*131,100)</f>
        <v>72</v>
      </c>
      <c r="M1642" s="12" t="n">
        <f aca="false">INT(K1642*(0.6+MOD(A1642*43,21)/100))</f>
        <v>10060</v>
      </c>
      <c r="N1642" s="12" t="n">
        <f aca="false">K1642-M1642</f>
        <v>5909</v>
      </c>
    </row>
    <row r="1643" customFormat="false" ht="12.8" hidden="false" customHeight="false" outlineLevel="0" collapsed="false">
      <c r="A1643" s="10" t="n">
        <f aca="false">A1642+1</f>
        <v>1642</v>
      </c>
      <c r="B1643" s="11" t="n">
        <f aca="false">B1642+1</f>
        <v>46568</v>
      </c>
      <c r="C1643" s="10" t="n">
        <f aca="false">YEAR(B1643)</f>
        <v>2027</v>
      </c>
      <c r="D1643" s="10" t="n">
        <f aca="false">INT((MONTH(B1643)-1)/3)+1</f>
        <v>2</v>
      </c>
      <c r="E1643" s="10" t="n">
        <f aca="false">MONTH(B1643)</f>
        <v>6</v>
      </c>
      <c r="F1643" s="10" t="str">
        <f aca="false">CHOOSE(MOD(A1643-1,5)+1,"Центр","Юг","Север","Запад","Восток")</f>
        <v>Юг</v>
      </c>
      <c r="G1643" s="10" t="str">
        <f aca="false">"Округ_"&amp;(MOD(A1643-1,5)+1)&amp;"_"&amp;(MOD(INT((A1643-1)/5),5)+1)</f>
        <v>Округ_2_4</v>
      </c>
      <c r="H1643" s="10" t="str">
        <f aca="false">"Город_"&amp;(MOD(A1643-1,5)+1)&amp;"_"&amp;(MOD(INT((A1643-1)/5),5)+1)&amp;"_"&amp;(MOD(INT((A1643-1)/25),10)+1)</f>
        <v>Город_2_4_6</v>
      </c>
      <c r="I1643" s="10" t="str">
        <f aca="false">CHOOSE(MOD(A1643-1,4)+1,"Электроника","Одежда","Продукты","Мебель")</f>
        <v>Одежда</v>
      </c>
      <c r="J1643" s="10" t="str">
        <f aca="false">CHOOSE(MOD(INT((A1643-1)/4),4)+1,CHOOSE(MOD(A1643-1,4)+1,"Смартфоны","Ноутбуки","Аксессуары","Аудио"),CHOOSE(MOD(A1643-1,4)+1,"Верхняя одежда","Спортивная","Повседневная","Обувь"),CHOOSE(MOD(A1643-1,4)+1,"Молочные","Мясные","Бакалея","Напитки"),CHOOSE(MOD(A1643-1,4)+1,"Мягкая мебель","Корпусная","Офисная","Кухонная"))</f>
        <v>Мясные</v>
      </c>
      <c r="K1643" s="12" t="n">
        <f aca="false">1000+MOD(A1643*317+A1643*A1643*7,49001)</f>
        <v>39267</v>
      </c>
      <c r="L1643" s="12" t="n">
        <f aca="false">1+MOD(A1643*131,100)</f>
        <v>3</v>
      </c>
      <c r="M1643" s="12" t="n">
        <f aca="false">INT(K1643*(0.6+MOD(A1643*43,21)/100))</f>
        <v>25130</v>
      </c>
      <c r="N1643" s="12" t="n">
        <f aca="false">K1643-M1643</f>
        <v>14137</v>
      </c>
    </row>
    <row r="1644" customFormat="false" ht="12.8" hidden="false" customHeight="false" outlineLevel="0" collapsed="false">
      <c r="A1644" s="10" t="n">
        <f aca="false">A1643+1</f>
        <v>1643</v>
      </c>
      <c r="B1644" s="11" t="n">
        <f aca="false">B1643+1</f>
        <v>46569</v>
      </c>
      <c r="C1644" s="10" t="n">
        <f aca="false">YEAR(B1644)</f>
        <v>2027</v>
      </c>
      <c r="D1644" s="10" t="n">
        <f aca="false">INT((MONTH(B1644)-1)/3)+1</f>
        <v>3</v>
      </c>
      <c r="E1644" s="10" t="n">
        <f aca="false">MONTH(B1644)</f>
        <v>7</v>
      </c>
      <c r="F1644" s="10" t="str">
        <f aca="false">CHOOSE(MOD(A1644-1,5)+1,"Центр","Юг","Север","Запад","Восток")</f>
        <v>Север</v>
      </c>
      <c r="G1644" s="10" t="str">
        <f aca="false">"Округ_"&amp;(MOD(A1644-1,5)+1)&amp;"_"&amp;(MOD(INT((A1644-1)/5),5)+1)</f>
        <v>Округ_3_4</v>
      </c>
      <c r="H1644" s="10" t="str">
        <f aca="false">"Город_"&amp;(MOD(A1644-1,5)+1)&amp;"_"&amp;(MOD(INT((A1644-1)/5),5)+1)&amp;"_"&amp;(MOD(INT((A1644-1)/25),10)+1)</f>
        <v>Город_3_4_6</v>
      </c>
      <c r="I1644" s="10" t="str">
        <f aca="false">CHOOSE(MOD(A1644-1,4)+1,"Электроника","Одежда","Продукты","Мебель")</f>
        <v>Продукты</v>
      </c>
      <c r="J1644" s="10" t="str">
        <f aca="false">CHOOSE(MOD(INT((A1644-1)/4),4)+1,CHOOSE(MOD(A1644-1,4)+1,"Смартфоны","Ноутбуки","Аксессуары","Аудио"),CHOOSE(MOD(A1644-1,4)+1,"Верхняя одежда","Спортивная","Повседневная","Обувь"),CHOOSE(MOD(A1644-1,4)+1,"Молочные","Мясные","Бакалея","Напитки"),CHOOSE(MOD(A1644-1,4)+1,"Мягкая мебель","Корпусная","Офисная","Кухонная"))</f>
        <v>Бакалея</v>
      </c>
      <c r="K1644" s="12" t="n">
        <f aca="false">1000+MOD(A1644*317+A1644*A1644*7,49001)</f>
        <v>13578</v>
      </c>
      <c r="L1644" s="12" t="n">
        <f aca="false">1+MOD(A1644*131,100)</f>
        <v>34</v>
      </c>
      <c r="M1644" s="12" t="n">
        <f aca="false">INT(K1644*(0.6+MOD(A1644*43,21)/100))</f>
        <v>8825</v>
      </c>
      <c r="N1644" s="12" t="n">
        <f aca="false">K1644-M1644</f>
        <v>4753</v>
      </c>
    </row>
    <row r="1645" customFormat="false" ht="12.8" hidden="false" customHeight="false" outlineLevel="0" collapsed="false">
      <c r="A1645" s="10" t="n">
        <f aca="false">A1644+1</f>
        <v>1644</v>
      </c>
      <c r="B1645" s="11" t="n">
        <f aca="false">B1644+1</f>
        <v>46570</v>
      </c>
      <c r="C1645" s="10" t="n">
        <f aca="false">YEAR(B1645)</f>
        <v>2027</v>
      </c>
      <c r="D1645" s="10" t="n">
        <f aca="false">INT((MONTH(B1645)-1)/3)+1</f>
        <v>3</v>
      </c>
      <c r="E1645" s="10" t="n">
        <f aca="false">MONTH(B1645)</f>
        <v>7</v>
      </c>
      <c r="F1645" s="10" t="str">
        <f aca="false">CHOOSE(MOD(A1645-1,5)+1,"Центр","Юг","Север","Запад","Восток")</f>
        <v>Запад</v>
      </c>
      <c r="G1645" s="10" t="str">
        <f aca="false">"Округ_"&amp;(MOD(A1645-1,5)+1)&amp;"_"&amp;(MOD(INT((A1645-1)/5),5)+1)</f>
        <v>Округ_4_4</v>
      </c>
      <c r="H1645" s="10" t="str">
        <f aca="false">"Город_"&amp;(MOD(A1645-1,5)+1)&amp;"_"&amp;(MOD(INT((A1645-1)/5),5)+1)&amp;"_"&amp;(MOD(INT((A1645-1)/25),10)+1)</f>
        <v>Город_4_4_6</v>
      </c>
      <c r="I1645" s="10" t="str">
        <f aca="false">CHOOSE(MOD(A1645-1,4)+1,"Электроника","Одежда","Продукты","Мебель")</f>
        <v>Мебель</v>
      </c>
      <c r="J1645" s="10" t="str">
        <f aca="false">CHOOSE(MOD(INT((A1645-1)/4),4)+1,CHOOSE(MOD(A1645-1,4)+1,"Смартфоны","Ноутбуки","Аксессуары","Аудио"),CHOOSE(MOD(A1645-1,4)+1,"Верхняя одежда","Спортивная","Повседневная","Обувь"),CHOOSE(MOD(A1645-1,4)+1,"Молочные","Мясные","Бакалея","Напитки"),CHOOSE(MOD(A1645-1,4)+1,"Мягкая мебель","Корпусная","Офисная","Кухонная"))</f>
        <v>Напитки</v>
      </c>
      <c r="K1645" s="12" t="n">
        <f aca="false">1000+MOD(A1645*317+A1645*A1645*7,49001)</f>
        <v>36904</v>
      </c>
      <c r="L1645" s="12" t="n">
        <f aca="false">1+MOD(A1645*131,100)</f>
        <v>65</v>
      </c>
      <c r="M1645" s="12" t="n">
        <f aca="false">INT(K1645*(0.6+MOD(A1645*43,21)/100))</f>
        <v>24356</v>
      </c>
      <c r="N1645" s="12" t="n">
        <f aca="false">K1645-M1645</f>
        <v>12548</v>
      </c>
    </row>
    <row r="1646" customFormat="false" ht="12.8" hidden="false" customHeight="false" outlineLevel="0" collapsed="false">
      <c r="A1646" s="10" t="n">
        <f aca="false">A1645+1</f>
        <v>1645</v>
      </c>
      <c r="B1646" s="11" t="n">
        <f aca="false">B1645+1</f>
        <v>46571</v>
      </c>
      <c r="C1646" s="10" t="n">
        <f aca="false">YEAR(B1646)</f>
        <v>2027</v>
      </c>
      <c r="D1646" s="10" t="n">
        <f aca="false">INT((MONTH(B1646)-1)/3)+1</f>
        <v>3</v>
      </c>
      <c r="E1646" s="10" t="n">
        <f aca="false">MONTH(B1646)</f>
        <v>7</v>
      </c>
      <c r="F1646" s="10" t="str">
        <f aca="false">CHOOSE(MOD(A1646-1,5)+1,"Центр","Юг","Север","Запад","Восток")</f>
        <v>Восток</v>
      </c>
      <c r="G1646" s="10" t="str">
        <f aca="false">"Округ_"&amp;(MOD(A1646-1,5)+1)&amp;"_"&amp;(MOD(INT((A1646-1)/5),5)+1)</f>
        <v>Округ_5_4</v>
      </c>
      <c r="H1646" s="10" t="str">
        <f aca="false">"Город_"&amp;(MOD(A1646-1,5)+1)&amp;"_"&amp;(MOD(INT((A1646-1)/5),5)+1)&amp;"_"&amp;(MOD(INT((A1646-1)/25),10)+1)</f>
        <v>Город_5_4_6</v>
      </c>
      <c r="I1646" s="10" t="str">
        <f aca="false">CHOOSE(MOD(A1646-1,4)+1,"Электроника","Одежда","Продукты","Мебель")</f>
        <v>Электроника</v>
      </c>
      <c r="J1646" s="10" t="str">
        <f aca="false">CHOOSE(MOD(INT((A1646-1)/4),4)+1,CHOOSE(MOD(A1646-1,4)+1,"Смартфоны","Ноутбуки","Аксессуары","Аудио"),CHOOSE(MOD(A1646-1,4)+1,"Верхняя одежда","Спортивная","Повседневная","Обувь"),CHOOSE(MOD(A1646-1,4)+1,"Молочные","Мясные","Бакалея","Напитки"),CHOOSE(MOD(A1646-1,4)+1,"Мягкая мебель","Корпусная","Офисная","Кухонная"))</f>
        <v>Мягкая мебель</v>
      </c>
      <c r="K1646" s="12" t="n">
        <f aca="false">1000+MOD(A1646*317+A1646*A1646*7,49001)</f>
        <v>11243</v>
      </c>
      <c r="L1646" s="12" t="n">
        <f aca="false">1+MOD(A1646*131,100)</f>
        <v>96</v>
      </c>
      <c r="M1646" s="12" t="n">
        <f aca="false">INT(K1646*(0.6+MOD(A1646*43,21)/100))</f>
        <v>7532</v>
      </c>
      <c r="N1646" s="12" t="n">
        <f aca="false">K1646-M1646</f>
        <v>3711</v>
      </c>
    </row>
    <row r="1647" customFormat="false" ht="12.8" hidden="false" customHeight="false" outlineLevel="0" collapsed="false">
      <c r="A1647" s="10" t="n">
        <f aca="false">A1646+1</f>
        <v>1646</v>
      </c>
      <c r="B1647" s="11" t="n">
        <f aca="false">B1646+1</f>
        <v>46572</v>
      </c>
      <c r="C1647" s="10" t="n">
        <f aca="false">YEAR(B1647)</f>
        <v>2027</v>
      </c>
      <c r="D1647" s="10" t="n">
        <f aca="false">INT((MONTH(B1647)-1)/3)+1</f>
        <v>3</v>
      </c>
      <c r="E1647" s="10" t="n">
        <f aca="false">MONTH(B1647)</f>
        <v>7</v>
      </c>
      <c r="F1647" s="10" t="str">
        <f aca="false">CHOOSE(MOD(A1647-1,5)+1,"Центр","Юг","Север","Запад","Восток")</f>
        <v>Центр</v>
      </c>
      <c r="G1647" s="10" t="str">
        <f aca="false">"Округ_"&amp;(MOD(A1647-1,5)+1)&amp;"_"&amp;(MOD(INT((A1647-1)/5),5)+1)</f>
        <v>Округ_1_5</v>
      </c>
      <c r="H1647" s="10" t="str">
        <f aca="false">"Город_"&amp;(MOD(A1647-1,5)+1)&amp;"_"&amp;(MOD(INT((A1647-1)/5),5)+1)&amp;"_"&amp;(MOD(INT((A1647-1)/25),10)+1)</f>
        <v>Город_1_5_6</v>
      </c>
      <c r="I1647" s="10" t="str">
        <f aca="false">CHOOSE(MOD(A1647-1,4)+1,"Электроника","Одежда","Продукты","Мебель")</f>
        <v>Одежда</v>
      </c>
      <c r="J1647" s="10" t="str">
        <f aca="false">CHOOSE(MOD(INT((A1647-1)/4),4)+1,CHOOSE(MOD(A1647-1,4)+1,"Смартфоны","Ноутбуки","Аксессуары","Аудио"),CHOOSE(MOD(A1647-1,4)+1,"Верхняя одежда","Спортивная","Повседневная","Обувь"),CHOOSE(MOD(A1647-1,4)+1,"Молочные","Мясные","Бакалея","Напитки"),CHOOSE(MOD(A1647-1,4)+1,"Мягкая мебель","Корпусная","Офисная","Кухонная"))</f>
        <v>Корпусная</v>
      </c>
      <c r="K1647" s="12" t="n">
        <f aca="false">1000+MOD(A1647*317+A1647*A1647*7,49001)</f>
        <v>34597</v>
      </c>
      <c r="L1647" s="12" t="n">
        <f aca="false">1+MOD(A1647*131,100)</f>
        <v>27</v>
      </c>
      <c r="M1647" s="12" t="n">
        <f aca="false">INT(K1647*(0.6+MOD(A1647*43,21)/100))</f>
        <v>23525</v>
      </c>
      <c r="N1647" s="12" t="n">
        <f aca="false">K1647-M1647</f>
        <v>11072</v>
      </c>
    </row>
    <row r="1648" customFormat="false" ht="12.8" hidden="false" customHeight="false" outlineLevel="0" collapsed="false">
      <c r="A1648" s="10" t="n">
        <f aca="false">A1647+1</f>
        <v>1647</v>
      </c>
      <c r="B1648" s="11" t="n">
        <f aca="false">B1647+1</f>
        <v>46573</v>
      </c>
      <c r="C1648" s="10" t="n">
        <f aca="false">YEAR(B1648)</f>
        <v>2027</v>
      </c>
      <c r="D1648" s="10" t="n">
        <f aca="false">INT((MONTH(B1648)-1)/3)+1</f>
        <v>3</v>
      </c>
      <c r="E1648" s="10" t="n">
        <f aca="false">MONTH(B1648)</f>
        <v>7</v>
      </c>
      <c r="F1648" s="10" t="str">
        <f aca="false">CHOOSE(MOD(A1648-1,5)+1,"Центр","Юг","Север","Запад","Восток")</f>
        <v>Юг</v>
      </c>
      <c r="G1648" s="10" t="str">
        <f aca="false">"Округ_"&amp;(MOD(A1648-1,5)+1)&amp;"_"&amp;(MOD(INT((A1648-1)/5),5)+1)</f>
        <v>Округ_2_5</v>
      </c>
      <c r="H1648" s="10" t="str">
        <f aca="false">"Город_"&amp;(MOD(A1648-1,5)+1)&amp;"_"&amp;(MOD(INT((A1648-1)/5),5)+1)&amp;"_"&amp;(MOD(INT((A1648-1)/25),10)+1)</f>
        <v>Город_2_5_6</v>
      </c>
      <c r="I1648" s="10" t="str">
        <f aca="false">CHOOSE(MOD(A1648-1,4)+1,"Электроника","Одежда","Продукты","Мебель")</f>
        <v>Продукты</v>
      </c>
      <c r="J1648" s="10" t="str">
        <f aca="false">CHOOSE(MOD(INT((A1648-1)/4),4)+1,CHOOSE(MOD(A1648-1,4)+1,"Смартфоны","Ноутбуки","Аксессуары","Аудио"),CHOOSE(MOD(A1648-1,4)+1,"Верхняя одежда","Спортивная","Повседневная","Обувь"),CHOOSE(MOD(A1648-1,4)+1,"Молочные","Мясные","Бакалея","Напитки"),CHOOSE(MOD(A1648-1,4)+1,"Мягкая мебель","Корпусная","Офисная","Кухонная"))</f>
        <v>Офисная</v>
      </c>
      <c r="K1648" s="12" t="n">
        <f aca="false">1000+MOD(A1648*317+A1648*A1648*7,49001)</f>
        <v>8964</v>
      </c>
      <c r="L1648" s="12" t="n">
        <f aca="false">1+MOD(A1648*131,100)</f>
        <v>58</v>
      </c>
      <c r="M1648" s="12" t="n">
        <f aca="false">INT(K1648*(0.6+MOD(A1648*43,21)/100))</f>
        <v>6185</v>
      </c>
      <c r="N1648" s="12" t="n">
        <f aca="false">K1648-M1648</f>
        <v>2779</v>
      </c>
    </row>
    <row r="1649" customFormat="false" ht="12.8" hidden="false" customHeight="false" outlineLevel="0" collapsed="false">
      <c r="A1649" s="10" t="n">
        <f aca="false">A1648+1</f>
        <v>1648</v>
      </c>
      <c r="B1649" s="11" t="n">
        <f aca="false">B1648+1</f>
        <v>46574</v>
      </c>
      <c r="C1649" s="10" t="n">
        <f aca="false">YEAR(B1649)</f>
        <v>2027</v>
      </c>
      <c r="D1649" s="10" t="n">
        <f aca="false">INT((MONTH(B1649)-1)/3)+1</f>
        <v>3</v>
      </c>
      <c r="E1649" s="10" t="n">
        <f aca="false">MONTH(B1649)</f>
        <v>7</v>
      </c>
      <c r="F1649" s="10" t="str">
        <f aca="false">CHOOSE(MOD(A1649-1,5)+1,"Центр","Юг","Север","Запад","Восток")</f>
        <v>Север</v>
      </c>
      <c r="G1649" s="10" t="str">
        <f aca="false">"Округ_"&amp;(MOD(A1649-1,5)+1)&amp;"_"&amp;(MOD(INT((A1649-1)/5),5)+1)</f>
        <v>Округ_3_5</v>
      </c>
      <c r="H1649" s="10" t="str">
        <f aca="false">"Город_"&amp;(MOD(A1649-1,5)+1)&amp;"_"&amp;(MOD(INT((A1649-1)/5),5)+1)&amp;"_"&amp;(MOD(INT((A1649-1)/25),10)+1)</f>
        <v>Город_3_5_6</v>
      </c>
      <c r="I1649" s="10" t="str">
        <f aca="false">CHOOSE(MOD(A1649-1,4)+1,"Электроника","Одежда","Продукты","Мебель")</f>
        <v>Мебель</v>
      </c>
      <c r="J1649" s="10" t="str">
        <f aca="false">CHOOSE(MOD(INT((A1649-1)/4),4)+1,CHOOSE(MOD(A1649-1,4)+1,"Смартфоны","Ноутбуки","Аксессуары","Аудио"),CHOOSE(MOD(A1649-1,4)+1,"Верхняя одежда","Спортивная","Повседневная","Обувь"),CHOOSE(MOD(A1649-1,4)+1,"Молочные","Мясные","Бакалея","Напитки"),CHOOSE(MOD(A1649-1,4)+1,"Мягкая мебель","Корпусная","Офисная","Кухонная"))</f>
        <v>Кухонная</v>
      </c>
      <c r="K1649" s="12" t="n">
        <f aca="false">1000+MOD(A1649*317+A1649*A1649*7,49001)</f>
        <v>32346</v>
      </c>
      <c r="L1649" s="12" t="n">
        <f aca="false">1+MOD(A1649*131,100)</f>
        <v>89</v>
      </c>
      <c r="M1649" s="12" t="n">
        <f aca="false">INT(K1649*(0.6+MOD(A1649*43,21)/100))</f>
        <v>22642</v>
      </c>
      <c r="N1649" s="12" t="n">
        <f aca="false">K1649-M1649</f>
        <v>9704</v>
      </c>
    </row>
    <row r="1650" customFormat="false" ht="12.8" hidden="false" customHeight="false" outlineLevel="0" collapsed="false">
      <c r="A1650" s="10" t="n">
        <f aca="false">A1649+1</f>
        <v>1649</v>
      </c>
      <c r="B1650" s="11" t="n">
        <f aca="false">B1649+1</f>
        <v>46575</v>
      </c>
      <c r="C1650" s="10" t="n">
        <f aca="false">YEAR(B1650)</f>
        <v>2027</v>
      </c>
      <c r="D1650" s="10" t="n">
        <f aca="false">INT((MONTH(B1650)-1)/3)+1</f>
        <v>3</v>
      </c>
      <c r="E1650" s="10" t="n">
        <f aca="false">MONTH(B1650)</f>
        <v>7</v>
      </c>
      <c r="F1650" s="10" t="str">
        <f aca="false">CHOOSE(MOD(A1650-1,5)+1,"Центр","Юг","Север","Запад","Восток")</f>
        <v>Запад</v>
      </c>
      <c r="G1650" s="10" t="str">
        <f aca="false">"Округ_"&amp;(MOD(A1650-1,5)+1)&amp;"_"&amp;(MOD(INT((A1650-1)/5),5)+1)</f>
        <v>Округ_4_5</v>
      </c>
      <c r="H1650" s="10" t="str">
        <f aca="false">"Город_"&amp;(MOD(A1650-1,5)+1)&amp;"_"&amp;(MOD(INT((A1650-1)/5),5)+1)&amp;"_"&amp;(MOD(INT((A1650-1)/25),10)+1)</f>
        <v>Город_4_5_6</v>
      </c>
      <c r="I1650" s="10" t="str">
        <f aca="false">CHOOSE(MOD(A1650-1,4)+1,"Электроника","Одежда","Продукты","Мебель")</f>
        <v>Электроника</v>
      </c>
      <c r="J1650" s="10" t="str">
        <f aca="false">CHOOSE(MOD(INT((A1650-1)/4),4)+1,CHOOSE(MOD(A1650-1,4)+1,"Смартфоны","Ноутбуки","Аксессуары","Аудио"),CHOOSE(MOD(A1650-1,4)+1,"Верхняя одежда","Спортивная","Повседневная","Обувь"),CHOOSE(MOD(A1650-1,4)+1,"Молочные","Мясные","Бакалея","Напитки"),CHOOSE(MOD(A1650-1,4)+1,"Мягкая мебель","Корпусная","Офисная","Кухонная"))</f>
        <v>Смартфоны</v>
      </c>
      <c r="K1650" s="12" t="n">
        <f aca="false">1000+MOD(A1650*317+A1650*A1650*7,49001)</f>
        <v>6741</v>
      </c>
      <c r="L1650" s="12" t="n">
        <f aca="false">1+MOD(A1650*131,100)</f>
        <v>20</v>
      </c>
      <c r="M1650" s="12" t="n">
        <f aca="false">INT(K1650*(0.6+MOD(A1650*43,21)/100))</f>
        <v>4786</v>
      </c>
      <c r="N1650" s="12" t="n">
        <f aca="false">K1650-M1650</f>
        <v>1955</v>
      </c>
    </row>
    <row r="1651" customFormat="false" ht="12.8" hidden="false" customHeight="false" outlineLevel="0" collapsed="false">
      <c r="A1651" s="10" t="n">
        <f aca="false">A1650+1</f>
        <v>1650</v>
      </c>
      <c r="B1651" s="11" t="n">
        <f aca="false">B1650+1</f>
        <v>46576</v>
      </c>
      <c r="C1651" s="10" t="n">
        <f aca="false">YEAR(B1651)</f>
        <v>2027</v>
      </c>
      <c r="D1651" s="10" t="n">
        <f aca="false">INT((MONTH(B1651)-1)/3)+1</f>
        <v>3</v>
      </c>
      <c r="E1651" s="10" t="n">
        <f aca="false">MONTH(B1651)</f>
        <v>7</v>
      </c>
      <c r="F1651" s="10" t="str">
        <f aca="false">CHOOSE(MOD(A1651-1,5)+1,"Центр","Юг","Север","Запад","Восток")</f>
        <v>Восток</v>
      </c>
      <c r="G1651" s="10" t="str">
        <f aca="false">"Округ_"&amp;(MOD(A1651-1,5)+1)&amp;"_"&amp;(MOD(INT((A1651-1)/5),5)+1)</f>
        <v>Округ_5_5</v>
      </c>
      <c r="H1651" s="10" t="str">
        <f aca="false">"Город_"&amp;(MOD(A1651-1,5)+1)&amp;"_"&amp;(MOD(INT((A1651-1)/5),5)+1)&amp;"_"&amp;(MOD(INT((A1651-1)/25),10)+1)</f>
        <v>Город_5_5_6</v>
      </c>
      <c r="I1651" s="10" t="str">
        <f aca="false">CHOOSE(MOD(A1651-1,4)+1,"Электроника","Одежда","Продукты","Мебель")</f>
        <v>Одежда</v>
      </c>
      <c r="J1651" s="10" t="str">
        <f aca="false">CHOOSE(MOD(INT((A1651-1)/4),4)+1,CHOOSE(MOD(A1651-1,4)+1,"Смартфоны","Ноутбуки","Аксессуары","Аудио"),CHOOSE(MOD(A1651-1,4)+1,"Верхняя одежда","Спортивная","Повседневная","Обувь"),CHOOSE(MOD(A1651-1,4)+1,"Молочные","Мясные","Бакалея","Напитки"),CHOOSE(MOD(A1651-1,4)+1,"Мягкая мебель","Корпусная","Офисная","Кухонная"))</f>
        <v>Ноутбуки</v>
      </c>
      <c r="K1651" s="12" t="n">
        <f aca="false">1000+MOD(A1651*317+A1651*A1651*7,49001)</f>
        <v>30151</v>
      </c>
      <c r="L1651" s="12" t="n">
        <f aca="false">1+MOD(A1651*131,100)</f>
        <v>51</v>
      </c>
      <c r="M1651" s="12" t="n">
        <f aca="false">INT(K1651*(0.6+MOD(A1651*43,21)/100))</f>
        <v>21708</v>
      </c>
      <c r="N1651" s="12" t="n">
        <f aca="false">K1651-M1651</f>
        <v>8443</v>
      </c>
    </row>
    <row r="1652" customFormat="false" ht="12.8" hidden="false" customHeight="false" outlineLevel="0" collapsed="false">
      <c r="A1652" s="10" t="n">
        <f aca="false">A1651+1</f>
        <v>1651</v>
      </c>
      <c r="B1652" s="11" t="n">
        <f aca="false">B1651+1</f>
        <v>46577</v>
      </c>
      <c r="C1652" s="10" t="n">
        <f aca="false">YEAR(B1652)</f>
        <v>2027</v>
      </c>
      <c r="D1652" s="10" t="n">
        <f aca="false">INT((MONTH(B1652)-1)/3)+1</f>
        <v>3</v>
      </c>
      <c r="E1652" s="10" t="n">
        <f aca="false">MONTH(B1652)</f>
        <v>7</v>
      </c>
      <c r="F1652" s="10" t="str">
        <f aca="false">CHOOSE(MOD(A1652-1,5)+1,"Центр","Юг","Север","Запад","Восток")</f>
        <v>Центр</v>
      </c>
      <c r="G1652" s="10" t="str">
        <f aca="false">"Округ_"&amp;(MOD(A1652-1,5)+1)&amp;"_"&amp;(MOD(INT((A1652-1)/5),5)+1)</f>
        <v>Округ_1_1</v>
      </c>
      <c r="H1652" s="10" t="str">
        <f aca="false">"Город_"&amp;(MOD(A1652-1,5)+1)&amp;"_"&amp;(MOD(INT((A1652-1)/5),5)+1)&amp;"_"&amp;(MOD(INT((A1652-1)/25),10)+1)</f>
        <v>Город_1_1_7</v>
      </c>
      <c r="I1652" s="10" t="str">
        <f aca="false">CHOOSE(MOD(A1652-1,4)+1,"Электроника","Одежда","Продукты","Мебель")</f>
        <v>Продукты</v>
      </c>
      <c r="J1652" s="10" t="str">
        <f aca="false">CHOOSE(MOD(INT((A1652-1)/4),4)+1,CHOOSE(MOD(A1652-1,4)+1,"Смартфоны","Ноутбуки","Аксессуары","Аудио"),CHOOSE(MOD(A1652-1,4)+1,"Верхняя одежда","Спортивная","Повседневная","Обувь"),CHOOSE(MOD(A1652-1,4)+1,"Молочные","Мясные","Бакалея","Напитки"),CHOOSE(MOD(A1652-1,4)+1,"Мягкая мебель","Корпусная","Офисная","Кухонная"))</f>
        <v>Аксессуары</v>
      </c>
      <c r="K1652" s="12" t="n">
        <f aca="false">1000+MOD(A1652*317+A1652*A1652*7,49001)</f>
        <v>4574</v>
      </c>
      <c r="L1652" s="12" t="n">
        <f aca="false">1+MOD(A1652*131,100)</f>
        <v>82</v>
      </c>
      <c r="M1652" s="12" t="n">
        <f aca="false">INT(K1652*(0.6+MOD(A1652*43,21)/100))</f>
        <v>3339</v>
      </c>
      <c r="N1652" s="12" t="n">
        <f aca="false">K1652-M1652</f>
        <v>1235</v>
      </c>
    </row>
    <row r="1653" customFormat="false" ht="12.8" hidden="false" customHeight="false" outlineLevel="0" collapsed="false">
      <c r="A1653" s="10" t="n">
        <f aca="false">A1652+1</f>
        <v>1652</v>
      </c>
      <c r="B1653" s="11" t="n">
        <f aca="false">B1652+1</f>
        <v>46578</v>
      </c>
      <c r="C1653" s="10" t="n">
        <f aca="false">YEAR(B1653)</f>
        <v>2027</v>
      </c>
      <c r="D1653" s="10" t="n">
        <f aca="false">INT((MONTH(B1653)-1)/3)+1</f>
        <v>3</v>
      </c>
      <c r="E1653" s="10" t="n">
        <f aca="false">MONTH(B1653)</f>
        <v>7</v>
      </c>
      <c r="F1653" s="10" t="str">
        <f aca="false">CHOOSE(MOD(A1653-1,5)+1,"Центр","Юг","Север","Запад","Восток")</f>
        <v>Юг</v>
      </c>
      <c r="G1653" s="10" t="str">
        <f aca="false">"Округ_"&amp;(MOD(A1653-1,5)+1)&amp;"_"&amp;(MOD(INT((A1653-1)/5),5)+1)</f>
        <v>Округ_2_1</v>
      </c>
      <c r="H1653" s="10" t="str">
        <f aca="false">"Город_"&amp;(MOD(A1653-1,5)+1)&amp;"_"&amp;(MOD(INT((A1653-1)/5),5)+1)&amp;"_"&amp;(MOD(INT((A1653-1)/25),10)+1)</f>
        <v>Город_2_1_7</v>
      </c>
      <c r="I1653" s="10" t="str">
        <f aca="false">CHOOSE(MOD(A1653-1,4)+1,"Электроника","Одежда","Продукты","Мебель")</f>
        <v>Мебель</v>
      </c>
      <c r="J1653" s="10" t="str">
        <f aca="false">CHOOSE(MOD(INT((A1653-1)/4),4)+1,CHOOSE(MOD(A1653-1,4)+1,"Смартфоны","Ноутбуки","Аксессуары","Аудио"),CHOOSE(MOD(A1653-1,4)+1,"Верхняя одежда","Спортивная","Повседневная","Обувь"),CHOOSE(MOD(A1653-1,4)+1,"Молочные","Мясные","Бакалея","Напитки"),CHOOSE(MOD(A1653-1,4)+1,"Мягкая мебель","Корпусная","Офисная","Кухонная"))</f>
        <v>Аудио</v>
      </c>
      <c r="K1653" s="12" t="n">
        <f aca="false">1000+MOD(A1653*317+A1653*A1653*7,49001)</f>
        <v>28012</v>
      </c>
      <c r="L1653" s="12" t="n">
        <f aca="false">1+MOD(A1653*131,100)</f>
        <v>13</v>
      </c>
      <c r="M1653" s="12" t="n">
        <f aca="false">INT(K1653*(0.6+MOD(A1653*43,21)/100))</f>
        <v>20728</v>
      </c>
      <c r="N1653" s="12" t="n">
        <f aca="false">K1653-M1653</f>
        <v>7284</v>
      </c>
    </row>
    <row r="1654" customFormat="false" ht="12.8" hidden="false" customHeight="false" outlineLevel="0" collapsed="false">
      <c r="A1654" s="10" t="n">
        <f aca="false">A1653+1</f>
        <v>1653</v>
      </c>
      <c r="B1654" s="11" t="n">
        <f aca="false">B1653+1</f>
        <v>46579</v>
      </c>
      <c r="C1654" s="10" t="n">
        <f aca="false">YEAR(B1654)</f>
        <v>2027</v>
      </c>
      <c r="D1654" s="10" t="n">
        <f aca="false">INT((MONTH(B1654)-1)/3)+1</f>
        <v>3</v>
      </c>
      <c r="E1654" s="10" t="n">
        <f aca="false">MONTH(B1654)</f>
        <v>7</v>
      </c>
      <c r="F1654" s="10" t="str">
        <f aca="false">CHOOSE(MOD(A1654-1,5)+1,"Центр","Юг","Север","Запад","Восток")</f>
        <v>Север</v>
      </c>
      <c r="G1654" s="10" t="str">
        <f aca="false">"Округ_"&amp;(MOD(A1654-1,5)+1)&amp;"_"&amp;(MOD(INT((A1654-1)/5),5)+1)</f>
        <v>Округ_3_1</v>
      </c>
      <c r="H1654" s="10" t="str">
        <f aca="false">"Город_"&amp;(MOD(A1654-1,5)+1)&amp;"_"&amp;(MOD(INT((A1654-1)/5),5)+1)&amp;"_"&amp;(MOD(INT((A1654-1)/25),10)+1)</f>
        <v>Город_3_1_7</v>
      </c>
      <c r="I1654" s="10" t="str">
        <f aca="false">CHOOSE(MOD(A1654-1,4)+1,"Электроника","Одежда","Продукты","Мебель")</f>
        <v>Электроника</v>
      </c>
      <c r="J1654" s="10" t="str">
        <f aca="false">CHOOSE(MOD(INT((A1654-1)/4),4)+1,CHOOSE(MOD(A1654-1,4)+1,"Смартфоны","Ноутбуки","Аксессуары","Аудио"),CHOOSE(MOD(A1654-1,4)+1,"Верхняя одежда","Спортивная","Повседневная","Обувь"),CHOOSE(MOD(A1654-1,4)+1,"Молочные","Мясные","Бакалея","Напитки"),CHOOSE(MOD(A1654-1,4)+1,"Мягкая мебель","Корпусная","Офисная","Кухонная"))</f>
        <v>Верхняя одежда</v>
      </c>
      <c r="K1654" s="12" t="n">
        <f aca="false">1000+MOD(A1654*317+A1654*A1654*7,49001)</f>
        <v>2463</v>
      </c>
      <c r="L1654" s="12" t="n">
        <f aca="false">1+MOD(A1654*131,100)</f>
        <v>44</v>
      </c>
      <c r="M1654" s="12" t="n">
        <f aca="false">INT(K1654*(0.6+MOD(A1654*43,21)/100))</f>
        <v>1847</v>
      </c>
      <c r="N1654" s="12" t="n">
        <f aca="false">K1654-M1654</f>
        <v>616</v>
      </c>
    </row>
    <row r="1655" customFormat="false" ht="12.8" hidden="false" customHeight="false" outlineLevel="0" collapsed="false">
      <c r="A1655" s="10" t="n">
        <f aca="false">A1654+1</f>
        <v>1654</v>
      </c>
      <c r="B1655" s="11" t="n">
        <f aca="false">B1654+1</f>
        <v>46580</v>
      </c>
      <c r="C1655" s="10" t="n">
        <f aca="false">YEAR(B1655)</f>
        <v>2027</v>
      </c>
      <c r="D1655" s="10" t="n">
        <f aca="false">INT((MONTH(B1655)-1)/3)+1</f>
        <v>3</v>
      </c>
      <c r="E1655" s="10" t="n">
        <f aca="false">MONTH(B1655)</f>
        <v>7</v>
      </c>
      <c r="F1655" s="10" t="str">
        <f aca="false">CHOOSE(MOD(A1655-1,5)+1,"Центр","Юг","Север","Запад","Восток")</f>
        <v>Запад</v>
      </c>
      <c r="G1655" s="10" t="str">
        <f aca="false">"Округ_"&amp;(MOD(A1655-1,5)+1)&amp;"_"&amp;(MOD(INT((A1655-1)/5),5)+1)</f>
        <v>Округ_4_1</v>
      </c>
      <c r="H1655" s="10" t="str">
        <f aca="false">"Город_"&amp;(MOD(A1655-1,5)+1)&amp;"_"&amp;(MOD(INT((A1655-1)/5),5)+1)&amp;"_"&amp;(MOD(INT((A1655-1)/25),10)+1)</f>
        <v>Город_4_1_7</v>
      </c>
      <c r="I1655" s="10" t="str">
        <f aca="false">CHOOSE(MOD(A1655-1,4)+1,"Электроника","Одежда","Продукты","Мебель")</f>
        <v>Одежда</v>
      </c>
      <c r="J1655" s="10" t="str">
        <f aca="false">CHOOSE(MOD(INT((A1655-1)/4),4)+1,CHOOSE(MOD(A1655-1,4)+1,"Смартфоны","Ноутбуки","Аксессуары","Аудио"),CHOOSE(MOD(A1655-1,4)+1,"Верхняя одежда","Спортивная","Повседневная","Обувь"),CHOOSE(MOD(A1655-1,4)+1,"Молочные","Мясные","Бакалея","Напитки"),CHOOSE(MOD(A1655-1,4)+1,"Мягкая мебель","Корпусная","Офисная","Кухонная"))</f>
        <v>Спортивная</v>
      </c>
      <c r="K1655" s="12" t="n">
        <f aca="false">1000+MOD(A1655*317+A1655*A1655*7,49001)</f>
        <v>25929</v>
      </c>
      <c r="L1655" s="12" t="n">
        <f aca="false">1+MOD(A1655*131,100)</f>
        <v>75</v>
      </c>
      <c r="M1655" s="12" t="n">
        <f aca="false">INT(K1655*(0.6+MOD(A1655*43,21)/100))</f>
        <v>19706</v>
      </c>
      <c r="N1655" s="12" t="n">
        <f aca="false">K1655-M1655</f>
        <v>6223</v>
      </c>
    </row>
    <row r="1656" customFormat="false" ht="12.8" hidden="false" customHeight="false" outlineLevel="0" collapsed="false">
      <c r="A1656" s="10" t="n">
        <f aca="false">A1655+1</f>
        <v>1655</v>
      </c>
      <c r="B1656" s="11" t="n">
        <f aca="false">B1655+1</f>
        <v>46581</v>
      </c>
      <c r="C1656" s="10" t="n">
        <f aca="false">YEAR(B1656)</f>
        <v>2027</v>
      </c>
      <c r="D1656" s="10" t="n">
        <f aca="false">INT((MONTH(B1656)-1)/3)+1</f>
        <v>3</v>
      </c>
      <c r="E1656" s="10" t="n">
        <f aca="false">MONTH(B1656)</f>
        <v>7</v>
      </c>
      <c r="F1656" s="10" t="str">
        <f aca="false">CHOOSE(MOD(A1656-1,5)+1,"Центр","Юг","Север","Запад","Восток")</f>
        <v>Восток</v>
      </c>
      <c r="G1656" s="10" t="str">
        <f aca="false">"Округ_"&amp;(MOD(A1656-1,5)+1)&amp;"_"&amp;(MOD(INT((A1656-1)/5),5)+1)</f>
        <v>Округ_5_1</v>
      </c>
      <c r="H1656" s="10" t="str">
        <f aca="false">"Город_"&amp;(MOD(A1656-1,5)+1)&amp;"_"&amp;(MOD(INT((A1656-1)/5),5)+1)&amp;"_"&amp;(MOD(INT((A1656-1)/25),10)+1)</f>
        <v>Город_5_1_7</v>
      </c>
      <c r="I1656" s="10" t="str">
        <f aca="false">CHOOSE(MOD(A1656-1,4)+1,"Электроника","Одежда","Продукты","Мебель")</f>
        <v>Продукты</v>
      </c>
      <c r="J1656" s="10" t="str">
        <f aca="false">CHOOSE(MOD(INT((A1656-1)/4),4)+1,CHOOSE(MOD(A1656-1,4)+1,"Смартфоны","Ноутбуки","Аксессуары","Аудио"),CHOOSE(MOD(A1656-1,4)+1,"Верхняя одежда","Спортивная","Повседневная","Обувь"),CHOOSE(MOD(A1656-1,4)+1,"Молочные","Мясные","Бакалея","Напитки"),CHOOSE(MOD(A1656-1,4)+1,"Мягкая мебель","Корпусная","Офисная","Кухонная"))</f>
        <v>Повседневная</v>
      </c>
      <c r="K1656" s="12" t="n">
        <f aca="false">1000+MOD(A1656*317+A1656*A1656*7,49001)</f>
        <v>49409</v>
      </c>
      <c r="L1656" s="12" t="n">
        <f aca="false">1+MOD(A1656*131,100)</f>
        <v>6</v>
      </c>
      <c r="M1656" s="12" t="n">
        <f aca="false">INT(K1656*(0.6+MOD(A1656*43,21)/100))</f>
        <v>38044</v>
      </c>
      <c r="N1656" s="12" t="n">
        <f aca="false">K1656-M1656</f>
        <v>11365</v>
      </c>
    </row>
    <row r="1657" customFormat="false" ht="12.8" hidden="false" customHeight="false" outlineLevel="0" collapsed="false">
      <c r="A1657" s="10" t="n">
        <f aca="false">A1656+1</f>
        <v>1656</v>
      </c>
      <c r="B1657" s="11" t="n">
        <f aca="false">B1656+1</f>
        <v>46582</v>
      </c>
      <c r="C1657" s="10" t="n">
        <f aca="false">YEAR(B1657)</f>
        <v>2027</v>
      </c>
      <c r="D1657" s="10" t="n">
        <f aca="false">INT((MONTH(B1657)-1)/3)+1</f>
        <v>3</v>
      </c>
      <c r="E1657" s="10" t="n">
        <f aca="false">MONTH(B1657)</f>
        <v>7</v>
      </c>
      <c r="F1657" s="10" t="str">
        <f aca="false">CHOOSE(MOD(A1657-1,5)+1,"Центр","Юг","Север","Запад","Восток")</f>
        <v>Центр</v>
      </c>
      <c r="G1657" s="10" t="str">
        <f aca="false">"Округ_"&amp;(MOD(A1657-1,5)+1)&amp;"_"&amp;(MOD(INT((A1657-1)/5),5)+1)</f>
        <v>Округ_1_2</v>
      </c>
      <c r="H1657" s="10" t="str">
        <f aca="false">"Город_"&amp;(MOD(A1657-1,5)+1)&amp;"_"&amp;(MOD(INT((A1657-1)/5),5)+1)&amp;"_"&amp;(MOD(INT((A1657-1)/25),10)+1)</f>
        <v>Город_1_2_7</v>
      </c>
      <c r="I1657" s="10" t="str">
        <f aca="false">CHOOSE(MOD(A1657-1,4)+1,"Электроника","Одежда","Продукты","Мебель")</f>
        <v>Мебель</v>
      </c>
      <c r="J1657" s="10" t="str">
        <f aca="false">CHOOSE(MOD(INT((A1657-1)/4),4)+1,CHOOSE(MOD(A1657-1,4)+1,"Смартфоны","Ноутбуки","Аксессуары","Аудио"),CHOOSE(MOD(A1657-1,4)+1,"Верхняя одежда","Спортивная","Повседневная","Обувь"),CHOOSE(MOD(A1657-1,4)+1,"Молочные","Мясные","Бакалея","Напитки"),CHOOSE(MOD(A1657-1,4)+1,"Мягкая мебель","Корпусная","Офисная","Кухонная"))</f>
        <v>Обувь</v>
      </c>
      <c r="K1657" s="12" t="n">
        <f aca="false">1000+MOD(A1657*317+A1657*A1657*7,49001)</f>
        <v>23902</v>
      </c>
      <c r="L1657" s="12" t="n">
        <f aca="false">1+MOD(A1657*131,100)</f>
        <v>37</v>
      </c>
      <c r="M1657" s="12" t="n">
        <f aca="false">INT(K1657*(0.6+MOD(A1657*43,21)/100))</f>
        <v>18643</v>
      </c>
      <c r="N1657" s="12" t="n">
        <f aca="false">K1657-M1657</f>
        <v>5259</v>
      </c>
    </row>
    <row r="1658" customFormat="false" ht="12.8" hidden="false" customHeight="false" outlineLevel="0" collapsed="false">
      <c r="A1658" s="10" t="n">
        <f aca="false">A1657+1</f>
        <v>1657</v>
      </c>
      <c r="B1658" s="11" t="n">
        <f aca="false">B1657+1</f>
        <v>46583</v>
      </c>
      <c r="C1658" s="10" t="n">
        <f aca="false">YEAR(B1658)</f>
        <v>2027</v>
      </c>
      <c r="D1658" s="10" t="n">
        <f aca="false">INT((MONTH(B1658)-1)/3)+1</f>
        <v>3</v>
      </c>
      <c r="E1658" s="10" t="n">
        <f aca="false">MONTH(B1658)</f>
        <v>7</v>
      </c>
      <c r="F1658" s="10" t="str">
        <f aca="false">CHOOSE(MOD(A1658-1,5)+1,"Центр","Юг","Север","Запад","Восток")</f>
        <v>Юг</v>
      </c>
      <c r="G1658" s="10" t="str">
        <f aca="false">"Округ_"&amp;(MOD(A1658-1,5)+1)&amp;"_"&amp;(MOD(INT((A1658-1)/5),5)+1)</f>
        <v>Округ_2_2</v>
      </c>
      <c r="H1658" s="10" t="str">
        <f aca="false">"Город_"&amp;(MOD(A1658-1,5)+1)&amp;"_"&amp;(MOD(INT((A1658-1)/5),5)+1)&amp;"_"&amp;(MOD(INT((A1658-1)/25),10)+1)</f>
        <v>Город_2_2_7</v>
      </c>
      <c r="I1658" s="10" t="str">
        <f aca="false">CHOOSE(MOD(A1658-1,4)+1,"Электроника","Одежда","Продукты","Мебель")</f>
        <v>Электроника</v>
      </c>
      <c r="J1658" s="10" t="str">
        <f aca="false">CHOOSE(MOD(INT((A1658-1)/4),4)+1,CHOOSE(MOD(A1658-1,4)+1,"Смартфоны","Ноутбуки","Аксессуары","Аудио"),CHOOSE(MOD(A1658-1,4)+1,"Верхняя одежда","Спортивная","Повседневная","Обувь"),CHOOSE(MOD(A1658-1,4)+1,"Молочные","Мясные","Бакалея","Напитки"),CHOOSE(MOD(A1658-1,4)+1,"Мягкая мебель","Корпусная","Офисная","Кухонная"))</f>
        <v>Молочные</v>
      </c>
      <c r="K1658" s="12" t="n">
        <f aca="false">1000+MOD(A1658*317+A1658*A1658*7,49001)</f>
        <v>47410</v>
      </c>
      <c r="L1658" s="12" t="n">
        <f aca="false">1+MOD(A1658*131,100)</f>
        <v>68</v>
      </c>
      <c r="M1658" s="12" t="n">
        <f aca="false">INT(K1658*(0.6+MOD(A1658*43,21)/100))</f>
        <v>37453</v>
      </c>
      <c r="N1658" s="12" t="n">
        <f aca="false">K1658-M1658</f>
        <v>9957</v>
      </c>
    </row>
    <row r="1659" customFormat="false" ht="12.8" hidden="false" customHeight="false" outlineLevel="0" collapsed="false">
      <c r="A1659" s="10" t="n">
        <f aca="false">A1658+1</f>
        <v>1658</v>
      </c>
      <c r="B1659" s="11" t="n">
        <f aca="false">B1658+1</f>
        <v>46584</v>
      </c>
      <c r="C1659" s="10" t="n">
        <f aca="false">YEAR(B1659)</f>
        <v>2027</v>
      </c>
      <c r="D1659" s="10" t="n">
        <f aca="false">INT((MONTH(B1659)-1)/3)+1</f>
        <v>3</v>
      </c>
      <c r="E1659" s="10" t="n">
        <f aca="false">MONTH(B1659)</f>
        <v>7</v>
      </c>
      <c r="F1659" s="10" t="str">
        <f aca="false">CHOOSE(MOD(A1659-1,5)+1,"Центр","Юг","Север","Запад","Восток")</f>
        <v>Север</v>
      </c>
      <c r="G1659" s="10" t="str">
        <f aca="false">"Округ_"&amp;(MOD(A1659-1,5)+1)&amp;"_"&amp;(MOD(INT((A1659-1)/5),5)+1)</f>
        <v>Округ_3_2</v>
      </c>
      <c r="H1659" s="10" t="str">
        <f aca="false">"Город_"&amp;(MOD(A1659-1,5)+1)&amp;"_"&amp;(MOD(INT((A1659-1)/5),5)+1)&amp;"_"&amp;(MOD(INT((A1659-1)/25),10)+1)</f>
        <v>Город_3_2_7</v>
      </c>
      <c r="I1659" s="10" t="str">
        <f aca="false">CHOOSE(MOD(A1659-1,4)+1,"Электроника","Одежда","Продукты","Мебель")</f>
        <v>Одежда</v>
      </c>
      <c r="J1659" s="10" t="str">
        <f aca="false">CHOOSE(MOD(INT((A1659-1)/4),4)+1,CHOOSE(MOD(A1659-1,4)+1,"Смартфоны","Ноутбуки","Аксессуары","Аудио"),CHOOSE(MOD(A1659-1,4)+1,"Верхняя одежда","Спортивная","Повседневная","Обувь"),CHOOSE(MOD(A1659-1,4)+1,"Молочные","Мясные","Бакалея","Напитки"),CHOOSE(MOD(A1659-1,4)+1,"Мягкая мебель","Корпусная","Офисная","Кухонная"))</f>
        <v>Мясные</v>
      </c>
      <c r="K1659" s="12" t="n">
        <f aca="false">1000+MOD(A1659*317+A1659*A1659*7,49001)</f>
        <v>21931</v>
      </c>
      <c r="L1659" s="12" t="n">
        <f aca="false">1+MOD(A1659*131,100)</f>
        <v>99</v>
      </c>
      <c r="M1659" s="12" t="n">
        <f aca="false">INT(K1659*(0.6+MOD(A1659*43,21)/100))</f>
        <v>17544</v>
      </c>
      <c r="N1659" s="12" t="n">
        <f aca="false">K1659-M1659</f>
        <v>4387</v>
      </c>
    </row>
    <row r="1660" customFormat="false" ht="12.8" hidden="false" customHeight="false" outlineLevel="0" collapsed="false">
      <c r="A1660" s="10" t="n">
        <f aca="false">A1659+1</f>
        <v>1659</v>
      </c>
      <c r="B1660" s="11" t="n">
        <f aca="false">B1659+1</f>
        <v>46585</v>
      </c>
      <c r="C1660" s="10" t="n">
        <f aca="false">YEAR(B1660)</f>
        <v>2027</v>
      </c>
      <c r="D1660" s="10" t="n">
        <f aca="false">INT((MONTH(B1660)-1)/3)+1</f>
        <v>3</v>
      </c>
      <c r="E1660" s="10" t="n">
        <f aca="false">MONTH(B1660)</f>
        <v>7</v>
      </c>
      <c r="F1660" s="10" t="str">
        <f aca="false">CHOOSE(MOD(A1660-1,5)+1,"Центр","Юг","Север","Запад","Восток")</f>
        <v>Запад</v>
      </c>
      <c r="G1660" s="10" t="str">
        <f aca="false">"Округ_"&amp;(MOD(A1660-1,5)+1)&amp;"_"&amp;(MOD(INT((A1660-1)/5),5)+1)</f>
        <v>Округ_4_2</v>
      </c>
      <c r="H1660" s="10" t="str">
        <f aca="false">"Город_"&amp;(MOD(A1660-1,5)+1)&amp;"_"&amp;(MOD(INT((A1660-1)/5),5)+1)&amp;"_"&amp;(MOD(INT((A1660-1)/25),10)+1)</f>
        <v>Город_4_2_7</v>
      </c>
      <c r="I1660" s="10" t="str">
        <f aca="false">CHOOSE(MOD(A1660-1,4)+1,"Электроника","Одежда","Продукты","Мебель")</f>
        <v>Продукты</v>
      </c>
      <c r="J1660" s="10" t="str">
        <f aca="false">CHOOSE(MOD(INT((A1660-1)/4),4)+1,CHOOSE(MOD(A1660-1,4)+1,"Смартфоны","Ноутбуки","Аксессуары","Аудио"),CHOOSE(MOD(A1660-1,4)+1,"Верхняя одежда","Спортивная","Повседневная","Обувь"),CHOOSE(MOD(A1660-1,4)+1,"Молочные","Мясные","Бакалея","Напитки"),CHOOSE(MOD(A1660-1,4)+1,"Мягкая мебель","Корпусная","Офисная","Кухонная"))</f>
        <v>Бакалея</v>
      </c>
      <c r="K1660" s="12" t="n">
        <f aca="false">1000+MOD(A1660*317+A1660*A1660*7,49001)</f>
        <v>45467</v>
      </c>
      <c r="L1660" s="12" t="n">
        <f aca="false">1+MOD(A1660*131,100)</f>
        <v>30</v>
      </c>
      <c r="M1660" s="12" t="n">
        <f aca="false">INT(K1660*(0.6+MOD(A1660*43,21)/100))</f>
        <v>27280</v>
      </c>
      <c r="N1660" s="12" t="n">
        <f aca="false">K1660-M1660</f>
        <v>18187</v>
      </c>
    </row>
    <row r="1661" customFormat="false" ht="12.8" hidden="false" customHeight="false" outlineLevel="0" collapsed="false">
      <c r="A1661" s="10" t="n">
        <f aca="false">A1660+1</f>
        <v>1660</v>
      </c>
      <c r="B1661" s="11" t="n">
        <f aca="false">B1660+1</f>
        <v>46586</v>
      </c>
      <c r="C1661" s="10" t="n">
        <f aca="false">YEAR(B1661)</f>
        <v>2027</v>
      </c>
      <c r="D1661" s="10" t="n">
        <f aca="false">INT((MONTH(B1661)-1)/3)+1</f>
        <v>3</v>
      </c>
      <c r="E1661" s="10" t="n">
        <f aca="false">MONTH(B1661)</f>
        <v>7</v>
      </c>
      <c r="F1661" s="10" t="str">
        <f aca="false">CHOOSE(MOD(A1661-1,5)+1,"Центр","Юг","Север","Запад","Восток")</f>
        <v>Восток</v>
      </c>
      <c r="G1661" s="10" t="str">
        <f aca="false">"Округ_"&amp;(MOD(A1661-1,5)+1)&amp;"_"&amp;(MOD(INT((A1661-1)/5),5)+1)</f>
        <v>Округ_5_2</v>
      </c>
      <c r="H1661" s="10" t="str">
        <f aca="false">"Город_"&amp;(MOD(A1661-1,5)+1)&amp;"_"&amp;(MOD(INT((A1661-1)/5),5)+1)&amp;"_"&amp;(MOD(INT((A1661-1)/25),10)+1)</f>
        <v>Город_5_2_7</v>
      </c>
      <c r="I1661" s="10" t="str">
        <f aca="false">CHOOSE(MOD(A1661-1,4)+1,"Электроника","Одежда","Продукты","Мебель")</f>
        <v>Мебель</v>
      </c>
      <c r="J1661" s="10" t="str">
        <f aca="false">CHOOSE(MOD(INT((A1661-1)/4),4)+1,CHOOSE(MOD(A1661-1,4)+1,"Смартфоны","Ноутбуки","Аксессуары","Аудио"),CHOOSE(MOD(A1661-1,4)+1,"Верхняя одежда","Спортивная","Повседневная","Обувь"),CHOOSE(MOD(A1661-1,4)+1,"Молочные","Мясные","Бакалея","Напитки"),CHOOSE(MOD(A1661-1,4)+1,"Мягкая мебель","Корпусная","Офисная","Кухонная"))</f>
        <v>Напитки</v>
      </c>
      <c r="K1661" s="12" t="n">
        <f aca="false">1000+MOD(A1661*317+A1661*A1661*7,49001)</f>
        <v>20016</v>
      </c>
      <c r="L1661" s="12" t="n">
        <f aca="false">1+MOD(A1661*131,100)</f>
        <v>61</v>
      </c>
      <c r="M1661" s="12" t="n">
        <f aca="false">INT(K1661*(0.6+MOD(A1661*43,21)/100))</f>
        <v>12209</v>
      </c>
      <c r="N1661" s="12" t="n">
        <f aca="false">K1661-M1661</f>
        <v>7807</v>
      </c>
    </row>
    <row r="1662" customFormat="false" ht="12.8" hidden="false" customHeight="false" outlineLevel="0" collapsed="false">
      <c r="A1662" s="10" t="n">
        <f aca="false">A1661+1</f>
        <v>1661</v>
      </c>
      <c r="B1662" s="11" t="n">
        <f aca="false">B1661+1</f>
        <v>46587</v>
      </c>
      <c r="C1662" s="10" t="n">
        <f aca="false">YEAR(B1662)</f>
        <v>2027</v>
      </c>
      <c r="D1662" s="10" t="n">
        <f aca="false">INT((MONTH(B1662)-1)/3)+1</f>
        <v>3</v>
      </c>
      <c r="E1662" s="10" t="n">
        <f aca="false">MONTH(B1662)</f>
        <v>7</v>
      </c>
      <c r="F1662" s="10" t="str">
        <f aca="false">CHOOSE(MOD(A1662-1,5)+1,"Центр","Юг","Север","Запад","Восток")</f>
        <v>Центр</v>
      </c>
      <c r="G1662" s="10" t="str">
        <f aca="false">"Округ_"&amp;(MOD(A1662-1,5)+1)&amp;"_"&amp;(MOD(INT((A1662-1)/5),5)+1)</f>
        <v>Округ_1_3</v>
      </c>
      <c r="H1662" s="10" t="str">
        <f aca="false">"Город_"&amp;(MOD(A1662-1,5)+1)&amp;"_"&amp;(MOD(INT((A1662-1)/5),5)+1)&amp;"_"&amp;(MOD(INT((A1662-1)/25),10)+1)</f>
        <v>Город_1_3_7</v>
      </c>
      <c r="I1662" s="10" t="str">
        <f aca="false">CHOOSE(MOD(A1662-1,4)+1,"Электроника","Одежда","Продукты","Мебель")</f>
        <v>Электроника</v>
      </c>
      <c r="J1662" s="10" t="str">
        <f aca="false">CHOOSE(MOD(INT((A1662-1)/4),4)+1,CHOOSE(MOD(A1662-1,4)+1,"Смартфоны","Ноутбуки","Аксессуары","Аудио"),CHOOSE(MOD(A1662-1,4)+1,"Верхняя одежда","Спортивная","Повседневная","Обувь"),CHOOSE(MOD(A1662-1,4)+1,"Молочные","Мясные","Бакалея","Напитки"),CHOOSE(MOD(A1662-1,4)+1,"Мягкая мебель","Корпусная","Офисная","Кухонная"))</f>
        <v>Мягкая мебель</v>
      </c>
      <c r="K1662" s="12" t="n">
        <f aca="false">1000+MOD(A1662*317+A1662*A1662*7,49001)</f>
        <v>43580</v>
      </c>
      <c r="L1662" s="12" t="n">
        <f aca="false">1+MOD(A1662*131,100)</f>
        <v>92</v>
      </c>
      <c r="M1662" s="12" t="n">
        <f aca="false">INT(K1662*(0.6+MOD(A1662*43,21)/100))</f>
        <v>27019</v>
      </c>
      <c r="N1662" s="12" t="n">
        <f aca="false">K1662-M1662</f>
        <v>16561</v>
      </c>
    </row>
    <row r="1663" customFormat="false" ht="12.8" hidden="false" customHeight="false" outlineLevel="0" collapsed="false">
      <c r="A1663" s="10" t="n">
        <f aca="false">A1662+1</f>
        <v>1662</v>
      </c>
      <c r="B1663" s="11" t="n">
        <f aca="false">B1662+1</f>
        <v>46588</v>
      </c>
      <c r="C1663" s="10" t="n">
        <f aca="false">YEAR(B1663)</f>
        <v>2027</v>
      </c>
      <c r="D1663" s="10" t="n">
        <f aca="false">INT((MONTH(B1663)-1)/3)+1</f>
        <v>3</v>
      </c>
      <c r="E1663" s="10" t="n">
        <f aca="false">MONTH(B1663)</f>
        <v>7</v>
      </c>
      <c r="F1663" s="10" t="str">
        <f aca="false">CHOOSE(MOD(A1663-1,5)+1,"Центр","Юг","Север","Запад","Восток")</f>
        <v>Юг</v>
      </c>
      <c r="G1663" s="10" t="str">
        <f aca="false">"Округ_"&amp;(MOD(A1663-1,5)+1)&amp;"_"&amp;(MOD(INT((A1663-1)/5),5)+1)</f>
        <v>Округ_2_3</v>
      </c>
      <c r="H1663" s="10" t="str">
        <f aca="false">"Город_"&amp;(MOD(A1663-1,5)+1)&amp;"_"&amp;(MOD(INT((A1663-1)/5),5)+1)&amp;"_"&amp;(MOD(INT((A1663-1)/25),10)+1)</f>
        <v>Город_2_3_7</v>
      </c>
      <c r="I1663" s="10" t="str">
        <f aca="false">CHOOSE(MOD(A1663-1,4)+1,"Электроника","Одежда","Продукты","Мебель")</f>
        <v>Одежда</v>
      </c>
      <c r="J1663" s="10" t="str">
        <f aca="false">CHOOSE(MOD(INT((A1663-1)/4),4)+1,CHOOSE(MOD(A1663-1,4)+1,"Смартфоны","Ноутбуки","Аксессуары","Аудио"),CHOOSE(MOD(A1663-1,4)+1,"Верхняя одежда","Спортивная","Повседневная","Обувь"),CHOOSE(MOD(A1663-1,4)+1,"Молочные","Мясные","Бакалея","Напитки"),CHOOSE(MOD(A1663-1,4)+1,"Мягкая мебель","Корпусная","Офисная","Кухонная"))</f>
        <v>Корпусная</v>
      </c>
      <c r="K1663" s="12" t="n">
        <f aca="false">1000+MOD(A1663*317+A1663*A1663*7,49001)</f>
        <v>18157</v>
      </c>
      <c r="L1663" s="12" t="n">
        <f aca="false">1+MOD(A1663*131,100)</f>
        <v>23</v>
      </c>
      <c r="M1663" s="12" t="n">
        <f aca="false">INT(K1663*(0.6+MOD(A1663*43,21)/100))</f>
        <v>11438</v>
      </c>
      <c r="N1663" s="12" t="n">
        <f aca="false">K1663-M1663</f>
        <v>6719</v>
      </c>
    </row>
    <row r="1664" customFormat="false" ht="12.8" hidden="false" customHeight="false" outlineLevel="0" collapsed="false">
      <c r="A1664" s="10" t="n">
        <f aca="false">A1663+1</f>
        <v>1663</v>
      </c>
      <c r="B1664" s="11" t="n">
        <f aca="false">B1663+1</f>
        <v>46589</v>
      </c>
      <c r="C1664" s="10" t="n">
        <f aca="false">YEAR(B1664)</f>
        <v>2027</v>
      </c>
      <c r="D1664" s="10" t="n">
        <f aca="false">INT((MONTH(B1664)-1)/3)+1</f>
        <v>3</v>
      </c>
      <c r="E1664" s="10" t="n">
        <f aca="false">MONTH(B1664)</f>
        <v>7</v>
      </c>
      <c r="F1664" s="10" t="str">
        <f aca="false">CHOOSE(MOD(A1664-1,5)+1,"Центр","Юг","Север","Запад","Восток")</f>
        <v>Север</v>
      </c>
      <c r="G1664" s="10" t="str">
        <f aca="false">"Округ_"&amp;(MOD(A1664-1,5)+1)&amp;"_"&amp;(MOD(INT((A1664-1)/5),5)+1)</f>
        <v>Округ_3_3</v>
      </c>
      <c r="H1664" s="10" t="str">
        <f aca="false">"Город_"&amp;(MOD(A1664-1,5)+1)&amp;"_"&amp;(MOD(INT((A1664-1)/5),5)+1)&amp;"_"&amp;(MOD(INT((A1664-1)/25),10)+1)</f>
        <v>Город_3_3_7</v>
      </c>
      <c r="I1664" s="10" t="str">
        <f aca="false">CHOOSE(MOD(A1664-1,4)+1,"Электроника","Одежда","Продукты","Мебель")</f>
        <v>Продукты</v>
      </c>
      <c r="J1664" s="10" t="str">
        <f aca="false">CHOOSE(MOD(INT((A1664-1)/4),4)+1,CHOOSE(MOD(A1664-1,4)+1,"Смартфоны","Ноутбуки","Аксессуары","Аудио"),CHOOSE(MOD(A1664-1,4)+1,"Верхняя одежда","Спортивная","Повседневная","Обувь"),CHOOSE(MOD(A1664-1,4)+1,"Молочные","Мясные","Бакалея","Напитки"),CHOOSE(MOD(A1664-1,4)+1,"Мягкая мебель","Корпусная","Офисная","Кухонная"))</f>
        <v>Офисная</v>
      </c>
      <c r="K1664" s="12" t="n">
        <f aca="false">1000+MOD(A1664*317+A1664*A1664*7,49001)</f>
        <v>41749</v>
      </c>
      <c r="L1664" s="12" t="n">
        <f aca="false">1+MOD(A1664*131,100)</f>
        <v>54</v>
      </c>
      <c r="M1664" s="12" t="n">
        <f aca="false">INT(K1664*(0.6+MOD(A1664*43,21)/100))</f>
        <v>26719</v>
      </c>
      <c r="N1664" s="12" t="n">
        <f aca="false">K1664-M1664</f>
        <v>15030</v>
      </c>
    </row>
    <row r="1665" customFormat="false" ht="12.8" hidden="false" customHeight="false" outlineLevel="0" collapsed="false">
      <c r="A1665" s="10" t="n">
        <f aca="false">A1664+1</f>
        <v>1664</v>
      </c>
      <c r="B1665" s="11" t="n">
        <f aca="false">B1664+1</f>
        <v>46590</v>
      </c>
      <c r="C1665" s="10" t="n">
        <f aca="false">YEAR(B1665)</f>
        <v>2027</v>
      </c>
      <c r="D1665" s="10" t="n">
        <f aca="false">INT((MONTH(B1665)-1)/3)+1</f>
        <v>3</v>
      </c>
      <c r="E1665" s="10" t="n">
        <f aca="false">MONTH(B1665)</f>
        <v>7</v>
      </c>
      <c r="F1665" s="10" t="str">
        <f aca="false">CHOOSE(MOD(A1665-1,5)+1,"Центр","Юг","Север","Запад","Восток")</f>
        <v>Запад</v>
      </c>
      <c r="G1665" s="10" t="str">
        <f aca="false">"Округ_"&amp;(MOD(A1665-1,5)+1)&amp;"_"&amp;(MOD(INT((A1665-1)/5),5)+1)</f>
        <v>Округ_4_3</v>
      </c>
      <c r="H1665" s="10" t="str">
        <f aca="false">"Город_"&amp;(MOD(A1665-1,5)+1)&amp;"_"&amp;(MOD(INT((A1665-1)/5),5)+1)&amp;"_"&amp;(MOD(INT((A1665-1)/25),10)+1)</f>
        <v>Город_4_3_7</v>
      </c>
      <c r="I1665" s="10" t="str">
        <f aca="false">CHOOSE(MOD(A1665-1,4)+1,"Электроника","Одежда","Продукты","Мебель")</f>
        <v>Мебель</v>
      </c>
      <c r="J1665" s="10" t="str">
        <f aca="false">CHOOSE(MOD(INT((A1665-1)/4),4)+1,CHOOSE(MOD(A1665-1,4)+1,"Смартфоны","Ноутбуки","Аксессуары","Аудио"),CHOOSE(MOD(A1665-1,4)+1,"Верхняя одежда","Спортивная","Повседневная","Обувь"),CHOOSE(MOD(A1665-1,4)+1,"Молочные","Мясные","Бакалея","Напитки"),CHOOSE(MOD(A1665-1,4)+1,"Мягкая мебель","Корпусная","Офисная","Кухонная"))</f>
        <v>Кухонная</v>
      </c>
      <c r="K1665" s="12" t="n">
        <f aca="false">1000+MOD(A1665*317+A1665*A1665*7,49001)</f>
        <v>16354</v>
      </c>
      <c r="L1665" s="12" t="n">
        <f aca="false">1+MOD(A1665*131,100)</f>
        <v>85</v>
      </c>
      <c r="M1665" s="12" t="n">
        <f aca="false">INT(K1665*(0.6+MOD(A1665*43,21)/100))</f>
        <v>10630</v>
      </c>
      <c r="N1665" s="12" t="n">
        <f aca="false">K1665-M1665</f>
        <v>5724</v>
      </c>
    </row>
    <row r="1666" customFormat="false" ht="12.8" hidden="false" customHeight="false" outlineLevel="0" collapsed="false">
      <c r="A1666" s="10" t="n">
        <f aca="false">A1665+1</f>
        <v>1665</v>
      </c>
      <c r="B1666" s="11" t="n">
        <f aca="false">B1665+1</f>
        <v>46591</v>
      </c>
      <c r="C1666" s="10" t="n">
        <f aca="false">YEAR(B1666)</f>
        <v>2027</v>
      </c>
      <c r="D1666" s="10" t="n">
        <f aca="false">INT((MONTH(B1666)-1)/3)+1</f>
        <v>3</v>
      </c>
      <c r="E1666" s="10" t="n">
        <f aca="false">MONTH(B1666)</f>
        <v>7</v>
      </c>
      <c r="F1666" s="10" t="str">
        <f aca="false">CHOOSE(MOD(A1666-1,5)+1,"Центр","Юг","Север","Запад","Восток")</f>
        <v>Восток</v>
      </c>
      <c r="G1666" s="10" t="str">
        <f aca="false">"Округ_"&amp;(MOD(A1666-1,5)+1)&amp;"_"&amp;(MOD(INT((A1666-1)/5),5)+1)</f>
        <v>Округ_5_3</v>
      </c>
      <c r="H1666" s="10" t="str">
        <f aca="false">"Город_"&amp;(MOD(A1666-1,5)+1)&amp;"_"&amp;(MOD(INT((A1666-1)/5),5)+1)&amp;"_"&amp;(MOD(INT((A1666-1)/25),10)+1)</f>
        <v>Город_5_3_7</v>
      </c>
      <c r="I1666" s="10" t="str">
        <f aca="false">CHOOSE(MOD(A1666-1,4)+1,"Электроника","Одежда","Продукты","Мебель")</f>
        <v>Электроника</v>
      </c>
      <c r="J1666" s="10" t="str">
        <f aca="false">CHOOSE(MOD(INT((A1666-1)/4),4)+1,CHOOSE(MOD(A1666-1,4)+1,"Смартфоны","Ноутбуки","Аксессуары","Аудио"),CHOOSE(MOD(A1666-1,4)+1,"Верхняя одежда","Спортивная","Повседневная","Обувь"),CHOOSE(MOD(A1666-1,4)+1,"Молочные","Мясные","Бакалея","Напитки"),CHOOSE(MOD(A1666-1,4)+1,"Мягкая мебель","Корпусная","Офисная","Кухонная"))</f>
        <v>Смартфоны</v>
      </c>
      <c r="K1666" s="12" t="n">
        <f aca="false">1000+MOD(A1666*317+A1666*A1666*7,49001)</f>
        <v>39974</v>
      </c>
      <c r="L1666" s="12" t="n">
        <f aca="false">1+MOD(A1666*131,100)</f>
        <v>16</v>
      </c>
      <c r="M1666" s="12" t="n">
        <f aca="false">INT(K1666*(0.6+MOD(A1666*43,21)/100))</f>
        <v>26382</v>
      </c>
      <c r="N1666" s="12" t="n">
        <f aca="false">K1666-M1666</f>
        <v>13592</v>
      </c>
    </row>
    <row r="1667" customFormat="false" ht="12.8" hidden="false" customHeight="false" outlineLevel="0" collapsed="false">
      <c r="A1667" s="10" t="n">
        <f aca="false">A1666+1</f>
        <v>1666</v>
      </c>
      <c r="B1667" s="11" t="n">
        <f aca="false">B1666+1</f>
        <v>46592</v>
      </c>
      <c r="C1667" s="10" t="n">
        <f aca="false">YEAR(B1667)</f>
        <v>2027</v>
      </c>
      <c r="D1667" s="10" t="n">
        <f aca="false">INT((MONTH(B1667)-1)/3)+1</f>
        <v>3</v>
      </c>
      <c r="E1667" s="10" t="n">
        <f aca="false">MONTH(B1667)</f>
        <v>7</v>
      </c>
      <c r="F1667" s="10" t="str">
        <f aca="false">CHOOSE(MOD(A1667-1,5)+1,"Центр","Юг","Север","Запад","Восток")</f>
        <v>Центр</v>
      </c>
      <c r="G1667" s="10" t="str">
        <f aca="false">"Округ_"&amp;(MOD(A1667-1,5)+1)&amp;"_"&amp;(MOD(INT((A1667-1)/5),5)+1)</f>
        <v>Округ_1_4</v>
      </c>
      <c r="H1667" s="10" t="str">
        <f aca="false">"Город_"&amp;(MOD(A1667-1,5)+1)&amp;"_"&amp;(MOD(INT((A1667-1)/5),5)+1)&amp;"_"&amp;(MOD(INT((A1667-1)/25),10)+1)</f>
        <v>Город_1_4_7</v>
      </c>
      <c r="I1667" s="10" t="str">
        <f aca="false">CHOOSE(MOD(A1667-1,4)+1,"Электроника","Одежда","Продукты","Мебель")</f>
        <v>Одежда</v>
      </c>
      <c r="J1667" s="10" t="str">
        <f aca="false">CHOOSE(MOD(INT((A1667-1)/4),4)+1,CHOOSE(MOD(A1667-1,4)+1,"Смартфоны","Ноутбуки","Аксессуары","Аудио"),CHOOSE(MOD(A1667-1,4)+1,"Верхняя одежда","Спортивная","Повседневная","Обувь"),CHOOSE(MOD(A1667-1,4)+1,"Молочные","Мясные","Бакалея","Напитки"),CHOOSE(MOD(A1667-1,4)+1,"Мягкая мебель","Корпусная","Офисная","Кухонная"))</f>
        <v>Ноутбуки</v>
      </c>
      <c r="K1667" s="12" t="n">
        <f aca="false">1000+MOD(A1667*317+A1667*A1667*7,49001)</f>
        <v>14607</v>
      </c>
      <c r="L1667" s="12" t="n">
        <f aca="false">1+MOD(A1667*131,100)</f>
        <v>47</v>
      </c>
      <c r="M1667" s="12" t="n">
        <f aca="false">INT(K1667*(0.6+MOD(A1667*43,21)/100))</f>
        <v>9786</v>
      </c>
      <c r="N1667" s="12" t="n">
        <f aca="false">K1667-M1667</f>
        <v>4821</v>
      </c>
    </row>
    <row r="1668" customFormat="false" ht="12.8" hidden="false" customHeight="false" outlineLevel="0" collapsed="false">
      <c r="A1668" s="10" t="n">
        <f aca="false">A1667+1</f>
        <v>1667</v>
      </c>
      <c r="B1668" s="11" t="n">
        <f aca="false">B1667+1</f>
        <v>46593</v>
      </c>
      <c r="C1668" s="10" t="n">
        <f aca="false">YEAR(B1668)</f>
        <v>2027</v>
      </c>
      <c r="D1668" s="10" t="n">
        <f aca="false">INT((MONTH(B1668)-1)/3)+1</f>
        <v>3</v>
      </c>
      <c r="E1668" s="10" t="n">
        <f aca="false">MONTH(B1668)</f>
        <v>7</v>
      </c>
      <c r="F1668" s="10" t="str">
        <f aca="false">CHOOSE(MOD(A1668-1,5)+1,"Центр","Юг","Север","Запад","Восток")</f>
        <v>Юг</v>
      </c>
      <c r="G1668" s="10" t="str">
        <f aca="false">"Округ_"&amp;(MOD(A1668-1,5)+1)&amp;"_"&amp;(MOD(INT((A1668-1)/5),5)+1)</f>
        <v>Округ_2_4</v>
      </c>
      <c r="H1668" s="10" t="str">
        <f aca="false">"Город_"&amp;(MOD(A1668-1,5)+1)&amp;"_"&amp;(MOD(INT((A1668-1)/5),5)+1)&amp;"_"&amp;(MOD(INT((A1668-1)/25),10)+1)</f>
        <v>Город_2_4_7</v>
      </c>
      <c r="I1668" s="10" t="str">
        <f aca="false">CHOOSE(MOD(A1668-1,4)+1,"Электроника","Одежда","Продукты","Мебель")</f>
        <v>Продукты</v>
      </c>
      <c r="J1668" s="10" t="str">
        <f aca="false">CHOOSE(MOD(INT((A1668-1)/4),4)+1,CHOOSE(MOD(A1668-1,4)+1,"Смартфоны","Ноутбуки","Аксессуары","Аудио"),CHOOSE(MOD(A1668-1,4)+1,"Верхняя одежда","Спортивная","Повседневная","Обувь"),CHOOSE(MOD(A1668-1,4)+1,"Молочные","Мясные","Бакалея","Напитки"),CHOOSE(MOD(A1668-1,4)+1,"Мягкая мебель","Корпусная","Офисная","Кухонная"))</f>
        <v>Аксессуары</v>
      </c>
      <c r="K1668" s="12" t="n">
        <f aca="false">1000+MOD(A1668*317+A1668*A1668*7,49001)</f>
        <v>38255</v>
      </c>
      <c r="L1668" s="12" t="n">
        <f aca="false">1+MOD(A1668*131,100)</f>
        <v>78</v>
      </c>
      <c r="M1668" s="12" t="n">
        <f aca="false">INT(K1668*(0.6+MOD(A1668*43,21)/100))</f>
        <v>26013</v>
      </c>
      <c r="N1668" s="12" t="n">
        <f aca="false">K1668-M1668</f>
        <v>12242</v>
      </c>
    </row>
    <row r="1669" customFormat="false" ht="12.8" hidden="false" customHeight="false" outlineLevel="0" collapsed="false">
      <c r="A1669" s="10" t="n">
        <f aca="false">A1668+1</f>
        <v>1668</v>
      </c>
      <c r="B1669" s="11" t="n">
        <f aca="false">B1668+1</f>
        <v>46594</v>
      </c>
      <c r="C1669" s="10" t="n">
        <f aca="false">YEAR(B1669)</f>
        <v>2027</v>
      </c>
      <c r="D1669" s="10" t="n">
        <f aca="false">INT((MONTH(B1669)-1)/3)+1</f>
        <v>3</v>
      </c>
      <c r="E1669" s="10" t="n">
        <f aca="false">MONTH(B1669)</f>
        <v>7</v>
      </c>
      <c r="F1669" s="10" t="str">
        <f aca="false">CHOOSE(MOD(A1669-1,5)+1,"Центр","Юг","Север","Запад","Восток")</f>
        <v>Север</v>
      </c>
      <c r="G1669" s="10" t="str">
        <f aca="false">"Округ_"&amp;(MOD(A1669-1,5)+1)&amp;"_"&amp;(MOD(INT((A1669-1)/5),5)+1)</f>
        <v>Округ_3_4</v>
      </c>
      <c r="H1669" s="10" t="str">
        <f aca="false">"Город_"&amp;(MOD(A1669-1,5)+1)&amp;"_"&amp;(MOD(INT((A1669-1)/5),5)+1)&amp;"_"&amp;(MOD(INT((A1669-1)/25),10)+1)</f>
        <v>Город_3_4_7</v>
      </c>
      <c r="I1669" s="10" t="str">
        <f aca="false">CHOOSE(MOD(A1669-1,4)+1,"Электроника","Одежда","Продукты","Мебель")</f>
        <v>Мебель</v>
      </c>
      <c r="J1669" s="10" t="str">
        <f aca="false">CHOOSE(MOD(INT((A1669-1)/4),4)+1,CHOOSE(MOD(A1669-1,4)+1,"Смартфоны","Ноутбуки","Аксессуары","Аудио"),CHOOSE(MOD(A1669-1,4)+1,"Верхняя одежда","Спортивная","Повседневная","Обувь"),CHOOSE(MOD(A1669-1,4)+1,"Молочные","Мясные","Бакалея","Напитки"),CHOOSE(MOD(A1669-1,4)+1,"Мягкая мебель","Корпусная","Офисная","Кухонная"))</f>
        <v>Аудио</v>
      </c>
      <c r="K1669" s="12" t="n">
        <f aca="false">1000+MOD(A1669*317+A1669*A1669*7,49001)</f>
        <v>12916</v>
      </c>
      <c r="L1669" s="12" t="n">
        <f aca="false">1+MOD(A1669*131,100)</f>
        <v>9</v>
      </c>
      <c r="M1669" s="12" t="n">
        <f aca="false">INT(K1669*(0.6+MOD(A1669*43,21)/100))</f>
        <v>8912</v>
      </c>
      <c r="N1669" s="12" t="n">
        <f aca="false">K1669-M1669</f>
        <v>4004</v>
      </c>
    </row>
    <row r="1670" customFormat="false" ht="12.8" hidden="false" customHeight="false" outlineLevel="0" collapsed="false">
      <c r="A1670" s="10" t="n">
        <f aca="false">A1669+1</f>
        <v>1669</v>
      </c>
      <c r="B1670" s="11" t="n">
        <f aca="false">B1669+1</f>
        <v>46595</v>
      </c>
      <c r="C1670" s="10" t="n">
        <f aca="false">YEAR(B1670)</f>
        <v>2027</v>
      </c>
      <c r="D1670" s="10" t="n">
        <f aca="false">INT((MONTH(B1670)-1)/3)+1</f>
        <v>3</v>
      </c>
      <c r="E1670" s="10" t="n">
        <f aca="false">MONTH(B1670)</f>
        <v>7</v>
      </c>
      <c r="F1670" s="10" t="str">
        <f aca="false">CHOOSE(MOD(A1670-1,5)+1,"Центр","Юг","Север","Запад","Восток")</f>
        <v>Запад</v>
      </c>
      <c r="G1670" s="10" t="str">
        <f aca="false">"Округ_"&amp;(MOD(A1670-1,5)+1)&amp;"_"&amp;(MOD(INT((A1670-1)/5),5)+1)</f>
        <v>Округ_4_4</v>
      </c>
      <c r="H1670" s="10" t="str">
        <f aca="false">"Город_"&amp;(MOD(A1670-1,5)+1)&amp;"_"&amp;(MOD(INT((A1670-1)/5),5)+1)&amp;"_"&amp;(MOD(INT((A1670-1)/25),10)+1)</f>
        <v>Город_4_4_7</v>
      </c>
      <c r="I1670" s="10" t="str">
        <f aca="false">CHOOSE(MOD(A1670-1,4)+1,"Электроника","Одежда","Продукты","Мебель")</f>
        <v>Электроника</v>
      </c>
      <c r="J1670" s="10" t="str">
        <f aca="false">CHOOSE(MOD(INT((A1670-1)/4),4)+1,CHOOSE(MOD(A1670-1,4)+1,"Смартфоны","Ноутбуки","Аксессуары","Аудио"),CHOOSE(MOD(A1670-1,4)+1,"Верхняя одежда","Спортивная","Повседневная","Обувь"),CHOOSE(MOD(A1670-1,4)+1,"Молочные","Мясные","Бакалея","Напитки"),CHOOSE(MOD(A1670-1,4)+1,"Мягкая мебель","Корпусная","Офисная","Кухонная"))</f>
        <v>Верхняя одежда</v>
      </c>
      <c r="K1670" s="12" t="n">
        <f aca="false">1000+MOD(A1670*317+A1670*A1670*7,49001)</f>
        <v>36592</v>
      </c>
      <c r="L1670" s="12" t="n">
        <f aca="false">1+MOD(A1670*131,100)</f>
        <v>40</v>
      </c>
      <c r="M1670" s="12" t="n">
        <f aca="false">INT(K1670*(0.6+MOD(A1670*43,21)/100))</f>
        <v>25614</v>
      </c>
      <c r="N1670" s="12" t="n">
        <f aca="false">K1670-M1670</f>
        <v>10978</v>
      </c>
    </row>
    <row r="1671" customFormat="false" ht="12.8" hidden="false" customHeight="false" outlineLevel="0" collapsed="false">
      <c r="A1671" s="10" t="n">
        <f aca="false">A1670+1</f>
        <v>1670</v>
      </c>
      <c r="B1671" s="11" t="n">
        <f aca="false">B1670+1</f>
        <v>46596</v>
      </c>
      <c r="C1671" s="10" t="n">
        <f aca="false">YEAR(B1671)</f>
        <v>2027</v>
      </c>
      <c r="D1671" s="10" t="n">
        <f aca="false">INT((MONTH(B1671)-1)/3)+1</f>
        <v>3</v>
      </c>
      <c r="E1671" s="10" t="n">
        <f aca="false">MONTH(B1671)</f>
        <v>7</v>
      </c>
      <c r="F1671" s="10" t="str">
        <f aca="false">CHOOSE(MOD(A1671-1,5)+1,"Центр","Юг","Север","Запад","Восток")</f>
        <v>Восток</v>
      </c>
      <c r="G1671" s="10" t="str">
        <f aca="false">"Округ_"&amp;(MOD(A1671-1,5)+1)&amp;"_"&amp;(MOD(INT((A1671-1)/5),5)+1)</f>
        <v>Округ_5_4</v>
      </c>
      <c r="H1671" s="10" t="str">
        <f aca="false">"Город_"&amp;(MOD(A1671-1,5)+1)&amp;"_"&amp;(MOD(INT((A1671-1)/5),5)+1)&amp;"_"&amp;(MOD(INT((A1671-1)/25),10)+1)</f>
        <v>Город_5_4_7</v>
      </c>
      <c r="I1671" s="10" t="str">
        <f aca="false">CHOOSE(MOD(A1671-1,4)+1,"Электроника","Одежда","Продукты","Мебель")</f>
        <v>Одежда</v>
      </c>
      <c r="J1671" s="10" t="str">
        <f aca="false">CHOOSE(MOD(INT((A1671-1)/4),4)+1,CHOOSE(MOD(A1671-1,4)+1,"Смартфоны","Ноутбуки","Аксессуары","Аудио"),CHOOSE(MOD(A1671-1,4)+1,"Верхняя одежда","Спортивная","Повседневная","Обувь"),CHOOSE(MOD(A1671-1,4)+1,"Молочные","Мясные","Бакалея","Напитки"),CHOOSE(MOD(A1671-1,4)+1,"Мягкая мебель","Корпусная","Офисная","Кухонная"))</f>
        <v>Спортивная</v>
      </c>
      <c r="K1671" s="12" t="n">
        <f aca="false">1000+MOD(A1671*317+A1671*A1671*7,49001)</f>
        <v>11281</v>
      </c>
      <c r="L1671" s="12" t="n">
        <f aca="false">1+MOD(A1671*131,100)</f>
        <v>71</v>
      </c>
      <c r="M1671" s="12" t="n">
        <f aca="false">INT(K1671*(0.6+MOD(A1671*43,21)/100))</f>
        <v>8009</v>
      </c>
      <c r="N1671" s="12" t="n">
        <f aca="false">K1671-M1671</f>
        <v>3272</v>
      </c>
    </row>
    <row r="1672" customFormat="false" ht="12.8" hidden="false" customHeight="false" outlineLevel="0" collapsed="false">
      <c r="A1672" s="10" t="n">
        <f aca="false">A1671+1</f>
        <v>1671</v>
      </c>
      <c r="B1672" s="11" t="n">
        <f aca="false">B1671+1</f>
        <v>46597</v>
      </c>
      <c r="C1672" s="10" t="n">
        <f aca="false">YEAR(B1672)</f>
        <v>2027</v>
      </c>
      <c r="D1672" s="10" t="n">
        <f aca="false">INT((MONTH(B1672)-1)/3)+1</f>
        <v>3</v>
      </c>
      <c r="E1672" s="10" t="n">
        <f aca="false">MONTH(B1672)</f>
        <v>7</v>
      </c>
      <c r="F1672" s="10" t="str">
        <f aca="false">CHOOSE(MOD(A1672-1,5)+1,"Центр","Юг","Север","Запад","Восток")</f>
        <v>Центр</v>
      </c>
      <c r="G1672" s="10" t="str">
        <f aca="false">"Округ_"&amp;(MOD(A1672-1,5)+1)&amp;"_"&amp;(MOD(INT((A1672-1)/5),5)+1)</f>
        <v>Округ_1_5</v>
      </c>
      <c r="H1672" s="10" t="str">
        <f aca="false">"Город_"&amp;(MOD(A1672-1,5)+1)&amp;"_"&amp;(MOD(INT((A1672-1)/5),5)+1)&amp;"_"&amp;(MOD(INT((A1672-1)/25),10)+1)</f>
        <v>Город_1_5_7</v>
      </c>
      <c r="I1672" s="10" t="str">
        <f aca="false">CHOOSE(MOD(A1672-1,4)+1,"Электроника","Одежда","Продукты","Мебель")</f>
        <v>Продукты</v>
      </c>
      <c r="J1672" s="10" t="str">
        <f aca="false">CHOOSE(MOD(INT((A1672-1)/4),4)+1,CHOOSE(MOD(A1672-1,4)+1,"Смартфоны","Ноутбуки","Аксессуары","Аудио"),CHOOSE(MOD(A1672-1,4)+1,"Верхняя одежда","Спортивная","Повседневная","Обувь"),CHOOSE(MOD(A1672-1,4)+1,"Молочные","Мясные","Бакалея","Напитки"),CHOOSE(MOD(A1672-1,4)+1,"Мягкая мебель","Корпусная","Офисная","Кухонная"))</f>
        <v>Повседневная</v>
      </c>
      <c r="K1672" s="12" t="n">
        <f aca="false">1000+MOD(A1672*317+A1672*A1672*7,49001)</f>
        <v>34985</v>
      </c>
      <c r="L1672" s="12" t="n">
        <f aca="false">1+MOD(A1672*131,100)</f>
        <v>2</v>
      </c>
      <c r="M1672" s="12" t="n">
        <f aca="false">INT(K1672*(0.6+MOD(A1672*43,21)/100))</f>
        <v>25189</v>
      </c>
      <c r="N1672" s="12" t="n">
        <f aca="false">K1672-M1672</f>
        <v>9796</v>
      </c>
    </row>
    <row r="1673" customFormat="false" ht="12.8" hidden="false" customHeight="false" outlineLevel="0" collapsed="false">
      <c r="A1673" s="10" t="n">
        <f aca="false">A1672+1</f>
        <v>1672</v>
      </c>
      <c r="B1673" s="11" t="n">
        <f aca="false">B1672+1</f>
        <v>46598</v>
      </c>
      <c r="C1673" s="10" t="n">
        <f aca="false">YEAR(B1673)</f>
        <v>2027</v>
      </c>
      <c r="D1673" s="10" t="n">
        <f aca="false">INT((MONTH(B1673)-1)/3)+1</f>
        <v>3</v>
      </c>
      <c r="E1673" s="10" t="n">
        <f aca="false">MONTH(B1673)</f>
        <v>7</v>
      </c>
      <c r="F1673" s="10" t="str">
        <f aca="false">CHOOSE(MOD(A1673-1,5)+1,"Центр","Юг","Север","Запад","Восток")</f>
        <v>Юг</v>
      </c>
      <c r="G1673" s="10" t="str">
        <f aca="false">"Округ_"&amp;(MOD(A1673-1,5)+1)&amp;"_"&amp;(MOD(INT((A1673-1)/5),5)+1)</f>
        <v>Округ_2_5</v>
      </c>
      <c r="H1673" s="10" t="str">
        <f aca="false">"Город_"&amp;(MOD(A1673-1,5)+1)&amp;"_"&amp;(MOD(INT((A1673-1)/5),5)+1)&amp;"_"&amp;(MOD(INT((A1673-1)/25),10)+1)</f>
        <v>Город_2_5_7</v>
      </c>
      <c r="I1673" s="10" t="str">
        <f aca="false">CHOOSE(MOD(A1673-1,4)+1,"Электроника","Одежда","Продукты","Мебель")</f>
        <v>Мебель</v>
      </c>
      <c r="J1673" s="10" t="str">
        <f aca="false">CHOOSE(MOD(INT((A1673-1)/4),4)+1,CHOOSE(MOD(A1673-1,4)+1,"Смартфоны","Ноутбуки","Аксессуары","Аудио"),CHOOSE(MOD(A1673-1,4)+1,"Верхняя одежда","Спортивная","Повседневная","Обувь"),CHOOSE(MOD(A1673-1,4)+1,"Молочные","Мясные","Бакалея","Напитки"),CHOOSE(MOD(A1673-1,4)+1,"Мягкая мебель","Корпусная","Офисная","Кухонная"))</f>
        <v>Обувь</v>
      </c>
      <c r="K1673" s="12" t="n">
        <f aca="false">1000+MOD(A1673*317+A1673*A1673*7,49001)</f>
        <v>9702</v>
      </c>
      <c r="L1673" s="12" t="n">
        <f aca="false">1+MOD(A1673*131,100)</f>
        <v>33</v>
      </c>
      <c r="M1673" s="12" t="n">
        <f aca="false">INT(K1673*(0.6+MOD(A1673*43,21)/100))</f>
        <v>7082</v>
      </c>
      <c r="N1673" s="12" t="n">
        <f aca="false">K1673-M1673</f>
        <v>2620</v>
      </c>
    </row>
    <row r="1674" customFormat="false" ht="12.8" hidden="false" customHeight="false" outlineLevel="0" collapsed="false">
      <c r="A1674" s="10" t="n">
        <f aca="false">A1673+1</f>
        <v>1673</v>
      </c>
      <c r="B1674" s="11" t="n">
        <f aca="false">B1673+1</f>
        <v>46599</v>
      </c>
      <c r="C1674" s="10" t="n">
        <f aca="false">YEAR(B1674)</f>
        <v>2027</v>
      </c>
      <c r="D1674" s="10" t="n">
        <f aca="false">INT((MONTH(B1674)-1)/3)+1</f>
        <v>3</v>
      </c>
      <c r="E1674" s="10" t="n">
        <f aca="false">MONTH(B1674)</f>
        <v>7</v>
      </c>
      <c r="F1674" s="10" t="str">
        <f aca="false">CHOOSE(MOD(A1674-1,5)+1,"Центр","Юг","Север","Запад","Восток")</f>
        <v>Север</v>
      </c>
      <c r="G1674" s="10" t="str">
        <f aca="false">"Округ_"&amp;(MOD(A1674-1,5)+1)&amp;"_"&amp;(MOD(INT((A1674-1)/5),5)+1)</f>
        <v>Округ_3_5</v>
      </c>
      <c r="H1674" s="10" t="str">
        <f aca="false">"Город_"&amp;(MOD(A1674-1,5)+1)&amp;"_"&amp;(MOD(INT((A1674-1)/5),5)+1)&amp;"_"&amp;(MOD(INT((A1674-1)/25),10)+1)</f>
        <v>Город_3_5_7</v>
      </c>
      <c r="I1674" s="10" t="str">
        <f aca="false">CHOOSE(MOD(A1674-1,4)+1,"Электроника","Одежда","Продукты","Мебель")</f>
        <v>Электроника</v>
      </c>
      <c r="J1674" s="10" t="str">
        <f aca="false">CHOOSE(MOD(INT((A1674-1)/4),4)+1,CHOOSE(MOD(A1674-1,4)+1,"Смартфоны","Ноутбуки","Аксессуары","Аудио"),CHOOSE(MOD(A1674-1,4)+1,"Верхняя одежда","Спортивная","Повседневная","Обувь"),CHOOSE(MOD(A1674-1,4)+1,"Молочные","Мясные","Бакалея","Напитки"),CHOOSE(MOD(A1674-1,4)+1,"Мягкая мебель","Корпусная","Офисная","Кухонная"))</f>
        <v>Молочные</v>
      </c>
      <c r="K1674" s="12" t="n">
        <f aca="false">1000+MOD(A1674*317+A1674*A1674*7,49001)</f>
        <v>33434</v>
      </c>
      <c r="L1674" s="12" t="n">
        <f aca="false">1+MOD(A1674*131,100)</f>
        <v>64</v>
      </c>
      <c r="M1674" s="12" t="n">
        <f aca="false">INT(K1674*(0.6+MOD(A1674*43,21)/100))</f>
        <v>24741</v>
      </c>
      <c r="N1674" s="12" t="n">
        <f aca="false">K1674-M1674</f>
        <v>8693</v>
      </c>
    </row>
    <row r="1675" customFormat="false" ht="12.8" hidden="false" customHeight="false" outlineLevel="0" collapsed="false">
      <c r="A1675" s="10" t="n">
        <f aca="false">A1674+1</f>
        <v>1674</v>
      </c>
      <c r="B1675" s="11" t="n">
        <f aca="false">B1674+1</f>
        <v>46600</v>
      </c>
      <c r="C1675" s="10" t="n">
        <f aca="false">YEAR(B1675)</f>
        <v>2027</v>
      </c>
      <c r="D1675" s="10" t="n">
        <f aca="false">INT((MONTH(B1675)-1)/3)+1</f>
        <v>3</v>
      </c>
      <c r="E1675" s="10" t="n">
        <f aca="false">MONTH(B1675)</f>
        <v>8</v>
      </c>
      <c r="F1675" s="10" t="str">
        <f aca="false">CHOOSE(MOD(A1675-1,5)+1,"Центр","Юг","Север","Запад","Восток")</f>
        <v>Запад</v>
      </c>
      <c r="G1675" s="10" t="str">
        <f aca="false">"Округ_"&amp;(MOD(A1675-1,5)+1)&amp;"_"&amp;(MOD(INT((A1675-1)/5),5)+1)</f>
        <v>Округ_4_5</v>
      </c>
      <c r="H1675" s="10" t="str">
        <f aca="false">"Город_"&amp;(MOD(A1675-1,5)+1)&amp;"_"&amp;(MOD(INT((A1675-1)/5),5)+1)&amp;"_"&amp;(MOD(INT((A1675-1)/25),10)+1)</f>
        <v>Город_4_5_7</v>
      </c>
      <c r="I1675" s="10" t="str">
        <f aca="false">CHOOSE(MOD(A1675-1,4)+1,"Электроника","Одежда","Продукты","Мебель")</f>
        <v>Одежда</v>
      </c>
      <c r="J1675" s="10" t="str">
        <f aca="false">CHOOSE(MOD(INT((A1675-1)/4),4)+1,CHOOSE(MOD(A1675-1,4)+1,"Смартфоны","Ноутбуки","Аксессуары","Аудио"),CHOOSE(MOD(A1675-1,4)+1,"Верхняя одежда","Спортивная","Повседневная","Обувь"),CHOOSE(MOD(A1675-1,4)+1,"Молочные","Мясные","Бакалея","Напитки"),CHOOSE(MOD(A1675-1,4)+1,"Мягкая мебель","Корпусная","Офисная","Кухонная"))</f>
        <v>Мясные</v>
      </c>
      <c r="K1675" s="12" t="n">
        <f aca="false">1000+MOD(A1675*317+A1675*A1675*7,49001)</f>
        <v>8179</v>
      </c>
      <c r="L1675" s="12" t="n">
        <f aca="false">1+MOD(A1675*131,100)</f>
        <v>95</v>
      </c>
      <c r="M1675" s="12" t="n">
        <f aca="false">INT(K1675*(0.6+MOD(A1675*43,21)/100))</f>
        <v>6134</v>
      </c>
      <c r="N1675" s="12" t="n">
        <f aca="false">K1675-M1675</f>
        <v>2045</v>
      </c>
    </row>
    <row r="1676" customFormat="false" ht="12.8" hidden="false" customHeight="false" outlineLevel="0" collapsed="false">
      <c r="A1676" s="10" t="n">
        <f aca="false">A1675+1</f>
        <v>1675</v>
      </c>
      <c r="B1676" s="11" t="n">
        <f aca="false">B1675+1</f>
        <v>46601</v>
      </c>
      <c r="C1676" s="10" t="n">
        <f aca="false">YEAR(B1676)</f>
        <v>2027</v>
      </c>
      <c r="D1676" s="10" t="n">
        <f aca="false">INT((MONTH(B1676)-1)/3)+1</f>
        <v>3</v>
      </c>
      <c r="E1676" s="10" t="n">
        <f aca="false">MONTH(B1676)</f>
        <v>8</v>
      </c>
      <c r="F1676" s="10" t="str">
        <f aca="false">CHOOSE(MOD(A1676-1,5)+1,"Центр","Юг","Север","Запад","Восток")</f>
        <v>Восток</v>
      </c>
      <c r="G1676" s="10" t="str">
        <f aca="false">"Округ_"&amp;(MOD(A1676-1,5)+1)&amp;"_"&amp;(MOD(INT((A1676-1)/5),5)+1)</f>
        <v>Округ_5_5</v>
      </c>
      <c r="H1676" s="10" t="str">
        <f aca="false">"Город_"&amp;(MOD(A1676-1,5)+1)&amp;"_"&amp;(MOD(INT((A1676-1)/5),5)+1)&amp;"_"&amp;(MOD(INT((A1676-1)/25),10)+1)</f>
        <v>Город_5_5_7</v>
      </c>
      <c r="I1676" s="10" t="str">
        <f aca="false">CHOOSE(MOD(A1676-1,4)+1,"Электроника","Одежда","Продукты","Мебель")</f>
        <v>Продукты</v>
      </c>
      <c r="J1676" s="10" t="str">
        <f aca="false">CHOOSE(MOD(INT((A1676-1)/4),4)+1,CHOOSE(MOD(A1676-1,4)+1,"Смартфоны","Ноутбуки","Аксессуары","Аудио"),CHOOSE(MOD(A1676-1,4)+1,"Верхняя одежда","Спортивная","Повседневная","Обувь"),CHOOSE(MOD(A1676-1,4)+1,"Молочные","Мясные","Бакалея","Напитки"),CHOOSE(MOD(A1676-1,4)+1,"Мягкая мебель","Корпусная","Офисная","Кухонная"))</f>
        <v>Бакалея</v>
      </c>
      <c r="K1676" s="12" t="n">
        <f aca="false">1000+MOD(A1676*317+A1676*A1676*7,49001)</f>
        <v>31939</v>
      </c>
      <c r="L1676" s="12" t="n">
        <f aca="false">1+MOD(A1676*131,100)</f>
        <v>26</v>
      </c>
      <c r="M1676" s="12" t="n">
        <f aca="false">INT(K1676*(0.6+MOD(A1676*43,21)/100))</f>
        <v>24273</v>
      </c>
      <c r="N1676" s="12" t="n">
        <f aca="false">K1676-M1676</f>
        <v>7666</v>
      </c>
    </row>
    <row r="1677" customFormat="false" ht="12.8" hidden="false" customHeight="false" outlineLevel="0" collapsed="false">
      <c r="A1677" s="10" t="n">
        <f aca="false">A1676+1</f>
        <v>1676</v>
      </c>
      <c r="B1677" s="11" t="n">
        <f aca="false">B1676+1</f>
        <v>46602</v>
      </c>
      <c r="C1677" s="10" t="n">
        <f aca="false">YEAR(B1677)</f>
        <v>2027</v>
      </c>
      <c r="D1677" s="10" t="n">
        <f aca="false">INT((MONTH(B1677)-1)/3)+1</f>
        <v>3</v>
      </c>
      <c r="E1677" s="10" t="n">
        <f aca="false">MONTH(B1677)</f>
        <v>8</v>
      </c>
      <c r="F1677" s="10" t="str">
        <f aca="false">CHOOSE(MOD(A1677-1,5)+1,"Центр","Юг","Север","Запад","Восток")</f>
        <v>Центр</v>
      </c>
      <c r="G1677" s="10" t="str">
        <f aca="false">"Округ_"&amp;(MOD(A1677-1,5)+1)&amp;"_"&amp;(MOD(INT((A1677-1)/5),5)+1)</f>
        <v>Округ_1_1</v>
      </c>
      <c r="H1677" s="10" t="str">
        <f aca="false">"Город_"&amp;(MOD(A1677-1,5)+1)&amp;"_"&amp;(MOD(INT((A1677-1)/5),5)+1)&amp;"_"&amp;(MOD(INT((A1677-1)/25),10)+1)</f>
        <v>Город_1_1_8</v>
      </c>
      <c r="I1677" s="10" t="str">
        <f aca="false">CHOOSE(MOD(A1677-1,4)+1,"Электроника","Одежда","Продукты","Мебель")</f>
        <v>Мебель</v>
      </c>
      <c r="J1677" s="10" t="str">
        <f aca="false">CHOOSE(MOD(INT((A1677-1)/4),4)+1,CHOOSE(MOD(A1677-1,4)+1,"Смартфоны","Ноутбуки","Аксессуары","Аудио"),CHOOSE(MOD(A1677-1,4)+1,"Верхняя одежда","Спортивная","Повседневная","Обувь"),CHOOSE(MOD(A1677-1,4)+1,"Молочные","Мясные","Бакалея","Напитки"),CHOOSE(MOD(A1677-1,4)+1,"Мягкая мебель","Корпусная","Офисная","Кухонная"))</f>
        <v>Напитки</v>
      </c>
      <c r="K1677" s="12" t="n">
        <f aca="false">1000+MOD(A1677*317+A1677*A1677*7,49001)</f>
        <v>6712</v>
      </c>
      <c r="L1677" s="12" t="n">
        <f aca="false">1+MOD(A1677*131,100)</f>
        <v>57</v>
      </c>
      <c r="M1677" s="12" t="n">
        <f aca="false">INT(K1677*(0.6+MOD(A1677*43,21)/100))</f>
        <v>5168</v>
      </c>
      <c r="N1677" s="12" t="n">
        <f aca="false">K1677-M1677</f>
        <v>1544</v>
      </c>
    </row>
    <row r="1678" customFormat="false" ht="12.8" hidden="false" customHeight="false" outlineLevel="0" collapsed="false">
      <c r="A1678" s="10" t="n">
        <f aca="false">A1677+1</f>
        <v>1677</v>
      </c>
      <c r="B1678" s="11" t="n">
        <f aca="false">B1677+1</f>
        <v>46603</v>
      </c>
      <c r="C1678" s="10" t="n">
        <f aca="false">YEAR(B1678)</f>
        <v>2027</v>
      </c>
      <c r="D1678" s="10" t="n">
        <f aca="false">INT((MONTH(B1678)-1)/3)+1</f>
        <v>3</v>
      </c>
      <c r="E1678" s="10" t="n">
        <f aca="false">MONTH(B1678)</f>
        <v>8</v>
      </c>
      <c r="F1678" s="10" t="str">
        <f aca="false">CHOOSE(MOD(A1678-1,5)+1,"Центр","Юг","Север","Запад","Восток")</f>
        <v>Юг</v>
      </c>
      <c r="G1678" s="10" t="str">
        <f aca="false">"Округ_"&amp;(MOD(A1678-1,5)+1)&amp;"_"&amp;(MOD(INT((A1678-1)/5),5)+1)</f>
        <v>Округ_2_1</v>
      </c>
      <c r="H1678" s="10" t="str">
        <f aca="false">"Город_"&amp;(MOD(A1678-1,5)+1)&amp;"_"&amp;(MOD(INT((A1678-1)/5),5)+1)&amp;"_"&amp;(MOD(INT((A1678-1)/25),10)+1)</f>
        <v>Город_2_1_8</v>
      </c>
      <c r="I1678" s="10" t="str">
        <f aca="false">CHOOSE(MOD(A1678-1,4)+1,"Электроника","Одежда","Продукты","Мебель")</f>
        <v>Электроника</v>
      </c>
      <c r="J1678" s="10" t="str">
        <f aca="false">CHOOSE(MOD(INT((A1678-1)/4),4)+1,CHOOSE(MOD(A1678-1,4)+1,"Смартфоны","Ноутбуки","Аксессуары","Аудио"),CHOOSE(MOD(A1678-1,4)+1,"Верхняя одежда","Спортивная","Повседневная","Обувь"),CHOOSE(MOD(A1678-1,4)+1,"Молочные","Мясные","Бакалея","Напитки"),CHOOSE(MOD(A1678-1,4)+1,"Мягкая мебель","Корпусная","Офисная","Кухонная"))</f>
        <v>Мягкая мебель</v>
      </c>
      <c r="K1678" s="12" t="n">
        <f aca="false">1000+MOD(A1678*317+A1678*A1678*7,49001)</f>
        <v>30500</v>
      </c>
      <c r="L1678" s="12" t="n">
        <f aca="false">1+MOD(A1678*131,100)</f>
        <v>88</v>
      </c>
      <c r="M1678" s="12" t="n">
        <f aca="false">INT(K1678*(0.6+MOD(A1678*43,21)/100))</f>
        <v>23790</v>
      </c>
      <c r="N1678" s="12" t="n">
        <f aca="false">K1678-M1678</f>
        <v>6710</v>
      </c>
    </row>
    <row r="1679" customFormat="false" ht="12.8" hidden="false" customHeight="false" outlineLevel="0" collapsed="false">
      <c r="A1679" s="10" t="n">
        <f aca="false">A1678+1</f>
        <v>1678</v>
      </c>
      <c r="B1679" s="11" t="n">
        <f aca="false">B1678+1</f>
        <v>46604</v>
      </c>
      <c r="C1679" s="10" t="n">
        <f aca="false">YEAR(B1679)</f>
        <v>2027</v>
      </c>
      <c r="D1679" s="10" t="n">
        <f aca="false">INT((MONTH(B1679)-1)/3)+1</f>
        <v>3</v>
      </c>
      <c r="E1679" s="10" t="n">
        <f aca="false">MONTH(B1679)</f>
        <v>8</v>
      </c>
      <c r="F1679" s="10" t="str">
        <f aca="false">CHOOSE(MOD(A1679-1,5)+1,"Центр","Юг","Север","Запад","Восток")</f>
        <v>Север</v>
      </c>
      <c r="G1679" s="10" t="str">
        <f aca="false">"Округ_"&amp;(MOD(A1679-1,5)+1)&amp;"_"&amp;(MOD(INT((A1679-1)/5),5)+1)</f>
        <v>Округ_3_1</v>
      </c>
      <c r="H1679" s="10" t="str">
        <f aca="false">"Город_"&amp;(MOD(A1679-1,5)+1)&amp;"_"&amp;(MOD(INT((A1679-1)/5),5)+1)&amp;"_"&amp;(MOD(INT((A1679-1)/25),10)+1)</f>
        <v>Город_3_1_8</v>
      </c>
      <c r="I1679" s="10" t="str">
        <f aca="false">CHOOSE(MOD(A1679-1,4)+1,"Электроника","Одежда","Продукты","Мебель")</f>
        <v>Одежда</v>
      </c>
      <c r="J1679" s="10" t="str">
        <f aca="false">CHOOSE(MOD(INT((A1679-1)/4),4)+1,CHOOSE(MOD(A1679-1,4)+1,"Смартфоны","Ноутбуки","Аксессуары","Аудио"),CHOOSE(MOD(A1679-1,4)+1,"Верхняя одежда","Спортивная","Повседневная","Обувь"),CHOOSE(MOD(A1679-1,4)+1,"Молочные","Мясные","Бакалея","Напитки"),CHOOSE(MOD(A1679-1,4)+1,"Мягкая мебель","Корпусная","Офисная","Кухонная"))</f>
        <v>Корпусная</v>
      </c>
      <c r="K1679" s="12" t="n">
        <f aca="false">1000+MOD(A1679*317+A1679*A1679*7,49001)</f>
        <v>5301</v>
      </c>
      <c r="L1679" s="12" t="n">
        <f aca="false">1+MOD(A1679*131,100)</f>
        <v>19</v>
      </c>
      <c r="M1679" s="12" t="n">
        <f aca="false">INT(K1679*(0.6+MOD(A1679*43,21)/100))</f>
        <v>4187</v>
      </c>
      <c r="N1679" s="12" t="n">
        <f aca="false">K1679-M1679</f>
        <v>1114</v>
      </c>
    </row>
    <row r="1680" customFormat="false" ht="12.8" hidden="false" customHeight="false" outlineLevel="0" collapsed="false">
      <c r="A1680" s="10" t="n">
        <f aca="false">A1679+1</f>
        <v>1679</v>
      </c>
      <c r="B1680" s="11" t="n">
        <f aca="false">B1679+1</f>
        <v>46605</v>
      </c>
      <c r="C1680" s="10" t="n">
        <f aca="false">YEAR(B1680)</f>
        <v>2027</v>
      </c>
      <c r="D1680" s="10" t="n">
        <f aca="false">INT((MONTH(B1680)-1)/3)+1</f>
        <v>3</v>
      </c>
      <c r="E1680" s="10" t="n">
        <f aca="false">MONTH(B1680)</f>
        <v>8</v>
      </c>
      <c r="F1680" s="10" t="str">
        <f aca="false">CHOOSE(MOD(A1680-1,5)+1,"Центр","Юг","Север","Запад","Восток")</f>
        <v>Запад</v>
      </c>
      <c r="G1680" s="10" t="str">
        <f aca="false">"Округ_"&amp;(MOD(A1680-1,5)+1)&amp;"_"&amp;(MOD(INT((A1680-1)/5),5)+1)</f>
        <v>Округ_4_1</v>
      </c>
      <c r="H1680" s="10" t="str">
        <f aca="false">"Город_"&amp;(MOD(A1680-1,5)+1)&amp;"_"&amp;(MOD(INT((A1680-1)/5),5)+1)&amp;"_"&amp;(MOD(INT((A1680-1)/25),10)+1)</f>
        <v>Город_4_1_8</v>
      </c>
      <c r="I1680" s="10" t="str">
        <f aca="false">CHOOSE(MOD(A1680-1,4)+1,"Электроника","Одежда","Продукты","Мебель")</f>
        <v>Продукты</v>
      </c>
      <c r="J1680" s="10" t="str">
        <f aca="false">CHOOSE(MOD(INT((A1680-1)/4),4)+1,CHOOSE(MOD(A1680-1,4)+1,"Смартфоны","Ноутбуки","Аксессуары","Аудио"),CHOOSE(MOD(A1680-1,4)+1,"Верхняя одежда","Спортивная","Повседневная","Обувь"),CHOOSE(MOD(A1680-1,4)+1,"Молочные","Мясные","Бакалея","Напитки"),CHOOSE(MOD(A1680-1,4)+1,"Мягкая мебель","Корпусная","Офисная","Кухонная"))</f>
        <v>Офисная</v>
      </c>
      <c r="K1680" s="12" t="n">
        <f aca="false">1000+MOD(A1680*317+A1680*A1680*7,49001)</f>
        <v>29117</v>
      </c>
      <c r="L1680" s="12" t="n">
        <f aca="false">1+MOD(A1680*131,100)</f>
        <v>50</v>
      </c>
      <c r="M1680" s="12" t="n">
        <f aca="false">INT(K1680*(0.6+MOD(A1680*43,21)/100))</f>
        <v>23293</v>
      </c>
      <c r="N1680" s="12" t="n">
        <f aca="false">K1680-M1680</f>
        <v>5824</v>
      </c>
    </row>
    <row r="1681" customFormat="false" ht="12.8" hidden="false" customHeight="false" outlineLevel="0" collapsed="false">
      <c r="A1681" s="10" t="n">
        <f aca="false">A1680+1</f>
        <v>1680</v>
      </c>
      <c r="B1681" s="11" t="n">
        <f aca="false">B1680+1</f>
        <v>46606</v>
      </c>
      <c r="C1681" s="10" t="n">
        <f aca="false">YEAR(B1681)</f>
        <v>2027</v>
      </c>
      <c r="D1681" s="10" t="n">
        <f aca="false">INT((MONTH(B1681)-1)/3)+1</f>
        <v>3</v>
      </c>
      <c r="E1681" s="10" t="n">
        <f aca="false">MONTH(B1681)</f>
        <v>8</v>
      </c>
      <c r="F1681" s="10" t="str">
        <f aca="false">CHOOSE(MOD(A1681-1,5)+1,"Центр","Юг","Север","Запад","Восток")</f>
        <v>Восток</v>
      </c>
      <c r="G1681" s="10" t="str">
        <f aca="false">"Округ_"&amp;(MOD(A1681-1,5)+1)&amp;"_"&amp;(MOD(INT((A1681-1)/5),5)+1)</f>
        <v>Округ_5_1</v>
      </c>
      <c r="H1681" s="10" t="str">
        <f aca="false">"Город_"&amp;(MOD(A1681-1,5)+1)&amp;"_"&amp;(MOD(INT((A1681-1)/5),5)+1)&amp;"_"&amp;(MOD(INT((A1681-1)/25),10)+1)</f>
        <v>Город_5_1_8</v>
      </c>
      <c r="I1681" s="10" t="str">
        <f aca="false">CHOOSE(MOD(A1681-1,4)+1,"Электроника","Одежда","Продукты","Мебель")</f>
        <v>Мебель</v>
      </c>
      <c r="J1681" s="10" t="str">
        <f aca="false">CHOOSE(MOD(INT((A1681-1)/4),4)+1,CHOOSE(MOD(A1681-1,4)+1,"Смартфоны","Ноутбуки","Аксессуары","Аудио"),CHOOSE(MOD(A1681-1,4)+1,"Верхняя одежда","Спортивная","Повседневная","Обувь"),CHOOSE(MOD(A1681-1,4)+1,"Молочные","Мясные","Бакалея","Напитки"),CHOOSE(MOD(A1681-1,4)+1,"Мягкая мебель","Корпусная","Офисная","Кухонная"))</f>
        <v>Кухонная</v>
      </c>
      <c r="K1681" s="12" t="n">
        <f aca="false">1000+MOD(A1681*317+A1681*A1681*7,49001)</f>
        <v>3946</v>
      </c>
      <c r="L1681" s="12" t="n">
        <f aca="false">1+MOD(A1681*131,100)</f>
        <v>81</v>
      </c>
      <c r="M1681" s="12" t="n">
        <f aca="false">INT(K1681*(0.6+MOD(A1681*43,21)/100))</f>
        <v>2367</v>
      </c>
      <c r="N1681" s="12" t="n">
        <f aca="false">K1681-M1681</f>
        <v>1579</v>
      </c>
    </row>
    <row r="1682" customFormat="false" ht="12.8" hidden="false" customHeight="false" outlineLevel="0" collapsed="false">
      <c r="A1682" s="10" t="n">
        <f aca="false">A1681+1</f>
        <v>1681</v>
      </c>
      <c r="B1682" s="11" t="n">
        <f aca="false">B1681+1</f>
        <v>46607</v>
      </c>
      <c r="C1682" s="10" t="n">
        <f aca="false">YEAR(B1682)</f>
        <v>2027</v>
      </c>
      <c r="D1682" s="10" t="n">
        <f aca="false">INT((MONTH(B1682)-1)/3)+1</f>
        <v>3</v>
      </c>
      <c r="E1682" s="10" t="n">
        <f aca="false">MONTH(B1682)</f>
        <v>8</v>
      </c>
      <c r="F1682" s="10" t="str">
        <f aca="false">CHOOSE(MOD(A1682-1,5)+1,"Центр","Юг","Север","Запад","Восток")</f>
        <v>Центр</v>
      </c>
      <c r="G1682" s="10" t="str">
        <f aca="false">"Округ_"&amp;(MOD(A1682-1,5)+1)&amp;"_"&amp;(MOD(INT((A1682-1)/5),5)+1)</f>
        <v>Округ_1_2</v>
      </c>
      <c r="H1682" s="10" t="str">
        <f aca="false">"Город_"&amp;(MOD(A1682-1,5)+1)&amp;"_"&amp;(MOD(INT((A1682-1)/5),5)+1)&amp;"_"&amp;(MOD(INT((A1682-1)/25),10)+1)</f>
        <v>Город_1_2_8</v>
      </c>
      <c r="I1682" s="10" t="str">
        <f aca="false">CHOOSE(MOD(A1682-1,4)+1,"Электроника","Одежда","Продукты","Мебель")</f>
        <v>Электроника</v>
      </c>
      <c r="J1682" s="10" t="str">
        <f aca="false">CHOOSE(MOD(INT((A1682-1)/4),4)+1,CHOOSE(MOD(A1682-1,4)+1,"Смартфоны","Ноутбуки","Аксессуары","Аудио"),CHOOSE(MOD(A1682-1,4)+1,"Верхняя одежда","Спортивная","Повседневная","Обувь"),CHOOSE(MOD(A1682-1,4)+1,"Молочные","Мясные","Бакалея","Напитки"),CHOOSE(MOD(A1682-1,4)+1,"Мягкая мебель","Корпусная","Офисная","Кухонная"))</f>
        <v>Смартфоны</v>
      </c>
      <c r="K1682" s="12" t="n">
        <f aca="false">1000+MOD(A1682*317+A1682*A1682*7,49001)</f>
        <v>27790</v>
      </c>
      <c r="L1682" s="12" t="n">
        <f aca="false">1+MOD(A1682*131,100)</f>
        <v>12</v>
      </c>
      <c r="M1682" s="12" t="n">
        <f aca="false">INT(K1682*(0.6+MOD(A1682*43,21)/100))</f>
        <v>16951</v>
      </c>
      <c r="N1682" s="12" t="n">
        <f aca="false">K1682-M1682</f>
        <v>10839</v>
      </c>
    </row>
    <row r="1683" customFormat="false" ht="12.8" hidden="false" customHeight="false" outlineLevel="0" collapsed="false">
      <c r="A1683" s="10" t="n">
        <f aca="false">A1682+1</f>
        <v>1682</v>
      </c>
      <c r="B1683" s="11" t="n">
        <f aca="false">B1682+1</f>
        <v>46608</v>
      </c>
      <c r="C1683" s="10" t="n">
        <f aca="false">YEAR(B1683)</f>
        <v>2027</v>
      </c>
      <c r="D1683" s="10" t="n">
        <f aca="false">INT((MONTH(B1683)-1)/3)+1</f>
        <v>3</v>
      </c>
      <c r="E1683" s="10" t="n">
        <f aca="false">MONTH(B1683)</f>
        <v>8</v>
      </c>
      <c r="F1683" s="10" t="str">
        <f aca="false">CHOOSE(MOD(A1683-1,5)+1,"Центр","Юг","Север","Запад","Восток")</f>
        <v>Юг</v>
      </c>
      <c r="G1683" s="10" t="str">
        <f aca="false">"Округ_"&amp;(MOD(A1683-1,5)+1)&amp;"_"&amp;(MOD(INT((A1683-1)/5),5)+1)</f>
        <v>Округ_2_2</v>
      </c>
      <c r="H1683" s="10" t="str">
        <f aca="false">"Город_"&amp;(MOD(A1683-1,5)+1)&amp;"_"&amp;(MOD(INT((A1683-1)/5),5)+1)&amp;"_"&amp;(MOD(INT((A1683-1)/25),10)+1)</f>
        <v>Город_2_2_8</v>
      </c>
      <c r="I1683" s="10" t="str">
        <f aca="false">CHOOSE(MOD(A1683-1,4)+1,"Электроника","Одежда","Продукты","Мебель")</f>
        <v>Одежда</v>
      </c>
      <c r="J1683" s="10" t="str">
        <f aca="false">CHOOSE(MOD(INT((A1683-1)/4),4)+1,CHOOSE(MOD(A1683-1,4)+1,"Смартфоны","Ноутбуки","Аксессуары","Аудио"),CHOOSE(MOD(A1683-1,4)+1,"Верхняя одежда","Спортивная","Повседневная","Обувь"),CHOOSE(MOD(A1683-1,4)+1,"Молочные","Мясные","Бакалея","Напитки"),CHOOSE(MOD(A1683-1,4)+1,"Мягкая мебель","Корпусная","Офисная","Кухонная"))</f>
        <v>Ноутбуки</v>
      </c>
      <c r="K1683" s="12" t="n">
        <f aca="false">1000+MOD(A1683*317+A1683*A1683*7,49001)</f>
        <v>2647</v>
      </c>
      <c r="L1683" s="12" t="n">
        <f aca="false">1+MOD(A1683*131,100)</f>
        <v>43</v>
      </c>
      <c r="M1683" s="12" t="n">
        <f aca="false">INT(K1683*(0.6+MOD(A1683*43,21)/100))</f>
        <v>1641</v>
      </c>
      <c r="N1683" s="12" t="n">
        <f aca="false">K1683-M1683</f>
        <v>1006</v>
      </c>
    </row>
    <row r="1684" customFormat="false" ht="12.8" hidden="false" customHeight="false" outlineLevel="0" collapsed="false">
      <c r="A1684" s="10" t="n">
        <f aca="false">A1683+1</f>
        <v>1683</v>
      </c>
      <c r="B1684" s="11" t="n">
        <f aca="false">B1683+1</f>
        <v>46609</v>
      </c>
      <c r="C1684" s="10" t="n">
        <f aca="false">YEAR(B1684)</f>
        <v>2027</v>
      </c>
      <c r="D1684" s="10" t="n">
        <f aca="false">INT((MONTH(B1684)-1)/3)+1</f>
        <v>3</v>
      </c>
      <c r="E1684" s="10" t="n">
        <f aca="false">MONTH(B1684)</f>
        <v>8</v>
      </c>
      <c r="F1684" s="10" t="str">
        <f aca="false">CHOOSE(MOD(A1684-1,5)+1,"Центр","Юг","Север","Запад","Восток")</f>
        <v>Север</v>
      </c>
      <c r="G1684" s="10" t="str">
        <f aca="false">"Округ_"&amp;(MOD(A1684-1,5)+1)&amp;"_"&amp;(MOD(INT((A1684-1)/5),5)+1)</f>
        <v>Округ_3_2</v>
      </c>
      <c r="H1684" s="10" t="str">
        <f aca="false">"Город_"&amp;(MOD(A1684-1,5)+1)&amp;"_"&amp;(MOD(INT((A1684-1)/5),5)+1)&amp;"_"&amp;(MOD(INT((A1684-1)/25),10)+1)</f>
        <v>Город_3_2_8</v>
      </c>
      <c r="I1684" s="10" t="str">
        <f aca="false">CHOOSE(MOD(A1684-1,4)+1,"Электроника","Одежда","Продукты","Мебель")</f>
        <v>Продукты</v>
      </c>
      <c r="J1684" s="10" t="str">
        <f aca="false">CHOOSE(MOD(INT((A1684-1)/4),4)+1,CHOOSE(MOD(A1684-1,4)+1,"Смартфоны","Ноутбуки","Аксессуары","Аудио"),CHOOSE(MOD(A1684-1,4)+1,"Верхняя одежда","Спортивная","Повседневная","Обувь"),CHOOSE(MOD(A1684-1,4)+1,"Молочные","Мясные","Бакалея","Напитки"),CHOOSE(MOD(A1684-1,4)+1,"Мягкая мебель","Корпусная","Офисная","Кухонная"))</f>
        <v>Аксессуары</v>
      </c>
      <c r="K1684" s="12" t="n">
        <f aca="false">1000+MOD(A1684*317+A1684*A1684*7,49001)</f>
        <v>26519</v>
      </c>
      <c r="L1684" s="12" t="n">
        <f aca="false">1+MOD(A1684*131,100)</f>
        <v>74</v>
      </c>
      <c r="M1684" s="12" t="n">
        <f aca="false">INT(K1684*(0.6+MOD(A1684*43,21)/100))</f>
        <v>16706</v>
      </c>
      <c r="N1684" s="12" t="n">
        <f aca="false">K1684-M1684</f>
        <v>9813</v>
      </c>
    </row>
    <row r="1685" customFormat="false" ht="12.8" hidden="false" customHeight="false" outlineLevel="0" collapsed="false">
      <c r="A1685" s="10" t="n">
        <f aca="false">A1684+1</f>
        <v>1684</v>
      </c>
      <c r="B1685" s="11" t="n">
        <f aca="false">B1684+1</f>
        <v>46610</v>
      </c>
      <c r="C1685" s="10" t="n">
        <f aca="false">YEAR(B1685)</f>
        <v>2027</v>
      </c>
      <c r="D1685" s="10" t="n">
        <f aca="false">INT((MONTH(B1685)-1)/3)+1</f>
        <v>3</v>
      </c>
      <c r="E1685" s="10" t="n">
        <f aca="false">MONTH(B1685)</f>
        <v>8</v>
      </c>
      <c r="F1685" s="10" t="str">
        <f aca="false">CHOOSE(MOD(A1685-1,5)+1,"Центр","Юг","Север","Запад","Восток")</f>
        <v>Запад</v>
      </c>
      <c r="G1685" s="10" t="str">
        <f aca="false">"Округ_"&amp;(MOD(A1685-1,5)+1)&amp;"_"&amp;(MOD(INT((A1685-1)/5),5)+1)</f>
        <v>Округ_4_2</v>
      </c>
      <c r="H1685" s="10" t="str">
        <f aca="false">"Город_"&amp;(MOD(A1685-1,5)+1)&amp;"_"&amp;(MOD(INT((A1685-1)/5),5)+1)&amp;"_"&amp;(MOD(INT((A1685-1)/25),10)+1)</f>
        <v>Город_4_2_8</v>
      </c>
      <c r="I1685" s="10" t="str">
        <f aca="false">CHOOSE(MOD(A1685-1,4)+1,"Электроника","Одежда","Продукты","Мебель")</f>
        <v>Мебель</v>
      </c>
      <c r="J1685" s="10" t="str">
        <f aca="false">CHOOSE(MOD(INT((A1685-1)/4),4)+1,CHOOSE(MOD(A1685-1,4)+1,"Смартфоны","Ноутбуки","Аксессуары","Аудио"),CHOOSE(MOD(A1685-1,4)+1,"Верхняя одежда","Спортивная","Повседневная","Обувь"),CHOOSE(MOD(A1685-1,4)+1,"Молочные","Мясные","Бакалея","Напитки"),CHOOSE(MOD(A1685-1,4)+1,"Мягкая мебель","Корпусная","Офисная","Кухонная"))</f>
        <v>Аудио</v>
      </c>
      <c r="K1685" s="12" t="n">
        <f aca="false">1000+MOD(A1685*317+A1685*A1685*7,49001)</f>
        <v>1404</v>
      </c>
      <c r="L1685" s="12" t="n">
        <f aca="false">1+MOD(A1685*131,100)</f>
        <v>5</v>
      </c>
      <c r="M1685" s="12" t="n">
        <f aca="false">INT(K1685*(0.6+MOD(A1685*43,21)/100))</f>
        <v>898</v>
      </c>
      <c r="N1685" s="12" t="n">
        <f aca="false">K1685-M1685</f>
        <v>506</v>
      </c>
    </row>
    <row r="1686" customFormat="false" ht="12.8" hidden="false" customHeight="false" outlineLevel="0" collapsed="false">
      <c r="A1686" s="10" t="n">
        <f aca="false">A1685+1</f>
        <v>1685</v>
      </c>
      <c r="B1686" s="11" t="n">
        <f aca="false">B1685+1</f>
        <v>46611</v>
      </c>
      <c r="C1686" s="10" t="n">
        <f aca="false">YEAR(B1686)</f>
        <v>2027</v>
      </c>
      <c r="D1686" s="10" t="n">
        <f aca="false">INT((MONTH(B1686)-1)/3)+1</f>
        <v>3</v>
      </c>
      <c r="E1686" s="10" t="n">
        <f aca="false">MONTH(B1686)</f>
        <v>8</v>
      </c>
      <c r="F1686" s="10" t="str">
        <f aca="false">CHOOSE(MOD(A1686-1,5)+1,"Центр","Юг","Север","Запад","Восток")</f>
        <v>Восток</v>
      </c>
      <c r="G1686" s="10" t="str">
        <f aca="false">"Округ_"&amp;(MOD(A1686-1,5)+1)&amp;"_"&amp;(MOD(INT((A1686-1)/5),5)+1)</f>
        <v>Округ_5_2</v>
      </c>
      <c r="H1686" s="10" t="str">
        <f aca="false">"Город_"&amp;(MOD(A1686-1,5)+1)&amp;"_"&amp;(MOD(INT((A1686-1)/5),5)+1)&amp;"_"&amp;(MOD(INT((A1686-1)/25),10)+1)</f>
        <v>Город_5_2_8</v>
      </c>
      <c r="I1686" s="10" t="str">
        <f aca="false">CHOOSE(MOD(A1686-1,4)+1,"Электроника","Одежда","Продукты","Мебель")</f>
        <v>Электроника</v>
      </c>
      <c r="J1686" s="10" t="str">
        <f aca="false">CHOOSE(MOD(INT((A1686-1)/4),4)+1,CHOOSE(MOD(A1686-1,4)+1,"Смартфоны","Ноутбуки","Аксессуары","Аудио"),CHOOSE(MOD(A1686-1,4)+1,"Верхняя одежда","Спортивная","Повседневная","Обувь"),CHOOSE(MOD(A1686-1,4)+1,"Молочные","Мясные","Бакалея","Напитки"),CHOOSE(MOD(A1686-1,4)+1,"Мягкая мебель","Корпусная","Офисная","Кухонная"))</f>
        <v>Верхняя одежда</v>
      </c>
      <c r="K1686" s="12" t="n">
        <f aca="false">1000+MOD(A1686*317+A1686*A1686*7,49001)</f>
        <v>25304</v>
      </c>
      <c r="L1686" s="12" t="n">
        <f aca="false">1+MOD(A1686*131,100)</f>
        <v>36</v>
      </c>
      <c r="M1686" s="12" t="n">
        <f aca="false">INT(K1686*(0.6+MOD(A1686*43,21)/100))</f>
        <v>16447</v>
      </c>
      <c r="N1686" s="12" t="n">
        <f aca="false">K1686-M1686</f>
        <v>8857</v>
      </c>
    </row>
    <row r="1687" customFormat="false" ht="12.8" hidden="false" customHeight="false" outlineLevel="0" collapsed="false">
      <c r="A1687" s="10" t="n">
        <f aca="false">A1686+1</f>
        <v>1686</v>
      </c>
      <c r="B1687" s="11" t="n">
        <f aca="false">B1686+1</f>
        <v>46612</v>
      </c>
      <c r="C1687" s="10" t="n">
        <f aca="false">YEAR(B1687)</f>
        <v>2027</v>
      </c>
      <c r="D1687" s="10" t="n">
        <f aca="false">INT((MONTH(B1687)-1)/3)+1</f>
        <v>3</v>
      </c>
      <c r="E1687" s="10" t="n">
        <f aca="false">MONTH(B1687)</f>
        <v>8</v>
      </c>
      <c r="F1687" s="10" t="str">
        <f aca="false">CHOOSE(MOD(A1687-1,5)+1,"Центр","Юг","Север","Запад","Восток")</f>
        <v>Центр</v>
      </c>
      <c r="G1687" s="10" t="str">
        <f aca="false">"Округ_"&amp;(MOD(A1687-1,5)+1)&amp;"_"&amp;(MOD(INT((A1687-1)/5),5)+1)</f>
        <v>Округ_1_3</v>
      </c>
      <c r="H1687" s="10" t="str">
        <f aca="false">"Город_"&amp;(MOD(A1687-1,5)+1)&amp;"_"&amp;(MOD(INT((A1687-1)/5),5)+1)&amp;"_"&amp;(MOD(INT((A1687-1)/25),10)+1)</f>
        <v>Город_1_3_8</v>
      </c>
      <c r="I1687" s="10" t="str">
        <f aca="false">CHOOSE(MOD(A1687-1,4)+1,"Электроника","Одежда","Продукты","Мебель")</f>
        <v>Одежда</v>
      </c>
      <c r="J1687" s="10" t="str">
        <f aca="false">CHOOSE(MOD(INT((A1687-1)/4),4)+1,CHOOSE(MOD(A1687-1,4)+1,"Смартфоны","Ноутбуки","Аксессуары","Аудио"),CHOOSE(MOD(A1687-1,4)+1,"Верхняя одежда","Спортивная","Повседневная","Обувь"),CHOOSE(MOD(A1687-1,4)+1,"Молочные","Мясные","Бакалея","Напитки"),CHOOSE(MOD(A1687-1,4)+1,"Мягкая мебель","Корпусная","Офисная","Кухонная"))</f>
        <v>Спортивная</v>
      </c>
      <c r="K1687" s="12" t="n">
        <f aca="false">1000+MOD(A1687*317+A1687*A1687*7,49001)</f>
        <v>49218</v>
      </c>
      <c r="L1687" s="12" t="n">
        <f aca="false">1+MOD(A1687*131,100)</f>
        <v>67</v>
      </c>
      <c r="M1687" s="12" t="n">
        <f aca="false">INT(K1687*(0.6+MOD(A1687*43,21)/100))</f>
        <v>32483</v>
      </c>
      <c r="N1687" s="12" t="n">
        <f aca="false">K1687-M1687</f>
        <v>16735</v>
      </c>
    </row>
    <row r="1688" customFormat="false" ht="12.8" hidden="false" customHeight="false" outlineLevel="0" collapsed="false">
      <c r="A1688" s="10" t="n">
        <f aca="false">A1687+1</f>
        <v>1687</v>
      </c>
      <c r="B1688" s="11" t="n">
        <f aca="false">B1687+1</f>
        <v>46613</v>
      </c>
      <c r="C1688" s="10" t="n">
        <f aca="false">YEAR(B1688)</f>
        <v>2027</v>
      </c>
      <c r="D1688" s="10" t="n">
        <f aca="false">INT((MONTH(B1688)-1)/3)+1</f>
        <v>3</v>
      </c>
      <c r="E1688" s="10" t="n">
        <f aca="false">MONTH(B1688)</f>
        <v>8</v>
      </c>
      <c r="F1688" s="10" t="str">
        <f aca="false">CHOOSE(MOD(A1688-1,5)+1,"Центр","Юг","Север","Запад","Восток")</f>
        <v>Юг</v>
      </c>
      <c r="G1688" s="10" t="str">
        <f aca="false">"Округ_"&amp;(MOD(A1688-1,5)+1)&amp;"_"&amp;(MOD(INT((A1688-1)/5),5)+1)</f>
        <v>Округ_2_3</v>
      </c>
      <c r="H1688" s="10" t="str">
        <f aca="false">"Город_"&amp;(MOD(A1688-1,5)+1)&amp;"_"&amp;(MOD(INT((A1688-1)/5),5)+1)&amp;"_"&amp;(MOD(INT((A1688-1)/25),10)+1)</f>
        <v>Город_2_3_8</v>
      </c>
      <c r="I1688" s="10" t="str">
        <f aca="false">CHOOSE(MOD(A1688-1,4)+1,"Электроника","Одежда","Продукты","Мебель")</f>
        <v>Продукты</v>
      </c>
      <c r="J1688" s="10" t="str">
        <f aca="false">CHOOSE(MOD(INT((A1688-1)/4),4)+1,CHOOSE(MOD(A1688-1,4)+1,"Смартфоны","Ноутбуки","Аксессуары","Аудио"),CHOOSE(MOD(A1688-1,4)+1,"Верхняя одежда","Спортивная","Повседневная","Обувь"),CHOOSE(MOD(A1688-1,4)+1,"Молочные","Мясные","Бакалея","Напитки"),CHOOSE(MOD(A1688-1,4)+1,"Мягкая мебель","Корпусная","Офисная","Кухонная"))</f>
        <v>Повседневная</v>
      </c>
      <c r="K1688" s="12" t="n">
        <f aca="false">1000+MOD(A1688*317+A1688*A1688*7,49001)</f>
        <v>24145</v>
      </c>
      <c r="L1688" s="12" t="n">
        <f aca="false">1+MOD(A1688*131,100)</f>
        <v>98</v>
      </c>
      <c r="M1688" s="12" t="n">
        <f aca="false">INT(K1688*(0.6+MOD(A1688*43,21)/100))</f>
        <v>16177</v>
      </c>
      <c r="N1688" s="12" t="n">
        <f aca="false">K1688-M1688</f>
        <v>7968</v>
      </c>
    </row>
    <row r="1689" customFormat="false" ht="12.8" hidden="false" customHeight="false" outlineLevel="0" collapsed="false">
      <c r="A1689" s="10" t="n">
        <f aca="false">A1688+1</f>
        <v>1688</v>
      </c>
      <c r="B1689" s="11" t="n">
        <f aca="false">B1688+1</f>
        <v>46614</v>
      </c>
      <c r="C1689" s="10" t="n">
        <f aca="false">YEAR(B1689)</f>
        <v>2027</v>
      </c>
      <c r="D1689" s="10" t="n">
        <f aca="false">INT((MONTH(B1689)-1)/3)+1</f>
        <v>3</v>
      </c>
      <c r="E1689" s="10" t="n">
        <f aca="false">MONTH(B1689)</f>
        <v>8</v>
      </c>
      <c r="F1689" s="10" t="str">
        <f aca="false">CHOOSE(MOD(A1689-1,5)+1,"Центр","Юг","Север","Запад","Восток")</f>
        <v>Север</v>
      </c>
      <c r="G1689" s="10" t="str">
        <f aca="false">"Округ_"&amp;(MOD(A1689-1,5)+1)&amp;"_"&amp;(MOD(INT((A1689-1)/5),5)+1)</f>
        <v>Округ_3_3</v>
      </c>
      <c r="H1689" s="10" t="str">
        <f aca="false">"Город_"&amp;(MOD(A1689-1,5)+1)&amp;"_"&amp;(MOD(INT((A1689-1)/5),5)+1)&amp;"_"&amp;(MOD(INT((A1689-1)/25),10)+1)</f>
        <v>Город_3_3_8</v>
      </c>
      <c r="I1689" s="10" t="str">
        <f aca="false">CHOOSE(MOD(A1689-1,4)+1,"Электроника","Одежда","Продукты","Мебель")</f>
        <v>Мебель</v>
      </c>
      <c r="J1689" s="10" t="str">
        <f aca="false">CHOOSE(MOD(INT((A1689-1)/4),4)+1,CHOOSE(MOD(A1689-1,4)+1,"Смартфоны","Ноутбуки","Аксессуары","Аудио"),CHOOSE(MOD(A1689-1,4)+1,"Верхняя одежда","Спортивная","Повседневная","Обувь"),CHOOSE(MOD(A1689-1,4)+1,"Молочные","Мясные","Бакалея","Напитки"),CHOOSE(MOD(A1689-1,4)+1,"Мягкая мебель","Корпусная","Офисная","Кухонная"))</f>
        <v>Обувь</v>
      </c>
      <c r="K1689" s="12" t="n">
        <f aca="false">1000+MOD(A1689*317+A1689*A1689*7,49001)</f>
        <v>48087</v>
      </c>
      <c r="L1689" s="12" t="n">
        <f aca="false">1+MOD(A1689*131,100)</f>
        <v>29</v>
      </c>
      <c r="M1689" s="12" t="n">
        <f aca="false">INT(K1689*(0.6+MOD(A1689*43,21)/100))</f>
        <v>32699</v>
      </c>
      <c r="N1689" s="12" t="n">
        <f aca="false">K1689-M1689</f>
        <v>15388</v>
      </c>
    </row>
    <row r="1690" customFormat="false" ht="12.8" hidden="false" customHeight="false" outlineLevel="0" collapsed="false">
      <c r="A1690" s="10" t="n">
        <f aca="false">A1689+1</f>
        <v>1689</v>
      </c>
      <c r="B1690" s="11" t="n">
        <f aca="false">B1689+1</f>
        <v>46615</v>
      </c>
      <c r="C1690" s="10" t="n">
        <f aca="false">YEAR(B1690)</f>
        <v>2027</v>
      </c>
      <c r="D1690" s="10" t="n">
        <f aca="false">INT((MONTH(B1690)-1)/3)+1</f>
        <v>3</v>
      </c>
      <c r="E1690" s="10" t="n">
        <f aca="false">MONTH(B1690)</f>
        <v>8</v>
      </c>
      <c r="F1690" s="10" t="str">
        <f aca="false">CHOOSE(MOD(A1690-1,5)+1,"Центр","Юг","Север","Запад","Восток")</f>
        <v>Запад</v>
      </c>
      <c r="G1690" s="10" t="str">
        <f aca="false">"Округ_"&amp;(MOD(A1690-1,5)+1)&amp;"_"&amp;(MOD(INT((A1690-1)/5),5)+1)</f>
        <v>Округ_4_3</v>
      </c>
      <c r="H1690" s="10" t="str">
        <f aca="false">"Город_"&amp;(MOD(A1690-1,5)+1)&amp;"_"&amp;(MOD(INT((A1690-1)/5),5)+1)&amp;"_"&amp;(MOD(INT((A1690-1)/25),10)+1)</f>
        <v>Город_4_3_8</v>
      </c>
      <c r="I1690" s="10" t="str">
        <f aca="false">CHOOSE(MOD(A1690-1,4)+1,"Электроника","Одежда","Продукты","Мебель")</f>
        <v>Электроника</v>
      </c>
      <c r="J1690" s="10" t="str">
        <f aca="false">CHOOSE(MOD(INT((A1690-1)/4),4)+1,CHOOSE(MOD(A1690-1,4)+1,"Смартфоны","Ноутбуки","Аксессуары","Аудио"),CHOOSE(MOD(A1690-1,4)+1,"Верхняя одежда","Спортивная","Повседневная","Обувь"),CHOOSE(MOD(A1690-1,4)+1,"Молочные","Мясные","Бакалея","Напитки"),CHOOSE(MOD(A1690-1,4)+1,"Мягкая мебель","Корпусная","Офисная","Кухонная"))</f>
        <v>Молочные</v>
      </c>
      <c r="K1690" s="12" t="n">
        <f aca="false">1000+MOD(A1690*317+A1690*A1690*7,49001)</f>
        <v>23042</v>
      </c>
      <c r="L1690" s="12" t="n">
        <f aca="false">1+MOD(A1690*131,100)</f>
        <v>60</v>
      </c>
      <c r="M1690" s="12" t="n">
        <f aca="false">INT(K1690*(0.6+MOD(A1690*43,21)/100))</f>
        <v>15898</v>
      </c>
      <c r="N1690" s="12" t="n">
        <f aca="false">K1690-M1690</f>
        <v>7144</v>
      </c>
    </row>
    <row r="1691" customFormat="false" ht="12.8" hidden="false" customHeight="false" outlineLevel="0" collapsed="false">
      <c r="A1691" s="10" t="n">
        <f aca="false">A1690+1</f>
        <v>1690</v>
      </c>
      <c r="B1691" s="11" t="n">
        <f aca="false">B1690+1</f>
        <v>46616</v>
      </c>
      <c r="C1691" s="10" t="n">
        <f aca="false">YEAR(B1691)</f>
        <v>2027</v>
      </c>
      <c r="D1691" s="10" t="n">
        <f aca="false">INT((MONTH(B1691)-1)/3)+1</f>
        <v>3</v>
      </c>
      <c r="E1691" s="10" t="n">
        <f aca="false">MONTH(B1691)</f>
        <v>8</v>
      </c>
      <c r="F1691" s="10" t="str">
        <f aca="false">CHOOSE(MOD(A1691-1,5)+1,"Центр","Юг","Север","Запад","Восток")</f>
        <v>Восток</v>
      </c>
      <c r="G1691" s="10" t="str">
        <f aca="false">"Округ_"&amp;(MOD(A1691-1,5)+1)&amp;"_"&amp;(MOD(INT((A1691-1)/5),5)+1)</f>
        <v>Округ_5_3</v>
      </c>
      <c r="H1691" s="10" t="str">
        <f aca="false">"Город_"&amp;(MOD(A1691-1,5)+1)&amp;"_"&amp;(MOD(INT((A1691-1)/5),5)+1)&amp;"_"&amp;(MOD(INT((A1691-1)/25),10)+1)</f>
        <v>Город_5_3_8</v>
      </c>
      <c r="I1691" s="10" t="str">
        <f aca="false">CHOOSE(MOD(A1691-1,4)+1,"Электроника","Одежда","Продукты","Мебель")</f>
        <v>Одежда</v>
      </c>
      <c r="J1691" s="10" t="str">
        <f aca="false">CHOOSE(MOD(INT((A1691-1)/4),4)+1,CHOOSE(MOD(A1691-1,4)+1,"Смартфоны","Ноутбуки","Аксессуары","Аудио"),CHOOSE(MOD(A1691-1,4)+1,"Верхняя одежда","Спортивная","Повседневная","Обувь"),CHOOSE(MOD(A1691-1,4)+1,"Молочные","Мясные","Бакалея","Напитки"),CHOOSE(MOD(A1691-1,4)+1,"Мягкая мебель","Корпусная","Офисная","Кухонная"))</f>
        <v>Мясные</v>
      </c>
      <c r="K1691" s="12" t="n">
        <f aca="false">1000+MOD(A1691*317+A1691*A1691*7,49001)</f>
        <v>47012</v>
      </c>
      <c r="L1691" s="12" t="n">
        <f aca="false">1+MOD(A1691*131,100)</f>
        <v>91</v>
      </c>
      <c r="M1691" s="12" t="n">
        <f aca="false">INT(K1691*(0.6+MOD(A1691*43,21)/100))</f>
        <v>32908</v>
      </c>
      <c r="N1691" s="12" t="n">
        <f aca="false">K1691-M1691</f>
        <v>14104</v>
      </c>
    </row>
    <row r="1692" customFormat="false" ht="12.8" hidden="false" customHeight="false" outlineLevel="0" collapsed="false">
      <c r="A1692" s="10" t="n">
        <f aca="false">A1691+1</f>
        <v>1691</v>
      </c>
      <c r="B1692" s="11" t="n">
        <f aca="false">B1691+1</f>
        <v>46617</v>
      </c>
      <c r="C1692" s="10" t="n">
        <f aca="false">YEAR(B1692)</f>
        <v>2027</v>
      </c>
      <c r="D1692" s="10" t="n">
        <f aca="false">INT((MONTH(B1692)-1)/3)+1</f>
        <v>3</v>
      </c>
      <c r="E1692" s="10" t="n">
        <f aca="false">MONTH(B1692)</f>
        <v>8</v>
      </c>
      <c r="F1692" s="10" t="str">
        <f aca="false">CHOOSE(MOD(A1692-1,5)+1,"Центр","Юг","Север","Запад","Восток")</f>
        <v>Центр</v>
      </c>
      <c r="G1692" s="10" t="str">
        <f aca="false">"Округ_"&amp;(MOD(A1692-1,5)+1)&amp;"_"&amp;(MOD(INT((A1692-1)/5),5)+1)</f>
        <v>Округ_1_4</v>
      </c>
      <c r="H1692" s="10" t="str">
        <f aca="false">"Город_"&amp;(MOD(A1692-1,5)+1)&amp;"_"&amp;(MOD(INT((A1692-1)/5),5)+1)&amp;"_"&amp;(MOD(INT((A1692-1)/25),10)+1)</f>
        <v>Город_1_4_8</v>
      </c>
      <c r="I1692" s="10" t="str">
        <f aca="false">CHOOSE(MOD(A1692-1,4)+1,"Электроника","Одежда","Продукты","Мебель")</f>
        <v>Продукты</v>
      </c>
      <c r="J1692" s="10" t="str">
        <f aca="false">CHOOSE(MOD(INT((A1692-1)/4),4)+1,CHOOSE(MOD(A1692-1,4)+1,"Смартфоны","Ноутбуки","Аксессуары","Аудио"),CHOOSE(MOD(A1692-1,4)+1,"Верхняя одежда","Спортивная","Повседневная","Обувь"),CHOOSE(MOD(A1692-1,4)+1,"Молочные","Мясные","Бакалея","Напитки"),CHOOSE(MOD(A1692-1,4)+1,"Мягкая мебель","Корпусная","Офисная","Кухонная"))</f>
        <v>Бакалея</v>
      </c>
      <c r="K1692" s="12" t="n">
        <f aca="false">1000+MOD(A1692*317+A1692*A1692*7,49001)</f>
        <v>21995</v>
      </c>
      <c r="L1692" s="12" t="n">
        <f aca="false">1+MOD(A1692*131,100)</f>
        <v>22</v>
      </c>
      <c r="M1692" s="12" t="n">
        <f aca="false">INT(K1692*(0.6+MOD(A1692*43,21)/100))</f>
        <v>15616</v>
      </c>
      <c r="N1692" s="12" t="n">
        <f aca="false">K1692-M1692</f>
        <v>6379</v>
      </c>
    </row>
    <row r="1693" customFormat="false" ht="12.8" hidden="false" customHeight="false" outlineLevel="0" collapsed="false">
      <c r="A1693" s="10" t="n">
        <f aca="false">A1692+1</f>
        <v>1692</v>
      </c>
      <c r="B1693" s="11" t="n">
        <f aca="false">B1692+1</f>
        <v>46618</v>
      </c>
      <c r="C1693" s="10" t="n">
        <f aca="false">YEAR(B1693)</f>
        <v>2027</v>
      </c>
      <c r="D1693" s="10" t="n">
        <f aca="false">INT((MONTH(B1693)-1)/3)+1</f>
        <v>3</v>
      </c>
      <c r="E1693" s="10" t="n">
        <f aca="false">MONTH(B1693)</f>
        <v>8</v>
      </c>
      <c r="F1693" s="10" t="str">
        <f aca="false">CHOOSE(MOD(A1693-1,5)+1,"Центр","Юг","Север","Запад","Восток")</f>
        <v>Юг</v>
      </c>
      <c r="G1693" s="10" t="str">
        <f aca="false">"Округ_"&amp;(MOD(A1693-1,5)+1)&amp;"_"&amp;(MOD(INT((A1693-1)/5),5)+1)</f>
        <v>Округ_2_4</v>
      </c>
      <c r="H1693" s="10" t="str">
        <f aca="false">"Город_"&amp;(MOD(A1693-1,5)+1)&amp;"_"&amp;(MOD(INT((A1693-1)/5),5)+1)&amp;"_"&amp;(MOD(INT((A1693-1)/25),10)+1)</f>
        <v>Город_2_4_8</v>
      </c>
      <c r="I1693" s="10" t="str">
        <f aca="false">CHOOSE(MOD(A1693-1,4)+1,"Электроника","Одежда","Продукты","Мебель")</f>
        <v>Мебель</v>
      </c>
      <c r="J1693" s="10" t="str">
        <f aca="false">CHOOSE(MOD(INT((A1693-1)/4),4)+1,CHOOSE(MOD(A1693-1,4)+1,"Смартфоны","Ноутбуки","Аксессуары","Аудио"),CHOOSE(MOD(A1693-1,4)+1,"Верхняя одежда","Спортивная","Повседневная","Обувь"),CHOOSE(MOD(A1693-1,4)+1,"Молочные","Мясные","Бакалея","Напитки"),CHOOSE(MOD(A1693-1,4)+1,"Мягкая мебель","Корпусная","Офисная","Кухонная"))</f>
        <v>Напитки</v>
      </c>
      <c r="K1693" s="12" t="n">
        <f aca="false">1000+MOD(A1693*317+A1693*A1693*7,49001)</f>
        <v>45993</v>
      </c>
      <c r="L1693" s="12" t="n">
        <f aca="false">1+MOD(A1693*131,100)</f>
        <v>53</v>
      </c>
      <c r="M1693" s="12" t="n">
        <f aca="false">INT(K1693*(0.6+MOD(A1693*43,21)/100))</f>
        <v>33114</v>
      </c>
      <c r="N1693" s="12" t="n">
        <f aca="false">K1693-M1693</f>
        <v>12879</v>
      </c>
    </row>
    <row r="1694" customFormat="false" ht="12.8" hidden="false" customHeight="false" outlineLevel="0" collapsed="false">
      <c r="A1694" s="10" t="n">
        <f aca="false">A1693+1</f>
        <v>1693</v>
      </c>
      <c r="B1694" s="11" t="n">
        <f aca="false">B1693+1</f>
        <v>46619</v>
      </c>
      <c r="C1694" s="10" t="n">
        <f aca="false">YEAR(B1694)</f>
        <v>2027</v>
      </c>
      <c r="D1694" s="10" t="n">
        <f aca="false">INT((MONTH(B1694)-1)/3)+1</f>
        <v>3</v>
      </c>
      <c r="E1694" s="10" t="n">
        <f aca="false">MONTH(B1694)</f>
        <v>8</v>
      </c>
      <c r="F1694" s="10" t="str">
        <f aca="false">CHOOSE(MOD(A1694-1,5)+1,"Центр","Юг","Север","Запад","Восток")</f>
        <v>Север</v>
      </c>
      <c r="G1694" s="10" t="str">
        <f aca="false">"Округ_"&amp;(MOD(A1694-1,5)+1)&amp;"_"&amp;(MOD(INT((A1694-1)/5),5)+1)</f>
        <v>Округ_3_4</v>
      </c>
      <c r="H1694" s="10" t="str">
        <f aca="false">"Город_"&amp;(MOD(A1694-1,5)+1)&amp;"_"&amp;(MOD(INT((A1694-1)/5),5)+1)&amp;"_"&amp;(MOD(INT((A1694-1)/25),10)+1)</f>
        <v>Город_3_4_8</v>
      </c>
      <c r="I1694" s="10" t="str">
        <f aca="false">CHOOSE(MOD(A1694-1,4)+1,"Электроника","Одежда","Продукты","Мебель")</f>
        <v>Электроника</v>
      </c>
      <c r="J1694" s="10" t="str">
        <f aca="false">CHOOSE(MOD(INT((A1694-1)/4),4)+1,CHOOSE(MOD(A1694-1,4)+1,"Смартфоны","Ноутбуки","Аксессуары","Аудио"),CHOOSE(MOD(A1694-1,4)+1,"Верхняя одежда","Спортивная","Повседневная","Обувь"),CHOOSE(MOD(A1694-1,4)+1,"Молочные","Мясные","Бакалея","Напитки"),CHOOSE(MOD(A1694-1,4)+1,"Мягкая мебель","Корпусная","Офисная","Кухонная"))</f>
        <v>Мягкая мебель</v>
      </c>
      <c r="K1694" s="12" t="n">
        <f aca="false">1000+MOD(A1694*317+A1694*A1694*7,49001)</f>
        <v>21004</v>
      </c>
      <c r="L1694" s="12" t="n">
        <f aca="false">1+MOD(A1694*131,100)</f>
        <v>84</v>
      </c>
      <c r="M1694" s="12" t="n">
        <f aca="false">INT(K1694*(0.6+MOD(A1694*43,21)/100))</f>
        <v>15332</v>
      </c>
      <c r="N1694" s="12" t="n">
        <f aca="false">K1694-M1694</f>
        <v>5672</v>
      </c>
    </row>
    <row r="1695" customFormat="false" ht="12.8" hidden="false" customHeight="false" outlineLevel="0" collapsed="false">
      <c r="A1695" s="10" t="n">
        <f aca="false">A1694+1</f>
        <v>1694</v>
      </c>
      <c r="B1695" s="11" t="n">
        <f aca="false">B1694+1</f>
        <v>46620</v>
      </c>
      <c r="C1695" s="10" t="n">
        <f aca="false">YEAR(B1695)</f>
        <v>2027</v>
      </c>
      <c r="D1695" s="10" t="n">
        <f aca="false">INT((MONTH(B1695)-1)/3)+1</f>
        <v>3</v>
      </c>
      <c r="E1695" s="10" t="n">
        <f aca="false">MONTH(B1695)</f>
        <v>8</v>
      </c>
      <c r="F1695" s="10" t="str">
        <f aca="false">CHOOSE(MOD(A1695-1,5)+1,"Центр","Юг","Север","Запад","Восток")</f>
        <v>Запад</v>
      </c>
      <c r="G1695" s="10" t="str">
        <f aca="false">"Округ_"&amp;(MOD(A1695-1,5)+1)&amp;"_"&amp;(MOD(INT((A1695-1)/5),5)+1)</f>
        <v>Округ_4_4</v>
      </c>
      <c r="H1695" s="10" t="str">
        <f aca="false">"Город_"&amp;(MOD(A1695-1,5)+1)&amp;"_"&amp;(MOD(INT((A1695-1)/5),5)+1)&amp;"_"&amp;(MOD(INT((A1695-1)/25),10)+1)</f>
        <v>Город_4_4_8</v>
      </c>
      <c r="I1695" s="10" t="str">
        <f aca="false">CHOOSE(MOD(A1695-1,4)+1,"Электроника","Одежда","Продукты","Мебель")</f>
        <v>Одежда</v>
      </c>
      <c r="J1695" s="10" t="str">
        <f aca="false">CHOOSE(MOD(INT((A1695-1)/4),4)+1,CHOOSE(MOD(A1695-1,4)+1,"Смартфоны","Ноутбуки","Аксессуары","Аудио"),CHOOSE(MOD(A1695-1,4)+1,"Верхняя одежда","Спортивная","Повседневная","Обувь"),CHOOSE(MOD(A1695-1,4)+1,"Молочные","Мясные","Бакалея","Напитки"),CHOOSE(MOD(A1695-1,4)+1,"Мягкая мебель","Корпусная","Офисная","Кухонная"))</f>
        <v>Корпусная</v>
      </c>
      <c r="K1695" s="12" t="n">
        <f aca="false">1000+MOD(A1695*317+A1695*A1695*7,49001)</f>
        <v>45030</v>
      </c>
      <c r="L1695" s="12" t="n">
        <f aca="false">1+MOD(A1695*131,100)</f>
        <v>15</v>
      </c>
      <c r="M1695" s="12" t="n">
        <f aca="false">INT(K1695*(0.6+MOD(A1695*43,21)/100))</f>
        <v>33322</v>
      </c>
      <c r="N1695" s="12" t="n">
        <f aca="false">K1695-M1695</f>
        <v>11708</v>
      </c>
    </row>
    <row r="1696" customFormat="false" ht="12.8" hidden="false" customHeight="false" outlineLevel="0" collapsed="false">
      <c r="A1696" s="10" t="n">
        <f aca="false">A1695+1</f>
        <v>1695</v>
      </c>
      <c r="B1696" s="11" t="n">
        <f aca="false">B1695+1</f>
        <v>46621</v>
      </c>
      <c r="C1696" s="10" t="n">
        <f aca="false">YEAR(B1696)</f>
        <v>2027</v>
      </c>
      <c r="D1696" s="10" t="n">
        <f aca="false">INT((MONTH(B1696)-1)/3)+1</f>
        <v>3</v>
      </c>
      <c r="E1696" s="10" t="n">
        <f aca="false">MONTH(B1696)</f>
        <v>8</v>
      </c>
      <c r="F1696" s="10" t="str">
        <f aca="false">CHOOSE(MOD(A1696-1,5)+1,"Центр","Юг","Север","Запад","Восток")</f>
        <v>Восток</v>
      </c>
      <c r="G1696" s="10" t="str">
        <f aca="false">"Округ_"&amp;(MOD(A1696-1,5)+1)&amp;"_"&amp;(MOD(INT((A1696-1)/5),5)+1)</f>
        <v>Округ_5_4</v>
      </c>
      <c r="H1696" s="10" t="str">
        <f aca="false">"Город_"&amp;(MOD(A1696-1,5)+1)&amp;"_"&amp;(MOD(INT((A1696-1)/5),5)+1)&amp;"_"&amp;(MOD(INT((A1696-1)/25),10)+1)</f>
        <v>Город_5_4_8</v>
      </c>
      <c r="I1696" s="10" t="str">
        <f aca="false">CHOOSE(MOD(A1696-1,4)+1,"Электроника","Одежда","Продукты","Мебель")</f>
        <v>Продукты</v>
      </c>
      <c r="J1696" s="10" t="str">
        <f aca="false">CHOOSE(MOD(INT((A1696-1)/4),4)+1,CHOOSE(MOD(A1696-1,4)+1,"Смартфоны","Ноутбуки","Аксессуары","Аудио"),CHOOSE(MOD(A1696-1,4)+1,"Верхняя одежда","Спортивная","Повседневная","Обувь"),CHOOSE(MOD(A1696-1,4)+1,"Молочные","Мясные","Бакалея","Напитки"),CHOOSE(MOD(A1696-1,4)+1,"Мягкая мебель","Корпусная","Офисная","Кухонная"))</f>
        <v>Офисная</v>
      </c>
      <c r="K1696" s="12" t="n">
        <f aca="false">1000+MOD(A1696*317+A1696*A1696*7,49001)</f>
        <v>20069</v>
      </c>
      <c r="L1696" s="12" t="n">
        <f aca="false">1+MOD(A1696*131,100)</f>
        <v>46</v>
      </c>
      <c r="M1696" s="12" t="n">
        <f aca="false">INT(K1696*(0.6+MOD(A1696*43,21)/100))</f>
        <v>15051</v>
      </c>
      <c r="N1696" s="12" t="n">
        <f aca="false">K1696-M1696</f>
        <v>5018</v>
      </c>
    </row>
    <row r="1697" customFormat="false" ht="12.8" hidden="false" customHeight="false" outlineLevel="0" collapsed="false">
      <c r="A1697" s="10" t="n">
        <f aca="false">A1696+1</f>
        <v>1696</v>
      </c>
      <c r="B1697" s="11" t="n">
        <f aca="false">B1696+1</f>
        <v>46622</v>
      </c>
      <c r="C1697" s="10" t="n">
        <f aca="false">YEAR(B1697)</f>
        <v>2027</v>
      </c>
      <c r="D1697" s="10" t="n">
        <f aca="false">INT((MONTH(B1697)-1)/3)+1</f>
        <v>3</v>
      </c>
      <c r="E1697" s="10" t="n">
        <f aca="false">MONTH(B1697)</f>
        <v>8</v>
      </c>
      <c r="F1697" s="10" t="str">
        <f aca="false">CHOOSE(MOD(A1697-1,5)+1,"Центр","Юг","Север","Запад","Восток")</f>
        <v>Центр</v>
      </c>
      <c r="G1697" s="10" t="str">
        <f aca="false">"Округ_"&amp;(MOD(A1697-1,5)+1)&amp;"_"&amp;(MOD(INT((A1697-1)/5),5)+1)</f>
        <v>Округ_1_5</v>
      </c>
      <c r="H1697" s="10" t="str">
        <f aca="false">"Город_"&amp;(MOD(A1697-1,5)+1)&amp;"_"&amp;(MOD(INT((A1697-1)/5),5)+1)&amp;"_"&amp;(MOD(INT((A1697-1)/25),10)+1)</f>
        <v>Город_1_5_8</v>
      </c>
      <c r="I1697" s="10" t="str">
        <f aca="false">CHOOSE(MOD(A1697-1,4)+1,"Электроника","Одежда","Продукты","Мебель")</f>
        <v>Мебель</v>
      </c>
      <c r="J1697" s="10" t="str">
        <f aca="false">CHOOSE(MOD(INT((A1697-1)/4),4)+1,CHOOSE(MOD(A1697-1,4)+1,"Смартфоны","Ноутбуки","Аксессуары","Аудио"),CHOOSE(MOD(A1697-1,4)+1,"Верхняя одежда","Спортивная","Повседневная","Обувь"),CHOOSE(MOD(A1697-1,4)+1,"Молочные","Мясные","Бакалея","Напитки"),CHOOSE(MOD(A1697-1,4)+1,"Мягкая мебель","Корпусная","Офисная","Кухонная"))</f>
        <v>Кухонная</v>
      </c>
      <c r="K1697" s="12" t="n">
        <f aca="false">1000+MOD(A1697*317+A1697*A1697*7,49001)</f>
        <v>44123</v>
      </c>
      <c r="L1697" s="12" t="n">
        <f aca="false">1+MOD(A1697*131,100)</f>
        <v>77</v>
      </c>
      <c r="M1697" s="12" t="n">
        <f aca="false">INT(K1697*(0.6+MOD(A1697*43,21)/100))</f>
        <v>33533</v>
      </c>
      <c r="N1697" s="12" t="n">
        <f aca="false">K1697-M1697</f>
        <v>10590</v>
      </c>
    </row>
    <row r="1698" customFormat="false" ht="12.8" hidden="false" customHeight="false" outlineLevel="0" collapsed="false">
      <c r="A1698" s="10" t="n">
        <f aca="false">A1697+1</f>
        <v>1697</v>
      </c>
      <c r="B1698" s="11" t="n">
        <f aca="false">B1697+1</f>
        <v>46623</v>
      </c>
      <c r="C1698" s="10" t="n">
        <f aca="false">YEAR(B1698)</f>
        <v>2027</v>
      </c>
      <c r="D1698" s="10" t="n">
        <f aca="false">INT((MONTH(B1698)-1)/3)+1</f>
        <v>3</v>
      </c>
      <c r="E1698" s="10" t="n">
        <f aca="false">MONTH(B1698)</f>
        <v>8</v>
      </c>
      <c r="F1698" s="10" t="str">
        <f aca="false">CHOOSE(MOD(A1698-1,5)+1,"Центр","Юг","Север","Запад","Восток")</f>
        <v>Юг</v>
      </c>
      <c r="G1698" s="10" t="str">
        <f aca="false">"Округ_"&amp;(MOD(A1698-1,5)+1)&amp;"_"&amp;(MOD(INT((A1698-1)/5),5)+1)</f>
        <v>Округ_2_5</v>
      </c>
      <c r="H1698" s="10" t="str">
        <f aca="false">"Город_"&amp;(MOD(A1698-1,5)+1)&amp;"_"&amp;(MOD(INT((A1698-1)/5),5)+1)&amp;"_"&amp;(MOD(INT((A1698-1)/25),10)+1)</f>
        <v>Город_2_5_8</v>
      </c>
      <c r="I1698" s="10" t="str">
        <f aca="false">CHOOSE(MOD(A1698-1,4)+1,"Электроника","Одежда","Продукты","Мебель")</f>
        <v>Электроника</v>
      </c>
      <c r="J1698" s="10" t="str">
        <f aca="false">CHOOSE(MOD(INT((A1698-1)/4),4)+1,CHOOSE(MOD(A1698-1,4)+1,"Смартфоны","Ноутбуки","Аксессуары","Аудио"),CHOOSE(MOD(A1698-1,4)+1,"Верхняя одежда","Спортивная","Повседневная","Обувь"),CHOOSE(MOD(A1698-1,4)+1,"Молочные","Мясные","Бакалея","Напитки"),CHOOSE(MOD(A1698-1,4)+1,"Мягкая мебель","Корпусная","Офисная","Кухонная"))</f>
        <v>Смартфоны</v>
      </c>
      <c r="K1698" s="12" t="n">
        <f aca="false">1000+MOD(A1698*317+A1698*A1698*7,49001)</f>
        <v>19190</v>
      </c>
      <c r="L1698" s="12" t="n">
        <f aca="false">1+MOD(A1698*131,100)</f>
        <v>8</v>
      </c>
      <c r="M1698" s="12" t="n">
        <f aca="false">INT(K1698*(0.6+MOD(A1698*43,21)/100))</f>
        <v>14776</v>
      </c>
      <c r="N1698" s="12" t="n">
        <f aca="false">K1698-M1698</f>
        <v>4414</v>
      </c>
    </row>
    <row r="1699" customFormat="false" ht="12.8" hidden="false" customHeight="false" outlineLevel="0" collapsed="false">
      <c r="A1699" s="10" t="n">
        <f aca="false">A1698+1</f>
        <v>1698</v>
      </c>
      <c r="B1699" s="11" t="n">
        <f aca="false">B1698+1</f>
        <v>46624</v>
      </c>
      <c r="C1699" s="10" t="n">
        <f aca="false">YEAR(B1699)</f>
        <v>2027</v>
      </c>
      <c r="D1699" s="10" t="n">
        <f aca="false">INT((MONTH(B1699)-1)/3)+1</f>
        <v>3</v>
      </c>
      <c r="E1699" s="10" t="n">
        <f aca="false">MONTH(B1699)</f>
        <v>8</v>
      </c>
      <c r="F1699" s="10" t="str">
        <f aca="false">CHOOSE(MOD(A1699-1,5)+1,"Центр","Юг","Север","Запад","Восток")</f>
        <v>Север</v>
      </c>
      <c r="G1699" s="10" t="str">
        <f aca="false">"Округ_"&amp;(MOD(A1699-1,5)+1)&amp;"_"&amp;(MOD(INT((A1699-1)/5),5)+1)</f>
        <v>Округ_3_5</v>
      </c>
      <c r="H1699" s="10" t="str">
        <f aca="false">"Город_"&amp;(MOD(A1699-1,5)+1)&amp;"_"&amp;(MOD(INT((A1699-1)/5),5)+1)&amp;"_"&amp;(MOD(INT((A1699-1)/25),10)+1)</f>
        <v>Город_3_5_8</v>
      </c>
      <c r="I1699" s="10" t="str">
        <f aca="false">CHOOSE(MOD(A1699-1,4)+1,"Электроника","Одежда","Продукты","Мебель")</f>
        <v>Одежда</v>
      </c>
      <c r="J1699" s="10" t="str">
        <f aca="false">CHOOSE(MOD(INT((A1699-1)/4),4)+1,CHOOSE(MOD(A1699-1,4)+1,"Смартфоны","Ноутбуки","Аксессуары","Аудио"),CHOOSE(MOD(A1699-1,4)+1,"Верхняя одежда","Спортивная","Повседневная","Обувь"),CHOOSE(MOD(A1699-1,4)+1,"Молочные","Мясные","Бакалея","Напитки"),CHOOSE(MOD(A1699-1,4)+1,"Мягкая мебель","Корпусная","Офисная","Кухонная"))</f>
        <v>Ноутбуки</v>
      </c>
      <c r="K1699" s="12" t="n">
        <f aca="false">1000+MOD(A1699*317+A1699*A1699*7,49001)</f>
        <v>43272</v>
      </c>
      <c r="L1699" s="12" t="n">
        <f aca="false">1+MOD(A1699*131,100)</f>
        <v>39</v>
      </c>
      <c r="M1699" s="12" t="n">
        <f aca="false">INT(K1699*(0.6+MOD(A1699*43,21)/100))</f>
        <v>33752</v>
      </c>
      <c r="N1699" s="12" t="n">
        <f aca="false">K1699-M1699</f>
        <v>9520</v>
      </c>
    </row>
    <row r="1700" customFormat="false" ht="12.8" hidden="false" customHeight="false" outlineLevel="0" collapsed="false">
      <c r="A1700" s="10" t="n">
        <f aca="false">A1699+1</f>
        <v>1699</v>
      </c>
      <c r="B1700" s="11" t="n">
        <f aca="false">B1699+1</f>
        <v>46625</v>
      </c>
      <c r="C1700" s="10" t="n">
        <f aca="false">YEAR(B1700)</f>
        <v>2027</v>
      </c>
      <c r="D1700" s="10" t="n">
        <f aca="false">INT((MONTH(B1700)-1)/3)+1</f>
        <v>3</v>
      </c>
      <c r="E1700" s="10" t="n">
        <f aca="false">MONTH(B1700)</f>
        <v>8</v>
      </c>
      <c r="F1700" s="10" t="str">
        <f aca="false">CHOOSE(MOD(A1700-1,5)+1,"Центр","Юг","Север","Запад","Восток")</f>
        <v>Запад</v>
      </c>
      <c r="G1700" s="10" t="str">
        <f aca="false">"Округ_"&amp;(MOD(A1700-1,5)+1)&amp;"_"&amp;(MOD(INT((A1700-1)/5),5)+1)</f>
        <v>Округ_4_5</v>
      </c>
      <c r="H1700" s="10" t="str">
        <f aca="false">"Город_"&amp;(MOD(A1700-1,5)+1)&amp;"_"&amp;(MOD(INT((A1700-1)/5),5)+1)&amp;"_"&amp;(MOD(INT((A1700-1)/25),10)+1)</f>
        <v>Город_4_5_8</v>
      </c>
      <c r="I1700" s="10" t="str">
        <f aca="false">CHOOSE(MOD(A1700-1,4)+1,"Электроника","Одежда","Продукты","Мебель")</f>
        <v>Продукты</v>
      </c>
      <c r="J1700" s="10" t="str">
        <f aca="false">CHOOSE(MOD(INT((A1700-1)/4),4)+1,CHOOSE(MOD(A1700-1,4)+1,"Смартфоны","Ноутбуки","Аксессуары","Аудио"),CHOOSE(MOD(A1700-1,4)+1,"Верхняя одежда","Спортивная","Повседневная","Обувь"),CHOOSE(MOD(A1700-1,4)+1,"Молочные","Мясные","Бакалея","Напитки"),CHOOSE(MOD(A1700-1,4)+1,"Мягкая мебель","Корпусная","Офисная","Кухонная"))</f>
        <v>Аксессуары</v>
      </c>
      <c r="K1700" s="12" t="n">
        <f aca="false">1000+MOD(A1700*317+A1700*A1700*7,49001)</f>
        <v>18367</v>
      </c>
      <c r="L1700" s="12" t="n">
        <f aca="false">1+MOD(A1700*131,100)</f>
        <v>70</v>
      </c>
      <c r="M1700" s="12" t="n">
        <f aca="false">INT(K1700*(0.6+MOD(A1700*43,21)/100))</f>
        <v>14509</v>
      </c>
      <c r="N1700" s="12" t="n">
        <f aca="false">K1700-M1700</f>
        <v>3858</v>
      </c>
    </row>
    <row r="1701" customFormat="false" ht="12.8" hidden="false" customHeight="false" outlineLevel="0" collapsed="false">
      <c r="A1701" s="10" t="n">
        <f aca="false">A1700+1</f>
        <v>1700</v>
      </c>
      <c r="B1701" s="11" t="n">
        <f aca="false">B1700+1</f>
        <v>46626</v>
      </c>
      <c r="C1701" s="10" t="n">
        <f aca="false">YEAR(B1701)</f>
        <v>2027</v>
      </c>
      <c r="D1701" s="10" t="n">
        <f aca="false">INT((MONTH(B1701)-1)/3)+1</f>
        <v>3</v>
      </c>
      <c r="E1701" s="10" t="n">
        <f aca="false">MONTH(B1701)</f>
        <v>8</v>
      </c>
      <c r="F1701" s="10" t="str">
        <f aca="false">CHOOSE(MOD(A1701-1,5)+1,"Центр","Юг","Север","Запад","Восток")</f>
        <v>Восток</v>
      </c>
      <c r="G1701" s="10" t="str">
        <f aca="false">"Округ_"&amp;(MOD(A1701-1,5)+1)&amp;"_"&amp;(MOD(INT((A1701-1)/5),5)+1)</f>
        <v>Округ_5_5</v>
      </c>
      <c r="H1701" s="10" t="str">
        <f aca="false">"Город_"&amp;(MOD(A1701-1,5)+1)&amp;"_"&amp;(MOD(INT((A1701-1)/5),5)+1)&amp;"_"&amp;(MOD(INT((A1701-1)/25),10)+1)</f>
        <v>Город_5_5_8</v>
      </c>
      <c r="I1701" s="10" t="str">
        <f aca="false">CHOOSE(MOD(A1701-1,4)+1,"Электроника","Одежда","Продукты","Мебель")</f>
        <v>Мебель</v>
      </c>
      <c r="J1701" s="10" t="str">
        <f aca="false">CHOOSE(MOD(INT((A1701-1)/4),4)+1,CHOOSE(MOD(A1701-1,4)+1,"Смартфоны","Ноутбуки","Аксессуары","Аудио"),CHOOSE(MOD(A1701-1,4)+1,"Верхняя одежда","Спортивная","Повседневная","Обувь"),CHOOSE(MOD(A1701-1,4)+1,"Молочные","Мясные","Бакалея","Напитки"),CHOOSE(MOD(A1701-1,4)+1,"Мягкая мебель","Корпусная","Офисная","Кухонная"))</f>
        <v>Аудио</v>
      </c>
      <c r="K1701" s="12" t="n">
        <f aca="false">1000+MOD(A1701*317+A1701*A1701*7,49001)</f>
        <v>42477</v>
      </c>
      <c r="L1701" s="12" t="n">
        <f aca="false">1+MOD(A1701*131,100)</f>
        <v>1</v>
      </c>
      <c r="M1701" s="12" t="n">
        <f aca="false">INT(K1701*(0.6+MOD(A1701*43,21)/100))</f>
        <v>33981</v>
      </c>
      <c r="N1701" s="12" t="n">
        <f aca="false">K1701-M1701</f>
        <v>8496</v>
      </c>
    </row>
    <row r="1702" customFormat="false" ht="12.8" hidden="false" customHeight="false" outlineLevel="0" collapsed="false">
      <c r="A1702" s="10" t="n">
        <f aca="false">A1701+1</f>
        <v>1701</v>
      </c>
      <c r="B1702" s="11" t="n">
        <f aca="false">B1701+1</f>
        <v>46627</v>
      </c>
      <c r="C1702" s="10" t="n">
        <f aca="false">YEAR(B1702)</f>
        <v>2027</v>
      </c>
      <c r="D1702" s="10" t="n">
        <f aca="false">INT((MONTH(B1702)-1)/3)+1</f>
        <v>3</v>
      </c>
      <c r="E1702" s="10" t="n">
        <f aca="false">MONTH(B1702)</f>
        <v>8</v>
      </c>
      <c r="F1702" s="10" t="str">
        <f aca="false">CHOOSE(MOD(A1702-1,5)+1,"Центр","Юг","Север","Запад","Восток")</f>
        <v>Центр</v>
      </c>
      <c r="G1702" s="10" t="str">
        <f aca="false">"Округ_"&amp;(MOD(A1702-1,5)+1)&amp;"_"&amp;(MOD(INT((A1702-1)/5),5)+1)</f>
        <v>Округ_1_1</v>
      </c>
      <c r="H1702" s="10" t="str">
        <f aca="false">"Город_"&amp;(MOD(A1702-1,5)+1)&amp;"_"&amp;(MOD(INT((A1702-1)/5),5)+1)&amp;"_"&amp;(MOD(INT((A1702-1)/25),10)+1)</f>
        <v>Город_1_1_9</v>
      </c>
      <c r="I1702" s="10" t="str">
        <f aca="false">CHOOSE(MOD(A1702-1,4)+1,"Электроника","Одежда","Продукты","Мебель")</f>
        <v>Электроника</v>
      </c>
      <c r="J1702" s="10" t="str">
        <f aca="false">CHOOSE(MOD(INT((A1702-1)/4),4)+1,CHOOSE(MOD(A1702-1,4)+1,"Смартфоны","Ноутбуки","Аксессуары","Аудио"),CHOOSE(MOD(A1702-1,4)+1,"Верхняя одежда","Спортивная","Повседневная","Обувь"),CHOOSE(MOD(A1702-1,4)+1,"Молочные","Мясные","Бакалея","Напитки"),CHOOSE(MOD(A1702-1,4)+1,"Мягкая мебель","Корпусная","Офисная","Кухонная"))</f>
        <v>Верхняя одежда</v>
      </c>
      <c r="K1702" s="12" t="n">
        <f aca="false">1000+MOD(A1702*317+A1702*A1702*7,49001)</f>
        <v>17600</v>
      </c>
      <c r="L1702" s="12" t="n">
        <f aca="false">1+MOD(A1702*131,100)</f>
        <v>32</v>
      </c>
      <c r="M1702" s="12" t="n">
        <f aca="false">INT(K1702*(0.6+MOD(A1702*43,21)/100))</f>
        <v>10560</v>
      </c>
      <c r="N1702" s="12" t="n">
        <f aca="false">K1702-M1702</f>
        <v>7040</v>
      </c>
    </row>
    <row r="1703" customFormat="false" ht="12.8" hidden="false" customHeight="false" outlineLevel="0" collapsed="false">
      <c r="A1703" s="10" t="n">
        <f aca="false">A1702+1</f>
        <v>1702</v>
      </c>
      <c r="B1703" s="11" t="n">
        <f aca="false">B1702+1</f>
        <v>46628</v>
      </c>
      <c r="C1703" s="10" t="n">
        <f aca="false">YEAR(B1703)</f>
        <v>2027</v>
      </c>
      <c r="D1703" s="10" t="n">
        <f aca="false">INT((MONTH(B1703)-1)/3)+1</f>
        <v>3</v>
      </c>
      <c r="E1703" s="10" t="n">
        <f aca="false">MONTH(B1703)</f>
        <v>8</v>
      </c>
      <c r="F1703" s="10" t="str">
        <f aca="false">CHOOSE(MOD(A1703-1,5)+1,"Центр","Юг","Север","Запад","Восток")</f>
        <v>Юг</v>
      </c>
      <c r="G1703" s="10" t="str">
        <f aca="false">"Округ_"&amp;(MOD(A1703-1,5)+1)&amp;"_"&amp;(MOD(INT((A1703-1)/5),5)+1)</f>
        <v>Округ_2_1</v>
      </c>
      <c r="H1703" s="10" t="str">
        <f aca="false">"Город_"&amp;(MOD(A1703-1,5)+1)&amp;"_"&amp;(MOD(INT((A1703-1)/5),5)+1)&amp;"_"&amp;(MOD(INT((A1703-1)/25),10)+1)</f>
        <v>Город_2_1_9</v>
      </c>
      <c r="I1703" s="10" t="str">
        <f aca="false">CHOOSE(MOD(A1703-1,4)+1,"Электроника","Одежда","Продукты","Мебель")</f>
        <v>Одежда</v>
      </c>
      <c r="J1703" s="10" t="str">
        <f aca="false">CHOOSE(MOD(INT((A1703-1)/4),4)+1,CHOOSE(MOD(A1703-1,4)+1,"Смартфоны","Ноутбуки","Аксессуары","Аудио"),CHOOSE(MOD(A1703-1,4)+1,"Верхняя одежда","Спортивная","Повседневная","Обувь"),CHOOSE(MOD(A1703-1,4)+1,"Молочные","Мясные","Бакалея","Напитки"),CHOOSE(MOD(A1703-1,4)+1,"Мягкая мебель","Корпусная","Офисная","Кухонная"))</f>
        <v>Спортивная</v>
      </c>
      <c r="K1703" s="12" t="n">
        <f aca="false">1000+MOD(A1703*317+A1703*A1703*7,49001)</f>
        <v>41738</v>
      </c>
      <c r="L1703" s="12" t="n">
        <f aca="false">1+MOD(A1703*131,100)</f>
        <v>63</v>
      </c>
      <c r="M1703" s="12" t="n">
        <f aca="false">INT(K1703*(0.6+MOD(A1703*43,21)/100))</f>
        <v>25460</v>
      </c>
      <c r="N1703" s="12" t="n">
        <f aca="false">K1703-M1703</f>
        <v>16278</v>
      </c>
    </row>
    <row r="1704" customFormat="false" ht="12.8" hidden="false" customHeight="false" outlineLevel="0" collapsed="false">
      <c r="A1704" s="10" t="n">
        <f aca="false">A1703+1</f>
        <v>1703</v>
      </c>
      <c r="B1704" s="11" t="n">
        <f aca="false">B1703+1</f>
        <v>46629</v>
      </c>
      <c r="C1704" s="10" t="n">
        <f aca="false">YEAR(B1704)</f>
        <v>2027</v>
      </c>
      <c r="D1704" s="10" t="n">
        <f aca="false">INT((MONTH(B1704)-1)/3)+1</f>
        <v>3</v>
      </c>
      <c r="E1704" s="10" t="n">
        <f aca="false">MONTH(B1704)</f>
        <v>8</v>
      </c>
      <c r="F1704" s="10" t="str">
        <f aca="false">CHOOSE(MOD(A1704-1,5)+1,"Центр","Юг","Север","Запад","Восток")</f>
        <v>Север</v>
      </c>
      <c r="G1704" s="10" t="str">
        <f aca="false">"Округ_"&amp;(MOD(A1704-1,5)+1)&amp;"_"&amp;(MOD(INT((A1704-1)/5),5)+1)</f>
        <v>Округ_3_1</v>
      </c>
      <c r="H1704" s="10" t="str">
        <f aca="false">"Город_"&amp;(MOD(A1704-1,5)+1)&amp;"_"&amp;(MOD(INT((A1704-1)/5),5)+1)&amp;"_"&amp;(MOD(INT((A1704-1)/25),10)+1)</f>
        <v>Город_3_1_9</v>
      </c>
      <c r="I1704" s="10" t="str">
        <f aca="false">CHOOSE(MOD(A1704-1,4)+1,"Электроника","Одежда","Продукты","Мебель")</f>
        <v>Продукты</v>
      </c>
      <c r="J1704" s="10" t="str">
        <f aca="false">CHOOSE(MOD(INT((A1704-1)/4),4)+1,CHOOSE(MOD(A1704-1,4)+1,"Смартфоны","Ноутбуки","Аксессуары","Аудио"),CHOOSE(MOD(A1704-1,4)+1,"Верхняя одежда","Спортивная","Повседневная","Обувь"),CHOOSE(MOD(A1704-1,4)+1,"Молочные","Мясные","Бакалея","Напитки"),CHOOSE(MOD(A1704-1,4)+1,"Мягкая мебель","Корпусная","Офисная","Кухонная"))</f>
        <v>Повседневная</v>
      </c>
      <c r="K1704" s="12" t="n">
        <f aca="false">1000+MOD(A1704*317+A1704*A1704*7,49001)</f>
        <v>16889</v>
      </c>
      <c r="L1704" s="12" t="n">
        <f aca="false">1+MOD(A1704*131,100)</f>
        <v>94</v>
      </c>
      <c r="M1704" s="12" t="n">
        <f aca="false">INT(K1704*(0.6+MOD(A1704*43,21)/100))</f>
        <v>10471</v>
      </c>
      <c r="N1704" s="12" t="n">
        <f aca="false">K1704-M1704</f>
        <v>6418</v>
      </c>
    </row>
    <row r="1705" customFormat="false" ht="12.8" hidden="false" customHeight="false" outlineLevel="0" collapsed="false">
      <c r="A1705" s="10" t="n">
        <f aca="false">A1704+1</f>
        <v>1704</v>
      </c>
      <c r="B1705" s="11" t="n">
        <f aca="false">B1704+1</f>
        <v>46630</v>
      </c>
      <c r="C1705" s="10" t="n">
        <f aca="false">YEAR(B1705)</f>
        <v>2027</v>
      </c>
      <c r="D1705" s="10" t="n">
        <f aca="false">INT((MONTH(B1705)-1)/3)+1</f>
        <v>3</v>
      </c>
      <c r="E1705" s="10" t="n">
        <f aca="false">MONTH(B1705)</f>
        <v>8</v>
      </c>
      <c r="F1705" s="10" t="str">
        <f aca="false">CHOOSE(MOD(A1705-1,5)+1,"Центр","Юг","Север","Запад","Восток")</f>
        <v>Запад</v>
      </c>
      <c r="G1705" s="10" t="str">
        <f aca="false">"Округ_"&amp;(MOD(A1705-1,5)+1)&amp;"_"&amp;(MOD(INT((A1705-1)/5),5)+1)</f>
        <v>Округ_4_1</v>
      </c>
      <c r="H1705" s="10" t="str">
        <f aca="false">"Город_"&amp;(MOD(A1705-1,5)+1)&amp;"_"&amp;(MOD(INT((A1705-1)/5),5)+1)&amp;"_"&amp;(MOD(INT((A1705-1)/25),10)+1)</f>
        <v>Город_4_1_9</v>
      </c>
      <c r="I1705" s="10" t="str">
        <f aca="false">CHOOSE(MOD(A1705-1,4)+1,"Электроника","Одежда","Продукты","Мебель")</f>
        <v>Мебель</v>
      </c>
      <c r="J1705" s="10" t="str">
        <f aca="false">CHOOSE(MOD(INT((A1705-1)/4),4)+1,CHOOSE(MOD(A1705-1,4)+1,"Смартфоны","Ноутбуки","Аксессуары","Аудио"),CHOOSE(MOD(A1705-1,4)+1,"Верхняя одежда","Спортивная","Повседневная","Обувь"),CHOOSE(MOD(A1705-1,4)+1,"Молочные","Мясные","Бакалея","Напитки"),CHOOSE(MOD(A1705-1,4)+1,"Мягкая мебель","Корпусная","Офисная","Кухонная"))</f>
        <v>Обувь</v>
      </c>
      <c r="K1705" s="12" t="n">
        <f aca="false">1000+MOD(A1705*317+A1705*A1705*7,49001)</f>
        <v>41055</v>
      </c>
      <c r="L1705" s="12" t="n">
        <f aca="false">1+MOD(A1705*131,100)</f>
        <v>25</v>
      </c>
      <c r="M1705" s="12" t="n">
        <f aca="false">INT(K1705*(0.6+MOD(A1705*43,21)/100))</f>
        <v>25864</v>
      </c>
      <c r="N1705" s="12" t="n">
        <f aca="false">K1705-M1705</f>
        <v>15191</v>
      </c>
    </row>
    <row r="1706" customFormat="false" ht="12.8" hidden="false" customHeight="false" outlineLevel="0" collapsed="false">
      <c r="A1706" s="10" t="n">
        <f aca="false">A1705+1</f>
        <v>1705</v>
      </c>
      <c r="B1706" s="11" t="n">
        <f aca="false">B1705+1</f>
        <v>46631</v>
      </c>
      <c r="C1706" s="10" t="n">
        <f aca="false">YEAR(B1706)</f>
        <v>2027</v>
      </c>
      <c r="D1706" s="10" t="n">
        <f aca="false">INT((MONTH(B1706)-1)/3)+1</f>
        <v>3</v>
      </c>
      <c r="E1706" s="10" t="n">
        <f aca="false">MONTH(B1706)</f>
        <v>9</v>
      </c>
      <c r="F1706" s="10" t="str">
        <f aca="false">CHOOSE(MOD(A1706-1,5)+1,"Центр","Юг","Север","Запад","Восток")</f>
        <v>Восток</v>
      </c>
      <c r="G1706" s="10" t="str">
        <f aca="false">"Округ_"&amp;(MOD(A1706-1,5)+1)&amp;"_"&amp;(MOD(INT((A1706-1)/5),5)+1)</f>
        <v>Округ_5_1</v>
      </c>
      <c r="H1706" s="10" t="str">
        <f aca="false">"Город_"&amp;(MOD(A1706-1,5)+1)&amp;"_"&amp;(MOD(INT((A1706-1)/5),5)+1)&amp;"_"&amp;(MOD(INT((A1706-1)/25),10)+1)</f>
        <v>Город_5_1_9</v>
      </c>
      <c r="I1706" s="10" t="str">
        <f aca="false">CHOOSE(MOD(A1706-1,4)+1,"Электроника","Одежда","Продукты","Мебель")</f>
        <v>Электроника</v>
      </c>
      <c r="J1706" s="10" t="str">
        <f aca="false">CHOOSE(MOD(INT((A1706-1)/4),4)+1,CHOOSE(MOD(A1706-1,4)+1,"Смартфоны","Ноутбуки","Аксессуары","Аудио"),CHOOSE(MOD(A1706-1,4)+1,"Верхняя одежда","Спортивная","Повседневная","Обувь"),CHOOSE(MOD(A1706-1,4)+1,"Молочные","Мясные","Бакалея","Напитки"),CHOOSE(MOD(A1706-1,4)+1,"Мягкая мебель","Корпусная","Офисная","Кухонная"))</f>
        <v>Молочные</v>
      </c>
      <c r="K1706" s="12" t="n">
        <f aca="false">1000+MOD(A1706*317+A1706*A1706*7,49001)</f>
        <v>16234</v>
      </c>
      <c r="L1706" s="12" t="n">
        <f aca="false">1+MOD(A1706*131,100)</f>
        <v>56</v>
      </c>
      <c r="M1706" s="12" t="n">
        <f aca="false">INT(K1706*(0.6+MOD(A1706*43,21)/100))</f>
        <v>10389</v>
      </c>
      <c r="N1706" s="12" t="n">
        <f aca="false">K1706-M1706</f>
        <v>5845</v>
      </c>
    </row>
    <row r="1707" customFormat="false" ht="12.8" hidden="false" customHeight="false" outlineLevel="0" collapsed="false">
      <c r="A1707" s="10" t="n">
        <f aca="false">A1706+1</f>
        <v>1706</v>
      </c>
      <c r="B1707" s="11" t="n">
        <f aca="false">B1706+1</f>
        <v>46632</v>
      </c>
      <c r="C1707" s="10" t="n">
        <f aca="false">YEAR(B1707)</f>
        <v>2027</v>
      </c>
      <c r="D1707" s="10" t="n">
        <f aca="false">INT((MONTH(B1707)-1)/3)+1</f>
        <v>3</v>
      </c>
      <c r="E1707" s="10" t="n">
        <f aca="false">MONTH(B1707)</f>
        <v>9</v>
      </c>
      <c r="F1707" s="10" t="str">
        <f aca="false">CHOOSE(MOD(A1707-1,5)+1,"Центр","Юг","Север","Запад","Восток")</f>
        <v>Центр</v>
      </c>
      <c r="G1707" s="10" t="str">
        <f aca="false">"Округ_"&amp;(MOD(A1707-1,5)+1)&amp;"_"&amp;(MOD(INT((A1707-1)/5),5)+1)</f>
        <v>Округ_1_2</v>
      </c>
      <c r="H1707" s="10" t="str">
        <f aca="false">"Город_"&amp;(MOD(A1707-1,5)+1)&amp;"_"&amp;(MOD(INT((A1707-1)/5),5)+1)&amp;"_"&amp;(MOD(INT((A1707-1)/25),10)+1)</f>
        <v>Город_1_2_9</v>
      </c>
      <c r="I1707" s="10" t="str">
        <f aca="false">CHOOSE(MOD(A1707-1,4)+1,"Электроника","Одежда","Продукты","Мебель")</f>
        <v>Одежда</v>
      </c>
      <c r="J1707" s="10" t="str">
        <f aca="false">CHOOSE(MOD(INT((A1707-1)/4),4)+1,CHOOSE(MOD(A1707-1,4)+1,"Смартфоны","Ноутбуки","Аксессуары","Аудио"),CHOOSE(MOD(A1707-1,4)+1,"Верхняя одежда","Спортивная","Повседневная","Обувь"),CHOOSE(MOD(A1707-1,4)+1,"Молочные","Мясные","Бакалея","Напитки"),CHOOSE(MOD(A1707-1,4)+1,"Мягкая мебель","Корпусная","Офисная","Кухонная"))</f>
        <v>Мясные</v>
      </c>
      <c r="K1707" s="12" t="n">
        <f aca="false">1000+MOD(A1707*317+A1707*A1707*7,49001)</f>
        <v>40428</v>
      </c>
      <c r="L1707" s="12" t="n">
        <f aca="false">1+MOD(A1707*131,100)</f>
        <v>87</v>
      </c>
      <c r="M1707" s="12" t="n">
        <f aca="false">INT(K1707*(0.6+MOD(A1707*43,21)/100))</f>
        <v>26278</v>
      </c>
      <c r="N1707" s="12" t="n">
        <f aca="false">K1707-M1707</f>
        <v>14150</v>
      </c>
    </row>
    <row r="1708" customFormat="false" ht="12.8" hidden="false" customHeight="false" outlineLevel="0" collapsed="false">
      <c r="A1708" s="10" t="n">
        <f aca="false">A1707+1</f>
        <v>1707</v>
      </c>
      <c r="B1708" s="11" t="n">
        <f aca="false">B1707+1</f>
        <v>46633</v>
      </c>
      <c r="C1708" s="10" t="n">
        <f aca="false">YEAR(B1708)</f>
        <v>2027</v>
      </c>
      <c r="D1708" s="10" t="n">
        <f aca="false">INT((MONTH(B1708)-1)/3)+1</f>
        <v>3</v>
      </c>
      <c r="E1708" s="10" t="n">
        <f aca="false">MONTH(B1708)</f>
        <v>9</v>
      </c>
      <c r="F1708" s="10" t="str">
        <f aca="false">CHOOSE(MOD(A1708-1,5)+1,"Центр","Юг","Север","Запад","Восток")</f>
        <v>Юг</v>
      </c>
      <c r="G1708" s="10" t="str">
        <f aca="false">"Округ_"&amp;(MOD(A1708-1,5)+1)&amp;"_"&amp;(MOD(INT((A1708-1)/5),5)+1)</f>
        <v>Округ_2_2</v>
      </c>
      <c r="H1708" s="10" t="str">
        <f aca="false">"Город_"&amp;(MOD(A1708-1,5)+1)&amp;"_"&amp;(MOD(INT((A1708-1)/5),5)+1)&amp;"_"&amp;(MOD(INT((A1708-1)/25),10)+1)</f>
        <v>Город_2_2_9</v>
      </c>
      <c r="I1708" s="10" t="str">
        <f aca="false">CHOOSE(MOD(A1708-1,4)+1,"Электроника","Одежда","Продукты","Мебель")</f>
        <v>Продукты</v>
      </c>
      <c r="J1708" s="10" t="str">
        <f aca="false">CHOOSE(MOD(INT((A1708-1)/4),4)+1,CHOOSE(MOD(A1708-1,4)+1,"Смартфоны","Ноутбуки","Аксессуары","Аудио"),CHOOSE(MOD(A1708-1,4)+1,"Верхняя одежда","Спортивная","Повседневная","Обувь"),CHOOSE(MOD(A1708-1,4)+1,"Молочные","Мясные","Бакалея","Напитки"),CHOOSE(MOD(A1708-1,4)+1,"Мягкая мебель","Корпусная","Офисная","Кухонная"))</f>
        <v>Бакалея</v>
      </c>
      <c r="K1708" s="12" t="n">
        <f aca="false">1000+MOD(A1708*317+A1708*A1708*7,49001)</f>
        <v>15635</v>
      </c>
      <c r="L1708" s="12" t="n">
        <f aca="false">1+MOD(A1708*131,100)</f>
        <v>18</v>
      </c>
      <c r="M1708" s="12" t="n">
        <f aca="false">INT(K1708*(0.6+MOD(A1708*43,21)/100))</f>
        <v>10319</v>
      </c>
      <c r="N1708" s="12" t="n">
        <f aca="false">K1708-M1708</f>
        <v>5316</v>
      </c>
    </row>
    <row r="1709" customFormat="false" ht="12.8" hidden="false" customHeight="false" outlineLevel="0" collapsed="false">
      <c r="A1709" s="10" t="n">
        <f aca="false">A1708+1</f>
        <v>1708</v>
      </c>
      <c r="B1709" s="11" t="n">
        <f aca="false">B1708+1</f>
        <v>46634</v>
      </c>
      <c r="C1709" s="10" t="n">
        <f aca="false">YEAR(B1709)</f>
        <v>2027</v>
      </c>
      <c r="D1709" s="10" t="n">
        <f aca="false">INT((MONTH(B1709)-1)/3)+1</f>
        <v>3</v>
      </c>
      <c r="E1709" s="10" t="n">
        <f aca="false">MONTH(B1709)</f>
        <v>9</v>
      </c>
      <c r="F1709" s="10" t="str">
        <f aca="false">CHOOSE(MOD(A1709-1,5)+1,"Центр","Юг","Север","Запад","Восток")</f>
        <v>Север</v>
      </c>
      <c r="G1709" s="10" t="str">
        <f aca="false">"Округ_"&amp;(MOD(A1709-1,5)+1)&amp;"_"&amp;(MOD(INT((A1709-1)/5),5)+1)</f>
        <v>Округ_3_2</v>
      </c>
      <c r="H1709" s="10" t="str">
        <f aca="false">"Город_"&amp;(MOD(A1709-1,5)+1)&amp;"_"&amp;(MOD(INT((A1709-1)/5),5)+1)&amp;"_"&amp;(MOD(INT((A1709-1)/25),10)+1)</f>
        <v>Город_3_2_9</v>
      </c>
      <c r="I1709" s="10" t="str">
        <f aca="false">CHOOSE(MOD(A1709-1,4)+1,"Электроника","Одежда","Продукты","Мебель")</f>
        <v>Мебель</v>
      </c>
      <c r="J1709" s="10" t="str">
        <f aca="false">CHOOSE(MOD(INT((A1709-1)/4),4)+1,CHOOSE(MOD(A1709-1,4)+1,"Смартфоны","Ноутбуки","Аксессуары","Аудио"),CHOOSE(MOD(A1709-1,4)+1,"Верхняя одежда","Спортивная","Повседневная","Обувь"),CHOOSE(MOD(A1709-1,4)+1,"Молочные","Мясные","Бакалея","Напитки"),CHOOSE(MOD(A1709-1,4)+1,"Мягкая мебель","Корпусная","Офисная","Кухонная"))</f>
        <v>Напитки</v>
      </c>
      <c r="K1709" s="12" t="n">
        <f aca="false">1000+MOD(A1709*317+A1709*A1709*7,49001)</f>
        <v>39857</v>
      </c>
      <c r="L1709" s="12" t="n">
        <f aca="false">1+MOD(A1709*131,100)</f>
        <v>49</v>
      </c>
      <c r="M1709" s="12" t="n">
        <f aca="false">INT(K1709*(0.6+MOD(A1709*43,21)/100))</f>
        <v>26704</v>
      </c>
      <c r="N1709" s="12" t="n">
        <f aca="false">K1709-M1709</f>
        <v>13153</v>
      </c>
    </row>
    <row r="1710" customFormat="false" ht="12.8" hidden="false" customHeight="false" outlineLevel="0" collapsed="false">
      <c r="A1710" s="10" t="n">
        <f aca="false">A1709+1</f>
        <v>1709</v>
      </c>
      <c r="B1710" s="11" t="n">
        <f aca="false">B1709+1</f>
        <v>46635</v>
      </c>
      <c r="C1710" s="10" t="n">
        <f aca="false">YEAR(B1710)</f>
        <v>2027</v>
      </c>
      <c r="D1710" s="10" t="n">
        <f aca="false">INT((MONTH(B1710)-1)/3)+1</f>
        <v>3</v>
      </c>
      <c r="E1710" s="10" t="n">
        <f aca="false">MONTH(B1710)</f>
        <v>9</v>
      </c>
      <c r="F1710" s="10" t="str">
        <f aca="false">CHOOSE(MOD(A1710-1,5)+1,"Центр","Юг","Север","Запад","Восток")</f>
        <v>Запад</v>
      </c>
      <c r="G1710" s="10" t="str">
        <f aca="false">"Округ_"&amp;(MOD(A1710-1,5)+1)&amp;"_"&amp;(MOD(INT((A1710-1)/5),5)+1)</f>
        <v>Округ_4_2</v>
      </c>
      <c r="H1710" s="10" t="str">
        <f aca="false">"Город_"&amp;(MOD(A1710-1,5)+1)&amp;"_"&amp;(MOD(INT((A1710-1)/5),5)+1)&amp;"_"&amp;(MOD(INT((A1710-1)/25),10)+1)</f>
        <v>Город_4_2_9</v>
      </c>
      <c r="I1710" s="10" t="str">
        <f aca="false">CHOOSE(MOD(A1710-1,4)+1,"Электроника","Одежда","Продукты","Мебель")</f>
        <v>Электроника</v>
      </c>
      <c r="J1710" s="10" t="str">
        <f aca="false">CHOOSE(MOD(INT((A1710-1)/4),4)+1,CHOOSE(MOD(A1710-1,4)+1,"Смартфоны","Ноутбуки","Аксессуары","Аудио"),CHOOSE(MOD(A1710-1,4)+1,"Верхняя одежда","Спортивная","Повседневная","Обувь"),CHOOSE(MOD(A1710-1,4)+1,"Молочные","Мясные","Бакалея","Напитки"),CHOOSE(MOD(A1710-1,4)+1,"Мягкая мебель","Корпусная","Офисная","Кухонная"))</f>
        <v>Мягкая мебель</v>
      </c>
      <c r="K1710" s="12" t="n">
        <f aca="false">1000+MOD(A1710*317+A1710*A1710*7,49001)</f>
        <v>15092</v>
      </c>
      <c r="L1710" s="12" t="n">
        <f aca="false">1+MOD(A1710*131,100)</f>
        <v>80</v>
      </c>
      <c r="M1710" s="12" t="n">
        <f aca="false">INT(K1710*(0.6+MOD(A1710*43,21)/100))</f>
        <v>10262</v>
      </c>
      <c r="N1710" s="12" t="n">
        <f aca="false">K1710-M1710</f>
        <v>4830</v>
      </c>
    </row>
    <row r="1711" customFormat="false" ht="12.8" hidden="false" customHeight="false" outlineLevel="0" collapsed="false">
      <c r="A1711" s="10" t="n">
        <f aca="false">A1710+1</f>
        <v>1710</v>
      </c>
      <c r="B1711" s="11" t="n">
        <f aca="false">B1710+1</f>
        <v>46636</v>
      </c>
      <c r="C1711" s="10" t="n">
        <f aca="false">YEAR(B1711)</f>
        <v>2027</v>
      </c>
      <c r="D1711" s="10" t="n">
        <f aca="false">INT((MONTH(B1711)-1)/3)+1</f>
        <v>3</v>
      </c>
      <c r="E1711" s="10" t="n">
        <f aca="false">MONTH(B1711)</f>
        <v>9</v>
      </c>
      <c r="F1711" s="10" t="str">
        <f aca="false">CHOOSE(MOD(A1711-1,5)+1,"Центр","Юг","Север","Запад","Восток")</f>
        <v>Восток</v>
      </c>
      <c r="G1711" s="10" t="str">
        <f aca="false">"Округ_"&amp;(MOD(A1711-1,5)+1)&amp;"_"&amp;(MOD(INT((A1711-1)/5),5)+1)</f>
        <v>Округ_5_2</v>
      </c>
      <c r="H1711" s="10" t="str">
        <f aca="false">"Город_"&amp;(MOD(A1711-1,5)+1)&amp;"_"&amp;(MOD(INT((A1711-1)/5),5)+1)&amp;"_"&amp;(MOD(INT((A1711-1)/25),10)+1)</f>
        <v>Город_5_2_9</v>
      </c>
      <c r="I1711" s="10" t="str">
        <f aca="false">CHOOSE(MOD(A1711-1,4)+1,"Электроника","Одежда","Продукты","Мебель")</f>
        <v>Одежда</v>
      </c>
      <c r="J1711" s="10" t="str">
        <f aca="false">CHOOSE(MOD(INT((A1711-1)/4),4)+1,CHOOSE(MOD(A1711-1,4)+1,"Смартфоны","Ноутбуки","Аксессуары","Аудио"),CHOOSE(MOD(A1711-1,4)+1,"Верхняя одежда","Спортивная","Повседневная","Обувь"),CHOOSE(MOD(A1711-1,4)+1,"Молочные","Мясные","Бакалея","Напитки"),CHOOSE(MOD(A1711-1,4)+1,"Мягкая мебель","Корпусная","Офисная","Кухонная"))</f>
        <v>Корпусная</v>
      </c>
      <c r="K1711" s="12" t="n">
        <f aca="false">1000+MOD(A1711*317+A1711*A1711*7,49001)</f>
        <v>39342</v>
      </c>
      <c r="L1711" s="12" t="n">
        <f aca="false">1+MOD(A1711*131,100)</f>
        <v>11</v>
      </c>
      <c r="M1711" s="12" t="n">
        <f aca="false">INT(K1711*(0.6+MOD(A1711*43,21)/100))</f>
        <v>27145</v>
      </c>
      <c r="N1711" s="12" t="n">
        <f aca="false">K1711-M1711</f>
        <v>12197</v>
      </c>
    </row>
    <row r="1712" customFormat="false" ht="12.8" hidden="false" customHeight="false" outlineLevel="0" collapsed="false">
      <c r="A1712" s="10" t="n">
        <f aca="false">A1711+1</f>
        <v>1711</v>
      </c>
      <c r="B1712" s="11" t="n">
        <f aca="false">B1711+1</f>
        <v>46637</v>
      </c>
      <c r="C1712" s="10" t="n">
        <f aca="false">YEAR(B1712)</f>
        <v>2027</v>
      </c>
      <c r="D1712" s="10" t="n">
        <f aca="false">INT((MONTH(B1712)-1)/3)+1</f>
        <v>3</v>
      </c>
      <c r="E1712" s="10" t="n">
        <f aca="false">MONTH(B1712)</f>
        <v>9</v>
      </c>
      <c r="F1712" s="10" t="str">
        <f aca="false">CHOOSE(MOD(A1712-1,5)+1,"Центр","Юг","Север","Запад","Восток")</f>
        <v>Центр</v>
      </c>
      <c r="G1712" s="10" t="str">
        <f aca="false">"Округ_"&amp;(MOD(A1712-1,5)+1)&amp;"_"&amp;(MOD(INT((A1712-1)/5),5)+1)</f>
        <v>Округ_1_3</v>
      </c>
      <c r="H1712" s="10" t="str">
        <f aca="false">"Город_"&amp;(MOD(A1712-1,5)+1)&amp;"_"&amp;(MOD(INT((A1712-1)/5),5)+1)&amp;"_"&amp;(MOD(INT((A1712-1)/25),10)+1)</f>
        <v>Город_1_3_9</v>
      </c>
      <c r="I1712" s="10" t="str">
        <f aca="false">CHOOSE(MOD(A1712-1,4)+1,"Электроника","Одежда","Продукты","Мебель")</f>
        <v>Продукты</v>
      </c>
      <c r="J1712" s="10" t="str">
        <f aca="false">CHOOSE(MOD(INT((A1712-1)/4),4)+1,CHOOSE(MOD(A1712-1,4)+1,"Смартфоны","Ноутбуки","Аксессуары","Аудио"),CHOOSE(MOD(A1712-1,4)+1,"Верхняя одежда","Спортивная","Повседневная","Обувь"),CHOOSE(MOD(A1712-1,4)+1,"Молочные","Мясные","Бакалея","Напитки"),CHOOSE(MOD(A1712-1,4)+1,"Мягкая мебель","Корпусная","Офисная","Кухонная"))</f>
        <v>Офисная</v>
      </c>
      <c r="K1712" s="12" t="n">
        <f aca="false">1000+MOD(A1712*317+A1712*A1712*7,49001)</f>
        <v>14605</v>
      </c>
      <c r="L1712" s="12" t="n">
        <f aca="false">1+MOD(A1712*131,100)</f>
        <v>42</v>
      </c>
      <c r="M1712" s="12" t="n">
        <f aca="false">INT(K1712*(0.6+MOD(A1712*43,21)/100))</f>
        <v>10223</v>
      </c>
      <c r="N1712" s="12" t="n">
        <f aca="false">K1712-M1712</f>
        <v>4382</v>
      </c>
    </row>
    <row r="1713" customFormat="false" ht="12.8" hidden="false" customHeight="false" outlineLevel="0" collapsed="false">
      <c r="A1713" s="10" t="n">
        <f aca="false">A1712+1</f>
        <v>1712</v>
      </c>
      <c r="B1713" s="11" t="n">
        <f aca="false">B1712+1</f>
        <v>46638</v>
      </c>
      <c r="C1713" s="10" t="n">
        <f aca="false">YEAR(B1713)</f>
        <v>2027</v>
      </c>
      <c r="D1713" s="10" t="n">
        <f aca="false">INT((MONTH(B1713)-1)/3)+1</f>
        <v>3</v>
      </c>
      <c r="E1713" s="10" t="n">
        <f aca="false">MONTH(B1713)</f>
        <v>9</v>
      </c>
      <c r="F1713" s="10" t="str">
        <f aca="false">CHOOSE(MOD(A1713-1,5)+1,"Центр","Юг","Север","Запад","Восток")</f>
        <v>Юг</v>
      </c>
      <c r="G1713" s="10" t="str">
        <f aca="false">"Округ_"&amp;(MOD(A1713-1,5)+1)&amp;"_"&amp;(MOD(INT((A1713-1)/5),5)+1)</f>
        <v>Округ_2_3</v>
      </c>
      <c r="H1713" s="10" t="str">
        <f aca="false">"Город_"&amp;(MOD(A1713-1,5)+1)&amp;"_"&amp;(MOD(INT((A1713-1)/5),5)+1)&amp;"_"&amp;(MOD(INT((A1713-1)/25),10)+1)</f>
        <v>Город_2_3_9</v>
      </c>
      <c r="I1713" s="10" t="str">
        <f aca="false">CHOOSE(MOD(A1713-1,4)+1,"Электроника","Одежда","Продукты","Мебель")</f>
        <v>Мебель</v>
      </c>
      <c r="J1713" s="10" t="str">
        <f aca="false">CHOOSE(MOD(INT((A1713-1)/4),4)+1,CHOOSE(MOD(A1713-1,4)+1,"Смартфоны","Ноутбуки","Аксессуары","Аудио"),CHOOSE(MOD(A1713-1,4)+1,"Верхняя одежда","Спортивная","Повседневная","Обувь"),CHOOSE(MOD(A1713-1,4)+1,"Молочные","Мясные","Бакалея","Напитки"),CHOOSE(MOD(A1713-1,4)+1,"Мягкая мебель","Корпусная","Офисная","Кухонная"))</f>
        <v>Кухонная</v>
      </c>
      <c r="K1713" s="12" t="n">
        <f aca="false">1000+MOD(A1713*317+A1713*A1713*7,49001)</f>
        <v>38883</v>
      </c>
      <c r="L1713" s="12" t="n">
        <f aca="false">1+MOD(A1713*131,100)</f>
        <v>73</v>
      </c>
      <c r="M1713" s="12" t="n">
        <f aca="false">INT(K1713*(0.6+MOD(A1713*43,21)/100))</f>
        <v>27606</v>
      </c>
      <c r="N1713" s="12" t="n">
        <f aca="false">K1713-M1713</f>
        <v>11277</v>
      </c>
    </row>
    <row r="1714" customFormat="false" ht="12.8" hidden="false" customHeight="false" outlineLevel="0" collapsed="false">
      <c r="A1714" s="10" t="n">
        <f aca="false">A1713+1</f>
        <v>1713</v>
      </c>
      <c r="B1714" s="11" t="n">
        <f aca="false">B1713+1</f>
        <v>46639</v>
      </c>
      <c r="C1714" s="10" t="n">
        <f aca="false">YEAR(B1714)</f>
        <v>2027</v>
      </c>
      <c r="D1714" s="10" t="n">
        <f aca="false">INT((MONTH(B1714)-1)/3)+1</f>
        <v>3</v>
      </c>
      <c r="E1714" s="10" t="n">
        <f aca="false">MONTH(B1714)</f>
        <v>9</v>
      </c>
      <c r="F1714" s="10" t="str">
        <f aca="false">CHOOSE(MOD(A1714-1,5)+1,"Центр","Юг","Север","Запад","Восток")</f>
        <v>Север</v>
      </c>
      <c r="G1714" s="10" t="str">
        <f aca="false">"Округ_"&amp;(MOD(A1714-1,5)+1)&amp;"_"&amp;(MOD(INT((A1714-1)/5),5)+1)</f>
        <v>Округ_3_3</v>
      </c>
      <c r="H1714" s="10" t="str">
        <f aca="false">"Город_"&amp;(MOD(A1714-1,5)+1)&amp;"_"&amp;(MOD(INT((A1714-1)/5),5)+1)&amp;"_"&amp;(MOD(INT((A1714-1)/25),10)+1)</f>
        <v>Город_3_3_9</v>
      </c>
      <c r="I1714" s="10" t="str">
        <f aca="false">CHOOSE(MOD(A1714-1,4)+1,"Электроника","Одежда","Продукты","Мебель")</f>
        <v>Электроника</v>
      </c>
      <c r="J1714" s="10" t="str">
        <f aca="false">CHOOSE(MOD(INT((A1714-1)/4),4)+1,CHOOSE(MOD(A1714-1,4)+1,"Смартфоны","Ноутбуки","Аксессуары","Аудио"),CHOOSE(MOD(A1714-1,4)+1,"Верхняя одежда","Спортивная","Повседневная","Обувь"),CHOOSE(MOD(A1714-1,4)+1,"Молочные","Мясные","Бакалея","Напитки"),CHOOSE(MOD(A1714-1,4)+1,"Мягкая мебель","Корпусная","Офисная","Кухонная"))</f>
        <v>Смартфоны</v>
      </c>
      <c r="K1714" s="12" t="n">
        <f aca="false">1000+MOD(A1714*317+A1714*A1714*7,49001)</f>
        <v>14174</v>
      </c>
      <c r="L1714" s="12" t="n">
        <f aca="false">1+MOD(A1714*131,100)</f>
        <v>4</v>
      </c>
      <c r="M1714" s="12" t="n">
        <f aca="false">INT(K1714*(0.6+MOD(A1714*43,21)/100))</f>
        <v>10205</v>
      </c>
      <c r="N1714" s="12" t="n">
        <f aca="false">K1714-M1714</f>
        <v>3969</v>
      </c>
    </row>
    <row r="1715" customFormat="false" ht="12.8" hidden="false" customHeight="false" outlineLevel="0" collapsed="false">
      <c r="A1715" s="10" t="n">
        <f aca="false">A1714+1</f>
        <v>1714</v>
      </c>
      <c r="B1715" s="11" t="n">
        <f aca="false">B1714+1</f>
        <v>46640</v>
      </c>
      <c r="C1715" s="10" t="n">
        <f aca="false">YEAR(B1715)</f>
        <v>2027</v>
      </c>
      <c r="D1715" s="10" t="n">
        <f aca="false">INT((MONTH(B1715)-1)/3)+1</f>
        <v>3</v>
      </c>
      <c r="E1715" s="10" t="n">
        <f aca="false">MONTH(B1715)</f>
        <v>9</v>
      </c>
      <c r="F1715" s="10" t="str">
        <f aca="false">CHOOSE(MOD(A1715-1,5)+1,"Центр","Юг","Север","Запад","Восток")</f>
        <v>Запад</v>
      </c>
      <c r="G1715" s="10" t="str">
        <f aca="false">"Округ_"&amp;(MOD(A1715-1,5)+1)&amp;"_"&amp;(MOD(INT((A1715-1)/5),5)+1)</f>
        <v>Округ_4_3</v>
      </c>
      <c r="H1715" s="10" t="str">
        <f aca="false">"Город_"&amp;(MOD(A1715-1,5)+1)&amp;"_"&amp;(MOD(INT((A1715-1)/5),5)+1)&amp;"_"&amp;(MOD(INT((A1715-1)/25),10)+1)</f>
        <v>Город_4_3_9</v>
      </c>
      <c r="I1715" s="10" t="str">
        <f aca="false">CHOOSE(MOD(A1715-1,4)+1,"Электроника","Одежда","Продукты","Мебель")</f>
        <v>Одежда</v>
      </c>
      <c r="J1715" s="10" t="str">
        <f aca="false">CHOOSE(MOD(INT((A1715-1)/4),4)+1,CHOOSE(MOD(A1715-1,4)+1,"Смартфоны","Ноутбуки","Аксессуары","Аудио"),CHOOSE(MOD(A1715-1,4)+1,"Верхняя одежда","Спортивная","Повседневная","Обувь"),CHOOSE(MOD(A1715-1,4)+1,"Молочные","Мясные","Бакалея","Напитки"),CHOOSE(MOD(A1715-1,4)+1,"Мягкая мебель","Корпусная","Офисная","Кухонная"))</f>
        <v>Ноутбуки</v>
      </c>
      <c r="K1715" s="12" t="n">
        <f aca="false">1000+MOD(A1715*317+A1715*A1715*7,49001)</f>
        <v>38480</v>
      </c>
      <c r="L1715" s="12" t="n">
        <f aca="false">1+MOD(A1715*131,100)</f>
        <v>35</v>
      </c>
      <c r="M1715" s="12" t="n">
        <f aca="false">INT(K1715*(0.6+MOD(A1715*43,21)/100))</f>
        <v>28090</v>
      </c>
      <c r="N1715" s="12" t="n">
        <f aca="false">K1715-M1715</f>
        <v>10390</v>
      </c>
    </row>
    <row r="1716" customFormat="false" ht="12.8" hidden="false" customHeight="false" outlineLevel="0" collapsed="false">
      <c r="A1716" s="10" t="n">
        <f aca="false">A1715+1</f>
        <v>1715</v>
      </c>
      <c r="B1716" s="11" t="n">
        <f aca="false">B1715+1</f>
        <v>46641</v>
      </c>
      <c r="C1716" s="10" t="n">
        <f aca="false">YEAR(B1716)</f>
        <v>2027</v>
      </c>
      <c r="D1716" s="10" t="n">
        <f aca="false">INT((MONTH(B1716)-1)/3)+1</f>
        <v>3</v>
      </c>
      <c r="E1716" s="10" t="n">
        <f aca="false">MONTH(B1716)</f>
        <v>9</v>
      </c>
      <c r="F1716" s="10" t="str">
        <f aca="false">CHOOSE(MOD(A1716-1,5)+1,"Центр","Юг","Север","Запад","Восток")</f>
        <v>Восток</v>
      </c>
      <c r="G1716" s="10" t="str">
        <f aca="false">"Округ_"&amp;(MOD(A1716-1,5)+1)&amp;"_"&amp;(MOD(INT((A1716-1)/5),5)+1)</f>
        <v>Округ_5_3</v>
      </c>
      <c r="H1716" s="10" t="str">
        <f aca="false">"Город_"&amp;(MOD(A1716-1,5)+1)&amp;"_"&amp;(MOD(INT((A1716-1)/5),5)+1)&amp;"_"&amp;(MOD(INT((A1716-1)/25),10)+1)</f>
        <v>Город_5_3_9</v>
      </c>
      <c r="I1716" s="10" t="str">
        <f aca="false">CHOOSE(MOD(A1716-1,4)+1,"Электроника","Одежда","Продукты","Мебель")</f>
        <v>Продукты</v>
      </c>
      <c r="J1716" s="10" t="str">
        <f aca="false">CHOOSE(MOD(INT((A1716-1)/4),4)+1,CHOOSE(MOD(A1716-1,4)+1,"Смартфоны","Ноутбуки","Аксессуары","Аудио"),CHOOSE(MOD(A1716-1,4)+1,"Верхняя одежда","Спортивная","Повседневная","Обувь"),CHOOSE(MOD(A1716-1,4)+1,"Молочные","Мясные","Бакалея","Напитки"),CHOOSE(MOD(A1716-1,4)+1,"Мягкая мебель","Корпусная","Офисная","Кухонная"))</f>
        <v>Аксессуары</v>
      </c>
      <c r="K1716" s="12" t="n">
        <f aca="false">1000+MOD(A1716*317+A1716*A1716*7,49001)</f>
        <v>13799</v>
      </c>
      <c r="L1716" s="12" t="n">
        <f aca="false">1+MOD(A1716*131,100)</f>
        <v>66</v>
      </c>
      <c r="M1716" s="12" t="n">
        <f aca="false">INT(K1716*(0.6+MOD(A1716*43,21)/100))</f>
        <v>10211</v>
      </c>
      <c r="N1716" s="12" t="n">
        <f aca="false">K1716-M1716</f>
        <v>3588</v>
      </c>
    </row>
    <row r="1717" customFormat="false" ht="12.8" hidden="false" customHeight="false" outlineLevel="0" collapsed="false">
      <c r="A1717" s="10" t="n">
        <f aca="false">A1716+1</f>
        <v>1716</v>
      </c>
      <c r="B1717" s="11" t="n">
        <f aca="false">B1716+1</f>
        <v>46642</v>
      </c>
      <c r="C1717" s="10" t="n">
        <f aca="false">YEAR(B1717)</f>
        <v>2027</v>
      </c>
      <c r="D1717" s="10" t="n">
        <f aca="false">INT((MONTH(B1717)-1)/3)+1</f>
        <v>3</v>
      </c>
      <c r="E1717" s="10" t="n">
        <f aca="false">MONTH(B1717)</f>
        <v>9</v>
      </c>
      <c r="F1717" s="10" t="str">
        <f aca="false">CHOOSE(MOD(A1717-1,5)+1,"Центр","Юг","Север","Запад","Восток")</f>
        <v>Центр</v>
      </c>
      <c r="G1717" s="10" t="str">
        <f aca="false">"Округ_"&amp;(MOD(A1717-1,5)+1)&amp;"_"&amp;(MOD(INT((A1717-1)/5),5)+1)</f>
        <v>Округ_1_4</v>
      </c>
      <c r="H1717" s="10" t="str">
        <f aca="false">"Город_"&amp;(MOD(A1717-1,5)+1)&amp;"_"&amp;(MOD(INT((A1717-1)/5),5)+1)&amp;"_"&amp;(MOD(INT((A1717-1)/25),10)+1)</f>
        <v>Город_1_4_9</v>
      </c>
      <c r="I1717" s="10" t="str">
        <f aca="false">CHOOSE(MOD(A1717-1,4)+1,"Электроника","Одежда","Продукты","Мебель")</f>
        <v>Мебель</v>
      </c>
      <c r="J1717" s="10" t="str">
        <f aca="false">CHOOSE(MOD(INT((A1717-1)/4),4)+1,CHOOSE(MOD(A1717-1,4)+1,"Смартфоны","Ноутбуки","Аксессуары","Аудио"),CHOOSE(MOD(A1717-1,4)+1,"Верхняя одежда","Спортивная","Повседневная","Обувь"),CHOOSE(MOD(A1717-1,4)+1,"Молочные","Мясные","Бакалея","Напитки"),CHOOSE(MOD(A1717-1,4)+1,"Мягкая мебель","Корпусная","Офисная","Кухонная"))</f>
        <v>Аудио</v>
      </c>
      <c r="K1717" s="12" t="n">
        <f aca="false">1000+MOD(A1717*317+A1717*A1717*7,49001)</f>
        <v>38133</v>
      </c>
      <c r="L1717" s="12" t="n">
        <f aca="false">1+MOD(A1717*131,100)</f>
        <v>97</v>
      </c>
      <c r="M1717" s="12" t="n">
        <f aca="false">INT(K1717*(0.6+MOD(A1717*43,21)/100))</f>
        <v>28599</v>
      </c>
      <c r="N1717" s="12" t="n">
        <f aca="false">K1717-M1717</f>
        <v>9534</v>
      </c>
    </row>
    <row r="1718" customFormat="false" ht="12.8" hidden="false" customHeight="false" outlineLevel="0" collapsed="false">
      <c r="A1718" s="10" t="n">
        <f aca="false">A1717+1</f>
        <v>1717</v>
      </c>
      <c r="B1718" s="11" t="n">
        <f aca="false">B1717+1</f>
        <v>46643</v>
      </c>
      <c r="C1718" s="10" t="n">
        <f aca="false">YEAR(B1718)</f>
        <v>2027</v>
      </c>
      <c r="D1718" s="10" t="n">
        <f aca="false">INT((MONTH(B1718)-1)/3)+1</f>
        <v>3</v>
      </c>
      <c r="E1718" s="10" t="n">
        <f aca="false">MONTH(B1718)</f>
        <v>9</v>
      </c>
      <c r="F1718" s="10" t="str">
        <f aca="false">CHOOSE(MOD(A1718-1,5)+1,"Центр","Юг","Север","Запад","Восток")</f>
        <v>Юг</v>
      </c>
      <c r="G1718" s="10" t="str">
        <f aca="false">"Округ_"&amp;(MOD(A1718-1,5)+1)&amp;"_"&amp;(MOD(INT((A1718-1)/5),5)+1)</f>
        <v>Округ_2_4</v>
      </c>
      <c r="H1718" s="10" t="str">
        <f aca="false">"Город_"&amp;(MOD(A1718-1,5)+1)&amp;"_"&amp;(MOD(INT((A1718-1)/5),5)+1)&amp;"_"&amp;(MOD(INT((A1718-1)/25),10)+1)</f>
        <v>Город_2_4_9</v>
      </c>
      <c r="I1718" s="10" t="str">
        <f aca="false">CHOOSE(MOD(A1718-1,4)+1,"Электроника","Одежда","Продукты","Мебель")</f>
        <v>Электроника</v>
      </c>
      <c r="J1718" s="10" t="str">
        <f aca="false">CHOOSE(MOD(INT((A1718-1)/4),4)+1,CHOOSE(MOD(A1718-1,4)+1,"Смартфоны","Ноутбуки","Аксессуары","Аудио"),CHOOSE(MOD(A1718-1,4)+1,"Верхняя одежда","Спортивная","Повседневная","Обувь"),CHOOSE(MOD(A1718-1,4)+1,"Молочные","Мясные","Бакалея","Напитки"),CHOOSE(MOD(A1718-1,4)+1,"Мягкая мебель","Корпусная","Офисная","Кухонная"))</f>
        <v>Верхняя одежда</v>
      </c>
      <c r="K1718" s="12" t="n">
        <f aca="false">1000+MOD(A1718*317+A1718*A1718*7,49001)</f>
        <v>13480</v>
      </c>
      <c r="L1718" s="12" t="n">
        <f aca="false">1+MOD(A1718*131,100)</f>
        <v>28</v>
      </c>
      <c r="M1718" s="12" t="n">
        <f aca="false">INT(K1718*(0.6+MOD(A1718*43,21)/100))</f>
        <v>10244</v>
      </c>
      <c r="N1718" s="12" t="n">
        <f aca="false">K1718-M1718</f>
        <v>3236</v>
      </c>
    </row>
    <row r="1719" customFormat="false" ht="12.8" hidden="false" customHeight="false" outlineLevel="0" collapsed="false">
      <c r="A1719" s="10" t="n">
        <f aca="false">A1718+1</f>
        <v>1718</v>
      </c>
      <c r="B1719" s="11" t="n">
        <f aca="false">B1718+1</f>
        <v>46644</v>
      </c>
      <c r="C1719" s="10" t="n">
        <f aca="false">YEAR(B1719)</f>
        <v>2027</v>
      </c>
      <c r="D1719" s="10" t="n">
        <f aca="false">INT((MONTH(B1719)-1)/3)+1</f>
        <v>3</v>
      </c>
      <c r="E1719" s="10" t="n">
        <f aca="false">MONTH(B1719)</f>
        <v>9</v>
      </c>
      <c r="F1719" s="10" t="str">
        <f aca="false">CHOOSE(MOD(A1719-1,5)+1,"Центр","Юг","Север","Запад","Восток")</f>
        <v>Север</v>
      </c>
      <c r="G1719" s="10" t="str">
        <f aca="false">"Округ_"&amp;(MOD(A1719-1,5)+1)&amp;"_"&amp;(MOD(INT((A1719-1)/5),5)+1)</f>
        <v>Округ_3_4</v>
      </c>
      <c r="H1719" s="10" t="str">
        <f aca="false">"Город_"&amp;(MOD(A1719-1,5)+1)&amp;"_"&amp;(MOD(INT((A1719-1)/5),5)+1)&amp;"_"&amp;(MOD(INT((A1719-1)/25),10)+1)</f>
        <v>Город_3_4_9</v>
      </c>
      <c r="I1719" s="10" t="str">
        <f aca="false">CHOOSE(MOD(A1719-1,4)+1,"Электроника","Одежда","Продукты","Мебель")</f>
        <v>Одежда</v>
      </c>
      <c r="J1719" s="10" t="str">
        <f aca="false">CHOOSE(MOD(INT((A1719-1)/4),4)+1,CHOOSE(MOD(A1719-1,4)+1,"Смартфоны","Ноутбуки","Аксессуары","Аудио"),CHOOSE(MOD(A1719-1,4)+1,"Верхняя одежда","Спортивная","Повседневная","Обувь"),CHOOSE(MOD(A1719-1,4)+1,"Молочные","Мясные","Бакалея","Напитки"),CHOOSE(MOD(A1719-1,4)+1,"Мягкая мебель","Корпусная","Офисная","Кухонная"))</f>
        <v>Спортивная</v>
      </c>
      <c r="K1719" s="12" t="n">
        <f aca="false">1000+MOD(A1719*317+A1719*A1719*7,49001)</f>
        <v>37842</v>
      </c>
      <c r="L1719" s="12" t="n">
        <f aca="false">1+MOD(A1719*131,100)</f>
        <v>59</v>
      </c>
      <c r="M1719" s="12" t="n">
        <f aca="false">INT(K1719*(0.6+MOD(A1719*43,21)/100))</f>
        <v>29138</v>
      </c>
      <c r="N1719" s="12" t="n">
        <f aca="false">K1719-M1719</f>
        <v>8704</v>
      </c>
    </row>
    <row r="1720" customFormat="false" ht="12.8" hidden="false" customHeight="false" outlineLevel="0" collapsed="false">
      <c r="A1720" s="10" t="n">
        <f aca="false">A1719+1</f>
        <v>1719</v>
      </c>
      <c r="B1720" s="11" t="n">
        <f aca="false">B1719+1</f>
        <v>46645</v>
      </c>
      <c r="C1720" s="10" t="n">
        <f aca="false">YEAR(B1720)</f>
        <v>2027</v>
      </c>
      <c r="D1720" s="10" t="n">
        <f aca="false">INT((MONTH(B1720)-1)/3)+1</f>
        <v>3</v>
      </c>
      <c r="E1720" s="10" t="n">
        <f aca="false">MONTH(B1720)</f>
        <v>9</v>
      </c>
      <c r="F1720" s="10" t="str">
        <f aca="false">CHOOSE(MOD(A1720-1,5)+1,"Центр","Юг","Север","Запад","Восток")</f>
        <v>Запад</v>
      </c>
      <c r="G1720" s="10" t="str">
        <f aca="false">"Округ_"&amp;(MOD(A1720-1,5)+1)&amp;"_"&amp;(MOD(INT((A1720-1)/5),5)+1)</f>
        <v>Округ_4_4</v>
      </c>
      <c r="H1720" s="10" t="str">
        <f aca="false">"Город_"&amp;(MOD(A1720-1,5)+1)&amp;"_"&amp;(MOD(INT((A1720-1)/5),5)+1)&amp;"_"&amp;(MOD(INT((A1720-1)/25),10)+1)</f>
        <v>Город_4_4_9</v>
      </c>
      <c r="I1720" s="10" t="str">
        <f aca="false">CHOOSE(MOD(A1720-1,4)+1,"Электроника","Одежда","Продукты","Мебель")</f>
        <v>Продукты</v>
      </c>
      <c r="J1720" s="10" t="str">
        <f aca="false">CHOOSE(MOD(INT((A1720-1)/4),4)+1,CHOOSE(MOD(A1720-1,4)+1,"Смартфоны","Ноутбуки","Аксессуары","Аудио"),CHOOSE(MOD(A1720-1,4)+1,"Верхняя одежда","Спортивная","Повседневная","Обувь"),CHOOSE(MOD(A1720-1,4)+1,"Молочные","Мясные","Бакалея","Напитки"),CHOOSE(MOD(A1720-1,4)+1,"Мягкая мебель","Корпусная","Офисная","Кухонная"))</f>
        <v>Повседневная</v>
      </c>
      <c r="K1720" s="12" t="n">
        <f aca="false">1000+MOD(A1720*317+A1720*A1720*7,49001)</f>
        <v>13217</v>
      </c>
      <c r="L1720" s="12" t="n">
        <f aca="false">1+MOD(A1720*131,100)</f>
        <v>90</v>
      </c>
      <c r="M1720" s="12" t="n">
        <f aca="false">INT(K1720*(0.6+MOD(A1720*43,21)/100))</f>
        <v>10309</v>
      </c>
      <c r="N1720" s="12" t="n">
        <f aca="false">K1720-M1720</f>
        <v>2908</v>
      </c>
    </row>
    <row r="1721" customFormat="false" ht="12.8" hidden="false" customHeight="false" outlineLevel="0" collapsed="false">
      <c r="A1721" s="10" t="n">
        <f aca="false">A1720+1</f>
        <v>1720</v>
      </c>
      <c r="B1721" s="11" t="n">
        <f aca="false">B1720+1</f>
        <v>46646</v>
      </c>
      <c r="C1721" s="10" t="n">
        <f aca="false">YEAR(B1721)</f>
        <v>2027</v>
      </c>
      <c r="D1721" s="10" t="n">
        <f aca="false">INT((MONTH(B1721)-1)/3)+1</f>
        <v>3</v>
      </c>
      <c r="E1721" s="10" t="n">
        <f aca="false">MONTH(B1721)</f>
        <v>9</v>
      </c>
      <c r="F1721" s="10" t="str">
        <f aca="false">CHOOSE(MOD(A1721-1,5)+1,"Центр","Юг","Север","Запад","Восток")</f>
        <v>Восток</v>
      </c>
      <c r="G1721" s="10" t="str">
        <f aca="false">"Округ_"&amp;(MOD(A1721-1,5)+1)&amp;"_"&amp;(MOD(INT((A1721-1)/5),5)+1)</f>
        <v>Округ_5_4</v>
      </c>
      <c r="H1721" s="10" t="str">
        <f aca="false">"Город_"&amp;(MOD(A1721-1,5)+1)&amp;"_"&amp;(MOD(INT((A1721-1)/5),5)+1)&amp;"_"&amp;(MOD(INT((A1721-1)/25),10)+1)</f>
        <v>Город_5_4_9</v>
      </c>
      <c r="I1721" s="10" t="str">
        <f aca="false">CHOOSE(MOD(A1721-1,4)+1,"Электроника","Одежда","Продукты","Мебель")</f>
        <v>Мебель</v>
      </c>
      <c r="J1721" s="10" t="str">
        <f aca="false">CHOOSE(MOD(INT((A1721-1)/4),4)+1,CHOOSE(MOD(A1721-1,4)+1,"Смартфоны","Ноутбуки","Аксессуары","Аудио"),CHOOSE(MOD(A1721-1,4)+1,"Верхняя одежда","Спортивная","Повседневная","Обувь"),CHOOSE(MOD(A1721-1,4)+1,"Молочные","Мясные","Бакалея","Напитки"),CHOOSE(MOD(A1721-1,4)+1,"Мягкая мебель","Корпусная","Офисная","Кухонная"))</f>
        <v>Обувь</v>
      </c>
      <c r="K1721" s="12" t="n">
        <f aca="false">1000+MOD(A1721*317+A1721*A1721*7,49001)</f>
        <v>37607</v>
      </c>
      <c r="L1721" s="12" t="n">
        <f aca="false">1+MOD(A1721*131,100)</f>
        <v>21</v>
      </c>
      <c r="M1721" s="12" t="n">
        <f aca="false">INT(K1721*(0.6+MOD(A1721*43,21)/100))</f>
        <v>29709</v>
      </c>
      <c r="N1721" s="12" t="n">
        <f aca="false">K1721-M1721</f>
        <v>7898</v>
      </c>
    </row>
    <row r="1722" customFormat="false" ht="12.8" hidden="false" customHeight="false" outlineLevel="0" collapsed="false">
      <c r="A1722" s="10" t="n">
        <f aca="false">A1721+1</f>
        <v>1721</v>
      </c>
      <c r="B1722" s="11" t="n">
        <f aca="false">B1721+1</f>
        <v>46647</v>
      </c>
      <c r="C1722" s="10" t="n">
        <f aca="false">YEAR(B1722)</f>
        <v>2027</v>
      </c>
      <c r="D1722" s="10" t="n">
        <f aca="false">INT((MONTH(B1722)-1)/3)+1</f>
        <v>3</v>
      </c>
      <c r="E1722" s="10" t="n">
        <f aca="false">MONTH(B1722)</f>
        <v>9</v>
      </c>
      <c r="F1722" s="10" t="str">
        <f aca="false">CHOOSE(MOD(A1722-1,5)+1,"Центр","Юг","Север","Запад","Восток")</f>
        <v>Центр</v>
      </c>
      <c r="G1722" s="10" t="str">
        <f aca="false">"Округ_"&amp;(MOD(A1722-1,5)+1)&amp;"_"&amp;(MOD(INT((A1722-1)/5),5)+1)</f>
        <v>Округ_1_5</v>
      </c>
      <c r="H1722" s="10" t="str">
        <f aca="false">"Город_"&amp;(MOD(A1722-1,5)+1)&amp;"_"&amp;(MOD(INT((A1722-1)/5),5)+1)&amp;"_"&amp;(MOD(INT((A1722-1)/25),10)+1)</f>
        <v>Город_1_5_9</v>
      </c>
      <c r="I1722" s="10" t="str">
        <f aca="false">CHOOSE(MOD(A1722-1,4)+1,"Электроника","Одежда","Продукты","Мебель")</f>
        <v>Электроника</v>
      </c>
      <c r="J1722" s="10" t="str">
        <f aca="false">CHOOSE(MOD(INT((A1722-1)/4),4)+1,CHOOSE(MOD(A1722-1,4)+1,"Смартфоны","Ноутбуки","Аксессуары","Аудио"),CHOOSE(MOD(A1722-1,4)+1,"Верхняя одежда","Спортивная","Повседневная","Обувь"),CHOOSE(MOD(A1722-1,4)+1,"Молочные","Мясные","Бакалея","Напитки"),CHOOSE(MOD(A1722-1,4)+1,"Мягкая мебель","Корпусная","Офисная","Кухонная"))</f>
        <v>Молочные</v>
      </c>
      <c r="K1722" s="12" t="n">
        <f aca="false">1000+MOD(A1722*317+A1722*A1722*7,49001)</f>
        <v>13010</v>
      </c>
      <c r="L1722" s="12" t="n">
        <f aca="false">1+MOD(A1722*131,100)</f>
        <v>52</v>
      </c>
      <c r="M1722" s="12" t="n">
        <f aca="false">INT(K1722*(0.6+MOD(A1722*43,21)/100))</f>
        <v>10408</v>
      </c>
      <c r="N1722" s="12" t="n">
        <f aca="false">K1722-M1722</f>
        <v>2602</v>
      </c>
    </row>
    <row r="1723" customFormat="false" ht="12.8" hidden="false" customHeight="false" outlineLevel="0" collapsed="false">
      <c r="A1723" s="10" t="n">
        <f aca="false">A1722+1</f>
        <v>1722</v>
      </c>
      <c r="B1723" s="11" t="n">
        <f aca="false">B1722+1</f>
        <v>46648</v>
      </c>
      <c r="C1723" s="10" t="n">
        <f aca="false">YEAR(B1723)</f>
        <v>2027</v>
      </c>
      <c r="D1723" s="10" t="n">
        <f aca="false">INT((MONTH(B1723)-1)/3)+1</f>
        <v>3</v>
      </c>
      <c r="E1723" s="10" t="n">
        <f aca="false">MONTH(B1723)</f>
        <v>9</v>
      </c>
      <c r="F1723" s="10" t="str">
        <f aca="false">CHOOSE(MOD(A1723-1,5)+1,"Центр","Юг","Север","Запад","Восток")</f>
        <v>Юг</v>
      </c>
      <c r="G1723" s="10" t="str">
        <f aca="false">"Округ_"&amp;(MOD(A1723-1,5)+1)&amp;"_"&amp;(MOD(INT((A1723-1)/5),5)+1)</f>
        <v>Округ_2_5</v>
      </c>
      <c r="H1723" s="10" t="str">
        <f aca="false">"Город_"&amp;(MOD(A1723-1,5)+1)&amp;"_"&amp;(MOD(INT((A1723-1)/5),5)+1)&amp;"_"&amp;(MOD(INT((A1723-1)/25),10)+1)</f>
        <v>Город_2_5_9</v>
      </c>
      <c r="I1723" s="10" t="str">
        <f aca="false">CHOOSE(MOD(A1723-1,4)+1,"Электроника","Одежда","Продукты","Мебель")</f>
        <v>Одежда</v>
      </c>
      <c r="J1723" s="10" t="str">
        <f aca="false">CHOOSE(MOD(INT((A1723-1)/4),4)+1,CHOOSE(MOD(A1723-1,4)+1,"Смартфоны","Ноутбуки","Аксессуары","Аудио"),CHOOSE(MOD(A1723-1,4)+1,"Верхняя одежда","Спортивная","Повседневная","Обувь"),CHOOSE(MOD(A1723-1,4)+1,"Молочные","Мясные","Бакалея","Напитки"),CHOOSE(MOD(A1723-1,4)+1,"Мягкая мебель","Корпусная","Офисная","Кухонная"))</f>
        <v>Мясные</v>
      </c>
      <c r="K1723" s="12" t="n">
        <f aca="false">1000+MOD(A1723*317+A1723*A1723*7,49001)</f>
        <v>37428</v>
      </c>
      <c r="L1723" s="12" t="n">
        <f aca="false">1+MOD(A1723*131,100)</f>
        <v>83</v>
      </c>
      <c r="M1723" s="12" t="n">
        <f aca="false">INT(K1723*(0.6+MOD(A1723*43,21)/100))</f>
        <v>22456</v>
      </c>
      <c r="N1723" s="12" t="n">
        <f aca="false">K1723-M1723</f>
        <v>14972</v>
      </c>
    </row>
    <row r="1724" customFormat="false" ht="12.8" hidden="false" customHeight="false" outlineLevel="0" collapsed="false">
      <c r="A1724" s="10" t="n">
        <f aca="false">A1723+1</f>
        <v>1723</v>
      </c>
      <c r="B1724" s="11" t="n">
        <f aca="false">B1723+1</f>
        <v>46649</v>
      </c>
      <c r="C1724" s="10" t="n">
        <f aca="false">YEAR(B1724)</f>
        <v>2027</v>
      </c>
      <c r="D1724" s="10" t="n">
        <f aca="false">INT((MONTH(B1724)-1)/3)+1</f>
        <v>3</v>
      </c>
      <c r="E1724" s="10" t="n">
        <f aca="false">MONTH(B1724)</f>
        <v>9</v>
      </c>
      <c r="F1724" s="10" t="str">
        <f aca="false">CHOOSE(MOD(A1724-1,5)+1,"Центр","Юг","Север","Запад","Восток")</f>
        <v>Север</v>
      </c>
      <c r="G1724" s="10" t="str">
        <f aca="false">"Округ_"&amp;(MOD(A1724-1,5)+1)&amp;"_"&amp;(MOD(INT((A1724-1)/5),5)+1)</f>
        <v>Округ_3_5</v>
      </c>
      <c r="H1724" s="10" t="str">
        <f aca="false">"Город_"&amp;(MOD(A1724-1,5)+1)&amp;"_"&amp;(MOD(INT((A1724-1)/5),5)+1)&amp;"_"&amp;(MOD(INT((A1724-1)/25),10)+1)</f>
        <v>Город_3_5_9</v>
      </c>
      <c r="I1724" s="10" t="str">
        <f aca="false">CHOOSE(MOD(A1724-1,4)+1,"Электроника","Одежда","Продукты","Мебель")</f>
        <v>Продукты</v>
      </c>
      <c r="J1724" s="10" t="str">
        <f aca="false">CHOOSE(MOD(INT((A1724-1)/4),4)+1,CHOOSE(MOD(A1724-1,4)+1,"Смартфоны","Ноутбуки","Аксессуары","Аудио"),CHOOSE(MOD(A1724-1,4)+1,"Верхняя одежда","Спортивная","Повседневная","Обувь"),CHOOSE(MOD(A1724-1,4)+1,"Молочные","Мясные","Бакалея","Напитки"),CHOOSE(MOD(A1724-1,4)+1,"Мягкая мебель","Корпусная","Офисная","Кухонная"))</f>
        <v>Бакалея</v>
      </c>
      <c r="K1724" s="12" t="n">
        <f aca="false">1000+MOD(A1724*317+A1724*A1724*7,49001)</f>
        <v>12859</v>
      </c>
      <c r="L1724" s="12" t="n">
        <f aca="false">1+MOD(A1724*131,100)</f>
        <v>14</v>
      </c>
      <c r="M1724" s="12" t="n">
        <f aca="false">INT(K1724*(0.6+MOD(A1724*43,21)/100))</f>
        <v>7843</v>
      </c>
      <c r="N1724" s="12" t="n">
        <f aca="false">K1724-M1724</f>
        <v>5016</v>
      </c>
    </row>
    <row r="1725" customFormat="false" ht="12.8" hidden="false" customHeight="false" outlineLevel="0" collapsed="false">
      <c r="A1725" s="10" t="n">
        <f aca="false">A1724+1</f>
        <v>1724</v>
      </c>
      <c r="B1725" s="11" t="n">
        <f aca="false">B1724+1</f>
        <v>46650</v>
      </c>
      <c r="C1725" s="10" t="n">
        <f aca="false">YEAR(B1725)</f>
        <v>2027</v>
      </c>
      <c r="D1725" s="10" t="n">
        <f aca="false">INT((MONTH(B1725)-1)/3)+1</f>
        <v>3</v>
      </c>
      <c r="E1725" s="10" t="n">
        <f aca="false">MONTH(B1725)</f>
        <v>9</v>
      </c>
      <c r="F1725" s="10" t="str">
        <f aca="false">CHOOSE(MOD(A1725-1,5)+1,"Центр","Юг","Север","Запад","Восток")</f>
        <v>Запад</v>
      </c>
      <c r="G1725" s="10" t="str">
        <f aca="false">"Округ_"&amp;(MOD(A1725-1,5)+1)&amp;"_"&amp;(MOD(INT((A1725-1)/5),5)+1)</f>
        <v>Округ_4_5</v>
      </c>
      <c r="H1725" s="10" t="str">
        <f aca="false">"Город_"&amp;(MOD(A1725-1,5)+1)&amp;"_"&amp;(MOD(INT((A1725-1)/5),5)+1)&amp;"_"&amp;(MOD(INT((A1725-1)/25),10)+1)</f>
        <v>Город_4_5_9</v>
      </c>
      <c r="I1725" s="10" t="str">
        <f aca="false">CHOOSE(MOD(A1725-1,4)+1,"Электроника","Одежда","Продукты","Мебель")</f>
        <v>Мебель</v>
      </c>
      <c r="J1725" s="10" t="str">
        <f aca="false">CHOOSE(MOD(INT((A1725-1)/4),4)+1,CHOOSE(MOD(A1725-1,4)+1,"Смартфоны","Ноутбуки","Аксессуары","Аудио"),CHOOSE(MOD(A1725-1,4)+1,"Верхняя одежда","Спортивная","Повседневная","Обувь"),CHOOSE(MOD(A1725-1,4)+1,"Молочные","Мясные","Бакалея","Напитки"),CHOOSE(MOD(A1725-1,4)+1,"Мягкая мебель","Корпусная","Офисная","Кухонная"))</f>
        <v>Напитки</v>
      </c>
      <c r="K1725" s="12" t="n">
        <f aca="false">1000+MOD(A1725*317+A1725*A1725*7,49001)</f>
        <v>37305</v>
      </c>
      <c r="L1725" s="12" t="n">
        <f aca="false">1+MOD(A1725*131,100)</f>
        <v>45</v>
      </c>
      <c r="M1725" s="12" t="n">
        <f aca="false">INT(K1725*(0.6+MOD(A1725*43,21)/100))</f>
        <v>23129</v>
      </c>
      <c r="N1725" s="12" t="n">
        <f aca="false">K1725-M1725</f>
        <v>14176</v>
      </c>
    </row>
    <row r="1726" customFormat="false" ht="12.8" hidden="false" customHeight="false" outlineLevel="0" collapsed="false">
      <c r="A1726" s="10" t="n">
        <f aca="false">A1725+1</f>
        <v>1725</v>
      </c>
      <c r="B1726" s="11" t="n">
        <f aca="false">B1725+1</f>
        <v>46651</v>
      </c>
      <c r="C1726" s="10" t="n">
        <f aca="false">YEAR(B1726)</f>
        <v>2027</v>
      </c>
      <c r="D1726" s="10" t="n">
        <f aca="false">INT((MONTH(B1726)-1)/3)+1</f>
        <v>3</v>
      </c>
      <c r="E1726" s="10" t="n">
        <f aca="false">MONTH(B1726)</f>
        <v>9</v>
      </c>
      <c r="F1726" s="10" t="str">
        <f aca="false">CHOOSE(MOD(A1726-1,5)+1,"Центр","Юг","Север","Запад","Восток")</f>
        <v>Восток</v>
      </c>
      <c r="G1726" s="10" t="str">
        <f aca="false">"Округ_"&amp;(MOD(A1726-1,5)+1)&amp;"_"&amp;(MOD(INT((A1726-1)/5),5)+1)</f>
        <v>Округ_5_5</v>
      </c>
      <c r="H1726" s="10" t="str">
        <f aca="false">"Город_"&amp;(MOD(A1726-1,5)+1)&amp;"_"&amp;(MOD(INT((A1726-1)/5),5)+1)&amp;"_"&amp;(MOD(INT((A1726-1)/25),10)+1)</f>
        <v>Город_5_5_9</v>
      </c>
      <c r="I1726" s="10" t="str">
        <f aca="false">CHOOSE(MOD(A1726-1,4)+1,"Электроника","Одежда","Продукты","Мебель")</f>
        <v>Электроника</v>
      </c>
      <c r="J1726" s="10" t="str">
        <f aca="false">CHOOSE(MOD(INT((A1726-1)/4),4)+1,CHOOSE(MOD(A1726-1,4)+1,"Смартфоны","Ноутбуки","Аксессуары","Аудио"),CHOOSE(MOD(A1726-1,4)+1,"Верхняя одежда","Спортивная","Повседневная","Обувь"),CHOOSE(MOD(A1726-1,4)+1,"Молочные","Мясные","Бакалея","Напитки"),CHOOSE(MOD(A1726-1,4)+1,"Мягкая мебель","Корпусная","Офисная","Кухонная"))</f>
        <v>Мягкая мебель</v>
      </c>
      <c r="K1726" s="12" t="n">
        <f aca="false">1000+MOD(A1726*317+A1726*A1726*7,49001)</f>
        <v>12764</v>
      </c>
      <c r="L1726" s="12" t="n">
        <f aca="false">1+MOD(A1726*131,100)</f>
        <v>76</v>
      </c>
      <c r="M1726" s="12" t="n">
        <f aca="false">INT(K1726*(0.6+MOD(A1726*43,21)/100))</f>
        <v>8041</v>
      </c>
      <c r="N1726" s="12" t="n">
        <f aca="false">K1726-M1726</f>
        <v>4723</v>
      </c>
    </row>
    <row r="1727" customFormat="false" ht="12.8" hidden="false" customHeight="false" outlineLevel="0" collapsed="false">
      <c r="A1727" s="10" t="n">
        <f aca="false">A1726+1</f>
        <v>1726</v>
      </c>
      <c r="B1727" s="11" t="n">
        <f aca="false">B1726+1</f>
        <v>46652</v>
      </c>
      <c r="C1727" s="10" t="n">
        <f aca="false">YEAR(B1727)</f>
        <v>2027</v>
      </c>
      <c r="D1727" s="10" t="n">
        <f aca="false">INT((MONTH(B1727)-1)/3)+1</f>
        <v>3</v>
      </c>
      <c r="E1727" s="10" t="n">
        <f aca="false">MONTH(B1727)</f>
        <v>9</v>
      </c>
      <c r="F1727" s="10" t="str">
        <f aca="false">CHOOSE(MOD(A1727-1,5)+1,"Центр","Юг","Север","Запад","Восток")</f>
        <v>Центр</v>
      </c>
      <c r="G1727" s="10" t="str">
        <f aca="false">"Округ_"&amp;(MOD(A1727-1,5)+1)&amp;"_"&amp;(MOD(INT((A1727-1)/5),5)+1)</f>
        <v>Округ_1_1</v>
      </c>
      <c r="H1727" s="10" t="str">
        <f aca="false">"Город_"&amp;(MOD(A1727-1,5)+1)&amp;"_"&amp;(MOD(INT((A1727-1)/5),5)+1)&amp;"_"&amp;(MOD(INT((A1727-1)/25),10)+1)</f>
        <v>Город_1_1_10</v>
      </c>
      <c r="I1727" s="10" t="str">
        <f aca="false">CHOOSE(MOD(A1727-1,4)+1,"Электроника","Одежда","Продукты","Мебель")</f>
        <v>Одежда</v>
      </c>
      <c r="J1727" s="10" t="str">
        <f aca="false">CHOOSE(MOD(INT((A1727-1)/4),4)+1,CHOOSE(MOD(A1727-1,4)+1,"Смартфоны","Ноутбуки","Аксессуары","Аудио"),CHOOSE(MOD(A1727-1,4)+1,"Верхняя одежда","Спортивная","Повседневная","Обувь"),CHOOSE(MOD(A1727-1,4)+1,"Молочные","Мясные","Бакалея","Напитки"),CHOOSE(MOD(A1727-1,4)+1,"Мягкая мебель","Корпусная","Офисная","Кухонная"))</f>
        <v>Корпусная</v>
      </c>
      <c r="K1727" s="12" t="n">
        <f aca="false">1000+MOD(A1727*317+A1727*A1727*7,49001)</f>
        <v>37238</v>
      </c>
      <c r="L1727" s="12" t="n">
        <f aca="false">1+MOD(A1727*131,100)</f>
        <v>7</v>
      </c>
      <c r="M1727" s="12" t="n">
        <f aca="false">INT(K1727*(0.6+MOD(A1727*43,21)/100))</f>
        <v>23832</v>
      </c>
      <c r="N1727" s="12" t="n">
        <f aca="false">K1727-M1727</f>
        <v>13406</v>
      </c>
    </row>
    <row r="1728" customFormat="false" ht="12.8" hidden="false" customHeight="false" outlineLevel="0" collapsed="false">
      <c r="A1728" s="10" t="n">
        <f aca="false">A1727+1</f>
        <v>1727</v>
      </c>
      <c r="B1728" s="11" t="n">
        <f aca="false">B1727+1</f>
        <v>46653</v>
      </c>
      <c r="C1728" s="10" t="n">
        <f aca="false">YEAR(B1728)</f>
        <v>2027</v>
      </c>
      <c r="D1728" s="10" t="n">
        <f aca="false">INT((MONTH(B1728)-1)/3)+1</f>
        <v>3</v>
      </c>
      <c r="E1728" s="10" t="n">
        <f aca="false">MONTH(B1728)</f>
        <v>9</v>
      </c>
      <c r="F1728" s="10" t="str">
        <f aca="false">CHOOSE(MOD(A1728-1,5)+1,"Центр","Юг","Север","Запад","Восток")</f>
        <v>Юг</v>
      </c>
      <c r="G1728" s="10" t="str">
        <f aca="false">"Округ_"&amp;(MOD(A1728-1,5)+1)&amp;"_"&amp;(MOD(INT((A1728-1)/5),5)+1)</f>
        <v>Округ_2_1</v>
      </c>
      <c r="H1728" s="10" t="str">
        <f aca="false">"Город_"&amp;(MOD(A1728-1,5)+1)&amp;"_"&amp;(MOD(INT((A1728-1)/5),5)+1)&amp;"_"&amp;(MOD(INT((A1728-1)/25),10)+1)</f>
        <v>Город_2_1_10</v>
      </c>
      <c r="I1728" s="10" t="str">
        <f aca="false">CHOOSE(MOD(A1728-1,4)+1,"Электроника","Одежда","Продукты","Мебель")</f>
        <v>Продукты</v>
      </c>
      <c r="J1728" s="10" t="str">
        <f aca="false">CHOOSE(MOD(INT((A1728-1)/4),4)+1,CHOOSE(MOD(A1728-1,4)+1,"Смартфоны","Ноутбуки","Аксессуары","Аудио"),CHOOSE(MOD(A1728-1,4)+1,"Верхняя одежда","Спортивная","Повседневная","Обувь"),CHOOSE(MOD(A1728-1,4)+1,"Молочные","Мясные","Бакалея","Напитки"),CHOOSE(MOD(A1728-1,4)+1,"Мягкая мебель","Корпусная","Офисная","Кухонная"))</f>
        <v>Офисная</v>
      </c>
      <c r="K1728" s="12" t="n">
        <f aca="false">1000+MOD(A1728*317+A1728*A1728*7,49001)</f>
        <v>12725</v>
      </c>
      <c r="L1728" s="12" t="n">
        <f aca="false">1+MOD(A1728*131,100)</f>
        <v>38</v>
      </c>
      <c r="M1728" s="12" t="n">
        <f aca="false">INT(K1728*(0.6+MOD(A1728*43,21)/100))</f>
        <v>8271</v>
      </c>
      <c r="N1728" s="12" t="n">
        <f aca="false">K1728-M1728</f>
        <v>4454</v>
      </c>
    </row>
    <row r="1729" customFormat="false" ht="12.8" hidden="false" customHeight="false" outlineLevel="0" collapsed="false">
      <c r="A1729" s="10" t="n">
        <f aca="false">A1728+1</f>
        <v>1728</v>
      </c>
      <c r="B1729" s="11" t="n">
        <f aca="false">B1728+1</f>
        <v>46654</v>
      </c>
      <c r="C1729" s="10" t="n">
        <f aca="false">YEAR(B1729)</f>
        <v>2027</v>
      </c>
      <c r="D1729" s="10" t="n">
        <f aca="false">INT((MONTH(B1729)-1)/3)+1</f>
        <v>3</v>
      </c>
      <c r="E1729" s="10" t="n">
        <f aca="false">MONTH(B1729)</f>
        <v>9</v>
      </c>
      <c r="F1729" s="10" t="str">
        <f aca="false">CHOOSE(MOD(A1729-1,5)+1,"Центр","Юг","Север","Запад","Восток")</f>
        <v>Север</v>
      </c>
      <c r="G1729" s="10" t="str">
        <f aca="false">"Округ_"&amp;(MOD(A1729-1,5)+1)&amp;"_"&amp;(MOD(INT((A1729-1)/5),5)+1)</f>
        <v>Округ_3_1</v>
      </c>
      <c r="H1729" s="10" t="str">
        <f aca="false">"Город_"&amp;(MOD(A1729-1,5)+1)&amp;"_"&amp;(MOD(INT((A1729-1)/5),5)+1)&amp;"_"&amp;(MOD(INT((A1729-1)/25),10)+1)</f>
        <v>Город_3_1_10</v>
      </c>
      <c r="I1729" s="10" t="str">
        <f aca="false">CHOOSE(MOD(A1729-1,4)+1,"Электроника","Одежда","Продукты","Мебель")</f>
        <v>Мебель</v>
      </c>
      <c r="J1729" s="10" t="str">
        <f aca="false">CHOOSE(MOD(INT((A1729-1)/4),4)+1,CHOOSE(MOD(A1729-1,4)+1,"Смартфоны","Ноутбуки","Аксессуары","Аудио"),CHOOSE(MOD(A1729-1,4)+1,"Верхняя одежда","Спортивная","Повседневная","Обувь"),CHOOSE(MOD(A1729-1,4)+1,"Молочные","Мясные","Бакалея","Напитки"),CHOOSE(MOD(A1729-1,4)+1,"Мягкая мебель","Корпусная","Офисная","Кухонная"))</f>
        <v>Кухонная</v>
      </c>
      <c r="K1729" s="12" t="n">
        <f aca="false">1000+MOD(A1729*317+A1729*A1729*7,49001)</f>
        <v>37227</v>
      </c>
      <c r="L1729" s="12" t="n">
        <f aca="false">1+MOD(A1729*131,100)</f>
        <v>69</v>
      </c>
      <c r="M1729" s="12" t="n">
        <f aca="false">INT(K1729*(0.6+MOD(A1729*43,21)/100))</f>
        <v>24569</v>
      </c>
      <c r="N1729" s="12" t="n">
        <f aca="false">K1729-M1729</f>
        <v>12658</v>
      </c>
    </row>
    <row r="1730" customFormat="false" ht="12.8" hidden="false" customHeight="false" outlineLevel="0" collapsed="false">
      <c r="A1730" s="10" t="n">
        <f aca="false">A1729+1</f>
        <v>1729</v>
      </c>
      <c r="B1730" s="11" t="n">
        <f aca="false">B1729+1</f>
        <v>46655</v>
      </c>
      <c r="C1730" s="10" t="n">
        <f aca="false">YEAR(B1730)</f>
        <v>2027</v>
      </c>
      <c r="D1730" s="10" t="n">
        <f aca="false">INT((MONTH(B1730)-1)/3)+1</f>
        <v>3</v>
      </c>
      <c r="E1730" s="10" t="n">
        <f aca="false">MONTH(B1730)</f>
        <v>9</v>
      </c>
      <c r="F1730" s="10" t="str">
        <f aca="false">CHOOSE(MOD(A1730-1,5)+1,"Центр","Юг","Север","Запад","Восток")</f>
        <v>Запад</v>
      </c>
      <c r="G1730" s="10" t="str">
        <f aca="false">"Округ_"&amp;(MOD(A1730-1,5)+1)&amp;"_"&amp;(MOD(INT((A1730-1)/5),5)+1)</f>
        <v>Округ_4_1</v>
      </c>
      <c r="H1730" s="10" t="str">
        <f aca="false">"Город_"&amp;(MOD(A1730-1,5)+1)&amp;"_"&amp;(MOD(INT((A1730-1)/5),5)+1)&amp;"_"&amp;(MOD(INT((A1730-1)/25),10)+1)</f>
        <v>Город_4_1_10</v>
      </c>
      <c r="I1730" s="10" t="str">
        <f aca="false">CHOOSE(MOD(A1730-1,4)+1,"Электроника","Одежда","Продукты","Мебель")</f>
        <v>Электроника</v>
      </c>
      <c r="J1730" s="10" t="str">
        <f aca="false">CHOOSE(MOD(INT((A1730-1)/4),4)+1,CHOOSE(MOD(A1730-1,4)+1,"Смартфоны","Ноутбуки","Аксессуары","Аудио"),CHOOSE(MOD(A1730-1,4)+1,"Верхняя одежда","Спортивная","Повседневная","Обувь"),CHOOSE(MOD(A1730-1,4)+1,"Молочные","Мясные","Бакалея","Напитки"),CHOOSE(MOD(A1730-1,4)+1,"Мягкая мебель","Корпусная","Офисная","Кухонная"))</f>
        <v>Смартфоны</v>
      </c>
      <c r="K1730" s="12" t="n">
        <f aca="false">1000+MOD(A1730*317+A1730*A1730*7,49001)</f>
        <v>12742</v>
      </c>
      <c r="L1730" s="12" t="n">
        <f aca="false">1+MOD(A1730*131,100)</f>
        <v>100</v>
      </c>
      <c r="M1730" s="12" t="n">
        <f aca="false">INT(K1730*(0.6+MOD(A1730*43,21)/100))</f>
        <v>8537</v>
      </c>
      <c r="N1730" s="12" t="n">
        <f aca="false">K1730-M1730</f>
        <v>4205</v>
      </c>
    </row>
    <row r="1731" customFormat="false" ht="12.8" hidden="false" customHeight="false" outlineLevel="0" collapsed="false">
      <c r="A1731" s="10" t="n">
        <f aca="false">A1730+1</f>
        <v>1730</v>
      </c>
      <c r="B1731" s="11" t="n">
        <f aca="false">B1730+1</f>
        <v>46656</v>
      </c>
      <c r="C1731" s="10" t="n">
        <f aca="false">YEAR(B1731)</f>
        <v>2027</v>
      </c>
      <c r="D1731" s="10" t="n">
        <f aca="false">INT((MONTH(B1731)-1)/3)+1</f>
        <v>3</v>
      </c>
      <c r="E1731" s="10" t="n">
        <f aca="false">MONTH(B1731)</f>
        <v>9</v>
      </c>
      <c r="F1731" s="10" t="str">
        <f aca="false">CHOOSE(MOD(A1731-1,5)+1,"Центр","Юг","Север","Запад","Восток")</f>
        <v>Восток</v>
      </c>
      <c r="G1731" s="10" t="str">
        <f aca="false">"Округ_"&amp;(MOD(A1731-1,5)+1)&amp;"_"&amp;(MOD(INT((A1731-1)/5),5)+1)</f>
        <v>Округ_5_1</v>
      </c>
      <c r="H1731" s="10" t="str">
        <f aca="false">"Город_"&amp;(MOD(A1731-1,5)+1)&amp;"_"&amp;(MOD(INT((A1731-1)/5),5)+1)&amp;"_"&amp;(MOD(INT((A1731-1)/25),10)+1)</f>
        <v>Город_5_1_10</v>
      </c>
      <c r="I1731" s="10" t="str">
        <f aca="false">CHOOSE(MOD(A1731-1,4)+1,"Электроника","Одежда","Продукты","Мебель")</f>
        <v>Одежда</v>
      </c>
      <c r="J1731" s="10" t="str">
        <f aca="false">CHOOSE(MOD(INT((A1731-1)/4),4)+1,CHOOSE(MOD(A1731-1,4)+1,"Смартфоны","Ноутбуки","Аксессуары","Аудио"),CHOOSE(MOD(A1731-1,4)+1,"Верхняя одежда","Спортивная","Повседневная","Обувь"),CHOOSE(MOD(A1731-1,4)+1,"Молочные","Мясные","Бакалея","Напитки"),CHOOSE(MOD(A1731-1,4)+1,"Мягкая мебель","Корпусная","Офисная","Кухонная"))</f>
        <v>Ноутбуки</v>
      </c>
      <c r="K1731" s="12" t="n">
        <f aca="false">1000+MOD(A1731*317+A1731*A1731*7,49001)</f>
        <v>37272</v>
      </c>
      <c r="L1731" s="12" t="n">
        <f aca="false">1+MOD(A1731*131,100)</f>
        <v>31</v>
      </c>
      <c r="M1731" s="12" t="n">
        <f aca="false">INT(K1731*(0.6+MOD(A1731*43,21)/100))</f>
        <v>25344</v>
      </c>
      <c r="N1731" s="12" t="n">
        <f aca="false">K1731-M1731</f>
        <v>11928</v>
      </c>
    </row>
    <row r="1732" customFormat="false" ht="12.8" hidden="false" customHeight="false" outlineLevel="0" collapsed="false">
      <c r="A1732" s="10" t="n">
        <f aca="false">A1731+1</f>
        <v>1731</v>
      </c>
      <c r="B1732" s="11" t="n">
        <f aca="false">B1731+1</f>
        <v>46657</v>
      </c>
      <c r="C1732" s="10" t="n">
        <f aca="false">YEAR(B1732)</f>
        <v>2027</v>
      </c>
      <c r="D1732" s="10" t="n">
        <f aca="false">INT((MONTH(B1732)-1)/3)+1</f>
        <v>3</v>
      </c>
      <c r="E1732" s="10" t="n">
        <f aca="false">MONTH(B1732)</f>
        <v>9</v>
      </c>
      <c r="F1732" s="10" t="str">
        <f aca="false">CHOOSE(MOD(A1732-1,5)+1,"Центр","Юг","Север","Запад","Восток")</f>
        <v>Центр</v>
      </c>
      <c r="G1732" s="10" t="str">
        <f aca="false">"Округ_"&amp;(MOD(A1732-1,5)+1)&amp;"_"&amp;(MOD(INT((A1732-1)/5),5)+1)</f>
        <v>Округ_1_2</v>
      </c>
      <c r="H1732" s="10" t="str">
        <f aca="false">"Город_"&amp;(MOD(A1732-1,5)+1)&amp;"_"&amp;(MOD(INT((A1732-1)/5),5)+1)&amp;"_"&amp;(MOD(INT((A1732-1)/25),10)+1)</f>
        <v>Город_1_2_10</v>
      </c>
      <c r="I1732" s="10" t="str">
        <f aca="false">CHOOSE(MOD(A1732-1,4)+1,"Электроника","Одежда","Продукты","Мебель")</f>
        <v>Продукты</v>
      </c>
      <c r="J1732" s="10" t="str">
        <f aca="false">CHOOSE(MOD(INT((A1732-1)/4),4)+1,CHOOSE(MOD(A1732-1,4)+1,"Смартфоны","Ноутбуки","Аксессуары","Аудио"),CHOOSE(MOD(A1732-1,4)+1,"Верхняя одежда","Спортивная","Повседневная","Обувь"),CHOOSE(MOD(A1732-1,4)+1,"Молочные","Мясные","Бакалея","Напитки"),CHOOSE(MOD(A1732-1,4)+1,"Мягкая мебель","Корпусная","Офисная","Кухонная"))</f>
        <v>Аксессуары</v>
      </c>
      <c r="K1732" s="12" t="n">
        <f aca="false">1000+MOD(A1732*317+A1732*A1732*7,49001)</f>
        <v>12815</v>
      </c>
      <c r="L1732" s="12" t="n">
        <f aca="false">1+MOD(A1732*131,100)</f>
        <v>62</v>
      </c>
      <c r="M1732" s="12" t="n">
        <f aca="false">INT(K1732*(0.6+MOD(A1732*43,21)/100))</f>
        <v>8842</v>
      </c>
      <c r="N1732" s="12" t="n">
        <f aca="false">K1732-M1732</f>
        <v>3973</v>
      </c>
    </row>
    <row r="1733" customFormat="false" ht="12.8" hidden="false" customHeight="false" outlineLevel="0" collapsed="false">
      <c r="A1733" s="10" t="n">
        <f aca="false">A1732+1</f>
        <v>1732</v>
      </c>
      <c r="B1733" s="11" t="n">
        <f aca="false">B1732+1</f>
        <v>46658</v>
      </c>
      <c r="C1733" s="10" t="n">
        <f aca="false">YEAR(B1733)</f>
        <v>2027</v>
      </c>
      <c r="D1733" s="10" t="n">
        <f aca="false">INT((MONTH(B1733)-1)/3)+1</f>
        <v>3</v>
      </c>
      <c r="E1733" s="10" t="n">
        <f aca="false">MONTH(B1733)</f>
        <v>9</v>
      </c>
      <c r="F1733" s="10" t="str">
        <f aca="false">CHOOSE(MOD(A1733-1,5)+1,"Центр","Юг","Север","Запад","Восток")</f>
        <v>Юг</v>
      </c>
      <c r="G1733" s="10" t="str">
        <f aca="false">"Округ_"&amp;(MOD(A1733-1,5)+1)&amp;"_"&amp;(MOD(INT((A1733-1)/5),5)+1)</f>
        <v>Округ_2_2</v>
      </c>
      <c r="H1733" s="10" t="str">
        <f aca="false">"Город_"&amp;(MOD(A1733-1,5)+1)&amp;"_"&amp;(MOD(INT((A1733-1)/5),5)+1)&amp;"_"&amp;(MOD(INT((A1733-1)/25),10)+1)</f>
        <v>Город_2_2_10</v>
      </c>
      <c r="I1733" s="10" t="str">
        <f aca="false">CHOOSE(MOD(A1733-1,4)+1,"Электроника","Одежда","Продукты","Мебель")</f>
        <v>Мебель</v>
      </c>
      <c r="J1733" s="10" t="str">
        <f aca="false">CHOOSE(MOD(INT((A1733-1)/4),4)+1,CHOOSE(MOD(A1733-1,4)+1,"Смартфоны","Ноутбуки","Аксессуары","Аудио"),CHOOSE(MOD(A1733-1,4)+1,"Верхняя одежда","Спортивная","Повседневная","Обувь"),CHOOSE(MOD(A1733-1,4)+1,"Молочные","Мясные","Бакалея","Напитки"),CHOOSE(MOD(A1733-1,4)+1,"Мягкая мебель","Корпусная","Офисная","Кухонная"))</f>
        <v>Аудио</v>
      </c>
      <c r="K1733" s="12" t="n">
        <f aca="false">1000+MOD(A1733*317+A1733*A1733*7,49001)</f>
        <v>37373</v>
      </c>
      <c r="L1733" s="12" t="n">
        <f aca="false">1+MOD(A1733*131,100)</f>
        <v>93</v>
      </c>
      <c r="M1733" s="12" t="n">
        <f aca="false">INT(K1733*(0.6+MOD(A1733*43,21)/100))</f>
        <v>26161</v>
      </c>
      <c r="N1733" s="12" t="n">
        <f aca="false">K1733-M1733</f>
        <v>11212</v>
      </c>
    </row>
    <row r="1734" customFormat="false" ht="12.8" hidden="false" customHeight="false" outlineLevel="0" collapsed="false">
      <c r="A1734" s="10" t="n">
        <f aca="false">A1733+1</f>
        <v>1733</v>
      </c>
      <c r="B1734" s="11" t="n">
        <f aca="false">B1733+1</f>
        <v>46659</v>
      </c>
      <c r="C1734" s="10" t="n">
        <f aca="false">YEAR(B1734)</f>
        <v>2027</v>
      </c>
      <c r="D1734" s="10" t="n">
        <f aca="false">INT((MONTH(B1734)-1)/3)+1</f>
        <v>3</v>
      </c>
      <c r="E1734" s="10" t="n">
        <f aca="false">MONTH(B1734)</f>
        <v>9</v>
      </c>
      <c r="F1734" s="10" t="str">
        <f aca="false">CHOOSE(MOD(A1734-1,5)+1,"Центр","Юг","Север","Запад","Восток")</f>
        <v>Север</v>
      </c>
      <c r="G1734" s="10" t="str">
        <f aca="false">"Округ_"&amp;(MOD(A1734-1,5)+1)&amp;"_"&amp;(MOD(INT((A1734-1)/5),5)+1)</f>
        <v>Округ_3_2</v>
      </c>
      <c r="H1734" s="10" t="str">
        <f aca="false">"Город_"&amp;(MOD(A1734-1,5)+1)&amp;"_"&amp;(MOD(INT((A1734-1)/5),5)+1)&amp;"_"&amp;(MOD(INT((A1734-1)/25),10)+1)</f>
        <v>Город_3_2_10</v>
      </c>
      <c r="I1734" s="10" t="str">
        <f aca="false">CHOOSE(MOD(A1734-1,4)+1,"Электроника","Одежда","Продукты","Мебель")</f>
        <v>Электроника</v>
      </c>
      <c r="J1734" s="10" t="str">
        <f aca="false">CHOOSE(MOD(INT((A1734-1)/4),4)+1,CHOOSE(MOD(A1734-1,4)+1,"Смартфоны","Ноутбуки","Аксессуары","Аудио"),CHOOSE(MOD(A1734-1,4)+1,"Верхняя одежда","Спортивная","Повседневная","Обувь"),CHOOSE(MOD(A1734-1,4)+1,"Молочные","Мясные","Бакалея","Напитки"),CHOOSE(MOD(A1734-1,4)+1,"Мягкая мебель","Корпусная","Офисная","Кухонная"))</f>
        <v>Верхняя одежда</v>
      </c>
      <c r="K1734" s="12" t="n">
        <f aca="false">1000+MOD(A1734*317+A1734*A1734*7,49001)</f>
        <v>12944</v>
      </c>
      <c r="L1734" s="12" t="n">
        <f aca="false">1+MOD(A1734*131,100)</f>
        <v>24</v>
      </c>
      <c r="M1734" s="12" t="n">
        <f aca="false">INT(K1734*(0.6+MOD(A1734*43,21)/100))</f>
        <v>9190</v>
      </c>
      <c r="N1734" s="12" t="n">
        <f aca="false">K1734-M1734</f>
        <v>3754</v>
      </c>
    </row>
    <row r="1735" customFormat="false" ht="12.8" hidden="false" customHeight="false" outlineLevel="0" collapsed="false">
      <c r="A1735" s="10" t="n">
        <f aca="false">A1734+1</f>
        <v>1734</v>
      </c>
      <c r="B1735" s="11" t="n">
        <f aca="false">B1734+1</f>
        <v>46660</v>
      </c>
      <c r="C1735" s="10" t="n">
        <f aca="false">YEAR(B1735)</f>
        <v>2027</v>
      </c>
      <c r="D1735" s="10" t="n">
        <f aca="false">INT((MONTH(B1735)-1)/3)+1</f>
        <v>3</v>
      </c>
      <c r="E1735" s="10" t="n">
        <f aca="false">MONTH(B1735)</f>
        <v>9</v>
      </c>
      <c r="F1735" s="10" t="str">
        <f aca="false">CHOOSE(MOD(A1735-1,5)+1,"Центр","Юг","Север","Запад","Восток")</f>
        <v>Запад</v>
      </c>
      <c r="G1735" s="10" t="str">
        <f aca="false">"Округ_"&amp;(MOD(A1735-1,5)+1)&amp;"_"&amp;(MOD(INT((A1735-1)/5),5)+1)</f>
        <v>Округ_4_2</v>
      </c>
      <c r="H1735" s="10" t="str">
        <f aca="false">"Город_"&amp;(MOD(A1735-1,5)+1)&amp;"_"&amp;(MOD(INT((A1735-1)/5),5)+1)&amp;"_"&amp;(MOD(INT((A1735-1)/25),10)+1)</f>
        <v>Город_4_2_10</v>
      </c>
      <c r="I1735" s="10" t="str">
        <f aca="false">CHOOSE(MOD(A1735-1,4)+1,"Электроника","Одежда","Продукты","Мебель")</f>
        <v>Одежда</v>
      </c>
      <c r="J1735" s="10" t="str">
        <f aca="false">CHOOSE(MOD(INT((A1735-1)/4),4)+1,CHOOSE(MOD(A1735-1,4)+1,"Смартфоны","Ноутбуки","Аксессуары","Аудио"),CHOOSE(MOD(A1735-1,4)+1,"Верхняя одежда","Спортивная","Повседневная","Обувь"),CHOOSE(MOD(A1735-1,4)+1,"Молочные","Мясные","Бакалея","Напитки"),CHOOSE(MOD(A1735-1,4)+1,"Мягкая мебель","Корпусная","Офисная","Кухонная"))</f>
        <v>Спортивная</v>
      </c>
      <c r="K1735" s="12" t="n">
        <f aca="false">1000+MOD(A1735*317+A1735*A1735*7,49001)</f>
        <v>37530</v>
      </c>
      <c r="L1735" s="12" t="n">
        <f aca="false">1+MOD(A1735*131,100)</f>
        <v>55</v>
      </c>
      <c r="M1735" s="12" t="n">
        <f aca="false">INT(K1735*(0.6+MOD(A1735*43,21)/100))</f>
        <v>27021</v>
      </c>
      <c r="N1735" s="12" t="n">
        <f aca="false">K1735-M1735</f>
        <v>10509</v>
      </c>
    </row>
    <row r="1736" customFormat="false" ht="12.8" hidden="false" customHeight="false" outlineLevel="0" collapsed="false">
      <c r="A1736" s="10" t="n">
        <f aca="false">A1735+1</f>
        <v>1735</v>
      </c>
      <c r="B1736" s="11" t="n">
        <f aca="false">B1735+1</f>
        <v>46661</v>
      </c>
      <c r="C1736" s="10" t="n">
        <f aca="false">YEAR(B1736)</f>
        <v>2027</v>
      </c>
      <c r="D1736" s="10" t="n">
        <f aca="false">INT((MONTH(B1736)-1)/3)+1</f>
        <v>4</v>
      </c>
      <c r="E1736" s="10" t="n">
        <f aca="false">MONTH(B1736)</f>
        <v>10</v>
      </c>
      <c r="F1736" s="10" t="str">
        <f aca="false">CHOOSE(MOD(A1736-1,5)+1,"Центр","Юг","Север","Запад","Восток")</f>
        <v>Восток</v>
      </c>
      <c r="G1736" s="10" t="str">
        <f aca="false">"Округ_"&amp;(MOD(A1736-1,5)+1)&amp;"_"&amp;(MOD(INT((A1736-1)/5),5)+1)</f>
        <v>Округ_5_2</v>
      </c>
      <c r="H1736" s="10" t="str">
        <f aca="false">"Город_"&amp;(MOD(A1736-1,5)+1)&amp;"_"&amp;(MOD(INT((A1736-1)/5),5)+1)&amp;"_"&amp;(MOD(INT((A1736-1)/25),10)+1)</f>
        <v>Город_5_2_10</v>
      </c>
      <c r="I1736" s="10" t="str">
        <f aca="false">CHOOSE(MOD(A1736-1,4)+1,"Электроника","Одежда","Продукты","Мебель")</f>
        <v>Продукты</v>
      </c>
      <c r="J1736" s="10" t="str">
        <f aca="false">CHOOSE(MOD(INT((A1736-1)/4),4)+1,CHOOSE(MOD(A1736-1,4)+1,"Смартфоны","Ноутбуки","Аксессуары","Аудио"),CHOOSE(MOD(A1736-1,4)+1,"Верхняя одежда","Спортивная","Повседневная","Обувь"),CHOOSE(MOD(A1736-1,4)+1,"Молочные","Мясные","Бакалея","Напитки"),CHOOSE(MOD(A1736-1,4)+1,"Мягкая мебель","Корпусная","Офисная","Кухонная"))</f>
        <v>Повседневная</v>
      </c>
      <c r="K1736" s="12" t="n">
        <f aca="false">1000+MOD(A1736*317+A1736*A1736*7,49001)</f>
        <v>13129</v>
      </c>
      <c r="L1736" s="12" t="n">
        <f aca="false">1+MOD(A1736*131,100)</f>
        <v>86</v>
      </c>
      <c r="M1736" s="12" t="n">
        <f aca="false">INT(K1736*(0.6+MOD(A1736*43,21)/100))</f>
        <v>9584</v>
      </c>
      <c r="N1736" s="12" t="n">
        <f aca="false">K1736-M1736</f>
        <v>3545</v>
      </c>
    </row>
    <row r="1737" customFormat="false" ht="12.8" hidden="false" customHeight="false" outlineLevel="0" collapsed="false">
      <c r="A1737" s="10" t="n">
        <f aca="false">A1736+1</f>
        <v>1736</v>
      </c>
      <c r="B1737" s="11" t="n">
        <f aca="false">B1736+1</f>
        <v>46662</v>
      </c>
      <c r="C1737" s="10" t="n">
        <f aca="false">YEAR(B1737)</f>
        <v>2027</v>
      </c>
      <c r="D1737" s="10" t="n">
        <f aca="false">INT((MONTH(B1737)-1)/3)+1</f>
        <v>4</v>
      </c>
      <c r="E1737" s="10" t="n">
        <f aca="false">MONTH(B1737)</f>
        <v>10</v>
      </c>
      <c r="F1737" s="10" t="str">
        <f aca="false">CHOOSE(MOD(A1737-1,5)+1,"Центр","Юг","Север","Запад","Восток")</f>
        <v>Центр</v>
      </c>
      <c r="G1737" s="10" t="str">
        <f aca="false">"Округ_"&amp;(MOD(A1737-1,5)+1)&amp;"_"&amp;(MOD(INT((A1737-1)/5),5)+1)</f>
        <v>Округ_1_3</v>
      </c>
      <c r="H1737" s="10" t="str">
        <f aca="false">"Город_"&amp;(MOD(A1737-1,5)+1)&amp;"_"&amp;(MOD(INT((A1737-1)/5),5)+1)&amp;"_"&amp;(MOD(INT((A1737-1)/25),10)+1)</f>
        <v>Город_1_3_10</v>
      </c>
      <c r="I1737" s="10" t="str">
        <f aca="false">CHOOSE(MOD(A1737-1,4)+1,"Электроника","Одежда","Продукты","Мебель")</f>
        <v>Мебель</v>
      </c>
      <c r="J1737" s="10" t="str">
        <f aca="false">CHOOSE(MOD(INT((A1737-1)/4),4)+1,CHOOSE(MOD(A1737-1,4)+1,"Смартфоны","Ноутбуки","Аксессуары","Аудио"),CHOOSE(MOD(A1737-1,4)+1,"Верхняя одежда","Спортивная","Повседневная","Обувь"),CHOOSE(MOD(A1737-1,4)+1,"Молочные","Мясные","Бакалея","Напитки"),CHOOSE(MOD(A1737-1,4)+1,"Мягкая мебель","Корпусная","Офисная","Кухонная"))</f>
        <v>Обувь</v>
      </c>
      <c r="K1737" s="12" t="n">
        <f aca="false">1000+MOD(A1737*317+A1737*A1737*7,49001)</f>
        <v>37743</v>
      </c>
      <c r="L1737" s="12" t="n">
        <f aca="false">1+MOD(A1737*131,100)</f>
        <v>17</v>
      </c>
      <c r="M1737" s="12" t="n">
        <f aca="false">INT(K1737*(0.6+MOD(A1737*43,21)/100))</f>
        <v>27929</v>
      </c>
      <c r="N1737" s="12" t="n">
        <f aca="false">K1737-M1737</f>
        <v>9814</v>
      </c>
    </row>
    <row r="1738" customFormat="false" ht="12.8" hidden="false" customHeight="false" outlineLevel="0" collapsed="false">
      <c r="A1738" s="10" t="n">
        <f aca="false">A1737+1</f>
        <v>1737</v>
      </c>
      <c r="B1738" s="11" t="n">
        <f aca="false">B1737+1</f>
        <v>46663</v>
      </c>
      <c r="C1738" s="10" t="n">
        <f aca="false">YEAR(B1738)</f>
        <v>2027</v>
      </c>
      <c r="D1738" s="10" t="n">
        <f aca="false">INT((MONTH(B1738)-1)/3)+1</f>
        <v>4</v>
      </c>
      <c r="E1738" s="10" t="n">
        <f aca="false">MONTH(B1738)</f>
        <v>10</v>
      </c>
      <c r="F1738" s="10" t="str">
        <f aca="false">CHOOSE(MOD(A1738-1,5)+1,"Центр","Юг","Север","Запад","Восток")</f>
        <v>Юг</v>
      </c>
      <c r="G1738" s="10" t="str">
        <f aca="false">"Округ_"&amp;(MOD(A1738-1,5)+1)&amp;"_"&amp;(MOD(INT((A1738-1)/5),5)+1)</f>
        <v>Округ_2_3</v>
      </c>
      <c r="H1738" s="10" t="str">
        <f aca="false">"Город_"&amp;(MOD(A1738-1,5)+1)&amp;"_"&amp;(MOD(INT((A1738-1)/5),5)+1)&amp;"_"&amp;(MOD(INT((A1738-1)/25),10)+1)</f>
        <v>Город_2_3_10</v>
      </c>
      <c r="I1738" s="10" t="str">
        <f aca="false">CHOOSE(MOD(A1738-1,4)+1,"Электроника","Одежда","Продукты","Мебель")</f>
        <v>Электроника</v>
      </c>
      <c r="J1738" s="10" t="str">
        <f aca="false">CHOOSE(MOD(INT((A1738-1)/4),4)+1,CHOOSE(MOD(A1738-1,4)+1,"Смартфоны","Ноутбуки","Аксессуары","Аудио"),CHOOSE(MOD(A1738-1,4)+1,"Верхняя одежда","Спортивная","Повседневная","Обувь"),CHOOSE(MOD(A1738-1,4)+1,"Молочные","Мясные","Бакалея","Напитки"),CHOOSE(MOD(A1738-1,4)+1,"Мягкая мебель","Корпусная","Офисная","Кухонная"))</f>
        <v>Молочные</v>
      </c>
      <c r="K1738" s="12" t="n">
        <f aca="false">1000+MOD(A1738*317+A1738*A1738*7,49001)</f>
        <v>13370</v>
      </c>
      <c r="L1738" s="12" t="n">
        <f aca="false">1+MOD(A1738*131,100)</f>
        <v>48</v>
      </c>
      <c r="M1738" s="12" t="n">
        <f aca="false">INT(K1738*(0.6+MOD(A1738*43,21)/100))</f>
        <v>10027</v>
      </c>
      <c r="N1738" s="12" t="n">
        <f aca="false">K1738-M1738</f>
        <v>3343</v>
      </c>
    </row>
    <row r="1739" customFormat="false" ht="12.8" hidden="false" customHeight="false" outlineLevel="0" collapsed="false">
      <c r="A1739" s="10" t="n">
        <f aca="false">A1738+1</f>
        <v>1738</v>
      </c>
      <c r="B1739" s="11" t="n">
        <f aca="false">B1738+1</f>
        <v>46664</v>
      </c>
      <c r="C1739" s="10" t="n">
        <f aca="false">YEAR(B1739)</f>
        <v>2027</v>
      </c>
      <c r="D1739" s="10" t="n">
        <f aca="false">INT((MONTH(B1739)-1)/3)+1</f>
        <v>4</v>
      </c>
      <c r="E1739" s="10" t="n">
        <f aca="false">MONTH(B1739)</f>
        <v>10</v>
      </c>
      <c r="F1739" s="10" t="str">
        <f aca="false">CHOOSE(MOD(A1739-1,5)+1,"Центр","Юг","Север","Запад","Восток")</f>
        <v>Север</v>
      </c>
      <c r="G1739" s="10" t="str">
        <f aca="false">"Округ_"&amp;(MOD(A1739-1,5)+1)&amp;"_"&amp;(MOD(INT((A1739-1)/5),5)+1)</f>
        <v>Округ_3_3</v>
      </c>
      <c r="H1739" s="10" t="str">
        <f aca="false">"Город_"&amp;(MOD(A1739-1,5)+1)&amp;"_"&amp;(MOD(INT((A1739-1)/5),5)+1)&amp;"_"&amp;(MOD(INT((A1739-1)/25),10)+1)</f>
        <v>Город_3_3_10</v>
      </c>
      <c r="I1739" s="10" t="str">
        <f aca="false">CHOOSE(MOD(A1739-1,4)+1,"Электроника","Одежда","Продукты","Мебель")</f>
        <v>Одежда</v>
      </c>
      <c r="J1739" s="10" t="str">
        <f aca="false">CHOOSE(MOD(INT((A1739-1)/4),4)+1,CHOOSE(MOD(A1739-1,4)+1,"Смартфоны","Ноутбуки","Аксессуары","Аудио"),CHOOSE(MOD(A1739-1,4)+1,"Верхняя одежда","Спортивная","Повседневная","Обувь"),CHOOSE(MOD(A1739-1,4)+1,"Молочные","Мясные","Бакалея","Напитки"),CHOOSE(MOD(A1739-1,4)+1,"Мягкая мебель","Корпусная","Офисная","Кухонная"))</f>
        <v>Мясные</v>
      </c>
      <c r="K1739" s="12" t="n">
        <f aca="false">1000+MOD(A1739*317+A1739*A1739*7,49001)</f>
        <v>38012</v>
      </c>
      <c r="L1739" s="12" t="n">
        <f aca="false">1+MOD(A1739*131,100)</f>
        <v>79</v>
      </c>
      <c r="M1739" s="12" t="n">
        <f aca="false">INT(K1739*(0.6+MOD(A1739*43,21)/100))</f>
        <v>28889</v>
      </c>
      <c r="N1739" s="12" t="n">
        <f aca="false">K1739-M1739</f>
        <v>9123</v>
      </c>
    </row>
    <row r="1740" customFormat="false" ht="12.8" hidden="false" customHeight="false" outlineLevel="0" collapsed="false">
      <c r="A1740" s="10" t="n">
        <f aca="false">A1739+1</f>
        <v>1739</v>
      </c>
      <c r="B1740" s="11" t="n">
        <f aca="false">B1739+1</f>
        <v>46665</v>
      </c>
      <c r="C1740" s="10" t="n">
        <f aca="false">YEAR(B1740)</f>
        <v>2027</v>
      </c>
      <c r="D1740" s="10" t="n">
        <f aca="false">INT((MONTH(B1740)-1)/3)+1</f>
        <v>4</v>
      </c>
      <c r="E1740" s="10" t="n">
        <f aca="false">MONTH(B1740)</f>
        <v>10</v>
      </c>
      <c r="F1740" s="10" t="str">
        <f aca="false">CHOOSE(MOD(A1740-1,5)+1,"Центр","Юг","Север","Запад","Восток")</f>
        <v>Запад</v>
      </c>
      <c r="G1740" s="10" t="str">
        <f aca="false">"Округ_"&amp;(MOD(A1740-1,5)+1)&amp;"_"&amp;(MOD(INT((A1740-1)/5),5)+1)</f>
        <v>Округ_4_3</v>
      </c>
      <c r="H1740" s="10" t="str">
        <f aca="false">"Город_"&amp;(MOD(A1740-1,5)+1)&amp;"_"&amp;(MOD(INT((A1740-1)/5),5)+1)&amp;"_"&amp;(MOD(INT((A1740-1)/25),10)+1)</f>
        <v>Город_4_3_10</v>
      </c>
      <c r="I1740" s="10" t="str">
        <f aca="false">CHOOSE(MOD(A1740-1,4)+1,"Электроника","Одежда","Продукты","Мебель")</f>
        <v>Продукты</v>
      </c>
      <c r="J1740" s="10" t="str">
        <f aca="false">CHOOSE(MOD(INT((A1740-1)/4),4)+1,CHOOSE(MOD(A1740-1,4)+1,"Смартфоны","Ноутбуки","Аксессуары","Аудио"),CHOOSE(MOD(A1740-1,4)+1,"Верхняя одежда","Спортивная","Повседневная","Обувь"),CHOOSE(MOD(A1740-1,4)+1,"Молочные","Мясные","Бакалея","Напитки"),CHOOSE(MOD(A1740-1,4)+1,"Мягкая мебель","Корпусная","Офисная","Кухонная"))</f>
        <v>Бакалея</v>
      </c>
      <c r="K1740" s="12" t="n">
        <f aca="false">1000+MOD(A1740*317+A1740*A1740*7,49001)</f>
        <v>13667</v>
      </c>
      <c r="L1740" s="12" t="n">
        <f aca="false">1+MOD(A1740*131,100)</f>
        <v>10</v>
      </c>
      <c r="M1740" s="12" t="n">
        <f aca="false">INT(K1740*(0.6+MOD(A1740*43,21)/100))</f>
        <v>10523</v>
      </c>
      <c r="N1740" s="12" t="n">
        <f aca="false">K1740-M1740</f>
        <v>3144</v>
      </c>
    </row>
    <row r="1741" customFormat="false" ht="12.8" hidden="false" customHeight="false" outlineLevel="0" collapsed="false">
      <c r="A1741" s="10" t="n">
        <f aca="false">A1740+1</f>
        <v>1740</v>
      </c>
      <c r="B1741" s="11" t="n">
        <f aca="false">B1740+1</f>
        <v>46666</v>
      </c>
      <c r="C1741" s="10" t="n">
        <f aca="false">YEAR(B1741)</f>
        <v>2027</v>
      </c>
      <c r="D1741" s="10" t="n">
        <f aca="false">INT((MONTH(B1741)-1)/3)+1</f>
        <v>4</v>
      </c>
      <c r="E1741" s="10" t="n">
        <f aca="false">MONTH(B1741)</f>
        <v>10</v>
      </c>
      <c r="F1741" s="10" t="str">
        <f aca="false">CHOOSE(MOD(A1741-1,5)+1,"Центр","Юг","Север","Запад","Восток")</f>
        <v>Восток</v>
      </c>
      <c r="G1741" s="10" t="str">
        <f aca="false">"Округ_"&amp;(MOD(A1741-1,5)+1)&amp;"_"&amp;(MOD(INT((A1741-1)/5),5)+1)</f>
        <v>Округ_5_3</v>
      </c>
      <c r="H1741" s="10" t="str">
        <f aca="false">"Город_"&amp;(MOD(A1741-1,5)+1)&amp;"_"&amp;(MOD(INT((A1741-1)/5),5)+1)&amp;"_"&amp;(MOD(INT((A1741-1)/25),10)+1)</f>
        <v>Город_5_3_10</v>
      </c>
      <c r="I1741" s="10" t="str">
        <f aca="false">CHOOSE(MOD(A1741-1,4)+1,"Электроника","Одежда","Продукты","Мебель")</f>
        <v>Мебель</v>
      </c>
      <c r="J1741" s="10" t="str">
        <f aca="false">CHOOSE(MOD(INT((A1741-1)/4),4)+1,CHOOSE(MOD(A1741-1,4)+1,"Смартфоны","Ноутбуки","Аксессуары","Аудио"),CHOOSE(MOD(A1741-1,4)+1,"Верхняя одежда","Спортивная","Повседневная","Обувь"),CHOOSE(MOD(A1741-1,4)+1,"Молочные","Мясные","Бакалея","Напитки"),CHOOSE(MOD(A1741-1,4)+1,"Мягкая мебель","Корпусная","Офисная","Кухонная"))</f>
        <v>Напитки</v>
      </c>
      <c r="K1741" s="12" t="n">
        <f aca="false">1000+MOD(A1741*317+A1741*A1741*7,49001)</f>
        <v>38337</v>
      </c>
      <c r="L1741" s="12" t="n">
        <f aca="false">1+MOD(A1741*131,100)</f>
        <v>41</v>
      </c>
      <c r="M1741" s="12" t="n">
        <f aca="false">INT(K1741*(0.6+MOD(A1741*43,21)/100))</f>
        <v>29902</v>
      </c>
      <c r="N1741" s="12" t="n">
        <f aca="false">K1741-M1741</f>
        <v>8435</v>
      </c>
    </row>
    <row r="1742" customFormat="false" ht="12.8" hidden="false" customHeight="false" outlineLevel="0" collapsed="false">
      <c r="A1742" s="10" t="n">
        <f aca="false">A1741+1</f>
        <v>1741</v>
      </c>
      <c r="B1742" s="11" t="n">
        <f aca="false">B1741+1</f>
        <v>46667</v>
      </c>
      <c r="C1742" s="10" t="n">
        <f aca="false">YEAR(B1742)</f>
        <v>2027</v>
      </c>
      <c r="D1742" s="10" t="n">
        <f aca="false">INT((MONTH(B1742)-1)/3)+1</f>
        <v>4</v>
      </c>
      <c r="E1742" s="10" t="n">
        <f aca="false">MONTH(B1742)</f>
        <v>10</v>
      </c>
      <c r="F1742" s="10" t="str">
        <f aca="false">CHOOSE(MOD(A1742-1,5)+1,"Центр","Юг","Север","Запад","Восток")</f>
        <v>Центр</v>
      </c>
      <c r="G1742" s="10" t="str">
        <f aca="false">"Округ_"&amp;(MOD(A1742-1,5)+1)&amp;"_"&amp;(MOD(INT((A1742-1)/5),5)+1)</f>
        <v>Округ_1_4</v>
      </c>
      <c r="H1742" s="10" t="str">
        <f aca="false">"Город_"&amp;(MOD(A1742-1,5)+1)&amp;"_"&amp;(MOD(INT((A1742-1)/5),5)+1)&amp;"_"&amp;(MOD(INT((A1742-1)/25),10)+1)</f>
        <v>Город_1_4_10</v>
      </c>
      <c r="I1742" s="10" t="str">
        <f aca="false">CHOOSE(MOD(A1742-1,4)+1,"Электроника","Одежда","Продукты","Мебель")</f>
        <v>Электроника</v>
      </c>
      <c r="J1742" s="10" t="str">
        <f aca="false">CHOOSE(MOD(INT((A1742-1)/4),4)+1,CHOOSE(MOD(A1742-1,4)+1,"Смартфоны","Ноутбуки","Аксессуары","Аудио"),CHOOSE(MOD(A1742-1,4)+1,"Верхняя одежда","Спортивная","Повседневная","Обувь"),CHOOSE(MOD(A1742-1,4)+1,"Молочные","Мясные","Бакалея","Напитки"),CHOOSE(MOD(A1742-1,4)+1,"Мягкая мебель","Корпусная","Офисная","Кухонная"))</f>
        <v>Мягкая мебель</v>
      </c>
      <c r="K1742" s="12" t="n">
        <f aca="false">1000+MOD(A1742*317+A1742*A1742*7,49001)</f>
        <v>14020</v>
      </c>
      <c r="L1742" s="12" t="n">
        <f aca="false">1+MOD(A1742*131,100)</f>
        <v>72</v>
      </c>
      <c r="M1742" s="12" t="n">
        <f aca="false">INT(K1742*(0.6+MOD(A1742*43,21)/100))</f>
        <v>11075</v>
      </c>
      <c r="N1742" s="12" t="n">
        <f aca="false">K1742-M1742</f>
        <v>2945</v>
      </c>
    </row>
    <row r="1743" customFormat="false" ht="12.8" hidden="false" customHeight="false" outlineLevel="0" collapsed="false">
      <c r="A1743" s="10" t="n">
        <f aca="false">A1742+1</f>
        <v>1742</v>
      </c>
      <c r="B1743" s="11" t="n">
        <f aca="false">B1742+1</f>
        <v>46668</v>
      </c>
      <c r="C1743" s="10" t="n">
        <f aca="false">YEAR(B1743)</f>
        <v>2027</v>
      </c>
      <c r="D1743" s="10" t="n">
        <f aca="false">INT((MONTH(B1743)-1)/3)+1</f>
        <v>4</v>
      </c>
      <c r="E1743" s="10" t="n">
        <f aca="false">MONTH(B1743)</f>
        <v>10</v>
      </c>
      <c r="F1743" s="10" t="str">
        <f aca="false">CHOOSE(MOD(A1743-1,5)+1,"Центр","Юг","Север","Запад","Восток")</f>
        <v>Юг</v>
      </c>
      <c r="G1743" s="10" t="str">
        <f aca="false">"Округ_"&amp;(MOD(A1743-1,5)+1)&amp;"_"&amp;(MOD(INT((A1743-1)/5),5)+1)</f>
        <v>Округ_2_4</v>
      </c>
      <c r="H1743" s="10" t="str">
        <f aca="false">"Город_"&amp;(MOD(A1743-1,5)+1)&amp;"_"&amp;(MOD(INT((A1743-1)/5),5)+1)&amp;"_"&amp;(MOD(INT((A1743-1)/25),10)+1)</f>
        <v>Город_2_4_10</v>
      </c>
      <c r="I1743" s="10" t="str">
        <f aca="false">CHOOSE(MOD(A1743-1,4)+1,"Электроника","Одежда","Продукты","Мебель")</f>
        <v>Одежда</v>
      </c>
      <c r="J1743" s="10" t="str">
        <f aca="false">CHOOSE(MOD(INT((A1743-1)/4),4)+1,CHOOSE(MOD(A1743-1,4)+1,"Смартфоны","Ноутбуки","Аксессуары","Аудио"),CHOOSE(MOD(A1743-1,4)+1,"Верхняя одежда","Спортивная","Повседневная","Обувь"),CHOOSE(MOD(A1743-1,4)+1,"Молочные","Мясные","Бакалея","Напитки"),CHOOSE(MOD(A1743-1,4)+1,"Мягкая мебель","Корпусная","Офисная","Кухонная"))</f>
        <v>Корпусная</v>
      </c>
      <c r="K1743" s="12" t="n">
        <f aca="false">1000+MOD(A1743*317+A1743*A1743*7,49001)</f>
        <v>38718</v>
      </c>
      <c r="L1743" s="12" t="n">
        <f aca="false">1+MOD(A1743*131,100)</f>
        <v>3</v>
      </c>
      <c r="M1743" s="12" t="n">
        <f aca="false">INT(K1743*(0.6+MOD(A1743*43,21)/100))</f>
        <v>30974</v>
      </c>
      <c r="N1743" s="12" t="n">
        <f aca="false">K1743-M1743</f>
        <v>7744</v>
      </c>
    </row>
    <row r="1744" customFormat="false" ht="12.8" hidden="false" customHeight="false" outlineLevel="0" collapsed="false">
      <c r="A1744" s="10" t="n">
        <f aca="false">A1743+1</f>
        <v>1743</v>
      </c>
      <c r="B1744" s="11" t="n">
        <f aca="false">B1743+1</f>
        <v>46669</v>
      </c>
      <c r="C1744" s="10" t="n">
        <f aca="false">YEAR(B1744)</f>
        <v>2027</v>
      </c>
      <c r="D1744" s="10" t="n">
        <f aca="false">INT((MONTH(B1744)-1)/3)+1</f>
        <v>4</v>
      </c>
      <c r="E1744" s="10" t="n">
        <f aca="false">MONTH(B1744)</f>
        <v>10</v>
      </c>
      <c r="F1744" s="10" t="str">
        <f aca="false">CHOOSE(MOD(A1744-1,5)+1,"Центр","Юг","Север","Запад","Восток")</f>
        <v>Север</v>
      </c>
      <c r="G1744" s="10" t="str">
        <f aca="false">"Округ_"&amp;(MOD(A1744-1,5)+1)&amp;"_"&amp;(MOD(INT((A1744-1)/5),5)+1)</f>
        <v>Округ_3_4</v>
      </c>
      <c r="H1744" s="10" t="str">
        <f aca="false">"Город_"&amp;(MOD(A1744-1,5)+1)&amp;"_"&amp;(MOD(INT((A1744-1)/5),5)+1)&amp;"_"&amp;(MOD(INT((A1744-1)/25),10)+1)</f>
        <v>Город_3_4_10</v>
      </c>
      <c r="I1744" s="10" t="str">
        <f aca="false">CHOOSE(MOD(A1744-1,4)+1,"Электроника","Одежда","Продукты","Мебель")</f>
        <v>Продукты</v>
      </c>
      <c r="J1744" s="10" t="str">
        <f aca="false">CHOOSE(MOD(INT((A1744-1)/4),4)+1,CHOOSE(MOD(A1744-1,4)+1,"Смартфоны","Ноутбуки","Аксессуары","Аудио"),CHOOSE(MOD(A1744-1,4)+1,"Верхняя одежда","Спортивная","Повседневная","Обувь"),CHOOSE(MOD(A1744-1,4)+1,"Молочные","Мясные","Бакалея","Напитки"),CHOOSE(MOD(A1744-1,4)+1,"Мягкая мебель","Корпусная","Офисная","Кухонная"))</f>
        <v>Офисная</v>
      </c>
      <c r="K1744" s="12" t="n">
        <f aca="false">1000+MOD(A1744*317+A1744*A1744*7,49001)</f>
        <v>14429</v>
      </c>
      <c r="L1744" s="12" t="n">
        <f aca="false">1+MOD(A1744*131,100)</f>
        <v>34</v>
      </c>
      <c r="M1744" s="12" t="n">
        <f aca="false">INT(K1744*(0.6+MOD(A1744*43,21)/100))</f>
        <v>8657</v>
      </c>
      <c r="N1744" s="12" t="n">
        <f aca="false">K1744-M1744</f>
        <v>5772</v>
      </c>
    </row>
    <row r="1745" customFormat="false" ht="12.8" hidden="false" customHeight="false" outlineLevel="0" collapsed="false">
      <c r="A1745" s="10" t="n">
        <f aca="false">A1744+1</f>
        <v>1744</v>
      </c>
      <c r="B1745" s="11" t="n">
        <f aca="false">B1744+1</f>
        <v>46670</v>
      </c>
      <c r="C1745" s="10" t="n">
        <f aca="false">YEAR(B1745)</f>
        <v>2027</v>
      </c>
      <c r="D1745" s="10" t="n">
        <f aca="false">INT((MONTH(B1745)-1)/3)+1</f>
        <v>4</v>
      </c>
      <c r="E1745" s="10" t="n">
        <f aca="false">MONTH(B1745)</f>
        <v>10</v>
      </c>
      <c r="F1745" s="10" t="str">
        <f aca="false">CHOOSE(MOD(A1745-1,5)+1,"Центр","Юг","Север","Запад","Восток")</f>
        <v>Запад</v>
      </c>
      <c r="G1745" s="10" t="str">
        <f aca="false">"Округ_"&amp;(MOD(A1745-1,5)+1)&amp;"_"&amp;(MOD(INT((A1745-1)/5),5)+1)</f>
        <v>Округ_4_4</v>
      </c>
      <c r="H1745" s="10" t="str">
        <f aca="false">"Город_"&amp;(MOD(A1745-1,5)+1)&amp;"_"&amp;(MOD(INT((A1745-1)/5),5)+1)&amp;"_"&amp;(MOD(INT((A1745-1)/25),10)+1)</f>
        <v>Город_4_4_10</v>
      </c>
      <c r="I1745" s="10" t="str">
        <f aca="false">CHOOSE(MOD(A1745-1,4)+1,"Электроника","Одежда","Продукты","Мебель")</f>
        <v>Мебель</v>
      </c>
      <c r="J1745" s="10" t="str">
        <f aca="false">CHOOSE(MOD(INT((A1745-1)/4),4)+1,CHOOSE(MOD(A1745-1,4)+1,"Смартфоны","Ноутбуки","Аксессуары","Аудио"),CHOOSE(MOD(A1745-1,4)+1,"Верхняя одежда","Спортивная","Повседневная","Обувь"),CHOOSE(MOD(A1745-1,4)+1,"Молочные","Мясные","Бакалея","Напитки"),CHOOSE(MOD(A1745-1,4)+1,"Мягкая мебель","Корпусная","Офисная","Кухонная"))</f>
        <v>Кухонная</v>
      </c>
      <c r="K1745" s="12" t="n">
        <f aca="false">1000+MOD(A1745*317+A1745*A1745*7,49001)</f>
        <v>39155</v>
      </c>
      <c r="L1745" s="12" t="n">
        <f aca="false">1+MOD(A1745*131,100)</f>
        <v>65</v>
      </c>
      <c r="M1745" s="12" t="n">
        <f aca="false">INT(K1745*(0.6+MOD(A1745*43,21)/100))</f>
        <v>23884</v>
      </c>
      <c r="N1745" s="12" t="n">
        <f aca="false">K1745-M1745</f>
        <v>15271</v>
      </c>
    </row>
    <row r="1746" customFormat="false" ht="12.8" hidden="false" customHeight="false" outlineLevel="0" collapsed="false">
      <c r="A1746" s="10" t="n">
        <f aca="false">A1745+1</f>
        <v>1745</v>
      </c>
      <c r="B1746" s="11" t="n">
        <f aca="false">B1745+1</f>
        <v>46671</v>
      </c>
      <c r="C1746" s="10" t="n">
        <f aca="false">YEAR(B1746)</f>
        <v>2027</v>
      </c>
      <c r="D1746" s="10" t="n">
        <f aca="false">INT((MONTH(B1746)-1)/3)+1</f>
        <v>4</v>
      </c>
      <c r="E1746" s="10" t="n">
        <f aca="false">MONTH(B1746)</f>
        <v>10</v>
      </c>
      <c r="F1746" s="10" t="str">
        <f aca="false">CHOOSE(MOD(A1746-1,5)+1,"Центр","Юг","Север","Запад","Восток")</f>
        <v>Восток</v>
      </c>
      <c r="G1746" s="10" t="str">
        <f aca="false">"Округ_"&amp;(MOD(A1746-1,5)+1)&amp;"_"&amp;(MOD(INT((A1746-1)/5),5)+1)</f>
        <v>Округ_5_4</v>
      </c>
      <c r="H1746" s="10" t="str">
        <f aca="false">"Город_"&amp;(MOD(A1746-1,5)+1)&amp;"_"&amp;(MOD(INT((A1746-1)/5),5)+1)&amp;"_"&amp;(MOD(INT((A1746-1)/25),10)+1)</f>
        <v>Город_5_4_10</v>
      </c>
      <c r="I1746" s="10" t="str">
        <f aca="false">CHOOSE(MOD(A1746-1,4)+1,"Электроника","Одежда","Продукты","Мебель")</f>
        <v>Электроника</v>
      </c>
      <c r="J1746" s="10" t="str">
        <f aca="false">CHOOSE(MOD(INT((A1746-1)/4),4)+1,CHOOSE(MOD(A1746-1,4)+1,"Смартфоны","Ноутбуки","Аксессуары","Аудио"),CHOOSE(MOD(A1746-1,4)+1,"Верхняя одежда","Спортивная","Повседневная","Обувь"),CHOOSE(MOD(A1746-1,4)+1,"Молочные","Мясные","Бакалея","Напитки"),CHOOSE(MOD(A1746-1,4)+1,"Мягкая мебель","Корпусная","Офисная","Кухонная"))</f>
        <v>Смартфоны</v>
      </c>
      <c r="K1746" s="12" t="n">
        <f aca="false">1000+MOD(A1746*317+A1746*A1746*7,49001)</f>
        <v>14894</v>
      </c>
      <c r="L1746" s="12" t="n">
        <f aca="false">1+MOD(A1746*131,100)</f>
        <v>96</v>
      </c>
      <c r="M1746" s="12" t="n">
        <f aca="false">INT(K1746*(0.6+MOD(A1746*43,21)/100))</f>
        <v>9234</v>
      </c>
      <c r="N1746" s="12" t="n">
        <f aca="false">K1746-M1746</f>
        <v>5660</v>
      </c>
    </row>
    <row r="1747" customFormat="false" ht="12.8" hidden="false" customHeight="false" outlineLevel="0" collapsed="false">
      <c r="A1747" s="10" t="n">
        <f aca="false">A1746+1</f>
        <v>1746</v>
      </c>
      <c r="B1747" s="11" t="n">
        <f aca="false">B1746+1</f>
        <v>46672</v>
      </c>
      <c r="C1747" s="10" t="n">
        <f aca="false">YEAR(B1747)</f>
        <v>2027</v>
      </c>
      <c r="D1747" s="10" t="n">
        <f aca="false">INT((MONTH(B1747)-1)/3)+1</f>
        <v>4</v>
      </c>
      <c r="E1747" s="10" t="n">
        <f aca="false">MONTH(B1747)</f>
        <v>10</v>
      </c>
      <c r="F1747" s="10" t="str">
        <f aca="false">CHOOSE(MOD(A1747-1,5)+1,"Центр","Юг","Север","Запад","Восток")</f>
        <v>Центр</v>
      </c>
      <c r="G1747" s="10" t="str">
        <f aca="false">"Округ_"&amp;(MOD(A1747-1,5)+1)&amp;"_"&amp;(MOD(INT((A1747-1)/5),5)+1)</f>
        <v>Округ_1_5</v>
      </c>
      <c r="H1747" s="10" t="str">
        <f aca="false">"Город_"&amp;(MOD(A1747-1,5)+1)&amp;"_"&amp;(MOD(INT((A1747-1)/5),5)+1)&amp;"_"&amp;(MOD(INT((A1747-1)/25),10)+1)</f>
        <v>Город_1_5_10</v>
      </c>
      <c r="I1747" s="10" t="str">
        <f aca="false">CHOOSE(MOD(A1747-1,4)+1,"Электроника","Одежда","Продукты","Мебель")</f>
        <v>Одежда</v>
      </c>
      <c r="J1747" s="10" t="str">
        <f aca="false">CHOOSE(MOD(INT((A1747-1)/4),4)+1,CHOOSE(MOD(A1747-1,4)+1,"Смартфоны","Ноутбуки","Аксессуары","Аудио"),CHOOSE(MOD(A1747-1,4)+1,"Верхняя одежда","Спортивная","Повседневная","Обувь"),CHOOSE(MOD(A1747-1,4)+1,"Молочные","Мясные","Бакалея","Напитки"),CHOOSE(MOD(A1747-1,4)+1,"Мягкая мебель","Корпусная","Офисная","Кухонная"))</f>
        <v>Ноутбуки</v>
      </c>
      <c r="K1747" s="12" t="n">
        <f aca="false">1000+MOD(A1747*317+A1747*A1747*7,49001)</f>
        <v>39648</v>
      </c>
      <c r="L1747" s="12" t="n">
        <f aca="false">1+MOD(A1747*131,100)</f>
        <v>27</v>
      </c>
      <c r="M1747" s="12" t="n">
        <f aca="false">INT(K1747*(0.6+MOD(A1747*43,21)/100))</f>
        <v>24978</v>
      </c>
      <c r="N1747" s="12" t="n">
        <f aca="false">K1747-M1747</f>
        <v>14670</v>
      </c>
    </row>
    <row r="1748" customFormat="false" ht="12.8" hidden="false" customHeight="false" outlineLevel="0" collapsed="false">
      <c r="A1748" s="10" t="n">
        <f aca="false">A1747+1</f>
        <v>1747</v>
      </c>
      <c r="B1748" s="11" t="n">
        <f aca="false">B1747+1</f>
        <v>46673</v>
      </c>
      <c r="C1748" s="10" t="n">
        <f aca="false">YEAR(B1748)</f>
        <v>2027</v>
      </c>
      <c r="D1748" s="10" t="n">
        <f aca="false">INT((MONTH(B1748)-1)/3)+1</f>
        <v>4</v>
      </c>
      <c r="E1748" s="10" t="n">
        <f aca="false">MONTH(B1748)</f>
        <v>10</v>
      </c>
      <c r="F1748" s="10" t="str">
        <f aca="false">CHOOSE(MOD(A1748-1,5)+1,"Центр","Юг","Север","Запад","Восток")</f>
        <v>Юг</v>
      </c>
      <c r="G1748" s="10" t="str">
        <f aca="false">"Округ_"&amp;(MOD(A1748-1,5)+1)&amp;"_"&amp;(MOD(INT((A1748-1)/5),5)+1)</f>
        <v>Округ_2_5</v>
      </c>
      <c r="H1748" s="10" t="str">
        <f aca="false">"Город_"&amp;(MOD(A1748-1,5)+1)&amp;"_"&amp;(MOD(INT((A1748-1)/5),5)+1)&amp;"_"&amp;(MOD(INT((A1748-1)/25),10)+1)</f>
        <v>Город_2_5_10</v>
      </c>
      <c r="I1748" s="10" t="str">
        <f aca="false">CHOOSE(MOD(A1748-1,4)+1,"Электроника","Одежда","Продукты","Мебель")</f>
        <v>Продукты</v>
      </c>
      <c r="J1748" s="10" t="str">
        <f aca="false">CHOOSE(MOD(INT((A1748-1)/4),4)+1,CHOOSE(MOD(A1748-1,4)+1,"Смартфоны","Ноутбуки","Аксессуары","Аудио"),CHOOSE(MOD(A1748-1,4)+1,"Верхняя одежда","Спортивная","Повседневная","Обувь"),CHOOSE(MOD(A1748-1,4)+1,"Молочные","Мясные","Бакалея","Напитки"),CHOOSE(MOD(A1748-1,4)+1,"Мягкая мебель","Корпусная","Офисная","Кухонная"))</f>
        <v>Аксессуары</v>
      </c>
      <c r="K1748" s="12" t="n">
        <f aca="false">1000+MOD(A1748*317+A1748*A1748*7,49001)</f>
        <v>15415</v>
      </c>
      <c r="L1748" s="12" t="n">
        <f aca="false">1+MOD(A1748*131,100)</f>
        <v>58</v>
      </c>
      <c r="M1748" s="12" t="n">
        <f aca="false">INT(K1748*(0.6+MOD(A1748*43,21)/100))</f>
        <v>9865</v>
      </c>
      <c r="N1748" s="12" t="n">
        <f aca="false">K1748-M1748</f>
        <v>5550</v>
      </c>
    </row>
    <row r="1749" customFormat="false" ht="12.8" hidden="false" customHeight="false" outlineLevel="0" collapsed="false">
      <c r="A1749" s="10" t="n">
        <f aca="false">A1748+1</f>
        <v>1748</v>
      </c>
      <c r="B1749" s="11" t="n">
        <f aca="false">B1748+1</f>
        <v>46674</v>
      </c>
      <c r="C1749" s="10" t="n">
        <f aca="false">YEAR(B1749)</f>
        <v>2027</v>
      </c>
      <c r="D1749" s="10" t="n">
        <f aca="false">INT((MONTH(B1749)-1)/3)+1</f>
        <v>4</v>
      </c>
      <c r="E1749" s="10" t="n">
        <f aca="false">MONTH(B1749)</f>
        <v>10</v>
      </c>
      <c r="F1749" s="10" t="str">
        <f aca="false">CHOOSE(MOD(A1749-1,5)+1,"Центр","Юг","Север","Запад","Восток")</f>
        <v>Север</v>
      </c>
      <c r="G1749" s="10" t="str">
        <f aca="false">"Округ_"&amp;(MOD(A1749-1,5)+1)&amp;"_"&amp;(MOD(INT((A1749-1)/5),5)+1)</f>
        <v>Округ_3_5</v>
      </c>
      <c r="H1749" s="10" t="str">
        <f aca="false">"Город_"&amp;(MOD(A1749-1,5)+1)&amp;"_"&amp;(MOD(INT((A1749-1)/5),5)+1)&amp;"_"&amp;(MOD(INT((A1749-1)/25),10)+1)</f>
        <v>Город_3_5_10</v>
      </c>
      <c r="I1749" s="10" t="str">
        <f aca="false">CHOOSE(MOD(A1749-1,4)+1,"Электроника","Одежда","Продукты","Мебель")</f>
        <v>Мебель</v>
      </c>
      <c r="J1749" s="10" t="str">
        <f aca="false">CHOOSE(MOD(INT((A1749-1)/4),4)+1,CHOOSE(MOD(A1749-1,4)+1,"Смартфоны","Ноутбуки","Аксессуары","Аудио"),CHOOSE(MOD(A1749-1,4)+1,"Верхняя одежда","Спортивная","Повседневная","Обувь"),CHOOSE(MOD(A1749-1,4)+1,"Молочные","Мясные","Бакалея","Напитки"),CHOOSE(MOD(A1749-1,4)+1,"Мягкая мебель","Корпусная","Офисная","Кухонная"))</f>
        <v>Аудио</v>
      </c>
      <c r="K1749" s="12" t="n">
        <f aca="false">1000+MOD(A1749*317+A1749*A1749*7,49001)</f>
        <v>40197</v>
      </c>
      <c r="L1749" s="12" t="n">
        <f aca="false">1+MOD(A1749*131,100)</f>
        <v>89</v>
      </c>
      <c r="M1749" s="12" t="n">
        <f aca="false">INT(K1749*(0.6+MOD(A1749*43,21)/100))</f>
        <v>26128</v>
      </c>
      <c r="N1749" s="12" t="n">
        <f aca="false">K1749-M1749</f>
        <v>14069</v>
      </c>
    </row>
    <row r="1750" customFormat="false" ht="12.8" hidden="false" customHeight="false" outlineLevel="0" collapsed="false">
      <c r="A1750" s="10" t="n">
        <f aca="false">A1749+1</f>
        <v>1749</v>
      </c>
      <c r="B1750" s="11" t="n">
        <f aca="false">B1749+1</f>
        <v>46675</v>
      </c>
      <c r="C1750" s="10" t="n">
        <f aca="false">YEAR(B1750)</f>
        <v>2027</v>
      </c>
      <c r="D1750" s="10" t="n">
        <f aca="false">INT((MONTH(B1750)-1)/3)+1</f>
        <v>4</v>
      </c>
      <c r="E1750" s="10" t="n">
        <f aca="false">MONTH(B1750)</f>
        <v>10</v>
      </c>
      <c r="F1750" s="10" t="str">
        <f aca="false">CHOOSE(MOD(A1750-1,5)+1,"Центр","Юг","Север","Запад","Восток")</f>
        <v>Запад</v>
      </c>
      <c r="G1750" s="10" t="str">
        <f aca="false">"Округ_"&amp;(MOD(A1750-1,5)+1)&amp;"_"&amp;(MOD(INT((A1750-1)/5),5)+1)</f>
        <v>Округ_4_5</v>
      </c>
      <c r="H1750" s="10" t="str">
        <f aca="false">"Город_"&amp;(MOD(A1750-1,5)+1)&amp;"_"&amp;(MOD(INT((A1750-1)/5),5)+1)&amp;"_"&amp;(MOD(INT((A1750-1)/25),10)+1)</f>
        <v>Город_4_5_10</v>
      </c>
      <c r="I1750" s="10" t="str">
        <f aca="false">CHOOSE(MOD(A1750-1,4)+1,"Электроника","Одежда","Продукты","Мебель")</f>
        <v>Электроника</v>
      </c>
      <c r="J1750" s="10" t="str">
        <f aca="false">CHOOSE(MOD(INT((A1750-1)/4),4)+1,CHOOSE(MOD(A1750-1,4)+1,"Смартфоны","Ноутбуки","Аксессуары","Аудио"),CHOOSE(MOD(A1750-1,4)+1,"Верхняя одежда","Спортивная","Повседневная","Обувь"),CHOOSE(MOD(A1750-1,4)+1,"Молочные","Мясные","Бакалея","Напитки"),CHOOSE(MOD(A1750-1,4)+1,"Мягкая мебель","Корпусная","Офисная","Кухонная"))</f>
        <v>Верхняя одежда</v>
      </c>
      <c r="K1750" s="12" t="n">
        <f aca="false">1000+MOD(A1750*317+A1750*A1750*7,49001)</f>
        <v>15992</v>
      </c>
      <c r="L1750" s="12" t="n">
        <f aca="false">1+MOD(A1750*131,100)</f>
        <v>20</v>
      </c>
      <c r="M1750" s="12" t="n">
        <f aca="false">INT(K1750*(0.6+MOD(A1750*43,21)/100))</f>
        <v>10554</v>
      </c>
      <c r="N1750" s="12" t="n">
        <f aca="false">K1750-M1750</f>
        <v>5438</v>
      </c>
    </row>
    <row r="1751" customFormat="false" ht="12.8" hidden="false" customHeight="false" outlineLevel="0" collapsed="false">
      <c r="A1751" s="10" t="n">
        <f aca="false">A1750+1</f>
        <v>1750</v>
      </c>
      <c r="B1751" s="11" t="n">
        <f aca="false">B1750+1</f>
        <v>46676</v>
      </c>
      <c r="C1751" s="10" t="n">
        <f aca="false">YEAR(B1751)</f>
        <v>2027</v>
      </c>
      <c r="D1751" s="10" t="n">
        <f aca="false">INT((MONTH(B1751)-1)/3)+1</f>
        <v>4</v>
      </c>
      <c r="E1751" s="10" t="n">
        <f aca="false">MONTH(B1751)</f>
        <v>10</v>
      </c>
      <c r="F1751" s="10" t="str">
        <f aca="false">CHOOSE(MOD(A1751-1,5)+1,"Центр","Юг","Север","Запад","Восток")</f>
        <v>Восток</v>
      </c>
      <c r="G1751" s="10" t="str">
        <f aca="false">"Округ_"&amp;(MOD(A1751-1,5)+1)&amp;"_"&amp;(MOD(INT((A1751-1)/5),5)+1)</f>
        <v>Округ_5_5</v>
      </c>
      <c r="H1751" s="10" t="str">
        <f aca="false">"Город_"&amp;(MOD(A1751-1,5)+1)&amp;"_"&amp;(MOD(INT((A1751-1)/5),5)+1)&amp;"_"&amp;(MOD(INT((A1751-1)/25),10)+1)</f>
        <v>Город_5_5_10</v>
      </c>
      <c r="I1751" s="10" t="str">
        <f aca="false">CHOOSE(MOD(A1751-1,4)+1,"Электроника","Одежда","Продукты","Мебель")</f>
        <v>Одежда</v>
      </c>
      <c r="J1751" s="10" t="str">
        <f aca="false">CHOOSE(MOD(INT((A1751-1)/4),4)+1,CHOOSE(MOD(A1751-1,4)+1,"Смартфоны","Ноутбуки","Аксессуары","Аудио"),CHOOSE(MOD(A1751-1,4)+1,"Верхняя одежда","Спортивная","Повседневная","Обувь"),CHOOSE(MOD(A1751-1,4)+1,"Молочные","Мясные","Бакалея","Напитки"),CHOOSE(MOD(A1751-1,4)+1,"Мягкая мебель","Корпусная","Офисная","Кухонная"))</f>
        <v>Спортивная</v>
      </c>
      <c r="K1751" s="12" t="n">
        <f aca="false">1000+MOD(A1751*317+A1751*A1751*7,49001)</f>
        <v>40802</v>
      </c>
      <c r="L1751" s="12" t="n">
        <f aca="false">1+MOD(A1751*131,100)</f>
        <v>51</v>
      </c>
      <c r="M1751" s="12" t="n">
        <f aca="false">INT(K1751*(0.6+MOD(A1751*43,21)/100))</f>
        <v>27337</v>
      </c>
      <c r="N1751" s="12" t="n">
        <f aca="false">K1751-M1751</f>
        <v>13465</v>
      </c>
    </row>
    <row r="1752" customFormat="false" ht="12.8" hidden="false" customHeight="false" outlineLevel="0" collapsed="false">
      <c r="A1752" s="10" t="n">
        <f aca="false">A1751+1</f>
        <v>1751</v>
      </c>
      <c r="B1752" s="11" t="n">
        <f aca="false">B1751+1</f>
        <v>46677</v>
      </c>
      <c r="C1752" s="10" t="n">
        <f aca="false">YEAR(B1752)</f>
        <v>2027</v>
      </c>
      <c r="D1752" s="10" t="n">
        <f aca="false">INT((MONTH(B1752)-1)/3)+1</f>
        <v>4</v>
      </c>
      <c r="E1752" s="10" t="n">
        <f aca="false">MONTH(B1752)</f>
        <v>10</v>
      </c>
      <c r="F1752" s="10" t="str">
        <f aca="false">CHOOSE(MOD(A1752-1,5)+1,"Центр","Юг","Север","Запад","Восток")</f>
        <v>Центр</v>
      </c>
      <c r="G1752" s="10" t="str">
        <f aca="false">"Округ_"&amp;(MOD(A1752-1,5)+1)&amp;"_"&amp;(MOD(INT((A1752-1)/5),5)+1)</f>
        <v>Округ_1_1</v>
      </c>
      <c r="H1752" s="10" t="str">
        <f aca="false">"Город_"&amp;(MOD(A1752-1,5)+1)&amp;"_"&amp;(MOD(INT((A1752-1)/5),5)+1)&amp;"_"&amp;(MOD(INT((A1752-1)/25),10)+1)</f>
        <v>Город_1_1_1</v>
      </c>
      <c r="I1752" s="10" t="str">
        <f aca="false">CHOOSE(MOD(A1752-1,4)+1,"Электроника","Одежда","Продукты","Мебель")</f>
        <v>Продукты</v>
      </c>
      <c r="J1752" s="10" t="str">
        <f aca="false">CHOOSE(MOD(INT((A1752-1)/4),4)+1,CHOOSE(MOD(A1752-1,4)+1,"Смартфоны","Ноутбуки","Аксессуары","Аудио"),CHOOSE(MOD(A1752-1,4)+1,"Верхняя одежда","Спортивная","Повседневная","Обувь"),CHOOSE(MOD(A1752-1,4)+1,"Молочные","Мясные","Бакалея","Напитки"),CHOOSE(MOD(A1752-1,4)+1,"Мягкая мебель","Корпусная","Офисная","Кухонная"))</f>
        <v>Повседневная</v>
      </c>
      <c r="K1752" s="12" t="n">
        <f aca="false">1000+MOD(A1752*317+A1752*A1752*7,49001)</f>
        <v>16625</v>
      </c>
      <c r="L1752" s="12" t="n">
        <f aca="false">1+MOD(A1752*131,100)</f>
        <v>82</v>
      </c>
      <c r="M1752" s="12" t="n">
        <f aca="false">INT(K1752*(0.6+MOD(A1752*43,21)/100))</f>
        <v>11305</v>
      </c>
      <c r="N1752" s="12" t="n">
        <f aca="false">K1752-M1752</f>
        <v>5320</v>
      </c>
    </row>
    <row r="1753" customFormat="false" ht="12.8" hidden="false" customHeight="false" outlineLevel="0" collapsed="false">
      <c r="A1753" s="10" t="n">
        <f aca="false">A1752+1</f>
        <v>1752</v>
      </c>
      <c r="B1753" s="11" t="n">
        <f aca="false">B1752+1</f>
        <v>46678</v>
      </c>
      <c r="C1753" s="10" t="n">
        <f aca="false">YEAR(B1753)</f>
        <v>2027</v>
      </c>
      <c r="D1753" s="10" t="n">
        <f aca="false">INT((MONTH(B1753)-1)/3)+1</f>
        <v>4</v>
      </c>
      <c r="E1753" s="10" t="n">
        <f aca="false">MONTH(B1753)</f>
        <v>10</v>
      </c>
      <c r="F1753" s="10" t="str">
        <f aca="false">CHOOSE(MOD(A1753-1,5)+1,"Центр","Юг","Север","Запад","Восток")</f>
        <v>Юг</v>
      </c>
      <c r="G1753" s="10" t="str">
        <f aca="false">"Округ_"&amp;(MOD(A1753-1,5)+1)&amp;"_"&amp;(MOD(INT((A1753-1)/5),5)+1)</f>
        <v>Округ_2_1</v>
      </c>
      <c r="H1753" s="10" t="str">
        <f aca="false">"Город_"&amp;(MOD(A1753-1,5)+1)&amp;"_"&amp;(MOD(INT((A1753-1)/5),5)+1)&amp;"_"&amp;(MOD(INT((A1753-1)/25),10)+1)</f>
        <v>Город_2_1_1</v>
      </c>
      <c r="I1753" s="10" t="str">
        <f aca="false">CHOOSE(MOD(A1753-1,4)+1,"Электроника","Одежда","Продукты","Мебель")</f>
        <v>Мебель</v>
      </c>
      <c r="J1753" s="10" t="str">
        <f aca="false">CHOOSE(MOD(INT((A1753-1)/4),4)+1,CHOOSE(MOD(A1753-1,4)+1,"Смартфоны","Ноутбуки","Аксессуары","Аудио"),CHOOSE(MOD(A1753-1,4)+1,"Верхняя одежда","Спортивная","Повседневная","Обувь"),CHOOSE(MOD(A1753-1,4)+1,"Молочные","Мясные","Бакалея","Напитки"),CHOOSE(MOD(A1753-1,4)+1,"Мягкая мебель","Корпусная","Офисная","Кухонная"))</f>
        <v>Обувь</v>
      </c>
      <c r="K1753" s="12" t="n">
        <f aca="false">1000+MOD(A1753*317+A1753*A1753*7,49001)</f>
        <v>41463</v>
      </c>
      <c r="L1753" s="12" t="n">
        <f aca="false">1+MOD(A1753*131,100)</f>
        <v>13</v>
      </c>
      <c r="M1753" s="12" t="n">
        <f aca="false">INT(K1753*(0.6+MOD(A1753*43,21)/100))</f>
        <v>28609</v>
      </c>
      <c r="N1753" s="12" t="n">
        <f aca="false">K1753-M1753</f>
        <v>12854</v>
      </c>
    </row>
    <row r="1754" customFormat="false" ht="12.8" hidden="false" customHeight="false" outlineLevel="0" collapsed="false">
      <c r="A1754" s="10" t="n">
        <f aca="false">A1753+1</f>
        <v>1753</v>
      </c>
      <c r="B1754" s="11" t="n">
        <f aca="false">B1753+1</f>
        <v>46679</v>
      </c>
      <c r="C1754" s="10" t="n">
        <f aca="false">YEAR(B1754)</f>
        <v>2027</v>
      </c>
      <c r="D1754" s="10" t="n">
        <f aca="false">INT((MONTH(B1754)-1)/3)+1</f>
        <v>4</v>
      </c>
      <c r="E1754" s="10" t="n">
        <f aca="false">MONTH(B1754)</f>
        <v>10</v>
      </c>
      <c r="F1754" s="10" t="str">
        <f aca="false">CHOOSE(MOD(A1754-1,5)+1,"Центр","Юг","Север","Запад","Восток")</f>
        <v>Север</v>
      </c>
      <c r="G1754" s="10" t="str">
        <f aca="false">"Округ_"&amp;(MOD(A1754-1,5)+1)&amp;"_"&amp;(MOD(INT((A1754-1)/5),5)+1)</f>
        <v>Округ_3_1</v>
      </c>
      <c r="H1754" s="10" t="str">
        <f aca="false">"Город_"&amp;(MOD(A1754-1,5)+1)&amp;"_"&amp;(MOD(INT((A1754-1)/5),5)+1)&amp;"_"&amp;(MOD(INT((A1754-1)/25),10)+1)</f>
        <v>Город_3_1_1</v>
      </c>
      <c r="I1754" s="10" t="str">
        <f aca="false">CHOOSE(MOD(A1754-1,4)+1,"Электроника","Одежда","Продукты","Мебель")</f>
        <v>Электроника</v>
      </c>
      <c r="J1754" s="10" t="str">
        <f aca="false">CHOOSE(MOD(INT((A1754-1)/4),4)+1,CHOOSE(MOD(A1754-1,4)+1,"Смартфоны","Ноутбуки","Аксессуары","Аудио"),CHOOSE(MOD(A1754-1,4)+1,"Верхняя одежда","Спортивная","Повседневная","Обувь"),CHOOSE(MOD(A1754-1,4)+1,"Молочные","Мясные","Бакалея","Напитки"),CHOOSE(MOD(A1754-1,4)+1,"Мягкая мебель","Корпусная","Офисная","Кухонная"))</f>
        <v>Молочные</v>
      </c>
      <c r="K1754" s="12" t="n">
        <f aca="false">1000+MOD(A1754*317+A1754*A1754*7,49001)</f>
        <v>17314</v>
      </c>
      <c r="L1754" s="12" t="n">
        <f aca="false">1+MOD(A1754*131,100)</f>
        <v>44</v>
      </c>
      <c r="M1754" s="12" t="n">
        <f aca="false">INT(K1754*(0.6+MOD(A1754*43,21)/100))</f>
        <v>12119</v>
      </c>
      <c r="N1754" s="12" t="n">
        <f aca="false">K1754-M1754</f>
        <v>5195</v>
      </c>
    </row>
    <row r="1755" customFormat="false" ht="12.8" hidden="false" customHeight="false" outlineLevel="0" collapsed="false">
      <c r="A1755" s="10" t="n">
        <f aca="false">A1754+1</f>
        <v>1754</v>
      </c>
      <c r="B1755" s="11" t="n">
        <f aca="false">B1754+1</f>
        <v>46680</v>
      </c>
      <c r="C1755" s="10" t="n">
        <f aca="false">YEAR(B1755)</f>
        <v>2027</v>
      </c>
      <c r="D1755" s="10" t="n">
        <f aca="false">INT((MONTH(B1755)-1)/3)+1</f>
        <v>4</v>
      </c>
      <c r="E1755" s="10" t="n">
        <f aca="false">MONTH(B1755)</f>
        <v>10</v>
      </c>
      <c r="F1755" s="10" t="str">
        <f aca="false">CHOOSE(MOD(A1755-1,5)+1,"Центр","Юг","Север","Запад","Восток")</f>
        <v>Запад</v>
      </c>
      <c r="G1755" s="10" t="str">
        <f aca="false">"Округ_"&amp;(MOD(A1755-1,5)+1)&amp;"_"&amp;(MOD(INT((A1755-1)/5),5)+1)</f>
        <v>Округ_4_1</v>
      </c>
      <c r="H1755" s="10" t="str">
        <f aca="false">"Город_"&amp;(MOD(A1755-1,5)+1)&amp;"_"&amp;(MOD(INT((A1755-1)/5),5)+1)&amp;"_"&amp;(MOD(INT((A1755-1)/25),10)+1)</f>
        <v>Город_4_1_1</v>
      </c>
      <c r="I1755" s="10" t="str">
        <f aca="false">CHOOSE(MOD(A1755-1,4)+1,"Электроника","Одежда","Продукты","Мебель")</f>
        <v>Одежда</v>
      </c>
      <c r="J1755" s="10" t="str">
        <f aca="false">CHOOSE(MOD(INT((A1755-1)/4),4)+1,CHOOSE(MOD(A1755-1,4)+1,"Смартфоны","Ноутбуки","Аксессуары","Аудио"),CHOOSE(MOD(A1755-1,4)+1,"Верхняя одежда","Спортивная","Повседневная","Обувь"),CHOOSE(MOD(A1755-1,4)+1,"Молочные","Мясные","Бакалея","Напитки"),CHOOSE(MOD(A1755-1,4)+1,"Мягкая мебель","Корпусная","Офисная","Кухонная"))</f>
        <v>Мясные</v>
      </c>
      <c r="K1755" s="12" t="n">
        <f aca="false">1000+MOD(A1755*317+A1755*A1755*7,49001)</f>
        <v>42180</v>
      </c>
      <c r="L1755" s="12" t="n">
        <f aca="false">1+MOD(A1755*131,100)</f>
        <v>75</v>
      </c>
      <c r="M1755" s="12" t="n">
        <f aca="false">INT(K1755*(0.6+MOD(A1755*43,21)/100))</f>
        <v>29947</v>
      </c>
      <c r="N1755" s="12" t="n">
        <f aca="false">K1755-M1755</f>
        <v>12233</v>
      </c>
    </row>
    <row r="1756" customFormat="false" ht="12.8" hidden="false" customHeight="false" outlineLevel="0" collapsed="false">
      <c r="A1756" s="10" t="n">
        <f aca="false">A1755+1</f>
        <v>1755</v>
      </c>
      <c r="B1756" s="11" t="n">
        <f aca="false">B1755+1</f>
        <v>46681</v>
      </c>
      <c r="C1756" s="10" t="n">
        <f aca="false">YEAR(B1756)</f>
        <v>2027</v>
      </c>
      <c r="D1756" s="10" t="n">
        <f aca="false">INT((MONTH(B1756)-1)/3)+1</f>
        <v>4</v>
      </c>
      <c r="E1756" s="10" t="n">
        <f aca="false">MONTH(B1756)</f>
        <v>10</v>
      </c>
      <c r="F1756" s="10" t="str">
        <f aca="false">CHOOSE(MOD(A1756-1,5)+1,"Центр","Юг","Север","Запад","Восток")</f>
        <v>Восток</v>
      </c>
      <c r="G1756" s="10" t="str">
        <f aca="false">"Округ_"&amp;(MOD(A1756-1,5)+1)&amp;"_"&amp;(MOD(INT((A1756-1)/5),5)+1)</f>
        <v>Округ_5_1</v>
      </c>
      <c r="H1756" s="10" t="str">
        <f aca="false">"Город_"&amp;(MOD(A1756-1,5)+1)&amp;"_"&amp;(MOD(INT((A1756-1)/5),5)+1)&amp;"_"&amp;(MOD(INT((A1756-1)/25),10)+1)</f>
        <v>Город_5_1_1</v>
      </c>
      <c r="I1756" s="10" t="str">
        <f aca="false">CHOOSE(MOD(A1756-1,4)+1,"Электроника","Одежда","Продукты","Мебель")</f>
        <v>Продукты</v>
      </c>
      <c r="J1756" s="10" t="str">
        <f aca="false">CHOOSE(MOD(INT((A1756-1)/4),4)+1,CHOOSE(MOD(A1756-1,4)+1,"Смартфоны","Ноутбуки","Аксессуары","Аудио"),CHOOSE(MOD(A1756-1,4)+1,"Верхняя одежда","Спортивная","Повседневная","Обувь"),CHOOSE(MOD(A1756-1,4)+1,"Молочные","Мясные","Бакалея","Напитки"),CHOOSE(MOD(A1756-1,4)+1,"Мягкая мебель","Корпусная","Офисная","Кухонная"))</f>
        <v>Бакалея</v>
      </c>
      <c r="K1756" s="12" t="n">
        <f aca="false">1000+MOD(A1756*317+A1756*A1756*7,49001)</f>
        <v>18059</v>
      </c>
      <c r="L1756" s="12" t="n">
        <f aca="false">1+MOD(A1756*131,100)</f>
        <v>6</v>
      </c>
      <c r="M1756" s="12" t="n">
        <f aca="false">INT(K1756*(0.6+MOD(A1756*43,21)/100))</f>
        <v>13002</v>
      </c>
      <c r="N1756" s="12" t="n">
        <f aca="false">K1756-M1756</f>
        <v>5057</v>
      </c>
    </row>
    <row r="1757" customFormat="false" ht="12.8" hidden="false" customHeight="false" outlineLevel="0" collapsed="false">
      <c r="A1757" s="10" t="n">
        <f aca="false">A1756+1</f>
        <v>1756</v>
      </c>
      <c r="B1757" s="11" t="n">
        <f aca="false">B1756+1</f>
        <v>46682</v>
      </c>
      <c r="C1757" s="10" t="n">
        <f aca="false">YEAR(B1757)</f>
        <v>2027</v>
      </c>
      <c r="D1757" s="10" t="n">
        <f aca="false">INT((MONTH(B1757)-1)/3)+1</f>
        <v>4</v>
      </c>
      <c r="E1757" s="10" t="n">
        <f aca="false">MONTH(B1757)</f>
        <v>10</v>
      </c>
      <c r="F1757" s="10" t="str">
        <f aca="false">CHOOSE(MOD(A1757-1,5)+1,"Центр","Юг","Север","Запад","Восток")</f>
        <v>Центр</v>
      </c>
      <c r="G1757" s="10" t="str">
        <f aca="false">"Округ_"&amp;(MOD(A1757-1,5)+1)&amp;"_"&amp;(MOD(INT((A1757-1)/5),5)+1)</f>
        <v>Округ_1_2</v>
      </c>
      <c r="H1757" s="10" t="str">
        <f aca="false">"Город_"&amp;(MOD(A1757-1,5)+1)&amp;"_"&amp;(MOD(INT((A1757-1)/5),5)+1)&amp;"_"&amp;(MOD(INT((A1757-1)/25),10)+1)</f>
        <v>Город_1_2_1</v>
      </c>
      <c r="I1757" s="10" t="str">
        <f aca="false">CHOOSE(MOD(A1757-1,4)+1,"Электроника","Одежда","Продукты","Мебель")</f>
        <v>Мебель</v>
      </c>
      <c r="J1757" s="10" t="str">
        <f aca="false">CHOOSE(MOD(INT((A1757-1)/4),4)+1,CHOOSE(MOD(A1757-1,4)+1,"Смартфоны","Ноутбуки","Аксессуары","Аудио"),CHOOSE(MOD(A1757-1,4)+1,"Верхняя одежда","Спортивная","Повседневная","Обувь"),CHOOSE(MOD(A1757-1,4)+1,"Молочные","Мясные","Бакалея","Напитки"),CHOOSE(MOD(A1757-1,4)+1,"Мягкая мебель","Корпусная","Офисная","Кухонная"))</f>
        <v>Напитки</v>
      </c>
      <c r="K1757" s="12" t="n">
        <f aca="false">1000+MOD(A1757*317+A1757*A1757*7,49001)</f>
        <v>42953</v>
      </c>
      <c r="L1757" s="12" t="n">
        <f aca="false">1+MOD(A1757*131,100)</f>
        <v>37</v>
      </c>
      <c r="M1757" s="12" t="n">
        <f aca="false">INT(K1757*(0.6+MOD(A1757*43,21)/100))</f>
        <v>31355</v>
      </c>
      <c r="N1757" s="12" t="n">
        <f aca="false">K1757-M1757</f>
        <v>11598</v>
      </c>
    </row>
    <row r="1758" customFormat="false" ht="12.8" hidden="false" customHeight="false" outlineLevel="0" collapsed="false">
      <c r="A1758" s="10" t="n">
        <f aca="false">A1757+1</f>
        <v>1757</v>
      </c>
      <c r="B1758" s="11" t="n">
        <f aca="false">B1757+1</f>
        <v>46683</v>
      </c>
      <c r="C1758" s="10" t="n">
        <f aca="false">YEAR(B1758)</f>
        <v>2027</v>
      </c>
      <c r="D1758" s="10" t="n">
        <f aca="false">INT((MONTH(B1758)-1)/3)+1</f>
        <v>4</v>
      </c>
      <c r="E1758" s="10" t="n">
        <f aca="false">MONTH(B1758)</f>
        <v>10</v>
      </c>
      <c r="F1758" s="10" t="str">
        <f aca="false">CHOOSE(MOD(A1758-1,5)+1,"Центр","Юг","Север","Запад","Восток")</f>
        <v>Юг</v>
      </c>
      <c r="G1758" s="10" t="str">
        <f aca="false">"Округ_"&amp;(MOD(A1758-1,5)+1)&amp;"_"&amp;(MOD(INT((A1758-1)/5),5)+1)</f>
        <v>Округ_2_2</v>
      </c>
      <c r="H1758" s="10" t="str">
        <f aca="false">"Город_"&amp;(MOD(A1758-1,5)+1)&amp;"_"&amp;(MOD(INT((A1758-1)/5),5)+1)&amp;"_"&amp;(MOD(INT((A1758-1)/25),10)+1)</f>
        <v>Город_2_2_1</v>
      </c>
      <c r="I1758" s="10" t="str">
        <f aca="false">CHOOSE(MOD(A1758-1,4)+1,"Электроника","Одежда","Продукты","Мебель")</f>
        <v>Электроника</v>
      </c>
      <c r="J1758" s="10" t="str">
        <f aca="false">CHOOSE(MOD(INT((A1758-1)/4),4)+1,CHOOSE(MOD(A1758-1,4)+1,"Смартфоны","Ноутбуки","Аксессуары","Аудио"),CHOOSE(MOD(A1758-1,4)+1,"Верхняя одежда","Спортивная","Повседневная","Обувь"),CHOOSE(MOD(A1758-1,4)+1,"Молочные","Мясные","Бакалея","Напитки"),CHOOSE(MOD(A1758-1,4)+1,"Мягкая мебель","Корпусная","Офисная","Кухонная"))</f>
        <v>Мягкая мебель</v>
      </c>
      <c r="K1758" s="12" t="n">
        <f aca="false">1000+MOD(A1758*317+A1758*A1758*7,49001)</f>
        <v>18860</v>
      </c>
      <c r="L1758" s="12" t="n">
        <f aca="false">1+MOD(A1758*131,100)</f>
        <v>68</v>
      </c>
      <c r="M1758" s="12" t="n">
        <f aca="false">INT(K1758*(0.6+MOD(A1758*43,21)/100))</f>
        <v>13956</v>
      </c>
      <c r="N1758" s="12" t="n">
        <f aca="false">K1758-M1758</f>
        <v>4904</v>
      </c>
    </row>
    <row r="1759" customFormat="false" ht="12.8" hidden="false" customHeight="false" outlineLevel="0" collapsed="false">
      <c r="A1759" s="10" t="n">
        <f aca="false">A1758+1</f>
        <v>1758</v>
      </c>
      <c r="B1759" s="11" t="n">
        <f aca="false">B1758+1</f>
        <v>46684</v>
      </c>
      <c r="C1759" s="10" t="n">
        <f aca="false">YEAR(B1759)</f>
        <v>2027</v>
      </c>
      <c r="D1759" s="10" t="n">
        <f aca="false">INT((MONTH(B1759)-1)/3)+1</f>
        <v>4</v>
      </c>
      <c r="E1759" s="10" t="n">
        <f aca="false">MONTH(B1759)</f>
        <v>10</v>
      </c>
      <c r="F1759" s="10" t="str">
        <f aca="false">CHOOSE(MOD(A1759-1,5)+1,"Центр","Юг","Север","Запад","Восток")</f>
        <v>Север</v>
      </c>
      <c r="G1759" s="10" t="str">
        <f aca="false">"Округ_"&amp;(MOD(A1759-1,5)+1)&amp;"_"&amp;(MOD(INT((A1759-1)/5),5)+1)</f>
        <v>Округ_3_2</v>
      </c>
      <c r="H1759" s="10" t="str">
        <f aca="false">"Город_"&amp;(MOD(A1759-1,5)+1)&amp;"_"&amp;(MOD(INT((A1759-1)/5),5)+1)&amp;"_"&amp;(MOD(INT((A1759-1)/25),10)+1)</f>
        <v>Город_3_2_1</v>
      </c>
      <c r="I1759" s="10" t="str">
        <f aca="false">CHOOSE(MOD(A1759-1,4)+1,"Электроника","Одежда","Продукты","Мебель")</f>
        <v>Одежда</v>
      </c>
      <c r="J1759" s="10" t="str">
        <f aca="false">CHOOSE(MOD(INT((A1759-1)/4),4)+1,CHOOSE(MOD(A1759-1,4)+1,"Смартфоны","Ноутбуки","Аксессуары","Аудио"),CHOOSE(MOD(A1759-1,4)+1,"Верхняя одежда","Спортивная","Повседневная","Обувь"),CHOOSE(MOD(A1759-1,4)+1,"Молочные","Мясные","Бакалея","Напитки"),CHOOSE(MOD(A1759-1,4)+1,"Мягкая мебель","Корпусная","Офисная","Кухонная"))</f>
        <v>Корпусная</v>
      </c>
      <c r="K1759" s="12" t="n">
        <f aca="false">1000+MOD(A1759*317+A1759*A1759*7,49001)</f>
        <v>43782</v>
      </c>
      <c r="L1759" s="12" t="n">
        <f aca="false">1+MOD(A1759*131,100)</f>
        <v>99</v>
      </c>
      <c r="M1759" s="12" t="n">
        <f aca="false">INT(K1759*(0.6+MOD(A1759*43,21)/100))</f>
        <v>32836</v>
      </c>
      <c r="N1759" s="12" t="n">
        <f aca="false">K1759-M1759</f>
        <v>10946</v>
      </c>
    </row>
    <row r="1760" customFormat="false" ht="12.8" hidden="false" customHeight="false" outlineLevel="0" collapsed="false">
      <c r="A1760" s="10" t="n">
        <f aca="false">A1759+1</f>
        <v>1759</v>
      </c>
      <c r="B1760" s="11" t="n">
        <f aca="false">B1759+1</f>
        <v>46685</v>
      </c>
      <c r="C1760" s="10" t="n">
        <f aca="false">YEAR(B1760)</f>
        <v>2027</v>
      </c>
      <c r="D1760" s="10" t="n">
        <f aca="false">INT((MONTH(B1760)-1)/3)+1</f>
        <v>4</v>
      </c>
      <c r="E1760" s="10" t="n">
        <f aca="false">MONTH(B1760)</f>
        <v>10</v>
      </c>
      <c r="F1760" s="10" t="str">
        <f aca="false">CHOOSE(MOD(A1760-1,5)+1,"Центр","Юг","Север","Запад","Восток")</f>
        <v>Запад</v>
      </c>
      <c r="G1760" s="10" t="str">
        <f aca="false">"Округ_"&amp;(MOD(A1760-1,5)+1)&amp;"_"&amp;(MOD(INT((A1760-1)/5),5)+1)</f>
        <v>Округ_4_2</v>
      </c>
      <c r="H1760" s="10" t="str">
        <f aca="false">"Город_"&amp;(MOD(A1760-1,5)+1)&amp;"_"&amp;(MOD(INT((A1760-1)/5),5)+1)&amp;"_"&amp;(MOD(INT((A1760-1)/25),10)+1)</f>
        <v>Город_4_2_1</v>
      </c>
      <c r="I1760" s="10" t="str">
        <f aca="false">CHOOSE(MOD(A1760-1,4)+1,"Электроника","Одежда","Продукты","Мебель")</f>
        <v>Продукты</v>
      </c>
      <c r="J1760" s="10" t="str">
        <f aca="false">CHOOSE(MOD(INT((A1760-1)/4),4)+1,CHOOSE(MOD(A1760-1,4)+1,"Смартфоны","Ноутбуки","Аксессуары","Аудио"),CHOOSE(MOD(A1760-1,4)+1,"Верхняя одежда","Спортивная","Повседневная","Обувь"),CHOOSE(MOD(A1760-1,4)+1,"Молочные","Мясные","Бакалея","Напитки"),CHOOSE(MOD(A1760-1,4)+1,"Мягкая мебель","Корпусная","Офисная","Кухонная"))</f>
        <v>Офисная</v>
      </c>
      <c r="K1760" s="12" t="n">
        <f aca="false">1000+MOD(A1760*317+A1760*A1760*7,49001)</f>
        <v>19717</v>
      </c>
      <c r="L1760" s="12" t="n">
        <f aca="false">1+MOD(A1760*131,100)</f>
        <v>30</v>
      </c>
      <c r="M1760" s="12" t="n">
        <f aca="false">INT(K1760*(0.6+MOD(A1760*43,21)/100))</f>
        <v>14984</v>
      </c>
      <c r="N1760" s="12" t="n">
        <f aca="false">K1760-M1760</f>
        <v>4733</v>
      </c>
    </row>
    <row r="1761" customFormat="false" ht="12.8" hidden="false" customHeight="false" outlineLevel="0" collapsed="false">
      <c r="A1761" s="10" t="n">
        <f aca="false">A1760+1</f>
        <v>1760</v>
      </c>
      <c r="B1761" s="11" t="n">
        <f aca="false">B1760+1</f>
        <v>46686</v>
      </c>
      <c r="C1761" s="10" t="n">
        <f aca="false">YEAR(B1761)</f>
        <v>2027</v>
      </c>
      <c r="D1761" s="10" t="n">
        <f aca="false">INT((MONTH(B1761)-1)/3)+1</f>
        <v>4</v>
      </c>
      <c r="E1761" s="10" t="n">
        <f aca="false">MONTH(B1761)</f>
        <v>10</v>
      </c>
      <c r="F1761" s="10" t="str">
        <f aca="false">CHOOSE(MOD(A1761-1,5)+1,"Центр","Юг","Север","Запад","Восток")</f>
        <v>Восток</v>
      </c>
      <c r="G1761" s="10" t="str">
        <f aca="false">"Округ_"&amp;(MOD(A1761-1,5)+1)&amp;"_"&amp;(MOD(INT((A1761-1)/5),5)+1)</f>
        <v>Округ_5_2</v>
      </c>
      <c r="H1761" s="10" t="str">
        <f aca="false">"Город_"&amp;(MOD(A1761-1,5)+1)&amp;"_"&amp;(MOD(INT((A1761-1)/5),5)+1)&amp;"_"&amp;(MOD(INT((A1761-1)/25),10)+1)</f>
        <v>Город_5_2_1</v>
      </c>
      <c r="I1761" s="10" t="str">
        <f aca="false">CHOOSE(MOD(A1761-1,4)+1,"Электроника","Одежда","Продукты","Мебель")</f>
        <v>Мебель</v>
      </c>
      <c r="J1761" s="10" t="str">
        <f aca="false">CHOOSE(MOD(INT((A1761-1)/4),4)+1,CHOOSE(MOD(A1761-1,4)+1,"Смартфоны","Ноутбуки","Аксессуары","Аудио"),CHOOSE(MOD(A1761-1,4)+1,"Верхняя одежда","Спортивная","Повседневная","Обувь"),CHOOSE(MOD(A1761-1,4)+1,"Молочные","Мясные","Бакалея","Напитки"),CHOOSE(MOD(A1761-1,4)+1,"Мягкая мебель","Корпусная","Офисная","Кухонная"))</f>
        <v>Кухонная</v>
      </c>
      <c r="K1761" s="12" t="n">
        <f aca="false">1000+MOD(A1761*317+A1761*A1761*7,49001)</f>
        <v>44667</v>
      </c>
      <c r="L1761" s="12" t="n">
        <f aca="false">1+MOD(A1761*131,100)</f>
        <v>61</v>
      </c>
      <c r="M1761" s="12" t="n">
        <f aca="false">INT(K1761*(0.6+MOD(A1761*43,21)/100))</f>
        <v>34393</v>
      </c>
      <c r="N1761" s="12" t="n">
        <f aca="false">K1761-M1761</f>
        <v>10274</v>
      </c>
    </row>
    <row r="1762" customFormat="false" ht="12.8" hidden="false" customHeight="false" outlineLevel="0" collapsed="false">
      <c r="A1762" s="10" t="n">
        <f aca="false">A1761+1</f>
        <v>1761</v>
      </c>
      <c r="B1762" s="11" t="n">
        <f aca="false">B1761+1</f>
        <v>46687</v>
      </c>
      <c r="C1762" s="10" t="n">
        <f aca="false">YEAR(B1762)</f>
        <v>2027</v>
      </c>
      <c r="D1762" s="10" t="n">
        <f aca="false">INT((MONTH(B1762)-1)/3)+1</f>
        <v>4</v>
      </c>
      <c r="E1762" s="10" t="n">
        <f aca="false">MONTH(B1762)</f>
        <v>10</v>
      </c>
      <c r="F1762" s="10" t="str">
        <f aca="false">CHOOSE(MOD(A1762-1,5)+1,"Центр","Юг","Север","Запад","Восток")</f>
        <v>Центр</v>
      </c>
      <c r="G1762" s="10" t="str">
        <f aca="false">"Округ_"&amp;(MOD(A1762-1,5)+1)&amp;"_"&amp;(MOD(INT((A1762-1)/5),5)+1)</f>
        <v>Округ_1_3</v>
      </c>
      <c r="H1762" s="10" t="str">
        <f aca="false">"Город_"&amp;(MOD(A1762-1,5)+1)&amp;"_"&amp;(MOD(INT((A1762-1)/5),5)+1)&amp;"_"&amp;(MOD(INT((A1762-1)/25),10)+1)</f>
        <v>Город_1_3_1</v>
      </c>
      <c r="I1762" s="10" t="str">
        <f aca="false">CHOOSE(MOD(A1762-1,4)+1,"Электроника","Одежда","Продукты","Мебель")</f>
        <v>Электроника</v>
      </c>
      <c r="J1762" s="10" t="str">
        <f aca="false">CHOOSE(MOD(INT((A1762-1)/4),4)+1,CHOOSE(MOD(A1762-1,4)+1,"Смартфоны","Ноутбуки","Аксессуары","Аудио"),CHOOSE(MOD(A1762-1,4)+1,"Верхняя одежда","Спортивная","Повседневная","Обувь"),CHOOSE(MOD(A1762-1,4)+1,"Молочные","Мясные","Бакалея","Напитки"),CHOOSE(MOD(A1762-1,4)+1,"Мягкая мебель","Корпусная","Офисная","Кухонная"))</f>
        <v>Смартфоны</v>
      </c>
      <c r="K1762" s="12" t="n">
        <f aca="false">1000+MOD(A1762*317+A1762*A1762*7,49001)</f>
        <v>20630</v>
      </c>
      <c r="L1762" s="12" t="n">
        <f aca="false">1+MOD(A1762*131,100)</f>
        <v>92</v>
      </c>
      <c r="M1762" s="12" t="n">
        <f aca="false">INT(K1762*(0.6+MOD(A1762*43,21)/100))</f>
        <v>16091</v>
      </c>
      <c r="N1762" s="12" t="n">
        <f aca="false">K1762-M1762</f>
        <v>4539</v>
      </c>
    </row>
    <row r="1763" customFormat="false" ht="12.8" hidden="false" customHeight="false" outlineLevel="0" collapsed="false">
      <c r="A1763" s="10" t="n">
        <f aca="false">A1762+1</f>
        <v>1762</v>
      </c>
      <c r="B1763" s="11" t="n">
        <f aca="false">B1762+1</f>
        <v>46688</v>
      </c>
      <c r="C1763" s="10" t="n">
        <f aca="false">YEAR(B1763)</f>
        <v>2027</v>
      </c>
      <c r="D1763" s="10" t="n">
        <f aca="false">INT((MONTH(B1763)-1)/3)+1</f>
        <v>4</v>
      </c>
      <c r="E1763" s="10" t="n">
        <f aca="false">MONTH(B1763)</f>
        <v>10</v>
      </c>
      <c r="F1763" s="10" t="str">
        <f aca="false">CHOOSE(MOD(A1763-1,5)+1,"Центр","Юг","Север","Запад","Восток")</f>
        <v>Юг</v>
      </c>
      <c r="G1763" s="10" t="str">
        <f aca="false">"Округ_"&amp;(MOD(A1763-1,5)+1)&amp;"_"&amp;(MOD(INT((A1763-1)/5),5)+1)</f>
        <v>Округ_2_3</v>
      </c>
      <c r="H1763" s="10" t="str">
        <f aca="false">"Город_"&amp;(MOD(A1763-1,5)+1)&amp;"_"&amp;(MOD(INT((A1763-1)/5),5)+1)&amp;"_"&amp;(MOD(INT((A1763-1)/25),10)+1)</f>
        <v>Город_2_3_1</v>
      </c>
      <c r="I1763" s="10" t="str">
        <f aca="false">CHOOSE(MOD(A1763-1,4)+1,"Электроника","Одежда","Продукты","Мебель")</f>
        <v>Одежда</v>
      </c>
      <c r="J1763" s="10" t="str">
        <f aca="false">CHOOSE(MOD(INT((A1763-1)/4),4)+1,CHOOSE(MOD(A1763-1,4)+1,"Смартфоны","Ноутбуки","Аксессуары","Аудио"),CHOOSE(MOD(A1763-1,4)+1,"Верхняя одежда","Спортивная","Повседневная","Обувь"),CHOOSE(MOD(A1763-1,4)+1,"Молочные","Мясные","Бакалея","Напитки"),CHOOSE(MOD(A1763-1,4)+1,"Мягкая мебель","Корпусная","Офисная","Кухонная"))</f>
        <v>Ноутбуки</v>
      </c>
      <c r="K1763" s="12" t="n">
        <f aca="false">1000+MOD(A1763*317+A1763*A1763*7,49001)</f>
        <v>45608</v>
      </c>
      <c r="L1763" s="12" t="n">
        <f aca="false">1+MOD(A1763*131,100)</f>
        <v>23</v>
      </c>
      <c r="M1763" s="12" t="n">
        <f aca="false">INT(K1763*(0.6+MOD(A1763*43,21)/100))</f>
        <v>36030</v>
      </c>
      <c r="N1763" s="12" t="n">
        <f aca="false">K1763-M1763</f>
        <v>9578</v>
      </c>
    </row>
    <row r="1764" customFormat="false" ht="12.8" hidden="false" customHeight="false" outlineLevel="0" collapsed="false">
      <c r="A1764" s="10" t="n">
        <f aca="false">A1763+1</f>
        <v>1763</v>
      </c>
      <c r="B1764" s="11" t="n">
        <f aca="false">B1763+1</f>
        <v>46689</v>
      </c>
      <c r="C1764" s="10" t="n">
        <f aca="false">YEAR(B1764)</f>
        <v>2027</v>
      </c>
      <c r="D1764" s="10" t="n">
        <f aca="false">INT((MONTH(B1764)-1)/3)+1</f>
        <v>4</v>
      </c>
      <c r="E1764" s="10" t="n">
        <f aca="false">MONTH(B1764)</f>
        <v>10</v>
      </c>
      <c r="F1764" s="10" t="str">
        <f aca="false">CHOOSE(MOD(A1764-1,5)+1,"Центр","Юг","Север","Запад","Восток")</f>
        <v>Север</v>
      </c>
      <c r="G1764" s="10" t="str">
        <f aca="false">"Округ_"&amp;(MOD(A1764-1,5)+1)&amp;"_"&amp;(MOD(INT((A1764-1)/5),5)+1)</f>
        <v>Округ_3_3</v>
      </c>
      <c r="H1764" s="10" t="str">
        <f aca="false">"Город_"&amp;(MOD(A1764-1,5)+1)&amp;"_"&amp;(MOD(INT((A1764-1)/5),5)+1)&amp;"_"&amp;(MOD(INT((A1764-1)/25),10)+1)</f>
        <v>Город_3_3_1</v>
      </c>
      <c r="I1764" s="10" t="str">
        <f aca="false">CHOOSE(MOD(A1764-1,4)+1,"Электроника","Одежда","Продукты","Мебель")</f>
        <v>Продукты</v>
      </c>
      <c r="J1764" s="10" t="str">
        <f aca="false">CHOOSE(MOD(INT((A1764-1)/4),4)+1,CHOOSE(MOD(A1764-1,4)+1,"Смартфоны","Ноутбуки","Аксессуары","Аудио"),CHOOSE(MOD(A1764-1,4)+1,"Верхняя одежда","Спортивная","Повседневная","Обувь"),CHOOSE(MOD(A1764-1,4)+1,"Молочные","Мясные","Бакалея","Напитки"),CHOOSE(MOD(A1764-1,4)+1,"Мягкая мебель","Корпусная","Офисная","Кухонная"))</f>
        <v>Аксессуары</v>
      </c>
      <c r="K1764" s="12" t="n">
        <f aca="false">1000+MOD(A1764*317+A1764*A1764*7,49001)</f>
        <v>21599</v>
      </c>
      <c r="L1764" s="12" t="n">
        <f aca="false">1+MOD(A1764*131,100)</f>
        <v>54</v>
      </c>
      <c r="M1764" s="12" t="n">
        <f aca="false">INT(K1764*(0.6+MOD(A1764*43,21)/100))</f>
        <v>17279</v>
      </c>
      <c r="N1764" s="12" t="n">
        <f aca="false">K1764-M1764</f>
        <v>4320</v>
      </c>
    </row>
    <row r="1765" customFormat="false" ht="12.8" hidden="false" customHeight="false" outlineLevel="0" collapsed="false">
      <c r="A1765" s="10" t="n">
        <f aca="false">A1764+1</f>
        <v>1764</v>
      </c>
      <c r="B1765" s="11" t="n">
        <f aca="false">B1764+1</f>
        <v>46690</v>
      </c>
      <c r="C1765" s="10" t="n">
        <f aca="false">YEAR(B1765)</f>
        <v>2027</v>
      </c>
      <c r="D1765" s="10" t="n">
        <f aca="false">INT((MONTH(B1765)-1)/3)+1</f>
        <v>4</v>
      </c>
      <c r="E1765" s="10" t="n">
        <f aca="false">MONTH(B1765)</f>
        <v>10</v>
      </c>
      <c r="F1765" s="10" t="str">
        <f aca="false">CHOOSE(MOD(A1765-1,5)+1,"Центр","Юг","Север","Запад","Восток")</f>
        <v>Запад</v>
      </c>
      <c r="G1765" s="10" t="str">
        <f aca="false">"Округ_"&amp;(MOD(A1765-1,5)+1)&amp;"_"&amp;(MOD(INT((A1765-1)/5),5)+1)</f>
        <v>Округ_4_3</v>
      </c>
      <c r="H1765" s="10" t="str">
        <f aca="false">"Город_"&amp;(MOD(A1765-1,5)+1)&amp;"_"&amp;(MOD(INT((A1765-1)/5),5)+1)&amp;"_"&amp;(MOD(INT((A1765-1)/25),10)+1)</f>
        <v>Город_4_3_1</v>
      </c>
      <c r="I1765" s="10" t="str">
        <f aca="false">CHOOSE(MOD(A1765-1,4)+1,"Электроника","Одежда","Продукты","Мебель")</f>
        <v>Мебель</v>
      </c>
      <c r="J1765" s="10" t="str">
        <f aca="false">CHOOSE(MOD(INT((A1765-1)/4),4)+1,CHOOSE(MOD(A1765-1,4)+1,"Смартфоны","Ноутбуки","Аксессуары","Аудио"),CHOOSE(MOD(A1765-1,4)+1,"Верхняя одежда","Спортивная","Повседневная","Обувь"),CHOOSE(MOD(A1765-1,4)+1,"Молочные","Мясные","Бакалея","Напитки"),CHOOSE(MOD(A1765-1,4)+1,"Мягкая мебель","Корпусная","Офисная","Кухонная"))</f>
        <v>Аудио</v>
      </c>
      <c r="K1765" s="12" t="n">
        <f aca="false">1000+MOD(A1765*317+A1765*A1765*7,49001)</f>
        <v>46605</v>
      </c>
      <c r="L1765" s="12" t="n">
        <f aca="false">1+MOD(A1765*131,100)</f>
        <v>85</v>
      </c>
      <c r="M1765" s="12" t="n">
        <f aca="false">INT(K1765*(0.6+MOD(A1765*43,21)/100))</f>
        <v>27963</v>
      </c>
      <c r="N1765" s="12" t="n">
        <f aca="false">K1765-M1765</f>
        <v>18642</v>
      </c>
    </row>
    <row r="1766" customFormat="false" ht="12.8" hidden="false" customHeight="false" outlineLevel="0" collapsed="false">
      <c r="A1766" s="10" t="n">
        <f aca="false">A1765+1</f>
        <v>1765</v>
      </c>
      <c r="B1766" s="11" t="n">
        <f aca="false">B1765+1</f>
        <v>46691</v>
      </c>
      <c r="C1766" s="10" t="n">
        <f aca="false">YEAR(B1766)</f>
        <v>2027</v>
      </c>
      <c r="D1766" s="10" t="n">
        <f aca="false">INT((MONTH(B1766)-1)/3)+1</f>
        <v>4</v>
      </c>
      <c r="E1766" s="10" t="n">
        <f aca="false">MONTH(B1766)</f>
        <v>10</v>
      </c>
      <c r="F1766" s="10" t="str">
        <f aca="false">CHOOSE(MOD(A1766-1,5)+1,"Центр","Юг","Север","Запад","Восток")</f>
        <v>Восток</v>
      </c>
      <c r="G1766" s="10" t="str">
        <f aca="false">"Округ_"&amp;(MOD(A1766-1,5)+1)&amp;"_"&amp;(MOD(INT((A1766-1)/5),5)+1)</f>
        <v>Округ_5_3</v>
      </c>
      <c r="H1766" s="10" t="str">
        <f aca="false">"Город_"&amp;(MOD(A1766-1,5)+1)&amp;"_"&amp;(MOD(INT((A1766-1)/5),5)+1)&amp;"_"&amp;(MOD(INT((A1766-1)/25),10)+1)</f>
        <v>Город_5_3_1</v>
      </c>
      <c r="I1766" s="10" t="str">
        <f aca="false">CHOOSE(MOD(A1766-1,4)+1,"Электроника","Одежда","Продукты","Мебель")</f>
        <v>Электроника</v>
      </c>
      <c r="J1766" s="10" t="str">
        <f aca="false">CHOOSE(MOD(INT((A1766-1)/4),4)+1,CHOOSE(MOD(A1766-1,4)+1,"Смартфоны","Ноутбуки","Аксессуары","Аудио"),CHOOSE(MOD(A1766-1,4)+1,"Верхняя одежда","Спортивная","Повседневная","Обувь"),CHOOSE(MOD(A1766-1,4)+1,"Молочные","Мясные","Бакалея","Напитки"),CHOOSE(MOD(A1766-1,4)+1,"Мягкая мебель","Корпусная","Офисная","Кухонная"))</f>
        <v>Верхняя одежда</v>
      </c>
      <c r="K1766" s="12" t="n">
        <f aca="false">1000+MOD(A1766*317+A1766*A1766*7,49001)</f>
        <v>22624</v>
      </c>
      <c r="L1766" s="12" t="n">
        <f aca="false">1+MOD(A1766*131,100)</f>
        <v>16</v>
      </c>
      <c r="M1766" s="12" t="n">
        <f aca="false">INT(K1766*(0.6+MOD(A1766*43,21)/100))</f>
        <v>13800</v>
      </c>
      <c r="N1766" s="12" t="n">
        <f aca="false">K1766-M1766</f>
        <v>8824</v>
      </c>
    </row>
    <row r="1767" customFormat="false" ht="12.8" hidden="false" customHeight="false" outlineLevel="0" collapsed="false">
      <c r="A1767" s="10" t="n">
        <f aca="false">A1766+1</f>
        <v>1766</v>
      </c>
      <c r="B1767" s="11" t="n">
        <f aca="false">B1766+1</f>
        <v>46692</v>
      </c>
      <c r="C1767" s="10" t="n">
        <f aca="false">YEAR(B1767)</f>
        <v>2027</v>
      </c>
      <c r="D1767" s="10" t="n">
        <f aca="false">INT((MONTH(B1767)-1)/3)+1</f>
        <v>4</v>
      </c>
      <c r="E1767" s="10" t="n">
        <f aca="false">MONTH(B1767)</f>
        <v>11</v>
      </c>
      <c r="F1767" s="10" t="str">
        <f aca="false">CHOOSE(MOD(A1767-1,5)+1,"Центр","Юг","Север","Запад","Восток")</f>
        <v>Центр</v>
      </c>
      <c r="G1767" s="10" t="str">
        <f aca="false">"Округ_"&amp;(MOD(A1767-1,5)+1)&amp;"_"&amp;(MOD(INT((A1767-1)/5),5)+1)</f>
        <v>Округ_1_4</v>
      </c>
      <c r="H1767" s="10" t="str">
        <f aca="false">"Город_"&amp;(MOD(A1767-1,5)+1)&amp;"_"&amp;(MOD(INT((A1767-1)/5),5)+1)&amp;"_"&amp;(MOD(INT((A1767-1)/25),10)+1)</f>
        <v>Город_1_4_1</v>
      </c>
      <c r="I1767" s="10" t="str">
        <f aca="false">CHOOSE(MOD(A1767-1,4)+1,"Электроника","Одежда","Продукты","Мебель")</f>
        <v>Одежда</v>
      </c>
      <c r="J1767" s="10" t="str">
        <f aca="false">CHOOSE(MOD(INT((A1767-1)/4),4)+1,CHOOSE(MOD(A1767-1,4)+1,"Смартфоны","Ноутбуки","Аксессуары","Аудио"),CHOOSE(MOD(A1767-1,4)+1,"Верхняя одежда","Спортивная","Повседневная","Обувь"),CHOOSE(MOD(A1767-1,4)+1,"Молочные","Мясные","Бакалея","Напитки"),CHOOSE(MOD(A1767-1,4)+1,"Мягкая мебель","Корпусная","Офисная","Кухонная"))</f>
        <v>Спортивная</v>
      </c>
      <c r="K1767" s="12" t="n">
        <f aca="false">1000+MOD(A1767*317+A1767*A1767*7,49001)</f>
        <v>47658</v>
      </c>
      <c r="L1767" s="12" t="n">
        <f aca="false">1+MOD(A1767*131,100)</f>
        <v>47</v>
      </c>
      <c r="M1767" s="12" t="n">
        <f aca="false">INT(K1767*(0.6+MOD(A1767*43,21)/100))</f>
        <v>29547</v>
      </c>
      <c r="N1767" s="12" t="n">
        <f aca="false">K1767-M1767</f>
        <v>18111</v>
      </c>
    </row>
    <row r="1768" customFormat="false" ht="12.8" hidden="false" customHeight="false" outlineLevel="0" collapsed="false">
      <c r="A1768" s="10" t="n">
        <f aca="false">A1767+1</f>
        <v>1767</v>
      </c>
      <c r="B1768" s="11" t="n">
        <f aca="false">B1767+1</f>
        <v>46693</v>
      </c>
      <c r="C1768" s="10" t="n">
        <f aca="false">YEAR(B1768)</f>
        <v>2027</v>
      </c>
      <c r="D1768" s="10" t="n">
        <f aca="false">INT((MONTH(B1768)-1)/3)+1</f>
        <v>4</v>
      </c>
      <c r="E1768" s="10" t="n">
        <f aca="false">MONTH(B1768)</f>
        <v>11</v>
      </c>
      <c r="F1768" s="10" t="str">
        <f aca="false">CHOOSE(MOD(A1768-1,5)+1,"Центр","Юг","Север","Запад","Восток")</f>
        <v>Юг</v>
      </c>
      <c r="G1768" s="10" t="str">
        <f aca="false">"Округ_"&amp;(MOD(A1768-1,5)+1)&amp;"_"&amp;(MOD(INT((A1768-1)/5),5)+1)</f>
        <v>Округ_2_4</v>
      </c>
      <c r="H1768" s="10" t="str">
        <f aca="false">"Город_"&amp;(MOD(A1768-1,5)+1)&amp;"_"&amp;(MOD(INT((A1768-1)/5),5)+1)&amp;"_"&amp;(MOD(INT((A1768-1)/25),10)+1)</f>
        <v>Город_2_4_1</v>
      </c>
      <c r="I1768" s="10" t="str">
        <f aca="false">CHOOSE(MOD(A1768-1,4)+1,"Электроника","Одежда","Продукты","Мебель")</f>
        <v>Продукты</v>
      </c>
      <c r="J1768" s="10" t="str">
        <f aca="false">CHOOSE(MOD(INT((A1768-1)/4),4)+1,CHOOSE(MOD(A1768-1,4)+1,"Смартфоны","Ноутбуки","Аксессуары","Аудио"),CHOOSE(MOD(A1768-1,4)+1,"Верхняя одежда","Спортивная","Повседневная","Обувь"),CHOOSE(MOD(A1768-1,4)+1,"Молочные","Мясные","Бакалея","Напитки"),CHOOSE(MOD(A1768-1,4)+1,"Мягкая мебель","Корпусная","Офисная","Кухонная"))</f>
        <v>Повседневная</v>
      </c>
      <c r="K1768" s="12" t="n">
        <f aca="false">1000+MOD(A1768*317+A1768*A1768*7,49001)</f>
        <v>23705</v>
      </c>
      <c r="L1768" s="12" t="n">
        <f aca="false">1+MOD(A1768*131,100)</f>
        <v>78</v>
      </c>
      <c r="M1768" s="12" t="n">
        <f aca="false">INT(K1768*(0.6+MOD(A1768*43,21)/100))</f>
        <v>14934</v>
      </c>
      <c r="N1768" s="12" t="n">
        <f aca="false">K1768-M1768</f>
        <v>8771</v>
      </c>
    </row>
    <row r="1769" customFormat="false" ht="12.8" hidden="false" customHeight="false" outlineLevel="0" collapsed="false">
      <c r="A1769" s="10" t="n">
        <f aca="false">A1768+1</f>
        <v>1768</v>
      </c>
      <c r="B1769" s="11" t="n">
        <f aca="false">B1768+1</f>
        <v>46694</v>
      </c>
      <c r="C1769" s="10" t="n">
        <f aca="false">YEAR(B1769)</f>
        <v>2027</v>
      </c>
      <c r="D1769" s="10" t="n">
        <f aca="false">INT((MONTH(B1769)-1)/3)+1</f>
        <v>4</v>
      </c>
      <c r="E1769" s="10" t="n">
        <f aca="false">MONTH(B1769)</f>
        <v>11</v>
      </c>
      <c r="F1769" s="10" t="str">
        <f aca="false">CHOOSE(MOD(A1769-1,5)+1,"Центр","Юг","Север","Запад","Восток")</f>
        <v>Север</v>
      </c>
      <c r="G1769" s="10" t="str">
        <f aca="false">"Округ_"&amp;(MOD(A1769-1,5)+1)&amp;"_"&amp;(MOD(INT((A1769-1)/5),5)+1)</f>
        <v>Округ_3_4</v>
      </c>
      <c r="H1769" s="10" t="str">
        <f aca="false">"Город_"&amp;(MOD(A1769-1,5)+1)&amp;"_"&amp;(MOD(INT((A1769-1)/5),5)+1)&amp;"_"&amp;(MOD(INT((A1769-1)/25),10)+1)</f>
        <v>Город_3_4_1</v>
      </c>
      <c r="I1769" s="10" t="str">
        <f aca="false">CHOOSE(MOD(A1769-1,4)+1,"Электроника","Одежда","Продукты","Мебель")</f>
        <v>Мебель</v>
      </c>
      <c r="J1769" s="10" t="str">
        <f aca="false">CHOOSE(MOD(INT((A1769-1)/4),4)+1,CHOOSE(MOD(A1769-1,4)+1,"Смартфоны","Ноутбуки","Аксессуары","Аудио"),CHOOSE(MOD(A1769-1,4)+1,"Верхняя одежда","Спортивная","Повседневная","Обувь"),CHOOSE(MOD(A1769-1,4)+1,"Молочные","Мясные","Бакалея","Напитки"),CHOOSE(MOD(A1769-1,4)+1,"Мягкая мебель","Корпусная","Офисная","Кухонная"))</f>
        <v>Обувь</v>
      </c>
      <c r="K1769" s="12" t="n">
        <f aca="false">1000+MOD(A1769*317+A1769*A1769*7,49001)</f>
        <v>48767</v>
      </c>
      <c r="L1769" s="12" t="n">
        <f aca="false">1+MOD(A1769*131,100)</f>
        <v>9</v>
      </c>
      <c r="M1769" s="12" t="n">
        <f aca="false">INT(K1769*(0.6+MOD(A1769*43,21)/100))</f>
        <v>31210</v>
      </c>
      <c r="N1769" s="12" t="n">
        <f aca="false">K1769-M1769</f>
        <v>17557</v>
      </c>
    </row>
    <row r="1770" customFormat="false" ht="12.8" hidden="false" customHeight="false" outlineLevel="0" collapsed="false">
      <c r="A1770" s="10" t="n">
        <f aca="false">A1769+1</f>
        <v>1769</v>
      </c>
      <c r="B1770" s="11" t="n">
        <f aca="false">B1769+1</f>
        <v>46695</v>
      </c>
      <c r="C1770" s="10" t="n">
        <f aca="false">YEAR(B1770)</f>
        <v>2027</v>
      </c>
      <c r="D1770" s="10" t="n">
        <f aca="false">INT((MONTH(B1770)-1)/3)+1</f>
        <v>4</v>
      </c>
      <c r="E1770" s="10" t="n">
        <f aca="false">MONTH(B1770)</f>
        <v>11</v>
      </c>
      <c r="F1770" s="10" t="str">
        <f aca="false">CHOOSE(MOD(A1770-1,5)+1,"Центр","Юг","Север","Запад","Восток")</f>
        <v>Запад</v>
      </c>
      <c r="G1770" s="10" t="str">
        <f aca="false">"Округ_"&amp;(MOD(A1770-1,5)+1)&amp;"_"&amp;(MOD(INT((A1770-1)/5),5)+1)</f>
        <v>Округ_4_4</v>
      </c>
      <c r="H1770" s="10" t="str">
        <f aca="false">"Город_"&amp;(MOD(A1770-1,5)+1)&amp;"_"&amp;(MOD(INT((A1770-1)/5),5)+1)&amp;"_"&amp;(MOD(INT((A1770-1)/25),10)+1)</f>
        <v>Город_4_4_1</v>
      </c>
      <c r="I1770" s="10" t="str">
        <f aca="false">CHOOSE(MOD(A1770-1,4)+1,"Электроника","Одежда","Продукты","Мебель")</f>
        <v>Электроника</v>
      </c>
      <c r="J1770" s="10" t="str">
        <f aca="false">CHOOSE(MOD(INT((A1770-1)/4),4)+1,CHOOSE(MOD(A1770-1,4)+1,"Смартфоны","Ноутбуки","Аксессуары","Аудио"),CHOOSE(MOD(A1770-1,4)+1,"Верхняя одежда","Спортивная","Повседневная","Обувь"),CHOOSE(MOD(A1770-1,4)+1,"Молочные","Мясные","Бакалея","Напитки"),CHOOSE(MOD(A1770-1,4)+1,"Мягкая мебель","Корпусная","Офисная","Кухонная"))</f>
        <v>Молочные</v>
      </c>
      <c r="K1770" s="12" t="n">
        <f aca="false">1000+MOD(A1770*317+A1770*A1770*7,49001)</f>
        <v>24842</v>
      </c>
      <c r="L1770" s="12" t="n">
        <f aca="false">1+MOD(A1770*131,100)</f>
        <v>40</v>
      </c>
      <c r="M1770" s="12" t="n">
        <f aca="false">INT(K1770*(0.6+MOD(A1770*43,21)/100))</f>
        <v>16147</v>
      </c>
      <c r="N1770" s="12" t="n">
        <f aca="false">K1770-M1770</f>
        <v>8695</v>
      </c>
    </row>
    <row r="1771" customFormat="false" ht="12.8" hidden="false" customHeight="false" outlineLevel="0" collapsed="false">
      <c r="A1771" s="10" t="n">
        <f aca="false">A1770+1</f>
        <v>1770</v>
      </c>
      <c r="B1771" s="11" t="n">
        <f aca="false">B1770+1</f>
        <v>46696</v>
      </c>
      <c r="C1771" s="10" t="n">
        <f aca="false">YEAR(B1771)</f>
        <v>2027</v>
      </c>
      <c r="D1771" s="10" t="n">
        <f aca="false">INT((MONTH(B1771)-1)/3)+1</f>
        <v>4</v>
      </c>
      <c r="E1771" s="10" t="n">
        <f aca="false">MONTH(B1771)</f>
        <v>11</v>
      </c>
      <c r="F1771" s="10" t="str">
        <f aca="false">CHOOSE(MOD(A1771-1,5)+1,"Центр","Юг","Север","Запад","Восток")</f>
        <v>Восток</v>
      </c>
      <c r="G1771" s="10" t="str">
        <f aca="false">"Округ_"&amp;(MOD(A1771-1,5)+1)&amp;"_"&amp;(MOD(INT((A1771-1)/5),5)+1)</f>
        <v>Округ_5_4</v>
      </c>
      <c r="H1771" s="10" t="str">
        <f aca="false">"Город_"&amp;(MOD(A1771-1,5)+1)&amp;"_"&amp;(MOD(INT((A1771-1)/5),5)+1)&amp;"_"&amp;(MOD(INT((A1771-1)/25),10)+1)</f>
        <v>Город_5_4_1</v>
      </c>
      <c r="I1771" s="10" t="str">
        <f aca="false">CHOOSE(MOD(A1771-1,4)+1,"Электроника","Одежда","Продукты","Мебель")</f>
        <v>Одежда</v>
      </c>
      <c r="J1771" s="10" t="str">
        <f aca="false">CHOOSE(MOD(INT((A1771-1)/4),4)+1,CHOOSE(MOD(A1771-1,4)+1,"Смартфоны","Ноутбуки","Аксессуары","Аудио"),CHOOSE(MOD(A1771-1,4)+1,"Верхняя одежда","Спортивная","Повседневная","Обувь"),CHOOSE(MOD(A1771-1,4)+1,"Молочные","Мясные","Бакалея","Напитки"),CHOOSE(MOD(A1771-1,4)+1,"Мягкая мебель","Корпусная","Офисная","Кухонная"))</f>
        <v>Мясные</v>
      </c>
      <c r="K1771" s="12" t="n">
        <f aca="false">1000+MOD(A1771*317+A1771*A1771*7,49001)</f>
        <v>49932</v>
      </c>
      <c r="L1771" s="12" t="n">
        <f aca="false">1+MOD(A1771*131,100)</f>
        <v>71</v>
      </c>
      <c r="M1771" s="12" t="n">
        <f aca="false">INT(K1771*(0.6+MOD(A1771*43,21)/100))</f>
        <v>32955</v>
      </c>
      <c r="N1771" s="12" t="n">
        <f aca="false">K1771-M1771</f>
        <v>16977</v>
      </c>
    </row>
    <row r="1772" customFormat="false" ht="12.8" hidden="false" customHeight="false" outlineLevel="0" collapsed="false">
      <c r="A1772" s="10" t="n">
        <f aca="false">A1771+1</f>
        <v>1771</v>
      </c>
      <c r="B1772" s="11" t="n">
        <f aca="false">B1771+1</f>
        <v>46697</v>
      </c>
      <c r="C1772" s="10" t="n">
        <f aca="false">YEAR(B1772)</f>
        <v>2027</v>
      </c>
      <c r="D1772" s="10" t="n">
        <f aca="false">INT((MONTH(B1772)-1)/3)+1</f>
        <v>4</v>
      </c>
      <c r="E1772" s="10" t="n">
        <f aca="false">MONTH(B1772)</f>
        <v>11</v>
      </c>
      <c r="F1772" s="10" t="str">
        <f aca="false">CHOOSE(MOD(A1772-1,5)+1,"Центр","Юг","Север","Запад","Восток")</f>
        <v>Центр</v>
      </c>
      <c r="G1772" s="10" t="str">
        <f aca="false">"Округ_"&amp;(MOD(A1772-1,5)+1)&amp;"_"&amp;(MOD(INT((A1772-1)/5),5)+1)</f>
        <v>Округ_1_5</v>
      </c>
      <c r="H1772" s="10" t="str">
        <f aca="false">"Город_"&amp;(MOD(A1772-1,5)+1)&amp;"_"&amp;(MOD(INT((A1772-1)/5),5)+1)&amp;"_"&amp;(MOD(INT((A1772-1)/25),10)+1)</f>
        <v>Город_1_5_1</v>
      </c>
      <c r="I1772" s="10" t="str">
        <f aca="false">CHOOSE(MOD(A1772-1,4)+1,"Электроника","Одежда","Продукты","Мебель")</f>
        <v>Продукты</v>
      </c>
      <c r="J1772" s="10" t="str">
        <f aca="false">CHOOSE(MOD(INT((A1772-1)/4),4)+1,CHOOSE(MOD(A1772-1,4)+1,"Смартфоны","Ноутбуки","Аксессуары","Аудио"),CHOOSE(MOD(A1772-1,4)+1,"Верхняя одежда","Спортивная","Повседневная","Обувь"),CHOOSE(MOD(A1772-1,4)+1,"Молочные","Мясные","Бакалея","Напитки"),CHOOSE(MOD(A1772-1,4)+1,"Мягкая мебель","Корпусная","Офисная","Кухонная"))</f>
        <v>Бакалея</v>
      </c>
      <c r="K1772" s="12" t="n">
        <f aca="false">1000+MOD(A1772*317+A1772*A1772*7,49001)</f>
        <v>26035</v>
      </c>
      <c r="L1772" s="12" t="n">
        <f aca="false">1+MOD(A1772*131,100)</f>
        <v>2</v>
      </c>
      <c r="M1772" s="12" t="n">
        <f aca="false">INT(K1772*(0.6+MOD(A1772*43,21)/100))</f>
        <v>17443</v>
      </c>
      <c r="N1772" s="12" t="n">
        <f aca="false">K1772-M1772</f>
        <v>8592</v>
      </c>
    </row>
    <row r="1773" customFormat="false" ht="12.8" hidden="false" customHeight="false" outlineLevel="0" collapsed="false">
      <c r="A1773" s="10" t="n">
        <f aca="false">A1772+1</f>
        <v>1772</v>
      </c>
      <c r="B1773" s="11" t="n">
        <f aca="false">B1772+1</f>
        <v>46698</v>
      </c>
      <c r="C1773" s="10" t="n">
        <f aca="false">YEAR(B1773)</f>
        <v>2027</v>
      </c>
      <c r="D1773" s="10" t="n">
        <f aca="false">INT((MONTH(B1773)-1)/3)+1</f>
        <v>4</v>
      </c>
      <c r="E1773" s="10" t="n">
        <f aca="false">MONTH(B1773)</f>
        <v>11</v>
      </c>
      <c r="F1773" s="10" t="str">
        <f aca="false">CHOOSE(MOD(A1773-1,5)+1,"Центр","Юг","Север","Запад","Восток")</f>
        <v>Юг</v>
      </c>
      <c r="G1773" s="10" t="str">
        <f aca="false">"Округ_"&amp;(MOD(A1773-1,5)+1)&amp;"_"&amp;(MOD(INT((A1773-1)/5),5)+1)</f>
        <v>Округ_2_5</v>
      </c>
      <c r="H1773" s="10" t="str">
        <f aca="false">"Город_"&amp;(MOD(A1773-1,5)+1)&amp;"_"&amp;(MOD(INT((A1773-1)/5),5)+1)&amp;"_"&amp;(MOD(INT((A1773-1)/25),10)+1)</f>
        <v>Город_2_5_1</v>
      </c>
      <c r="I1773" s="10" t="str">
        <f aca="false">CHOOSE(MOD(A1773-1,4)+1,"Электроника","Одежда","Продукты","Мебель")</f>
        <v>Мебель</v>
      </c>
      <c r="J1773" s="10" t="str">
        <f aca="false">CHOOSE(MOD(INT((A1773-1)/4),4)+1,CHOOSE(MOD(A1773-1,4)+1,"Смартфоны","Ноутбуки","Аксессуары","Аудио"),CHOOSE(MOD(A1773-1,4)+1,"Верхняя одежда","Спортивная","Повседневная","Обувь"),CHOOSE(MOD(A1773-1,4)+1,"Молочные","Мясные","Бакалея","Напитки"),CHOOSE(MOD(A1773-1,4)+1,"Мягкая мебель","Корпусная","Офисная","Кухонная"))</f>
        <v>Напитки</v>
      </c>
      <c r="K1773" s="12" t="n">
        <f aca="false">1000+MOD(A1773*317+A1773*A1773*7,49001)</f>
        <v>2152</v>
      </c>
      <c r="L1773" s="12" t="n">
        <f aca="false">1+MOD(A1773*131,100)</f>
        <v>33</v>
      </c>
      <c r="M1773" s="12" t="n">
        <f aca="false">INT(K1773*(0.6+MOD(A1773*43,21)/100))</f>
        <v>1463</v>
      </c>
      <c r="N1773" s="12" t="n">
        <f aca="false">K1773-M1773</f>
        <v>689</v>
      </c>
    </row>
    <row r="1774" customFormat="false" ht="12.8" hidden="false" customHeight="false" outlineLevel="0" collapsed="false">
      <c r="A1774" s="10" t="n">
        <f aca="false">A1773+1</f>
        <v>1773</v>
      </c>
      <c r="B1774" s="11" t="n">
        <f aca="false">B1773+1</f>
        <v>46699</v>
      </c>
      <c r="C1774" s="10" t="n">
        <f aca="false">YEAR(B1774)</f>
        <v>2027</v>
      </c>
      <c r="D1774" s="10" t="n">
        <f aca="false">INT((MONTH(B1774)-1)/3)+1</f>
        <v>4</v>
      </c>
      <c r="E1774" s="10" t="n">
        <f aca="false">MONTH(B1774)</f>
        <v>11</v>
      </c>
      <c r="F1774" s="10" t="str">
        <f aca="false">CHOOSE(MOD(A1774-1,5)+1,"Центр","Юг","Север","Запад","Восток")</f>
        <v>Север</v>
      </c>
      <c r="G1774" s="10" t="str">
        <f aca="false">"Округ_"&amp;(MOD(A1774-1,5)+1)&amp;"_"&amp;(MOD(INT((A1774-1)/5),5)+1)</f>
        <v>Округ_3_5</v>
      </c>
      <c r="H1774" s="10" t="str">
        <f aca="false">"Город_"&amp;(MOD(A1774-1,5)+1)&amp;"_"&amp;(MOD(INT((A1774-1)/5),5)+1)&amp;"_"&amp;(MOD(INT((A1774-1)/25),10)+1)</f>
        <v>Город_3_5_1</v>
      </c>
      <c r="I1774" s="10" t="str">
        <f aca="false">CHOOSE(MOD(A1774-1,4)+1,"Электроника","Одежда","Продукты","Мебель")</f>
        <v>Электроника</v>
      </c>
      <c r="J1774" s="10" t="str">
        <f aca="false">CHOOSE(MOD(INT((A1774-1)/4),4)+1,CHOOSE(MOD(A1774-1,4)+1,"Смартфоны","Ноутбуки","Аксессуары","Аудио"),CHOOSE(MOD(A1774-1,4)+1,"Верхняя одежда","Спортивная","Повседневная","Обувь"),CHOOSE(MOD(A1774-1,4)+1,"Молочные","Мясные","Бакалея","Напитки"),CHOOSE(MOD(A1774-1,4)+1,"Мягкая мебель","Корпусная","Офисная","Кухонная"))</f>
        <v>Мягкая мебель</v>
      </c>
      <c r="K1774" s="12" t="n">
        <f aca="false">1000+MOD(A1774*317+A1774*A1774*7,49001)</f>
        <v>27284</v>
      </c>
      <c r="L1774" s="12" t="n">
        <f aca="false">1+MOD(A1774*131,100)</f>
        <v>64</v>
      </c>
      <c r="M1774" s="12" t="n">
        <f aca="false">INT(K1774*(0.6+MOD(A1774*43,21)/100))</f>
        <v>18825</v>
      </c>
      <c r="N1774" s="12" t="n">
        <f aca="false">K1774-M1774</f>
        <v>8459</v>
      </c>
    </row>
    <row r="1775" customFormat="false" ht="12.8" hidden="false" customHeight="false" outlineLevel="0" collapsed="false">
      <c r="A1775" s="10" t="n">
        <f aca="false">A1774+1</f>
        <v>1774</v>
      </c>
      <c r="B1775" s="11" t="n">
        <f aca="false">B1774+1</f>
        <v>46700</v>
      </c>
      <c r="C1775" s="10" t="n">
        <f aca="false">YEAR(B1775)</f>
        <v>2027</v>
      </c>
      <c r="D1775" s="10" t="n">
        <f aca="false">INT((MONTH(B1775)-1)/3)+1</f>
        <v>4</v>
      </c>
      <c r="E1775" s="10" t="n">
        <f aca="false">MONTH(B1775)</f>
        <v>11</v>
      </c>
      <c r="F1775" s="10" t="str">
        <f aca="false">CHOOSE(MOD(A1775-1,5)+1,"Центр","Юг","Север","Запад","Восток")</f>
        <v>Запад</v>
      </c>
      <c r="G1775" s="10" t="str">
        <f aca="false">"Округ_"&amp;(MOD(A1775-1,5)+1)&amp;"_"&amp;(MOD(INT((A1775-1)/5),5)+1)</f>
        <v>Округ_4_5</v>
      </c>
      <c r="H1775" s="10" t="str">
        <f aca="false">"Город_"&amp;(MOD(A1775-1,5)+1)&amp;"_"&amp;(MOD(INT((A1775-1)/5),5)+1)&amp;"_"&amp;(MOD(INT((A1775-1)/25),10)+1)</f>
        <v>Город_4_5_1</v>
      </c>
      <c r="I1775" s="10" t="str">
        <f aca="false">CHOOSE(MOD(A1775-1,4)+1,"Электроника","Одежда","Продукты","Мебель")</f>
        <v>Одежда</v>
      </c>
      <c r="J1775" s="10" t="str">
        <f aca="false">CHOOSE(MOD(INT((A1775-1)/4),4)+1,CHOOSE(MOD(A1775-1,4)+1,"Смартфоны","Ноутбуки","Аксессуары","Аудио"),CHOOSE(MOD(A1775-1,4)+1,"Верхняя одежда","Спортивная","Повседневная","Обувь"),CHOOSE(MOD(A1775-1,4)+1,"Молочные","Мясные","Бакалея","Напитки"),CHOOSE(MOD(A1775-1,4)+1,"Мягкая мебель","Корпусная","Офисная","Кухонная"))</f>
        <v>Корпусная</v>
      </c>
      <c r="K1775" s="12" t="n">
        <f aca="false">1000+MOD(A1775*317+A1775*A1775*7,49001)</f>
        <v>3429</v>
      </c>
      <c r="L1775" s="12" t="n">
        <f aca="false">1+MOD(A1775*131,100)</f>
        <v>95</v>
      </c>
      <c r="M1775" s="12" t="n">
        <f aca="false">INT(K1775*(0.6+MOD(A1775*43,21)/100))</f>
        <v>2400</v>
      </c>
      <c r="N1775" s="12" t="n">
        <f aca="false">K1775-M1775</f>
        <v>1029</v>
      </c>
    </row>
    <row r="1776" customFormat="false" ht="12.8" hidden="false" customHeight="false" outlineLevel="0" collapsed="false">
      <c r="A1776" s="10" t="n">
        <f aca="false">A1775+1</f>
        <v>1775</v>
      </c>
      <c r="B1776" s="11" t="n">
        <f aca="false">B1775+1</f>
        <v>46701</v>
      </c>
      <c r="C1776" s="10" t="n">
        <f aca="false">YEAR(B1776)</f>
        <v>2027</v>
      </c>
      <c r="D1776" s="10" t="n">
        <f aca="false">INT((MONTH(B1776)-1)/3)+1</f>
        <v>4</v>
      </c>
      <c r="E1776" s="10" t="n">
        <f aca="false">MONTH(B1776)</f>
        <v>11</v>
      </c>
      <c r="F1776" s="10" t="str">
        <f aca="false">CHOOSE(MOD(A1776-1,5)+1,"Центр","Юг","Север","Запад","Восток")</f>
        <v>Восток</v>
      </c>
      <c r="G1776" s="10" t="str">
        <f aca="false">"Округ_"&amp;(MOD(A1776-1,5)+1)&amp;"_"&amp;(MOD(INT((A1776-1)/5),5)+1)</f>
        <v>Округ_5_5</v>
      </c>
      <c r="H1776" s="10" t="str">
        <f aca="false">"Город_"&amp;(MOD(A1776-1,5)+1)&amp;"_"&amp;(MOD(INT((A1776-1)/5),5)+1)&amp;"_"&amp;(MOD(INT((A1776-1)/25),10)+1)</f>
        <v>Город_5_5_1</v>
      </c>
      <c r="I1776" s="10" t="str">
        <f aca="false">CHOOSE(MOD(A1776-1,4)+1,"Электроника","Одежда","Продукты","Мебель")</f>
        <v>Продукты</v>
      </c>
      <c r="J1776" s="10" t="str">
        <f aca="false">CHOOSE(MOD(INT((A1776-1)/4),4)+1,CHOOSE(MOD(A1776-1,4)+1,"Смартфоны","Ноутбуки","Аксессуары","Аудио"),CHOOSE(MOD(A1776-1,4)+1,"Верхняя одежда","Спортивная","Повседневная","Обувь"),CHOOSE(MOD(A1776-1,4)+1,"Молочные","Мясные","Бакалея","Напитки"),CHOOSE(MOD(A1776-1,4)+1,"Мягкая мебель","Корпусная","Офисная","Кухонная"))</f>
        <v>Офисная</v>
      </c>
      <c r="K1776" s="12" t="n">
        <f aca="false">1000+MOD(A1776*317+A1776*A1776*7,49001)</f>
        <v>28589</v>
      </c>
      <c r="L1776" s="12" t="n">
        <f aca="false">1+MOD(A1776*131,100)</f>
        <v>26</v>
      </c>
      <c r="M1776" s="12" t="n">
        <f aca="false">INT(K1776*(0.6+MOD(A1776*43,21)/100))</f>
        <v>20298</v>
      </c>
      <c r="N1776" s="12" t="n">
        <f aca="false">K1776-M1776</f>
        <v>8291</v>
      </c>
    </row>
    <row r="1777" customFormat="false" ht="12.8" hidden="false" customHeight="false" outlineLevel="0" collapsed="false">
      <c r="A1777" s="10" t="n">
        <f aca="false">A1776+1</f>
        <v>1776</v>
      </c>
      <c r="B1777" s="11" t="n">
        <f aca="false">B1776+1</f>
        <v>46702</v>
      </c>
      <c r="C1777" s="10" t="n">
        <f aca="false">YEAR(B1777)</f>
        <v>2027</v>
      </c>
      <c r="D1777" s="10" t="n">
        <f aca="false">INT((MONTH(B1777)-1)/3)+1</f>
        <v>4</v>
      </c>
      <c r="E1777" s="10" t="n">
        <f aca="false">MONTH(B1777)</f>
        <v>11</v>
      </c>
      <c r="F1777" s="10" t="str">
        <f aca="false">CHOOSE(MOD(A1777-1,5)+1,"Центр","Юг","Север","Запад","Восток")</f>
        <v>Центр</v>
      </c>
      <c r="G1777" s="10" t="str">
        <f aca="false">"Округ_"&amp;(MOD(A1777-1,5)+1)&amp;"_"&amp;(MOD(INT((A1777-1)/5),5)+1)</f>
        <v>Округ_1_1</v>
      </c>
      <c r="H1777" s="10" t="str">
        <f aca="false">"Город_"&amp;(MOD(A1777-1,5)+1)&amp;"_"&amp;(MOD(INT((A1777-1)/5),5)+1)&amp;"_"&amp;(MOD(INT((A1777-1)/25),10)+1)</f>
        <v>Город_1_1_2</v>
      </c>
      <c r="I1777" s="10" t="str">
        <f aca="false">CHOOSE(MOD(A1777-1,4)+1,"Электроника","Одежда","Продукты","Мебель")</f>
        <v>Мебель</v>
      </c>
      <c r="J1777" s="10" t="str">
        <f aca="false">CHOOSE(MOD(INT((A1777-1)/4),4)+1,CHOOSE(MOD(A1777-1,4)+1,"Смартфоны","Ноутбуки","Аксессуары","Аудио"),CHOOSE(MOD(A1777-1,4)+1,"Верхняя одежда","Спортивная","Повседневная","Обувь"),CHOOSE(MOD(A1777-1,4)+1,"Молочные","Мясные","Бакалея","Напитки"),CHOOSE(MOD(A1777-1,4)+1,"Мягкая мебель","Корпусная","Офисная","Кухонная"))</f>
        <v>Кухонная</v>
      </c>
      <c r="K1777" s="12" t="n">
        <f aca="false">1000+MOD(A1777*317+A1777*A1777*7,49001)</f>
        <v>4762</v>
      </c>
      <c r="L1777" s="12" t="n">
        <f aca="false">1+MOD(A1777*131,100)</f>
        <v>57</v>
      </c>
      <c r="M1777" s="12" t="n">
        <f aca="false">INT(K1777*(0.6+MOD(A1777*43,21)/100))</f>
        <v>3428</v>
      </c>
      <c r="N1777" s="12" t="n">
        <f aca="false">K1777-M1777</f>
        <v>1334</v>
      </c>
    </row>
    <row r="1778" customFormat="false" ht="12.8" hidden="false" customHeight="false" outlineLevel="0" collapsed="false">
      <c r="A1778" s="10" t="n">
        <f aca="false">A1777+1</f>
        <v>1777</v>
      </c>
      <c r="B1778" s="11" t="n">
        <f aca="false">B1777+1</f>
        <v>46703</v>
      </c>
      <c r="C1778" s="10" t="n">
        <f aca="false">YEAR(B1778)</f>
        <v>2027</v>
      </c>
      <c r="D1778" s="10" t="n">
        <f aca="false">INT((MONTH(B1778)-1)/3)+1</f>
        <v>4</v>
      </c>
      <c r="E1778" s="10" t="n">
        <f aca="false">MONTH(B1778)</f>
        <v>11</v>
      </c>
      <c r="F1778" s="10" t="str">
        <f aca="false">CHOOSE(MOD(A1778-1,5)+1,"Центр","Юг","Север","Запад","Восток")</f>
        <v>Юг</v>
      </c>
      <c r="G1778" s="10" t="str">
        <f aca="false">"Округ_"&amp;(MOD(A1778-1,5)+1)&amp;"_"&amp;(MOD(INT((A1778-1)/5),5)+1)</f>
        <v>Округ_2_1</v>
      </c>
      <c r="H1778" s="10" t="str">
        <f aca="false">"Город_"&amp;(MOD(A1778-1,5)+1)&amp;"_"&amp;(MOD(INT((A1778-1)/5),5)+1)&amp;"_"&amp;(MOD(INT((A1778-1)/25),10)+1)</f>
        <v>Город_2_1_2</v>
      </c>
      <c r="I1778" s="10" t="str">
        <f aca="false">CHOOSE(MOD(A1778-1,4)+1,"Электроника","Одежда","Продукты","Мебель")</f>
        <v>Электроника</v>
      </c>
      <c r="J1778" s="10" t="str">
        <f aca="false">CHOOSE(MOD(INT((A1778-1)/4),4)+1,CHOOSE(MOD(A1778-1,4)+1,"Смартфоны","Ноутбуки","Аксессуары","Аудио"),CHOOSE(MOD(A1778-1,4)+1,"Верхняя одежда","Спортивная","Повседневная","Обувь"),CHOOSE(MOD(A1778-1,4)+1,"Молочные","Мясные","Бакалея","Напитки"),CHOOSE(MOD(A1778-1,4)+1,"Мягкая мебель","Корпусная","Офисная","Кухонная"))</f>
        <v>Смартфоны</v>
      </c>
      <c r="K1778" s="12" t="n">
        <f aca="false">1000+MOD(A1778*317+A1778*A1778*7,49001)</f>
        <v>29950</v>
      </c>
      <c r="L1778" s="12" t="n">
        <f aca="false">1+MOD(A1778*131,100)</f>
        <v>88</v>
      </c>
      <c r="M1778" s="12" t="n">
        <f aca="false">INT(K1778*(0.6+MOD(A1778*43,21)/100))</f>
        <v>21863</v>
      </c>
      <c r="N1778" s="12" t="n">
        <f aca="false">K1778-M1778</f>
        <v>8087</v>
      </c>
    </row>
    <row r="1779" customFormat="false" ht="12.8" hidden="false" customHeight="false" outlineLevel="0" collapsed="false">
      <c r="A1779" s="10" t="n">
        <f aca="false">A1778+1</f>
        <v>1778</v>
      </c>
      <c r="B1779" s="11" t="n">
        <f aca="false">B1778+1</f>
        <v>46704</v>
      </c>
      <c r="C1779" s="10" t="n">
        <f aca="false">YEAR(B1779)</f>
        <v>2027</v>
      </c>
      <c r="D1779" s="10" t="n">
        <f aca="false">INT((MONTH(B1779)-1)/3)+1</f>
        <v>4</v>
      </c>
      <c r="E1779" s="10" t="n">
        <f aca="false">MONTH(B1779)</f>
        <v>11</v>
      </c>
      <c r="F1779" s="10" t="str">
        <f aca="false">CHOOSE(MOD(A1779-1,5)+1,"Центр","Юг","Север","Запад","Восток")</f>
        <v>Север</v>
      </c>
      <c r="G1779" s="10" t="str">
        <f aca="false">"Округ_"&amp;(MOD(A1779-1,5)+1)&amp;"_"&amp;(MOD(INT((A1779-1)/5),5)+1)</f>
        <v>Округ_3_1</v>
      </c>
      <c r="H1779" s="10" t="str">
        <f aca="false">"Город_"&amp;(MOD(A1779-1,5)+1)&amp;"_"&amp;(MOD(INT((A1779-1)/5),5)+1)&amp;"_"&amp;(MOD(INT((A1779-1)/25),10)+1)</f>
        <v>Город_3_1_2</v>
      </c>
      <c r="I1779" s="10" t="str">
        <f aca="false">CHOOSE(MOD(A1779-1,4)+1,"Электроника","Одежда","Продукты","Мебель")</f>
        <v>Одежда</v>
      </c>
      <c r="J1779" s="10" t="str">
        <f aca="false">CHOOSE(MOD(INT((A1779-1)/4),4)+1,CHOOSE(MOD(A1779-1,4)+1,"Смартфоны","Ноутбуки","Аксессуары","Аудио"),CHOOSE(MOD(A1779-1,4)+1,"Верхняя одежда","Спортивная","Повседневная","Обувь"),CHOOSE(MOD(A1779-1,4)+1,"Молочные","Мясные","Бакалея","Напитки"),CHOOSE(MOD(A1779-1,4)+1,"Мягкая мебель","Корпусная","Офисная","Кухонная"))</f>
        <v>Ноутбуки</v>
      </c>
      <c r="K1779" s="12" t="n">
        <f aca="false">1000+MOD(A1779*317+A1779*A1779*7,49001)</f>
        <v>6151</v>
      </c>
      <c r="L1779" s="12" t="n">
        <f aca="false">1+MOD(A1779*131,100)</f>
        <v>19</v>
      </c>
      <c r="M1779" s="12" t="n">
        <f aca="false">INT(K1779*(0.6+MOD(A1779*43,21)/100))</f>
        <v>4551</v>
      </c>
      <c r="N1779" s="12" t="n">
        <f aca="false">K1779-M1779</f>
        <v>1600</v>
      </c>
    </row>
    <row r="1780" customFormat="false" ht="12.8" hidden="false" customHeight="false" outlineLevel="0" collapsed="false">
      <c r="A1780" s="10" t="n">
        <f aca="false">A1779+1</f>
        <v>1779</v>
      </c>
      <c r="B1780" s="11" t="n">
        <f aca="false">B1779+1</f>
        <v>46705</v>
      </c>
      <c r="C1780" s="10" t="n">
        <f aca="false">YEAR(B1780)</f>
        <v>2027</v>
      </c>
      <c r="D1780" s="10" t="n">
        <f aca="false">INT((MONTH(B1780)-1)/3)+1</f>
        <v>4</v>
      </c>
      <c r="E1780" s="10" t="n">
        <f aca="false">MONTH(B1780)</f>
        <v>11</v>
      </c>
      <c r="F1780" s="10" t="str">
        <f aca="false">CHOOSE(MOD(A1780-1,5)+1,"Центр","Юг","Север","Запад","Восток")</f>
        <v>Запад</v>
      </c>
      <c r="G1780" s="10" t="str">
        <f aca="false">"Округ_"&amp;(MOD(A1780-1,5)+1)&amp;"_"&amp;(MOD(INT((A1780-1)/5),5)+1)</f>
        <v>Округ_4_1</v>
      </c>
      <c r="H1780" s="10" t="str">
        <f aca="false">"Город_"&amp;(MOD(A1780-1,5)+1)&amp;"_"&amp;(MOD(INT((A1780-1)/5),5)+1)&amp;"_"&amp;(MOD(INT((A1780-1)/25),10)+1)</f>
        <v>Город_4_1_2</v>
      </c>
      <c r="I1780" s="10" t="str">
        <f aca="false">CHOOSE(MOD(A1780-1,4)+1,"Электроника","Одежда","Продукты","Мебель")</f>
        <v>Продукты</v>
      </c>
      <c r="J1780" s="10" t="str">
        <f aca="false">CHOOSE(MOD(INT((A1780-1)/4),4)+1,CHOOSE(MOD(A1780-1,4)+1,"Смартфоны","Ноутбуки","Аксессуары","Аудио"),CHOOSE(MOD(A1780-1,4)+1,"Верхняя одежда","Спортивная","Повседневная","Обувь"),CHOOSE(MOD(A1780-1,4)+1,"Молочные","Мясные","Бакалея","Напитки"),CHOOSE(MOD(A1780-1,4)+1,"Мягкая мебель","Корпусная","Офисная","Кухонная"))</f>
        <v>Аксессуары</v>
      </c>
      <c r="K1780" s="12" t="n">
        <f aca="false">1000+MOD(A1780*317+A1780*A1780*7,49001)</f>
        <v>31367</v>
      </c>
      <c r="L1780" s="12" t="n">
        <f aca="false">1+MOD(A1780*131,100)</f>
        <v>50</v>
      </c>
      <c r="M1780" s="12" t="n">
        <f aca="false">INT(K1780*(0.6+MOD(A1780*43,21)/100))</f>
        <v>23525</v>
      </c>
      <c r="N1780" s="12" t="n">
        <f aca="false">K1780-M1780</f>
        <v>7842</v>
      </c>
    </row>
    <row r="1781" customFormat="false" ht="12.8" hidden="false" customHeight="false" outlineLevel="0" collapsed="false">
      <c r="A1781" s="10" t="n">
        <f aca="false">A1780+1</f>
        <v>1780</v>
      </c>
      <c r="B1781" s="11" t="n">
        <f aca="false">B1780+1</f>
        <v>46706</v>
      </c>
      <c r="C1781" s="10" t="n">
        <f aca="false">YEAR(B1781)</f>
        <v>2027</v>
      </c>
      <c r="D1781" s="10" t="n">
        <f aca="false">INT((MONTH(B1781)-1)/3)+1</f>
        <v>4</v>
      </c>
      <c r="E1781" s="10" t="n">
        <f aca="false">MONTH(B1781)</f>
        <v>11</v>
      </c>
      <c r="F1781" s="10" t="str">
        <f aca="false">CHOOSE(MOD(A1781-1,5)+1,"Центр","Юг","Север","Запад","Восток")</f>
        <v>Восток</v>
      </c>
      <c r="G1781" s="10" t="str">
        <f aca="false">"Округ_"&amp;(MOD(A1781-1,5)+1)&amp;"_"&amp;(MOD(INT((A1781-1)/5),5)+1)</f>
        <v>Округ_5_1</v>
      </c>
      <c r="H1781" s="10" t="str">
        <f aca="false">"Город_"&amp;(MOD(A1781-1,5)+1)&amp;"_"&amp;(MOD(INT((A1781-1)/5),5)+1)&amp;"_"&amp;(MOD(INT((A1781-1)/25),10)+1)</f>
        <v>Город_5_1_2</v>
      </c>
      <c r="I1781" s="10" t="str">
        <f aca="false">CHOOSE(MOD(A1781-1,4)+1,"Электроника","Одежда","Продукты","Мебель")</f>
        <v>Мебель</v>
      </c>
      <c r="J1781" s="10" t="str">
        <f aca="false">CHOOSE(MOD(INT((A1781-1)/4),4)+1,CHOOSE(MOD(A1781-1,4)+1,"Смартфоны","Ноутбуки","Аксессуары","Аудио"),CHOOSE(MOD(A1781-1,4)+1,"Верхняя одежда","Спортивная","Повседневная","Обувь"),CHOOSE(MOD(A1781-1,4)+1,"Молочные","Мясные","Бакалея","Напитки"),CHOOSE(MOD(A1781-1,4)+1,"Мягкая мебель","Корпусная","Офисная","Кухонная"))</f>
        <v>Аудио</v>
      </c>
      <c r="K1781" s="12" t="n">
        <f aca="false">1000+MOD(A1781*317+A1781*A1781*7,49001)</f>
        <v>7596</v>
      </c>
      <c r="L1781" s="12" t="n">
        <f aca="false">1+MOD(A1781*131,100)</f>
        <v>81</v>
      </c>
      <c r="M1781" s="12" t="n">
        <f aca="false">INT(K1781*(0.6+MOD(A1781*43,21)/100))</f>
        <v>5772</v>
      </c>
      <c r="N1781" s="12" t="n">
        <f aca="false">K1781-M1781</f>
        <v>1824</v>
      </c>
    </row>
    <row r="1782" customFormat="false" ht="12.8" hidden="false" customHeight="false" outlineLevel="0" collapsed="false">
      <c r="A1782" s="10" t="n">
        <f aca="false">A1781+1</f>
        <v>1781</v>
      </c>
      <c r="B1782" s="11" t="n">
        <f aca="false">B1781+1</f>
        <v>46707</v>
      </c>
      <c r="C1782" s="10" t="n">
        <f aca="false">YEAR(B1782)</f>
        <v>2027</v>
      </c>
      <c r="D1782" s="10" t="n">
        <f aca="false">INT((MONTH(B1782)-1)/3)+1</f>
        <v>4</v>
      </c>
      <c r="E1782" s="10" t="n">
        <f aca="false">MONTH(B1782)</f>
        <v>11</v>
      </c>
      <c r="F1782" s="10" t="str">
        <f aca="false">CHOOSE(MOD(A1782-1,5)+1,"Центр","Юг","Север","Запад","Восток")</f>
        <v>Центр</v>
      </c>
      <c r="G1782" s="10" t="str">
        <f aca="false">"Округ_"&amp;(MOD(A1782-1,5)+1)&amp;"_"&amp;(MOD(INT((A1782-1)/5),5)+1)</f>
        <v>Округ_1_2</v>
      </c>
      <c r="H1782" s="10" t="str">
        <f aca="false">"Город_"&amp;(MOD(A1782-1,5)+1)&amp;"_"&amp;(MOD(INT((A1782-1)/5),5)+1)&amp;"_"&amp;(MOD(INT((A1782-1)/25),10)+1)</f>
        <v>Город_1_2_2</v>
      </c>
      <c r="I1782" s="10" t="str">
        <f aca="false">CHOOSE(MOD(A1782-1,4)+1,"Электроника","Одежда","Продукты","Мебель")</f>
        <v>Электроника</v>
      </c>
      <c r="J1782" s="10" t="str">
        <f aca="false">CHOOSE(MOD(INT((A1782-1)/4),4)+1,CHOOSE(MOD(A1782-1,4)+1,"Смартфоны","Ноутбуки","Аксессуары","Аудио"),CHOOSE(MOD(A1782-1,4)+1,"Верхняя одежда","Спортивная","Повседневная","Обувь"),CHOOSE(MOD(A1782-1,4)+1,"Молочные","Мясные","Бакалея","Напитки"),CHOOSE(MOD(A1782-1,4)+1,"Мягкая мебель","Корпусная","Офисная","Кухонная"))</f>
        <v>Верхняя одежда</v>
      </c>
      <c r="K1782" s="12" t="n">
        <f aca="false">1000+MOD(A1782*317+A1782*A1782*7,49001)</f>
        <v>32840</v>
      </c>
      <c r="L1782" s="12" t="n">
        <f aca="false">1+MOD(A1782*131,100)</f>
        <v>12</v>
      </c>
      <c r="M1782" s="12" t="n">
        <f aca="false">INT(K1782*(0.6+MOD(A1782*43,21)/100))</f>
        <v>25286</v>
      </c>
      <c r="N1782" s="12" t="n">
        <f aca="false">K1782-M1782</f>
        <v>7554</v>
      </c>
    </row>
    <row r="1783" customFormat="false" ht="12.8" hidden="false" customHeight="false" outlineLevel="0" collapsed="false">
      <c r="A1783" s="10" t="n">
        <f aca="false">A1782+1</f>
        <v>1782</v>
      </c>
      <c r="B1783" s="11" t="n">
        <f aca="false">B1782+1</f>
        <v>46708</v>
      </c>
      <c r="C1783" s="10" t="n">
        <f aca="false">YEAR(B1783)</f>
        <v>2027</v>
      </c>
      <c r="D1783" s="10" t="n">
        <f aca="false">INT((MONTH(B1783)-1)/3)+1</f>
        <v>4</v>
      </c>
      <c r="E1783" s="10" t="n">
        <f aca="false">MONTH(B1783)</f>
        <v>11</v>
      </c>
      <c r="F1783" s="10" t="str">
        <f aca="false">CHOOSE(MOD(A1783-1,5)+1,"Центр","Юг","Север","Запад","Восток")</f>
        <v>Юг</v>
      </c>
      <c r="G1783" s="10" t="str">
        <f aca="false">"Округ_"&amp;(MOD(A1783-1,5)+1)&amp;"_"&amp;(MOD(INT((A1783-1)/5),5)+1)</f>
        <v>Округ_2_2</v>
      </c>
      <c r="H1783" s="10" t="str">
        <f aca="false">"Город_"&amp;(MOD(A1783-1,5)+1)&amp;"_"&amp;(MOD(INT((A1783-1)/5),5)+1)&amp;"_"&amp;(MOD(INT((A1783-1)/25),10)+1)</f>
        <v>Город_2_2_2</v>
      </c>
      <c r="I1783" s="10" t="str">
        <f aca="false">CHOOSE(MOD(A1783-1,4)+1,"Электроника","Одежда","Продукты","Мебель")</f>
        <v>Одежда</v>
      </c>
      <c r="J1783" s="10" t="str">
        <f aca="false">CHOOSE(MOD(INT((A1783-1)/4),4)+1,CHOOSE(MOD(A1783-1,4)+1,"Смартфоны","Ноутбуки","Аксессуары","Аудио"),CHOOSE(MOD(A1783-1,4)+1,"Верхняя одежда","Спортивная","Повседневная","Обувь"),CHOOSE(MOD(A1783-1,4)+1,"Молочные","Мясные","Бакалея","Напитки"),CHOOSE(MOD(A1783-1,4)+1,"Мягкая мебель","Корпусная","Офисная","Кухонная"))</f>
        <v>Спортивная</v>
      </c>
      <c r="K1783" s="12" t="n">
        <f aca="false">1000+MOD(A1783*317+A1783*A1783*7,49001)</f>
        <v>9097</v>
      </c>
      <c r="L1783" s="12" t="n">
        <f aca="false">1+MOD(A1783*131,100)</f>
        <v>43</v>
      </c>
      <c r="M1783" s="12" t="n">
        <f aca="false">INT(K1783*(0.6+MOD(A1783*43,21)/100))</f>
        <v>7095</v>
      </c>
      <c r="N1783" s="12" t="n">
        <f aca="false">K1783-M1783</f>
        <v>2002</v>
      </c>
    </row>
    <row r="1784" customFormat="false" ht="12.8" hidden="false" customHeight="false" outlineLevel="0" collapsed="false">
      <c r="A1784" s="10" t="n">
        <f aca="false">A1783+1</f>
        <v>1783</v>
      </c>
      <c r="B1784" s="11" t="n">
        <f aca="false">B1783+1</f>
        <v>46709</v>
      </c>
      <c r="C1784" s="10" t="n">
        <f aca="false">YEAR(B1784)</f>
        <v>2027</v>
      </c>
      <c r="D1784" s="10" t="n">
        <f aca="false">INT((MONTH(B1784)-1)/3)+1</f>
        <v>4</v>
      </c>
      <c r="E1784" s="10" t="n">
        <f aca="false">MONTH(B1784)</f>
        <v>11</v>
      </c>
      <c r="F1784" s="10" t="str">
        <f aca="false">CHOOSE(MOD(A1784-1,5)+1,"Центр","Юг","Север","Запад","Восток")</f>
        <v>Север</v>
      </c>
      <c r="G1784" s="10" t="str">
        <f aca="false">"Округ_"&amp;(MOD(A1784-1,5)+1)&amp;"_"&amp;(MOD(INT((A1784-1)/5),5)+1)</f>
        <v>Округ_3_2</v>
      </c>
      <c r="H1784" s="10" t="str">
        <f aca="false">"Город_"&amp;(MOD(A1784-1,5)+1)&amp;"_"&amp;(MOD(INT((A1784-1)/5),5)+1)&amp;"_"&amp;(MOD(INT((A1784-1)/25),10)+1)</f>
        <v>Город_3_2_2</v>
      </c>
      <c r="I1784" s="10" t="str">
        <f aca="false">CHOOSE(MOD(A1784-1,4)+1,"Электроника","Одежда","Продукты","Мебель")</f>
        <v>Продукты</v>
      </c>
      <c r="J1784" s="10" t="str">
        <f aca="false">CHOOSE(MOD(INT((A1784-1)/4),4)+1,CHOOSE(MOD(A1784-1,4)+1,"Смартфоны","Ноутбуки","Аксессуары","Аудио"),CHOOSE(MOD(A1784-1,4)+1,"Верхняя одежда","Спортивная","Повседневная","Обувь"),CHOOSE(MOD(A1784-1,4)+1,"Молочные","Мясные","Бакалея","Напитки"),CHOOSE(MOD(A1784-1,4)+1,"Мягкая мебель","Корпусная","Офисная","Кухонная"))</f>
        <v>Повседневная</v>
      </c>
      <c r="K1784" s="12" t="n">
        <f aca="false">1000+MOD(A1784*317+A1784*A1784*7,49001)</f>
        <v>34369</v>
      </c>
      <c r="L1784" s="12" t="n">
        <f aca="false">1+MOD(A1784*131,100)</f>
        <v>74</v>
      </c>
      <c r="M1784" s="12" t="n">
        <f aca="false">INT(K1784*(0.6+MOD(A1784*43,21)/100))</f>
        <v>27151</v>
      </c>
      <c r="N1784" s="12" t="n">
        <f aca="false">K1784-M1784</f>
        <v>7218</v>
      </c>
    </row>
    <row r="1785" customFormat="false" ht="12.8" hidden="false" customHeight="false" outlineLevel="0" collapsed="false">
      <c r="A1785" s="10" t="n">
        <f aca="false">A1784+1</f>
        <v>1784</v>
      </c>
      <c r="B1785" s="11" t="n">
        <f aca="false">B1784+1</f>
        <v>46710</v>
      </c>
      <c r="C1785" s="10" t="n">
        <f aca="false">YEAR(B1785)</f>
        <v>2027</v>
      </c>
      <c r="D1785" s="10" t="n">
        <f aca="false">INT((MONTH(B1785)-1)/3)+1</f>
        <v>4</v>
      </c>
      <c r="E1785" s="10" t="n">
        <f aca="false">MONTH(B1785)</f>
        <v>11</v>
      </c>
      <c r="F1785" s="10" t="str">
        <f aca="false">CHOOSE(MOD(A1785-1,5)+1,"Центр","Юг","Север","Запад","Восток")</f>
        <v>Запад</v>
      </c>
      <c r="G1785" s="10" t="str">
        <f aca="false">"Округ_"&amp;(MOD(A1785-1,5)+1)&amp;"_"&amp;(MOD(INT((A1785-1)/5),5)+1)</f>
        <v>Округ_4_2</v>
      </c>
      <c r="H1785" s="10" t="str">
        <f aca="false">"Город_"&amp;(MOD(A1785-1,5)+1)&amp;"_"&amp;(MOD(INT((A1785-1)/5),5)+1)&amp;"_"&amp;(MOD(INT((A1785-1)/25),10)+1)</f>
        <v>Город_4_2_2</v>
      </c>
      <c r="I1785" s="10" t="str">
        <f aca="false">CHOOSE(MOD(A1785-1,4)+1,"Электроника","Одежда","Продукты","Мебель")</f>
        <v>Мебель</v>
      </c>
      <c r="J1785" s="10" t="str">
        <f aca="false">CHOOSE(MOD(INT((A1785-1)/4),4)+1,CHOOSE(MOD(A1785-1,4)+1,"Смартфоны","Ноутбуки","Аксессуары","Аудио"),CHOOSE(MOD(A1785-1,4)+1,"Верхняя одежда","Спортивная","Повседневная","Обувь"),CHOOSE(MOD(A1785-1,4)+1,"Молочные","Мясные","Бакалея","Напитки"),CHOOSE(MOD(A1785-1,4)+1,"Мягкая мебель","Корпусная","Офисная","Кухонная"))</f>
        <v>Обувь</v>
      </c>
      <c r="K1785" s="12" t="n">
        <f aca="false">1000+MOD(A1785*317+A1785*A1785*7,49001)</f>
        <v>10654</v>
      </c>
      <c r="L1785" s="12" t="n">
        <f aca="false">1+MOD(A1785*131,100)</f>
        <v>5</v>
      </c>
      <c r="M1785" s="12" t="n">
        <f aca="false">INT(K1785*(0.6+MOD(A1785*43,21)/100))</f>
        <v>8523</v>
      </c>
      <c r="N1785" s="12" t="n">
        <f aca="false">K1785-M1785</f>
        <v>2131</v>
      </c>
    </row>
    <row r="1786" customFormat="false" ht="12.8" hidden="false" customHeight="false" outlineLevel="0" collapsed="false">
      <c r="A1786" s="10" t="n">
        <f aca="false">A1785+1</f>
        <v>1785</v>
      </c>
      <c r="B1786" s="11" t="n">
        <f aca="false">B1785+1</f>
        <v>46711</v>
      </c>
      <c r="C1786" s="10" t="n">
        <f aca="false">YEAR(B1786)</f>
        <v>2027</v>
      </c>
      <c r="D1786" s="10" t="n">
        <f aca="false">INT((MONTH(B1786)-1)/3)+1</f>
        <v>4</v>
      </c>
      <c r="E1786" s="10" t="n">
        <f aca="false">MONTH(B1786)</f>
        <v>11</v>
      </c>
      <c r="F1786" s="10" t="str">
        <f aca="false">CHOOSE(MOD(A1786-1,5)+1,"Центр","Юг","Север","Запад","Восток")</f>
        <v>Восток</v>
      </c>
      <c r="G1786" s="10" t="str">
        <f aca="false">"Округ_"&amp;(MOD(A1786-1,5)+1)&amp;"_"&amp;(MOD(INT((A1786-1)/5),5)+1)</f>
        <v>Округ_5_2</v>
      </c>
      <c r="H1786" s="10" t="str">
        <f aca="false">"Город_"&amp;(MOD(A1786-1,5)+1)&amp;"_"&amp;(MOD(INT((A1786-1)/5),5)+1)&amp;"_"&amp;(MOD(INT((A1786-1)/25),10)+1)</f>
        <v>Город_5_2_2</v>
      </c>
      <c r="I1786" s="10" t="str">
        <f aca="false">CHOOSE(MOD(A1786-1,4)+1,"Электроника","Одежда","Продукты","Мебель")</f>
        <v>Электроника</v>
      </c>
      <c r="J1786" s="10" t="str">
        <f aca="false">CHOOSE(MOD(INT((A1786-1)/4),4)+1,CHOOSE(MOD(A1786-1,4)+1,"Смартфоны","Ноутбуки","Аксессуары","Аудио"),CHOOSE(MOD(A1786-1,4)+1,"Верхняя одежда","Спортивная","Повседневная","Обувь"),CHOOSE(MOD(A1786-1,4)+1,"Молочные","Мясные","Бакалея","Напитки"),CHOOSE(MOD(A1786-1,4)+1,"Мягкая мебель","Корпусная","Офисная","Кухонная"))</f>
        <v>Молочные</v>
      </c>
      <c r="K1786" s="12" t="n">
        <f aca="false">1000+MOD(A1786*317+A1786*A1786*7,49001)</f>
        <v>35954</v>
      </c>
      <c r="L1786" s="12" t="n">
        <f aca="false">1+MOD(A1786*131,100)</f>
        <v>36</v>
      </c>
      <c r="M1786" s="12" t="n">
        <f aca="false">INT(K1786*(0.6+MOD(A1786*43,21)/100))</f>
        <v>21572</v>
      </c>
      <c r="N1786" s="12" t="n">
        <f aca="false">K1786-M1786</f>
        <v>14382</v>
      </c>
    </row>
    <row r="1787" customFormat="false" ht="12.8" hidden="false" customHeight="false" outlineLevel="0" collapsed="false">
      <c r="A1787" s="10" t="n">
        <f aca="false">A1786+1</f>
        <v>1786</v>
      </c>
      <c r="B1787" s="11" t="n">
        <f aca="false">B1786+1</f>
        <v>46712</v>
      </c>
      <c r="C1787" s="10" t="n">
        <f aca="false">YEAR(B1787)</f>
        <v>2027</v>
      </c>
      <c r="D1787" s="10" t="n">
        <f aca="false">INT((MONTH(B1787)-1)/3)+1</f>
        <v>4</v>
      </c>
      <c r="E1787" s="10" t="n">
        <f aca="false">MONTH(B1787)</f>
        <v>11</v>
      </c>
      <c r="F1787" s="10" t="str">
        <f aca="false">CHOOSE(MOD(A1787-1,5)+1,"Центр","Юг","Север","Запад","Восток")</f>
        <v>Центр</v>
      </c>
      <c r="G1787" s="10" t="str">
        <f aca="false">"Округ_"&amp;(MOD(A1787-1,5)+1)&amp;"_"&amp;(MOD(INT((A1787-1)/5),5)+1)</f>
        <v>Округ_1_3</v>
      </c>
      <c r="H1787" s="10" t="str">
        <f aca="false">"Город_"&amp;(MOD(A1787-1,5)+1)&amp;"_"&amp;(MOD(INT((A1787-1)/5),5)+1)&amp;"_"&amp;(MOD(INT((A1787-1)/25),10)+1)</f>
        <v>Город_1_3_2</v>
      </c>
      <c r="I1787" s="10" t="str">
        <f aca="false">CHOOSE(MOD(A1787-1,4)+1,"Электроника","Одежда","Продукты","Мебель")</f>
        <v>Одежда</v>
      </c>
      <c r="J1787" s="10" t="str">
        <f aca="false">CHOOSE(MOD(INT((A1787-1)/4),4)+1,CHOOSE(MOD(A1787-1,4)+1,"Смартфоны","Ноутбуки","Аксессуары","Аудио"),CHOOSE(MOD(A1787-1,4)+1,"Верхняя одежда","Спортивная","Повседневная","Обувь"),CHOOSE(MOD(A1787-1,4)+1,"Молочные","Мясные","Бакалея","Напитки"),CHOOSE(MOD(A1787-1,4)+1,"Мягкая мебель","Корпусная","Офисная","Кухонная"))</f>
        <v>Мясные</v>
      </c>
      <c r="K1787" s="12" t="n">
        <f aca="false">1000+MOD(A1787*317+A1787*A1787*7,49001)</f>
        <v>12267</v>
      </c>
      <c r="L1787" s="12" t="n">
        <f aca="false">1+MOD(A1787*131,100)</f>
        <v>67</v>
      </c>
      <c r="M1787" s="12" t="n">
        <f aca="false">INT(K1787*(0.6+MOD(A1787*43,21)/100))</f>
        <v>7482</v>
      </c>
      <c r="N1787" s="12" t="n">
        <f aca="false">K1787-M1787</f>
        <v>4785</v>
      </c>
    </row>
    <row r="1788" customFormat="false" ht="12.8" hidden="false" customHeight="false" outlineLevel="0" collapsed="false">
      <c r="A1788" s="10" t="n">
        <f aca="false">A1787+1</f>
        <v>1787</v>
      </c>
      <c r="B1788" s="11" t="n">
        <f aca="false">B1787+1</f>
        <v>46713</v>
      </c>
      <c r="C1788" s="10" t="n">
        <f aca="false">YEAR(B1788)</f>
        <v>2027</v>
      </c>
      <c r="D1788" s="10" t="n">
        <f aca="false">INT((MONTH(B1788)-1)/3)+1</f>
        <v>4</v>
      </c>
      <c r="E1788" s="10" t="n">
        <f aca="false">MONTH(B1788)</f>
        <v>11</v>
      </c>
      <c r="F1788" s="10" t="str">
        <f aca="false">CHOOSE(MOD(A1788-1,5)+1,"Центр","Юг","Север","Запад","Восток")</f>
        <v>Юг</v>
      </c>
      <c r="G1788" s="10" t="str">
        <f aca="false">"Округ_"&amp;(MOD(A1788-1,5)+1)&amp;"_"&amp;(MOD(INT((A1788-1)/5),5)+1)</f>
        <v>Округ_2_3</v>
      </c>
      <c r="H1788" s="10" t="str">
        <f aca="false">"Город_"&amp;(MOD(A1788-1,5)+1)&amp;"_"&amp;(MOD(INT((A1788-1)/5),5)+1)&amp;"_"&amp;(MOD(INT((A1788-1)/25),10)+1)</f>
        <v>Город_2_3_2</v>
      </c>
      <c r="I1788" s="10" t="str">
        <f aca="false">CHOOSE(MOD(A1788-1,4)+1,"Электроника","Одежда","Продукты","Мебель")</f>
        <v>Продукты</v>
      </c>
      <c r="J1788" s="10" t="str">
        <f aca="false">CHOOSE(MOD(INT((A1788-1)/4),4)+1,CHOOSE(MOD(A1788-1,4)+1,"Смартфоны","Ноутбуки","Аксессуары","Аудио"),CHOOSE(MOD(A1788-1,4)+1,"Верхняя одежда","Спортивная","Повседневная","Обувь"),CHOOSE(MOD(A1788-1,4)+1,"Молочные","Мясные","Бакалея","Напитки"),CHOOSE(MOD(A1788-1,4)+1,"Мягкая мебель","Корпусная","Офисная","Кухонная"))</f>
        <v>Бакалея</v>
      </c>
      <c r="K1788" s="12" t="n">
        <f aca="false">1000+MOD(A1788*317+A1788*A1788*7,49001)</f>
        <v>37595</v>
      </c>
      <c r="L1788" s="12" t="n">
        <f aca="false">1+MOD(A1788*131,100)</f>
        <v>98</v>
      </c>
      <c r="M1788" s="12" t="n">
        <f aca="false">INT(K1788*(0.6+MOD(A1788*43,21)/100))</f>
        <v>23308</v>
      </c>
      <c r="N1788" s="12" t="n">
        <f aca="false">K1788-M1788</f>
        <v>14287</v>
      </c>
    </row>
    <row r="1789" customFormat="false" ht="12.8" hidden="false" customHeight="false" outlineLevel="0" collapsed="false">
      <c r="A1789" s="10" t="n">
        <f aca="false">A1788+1</f>
        <v>1788</v>
      </c>
      <c r="B1789" s="11" t="n">
        <f aca="false">B1788+1</f>
        <v>46714</v>
      </c>
      <c r="C1789" s="10" t="n">
        <f aca="false">YEAR(B1789)</f>
        <v>2027</v>
      </c>
      <c r="D1789" s="10" t="n">
        <f aca="false">INT((MONTH(B1789)-1)/3)+1</f>
        <v>4</v>
      </c>
      <c r="E1789" s="10" t="n">
        <f aca="false">MONTH(B1789)</f>
        <v>11</v>
      </c>
      <c r="F1789" s="10" t="str">
        <f aca="false">CHOOSE(MOD(A1789-1,5)+1,"Центр","Юг","Север","Запад","Восток")</f>
        <v>Север</v>
      </c>
      <c r="G1789" s="10" t="str">
        <f aca="false">"Округ_"&amp;(MOD(A1789-1,5)+1)&amp;"_"&amp;(MOD(INT((A1789-1)/5),5)+1)</f>
        <v>Округ_3_3</v>
      </c>
      <c r="H1789" s="10" t="str">
        <f aca="false">"Город_"&amp;(MOD(A1789-1,5)+1)&amp;"_"&amp;(MOD(INT((A1789-1)/5),5)+1)&amp;"_"&amp;(MOD(INT((A1789-1)/25),10)+1)</f>
        <v>Город_3_3_2</v>
      </c>
      <c r="I1789" s="10" t="str">
        <f aca="false">CHOOSE(MOD(A1789-1,4)+1,"Электроника","Одежда","Продукты","Мебель")</f>
        <v>Мебель</v>
      </c>
      <c r="J1789" s="10" t="str">
        <f aca="false">CHOOSE(MOD(INT((A1789-1)/4),4)+1,CHOOSE(MOD(A1789-1,4)+1,"Смартфоны","Ноутбуки","Аксессуары","Аудио"),CHOOSE(MOD(A1789-1,4)+1,"Верхняя одежда","Спортивная","Повседневная","Обувь"),CHOOSE(MOD(A1789-1,4)+1,"Молочные","Мясные","Бакалея","Напитки"),CHOOSE(MOD(A1789-1,4)+1,"Мягкая мебель","Корпусная","Офисная","Кухонная"))</f>
        <v>Напитки</v>
      </c>
      <c r="K1789" s="12" t="n">
        <f aca="false">1000+MOD(A1789*317+A1789*A1789*7,49001)</f>
        <v>13936</v>
      </c>
      <c r="L1789" s="12" t="n">
        <f aca="false">1+MOD(A1789*131,100)</f>
        <v>29</v>
      </c>
      <c r="M1789" s="12" t="n">
        <f aca="false">INT(K1789*(0.6+MOD(A1789*43,21)/100))</f>
        <v>8779</v>
      </c>
      <c r="N1789" s="12" t="n">
        <f aca="false">K1789-M1789</f>
        <v>5157</v>
      </c>
    </row>
    <row r="1790" customFormat="false" ht="12.8" hidden="false" customHeight="false" outlineLevel="0" collapsed="false">
      <c r="A1790" s="10" t="n">
        <f aca="false">A1789+1</f>
        <v>1789</v>
      </c>
      <c r="B1790" s="11" t="n">
        <f aca="false">B1789+1</f>
        <v>46715</v>
      </c>
      <c r="C1790" s="10" t="n">
        <f aca="false">YEAR(B1790)</f>
        <v>2027</v>
      </c>
      <c r="D1790" s="10" t="n">
        <f aca="false">INT((MONTH(B1790)-1)/3)+1</f>
        <v>4</v>
      </c>
      <c r="E1790" s="10" t="n">
        <f aca="false">MONTH(B1790)</f>
        <v>11</v>
      </c>
      <c r="F1790" s="10" t="str">
        <f aca="false">CHOOSE(MOD(A1790-1,5)+1,"Центр","Юг","Север","Запад","Восток")</f>
        <v>Запад</v>
      </c>
      <c r="G1790" s="10" t="str">
        <f aca="false">"Округ_"&amp;(MOD(A1790-1,5)+1)&amp;"_"&amp;(MOD(INT((A1790-1)/5),5)+1)</f>
        <v>Округ_4_3</v>
      </c>
      <c r="H1790" s="10" t="str">
        <f aca="false">"Город_"&amp;(MOD(A1790-1,5)+1)&amp;"_"&amp;(MOD(INT((A1790-1)/5),5)+1)&amp;"_"&amp;(MOD(INT((A1790-1)/25),10)+1)</f>
        <v>Город_4_3_2</v>
      </c>
      <c r="I1790" s="10" t="str">
        <f aca="false">CHOOSE(MOD(A1790-1,4)+1,"Электроника","Одежда","Продукты","Мебель")</f>
        <v>Электроника</v>
      </c>
      <c r="J1790" s="10" t="str">
        <f aca="false">CHOOSE(MOD(INT((A1790-1)/4),4)+1,CHOOSE(MOD(A1790-1,4)+1,"Смартфоны","Ноутбуки","Аксессуары","Аудио"),CHOOSE(MOD(A1790-1,4)+1,"Верхняя одежда","Спортивная","Повседневная","Обувь"),CHOOSE(MOD(A1790-1,4)+1,"Молочные","Мясные","Бакалея","Напитки"),CHOOSE(MOD(A1790-1,4)+1,"Мягкая мебель","Корпусная","Офисная","Кухонная"))</f>
        <v>Мягкая мебель</v>
      </c>
      <c r="K1790" s="12" t="n">
        <f aca="false">1000+MOD(A1790*317+A1790*A1790*7,49001)</f>
        <v>39292</v>
      </c>
      <c r="L1790" s="12" t="n">
        <f aca="false">1+MOD(A1790*131,100)</f>
        <v>60</v>
      </c>
      <c r="M1790" s="12" t="n">
        <f aca="false">INT(K1790*(0.6+MOD(A1790*43,21)/100))</f>
        <v>25146</v>
      </c>
      <c r="N1790" s="12" t="n">
        <f aca="false">K1790-M1790</f>
        <v>14146</v>
      </c>
    </row>
    <row r="1791" customFormat="false" ht="12.8" hidden="false" customHeight="false" outlineLevel="0" collapsed="false">
      <c r="A1791" s="10" t="n">
        <f aca="false">A1790+1</f>
        <v>1790</v>
      </c>
      <c r="B1791" s="11" t="n">
        <f aca="false">B1790+1</f>
        <v>46716</v>
      </c>
      <c r="C1791" s="10" t="n">
        <f aca="false">YEAR(B1791)</f>
        <v>2027</v>
      </c>
      <c r="D1791" s="10" t="n">
        <f aca="false">INT((MONTH(B1791)-1)/3)+1</f>
        <v>4</v>
      </c>
      <c r="E1791" s="10" t="n">
        <f aca="false">MONTH(B1791)</f>
        <v>11</v>
      </c>
      <c r="F1791" s="10" t="str">
        <f aca="false">CHOOSE(MOD(A1791-1,5)+1,"Центр","Юг","Север","Запад","Восток")</f>
        <v>Восток</v>
      </c>
      <c r="G1791" s="10" t="str">
        <f aca="false">"Округ_"&amp;(MOD(A1791-1,5)+1)&amp;"_"&amp;(MOD(INT((A1791-1)/5),5)+1)</f>
        <v>Округ_5_3</v>
      </c>
      <c r="H1791" s="10" t="str">
        <f aca="false">"Город_"&amp;(MOD(A1791-1,5)+1)&amp;"_"&amp;(MOD(INT((A1791-1)/5),5)+1)&amp;"_"&amp;(MOD(INT((A1791-1)/25),10)+1)</f>
        <v>Город_5_3_2</v>
      </c>
      <c r="I1791" s="10" t="str">
        <f aca="false">CHOOSE(MOD(A1791-1,4)+1,"Электроника","Одежда","Продукты","Мебель")</f>
        <v>Одежда</v>
      </c>
      <c r="J1791" s="10" t="str">
        <f aca="false">CHOOSE(MOD(INT((A1791-1)/4),4)+1,CHOOSE(MOD(A1791-1,4)+1,"Смартфоны","Ноутбуки","Аксессуары","Аудио"),CHOOSE(MOD(A1791-1,4)+1,"Верхняя одежда","Спортивная","Повседневная","Обувь"),CHOOSE(MOD(A1791-1,4)+1,"Молочные","Мясные","Бакалея","Напитки"),CHOOSE(MOD(A1791-1,4)+1,"Мягкая мебель","Корпусная","Офисная","Кухонная"))</f>
        <v>Корпусная</v>
      </c>
      <c r="K1791" s="12" t="n">
        <f aca="false">1000+MOD(A1791*317+A1791*A1791*7,49001)</f>
        <v>15661</v>
      </c>
      <c r="L1791" s="12" t="n">
        <f aca="false">1+MOD(A1791*131,100)</f>
        <v>91</v>
      </c>
      <c r="M1791" s="12" t="n">
        <f aca="false">INT(K1791*(0.6+MOD(A1791*43,21)/100))</f>
        <v>10179</v>
      </c>
      <c r="N1791" s="12" t="n">
        <f aca="false">K1791-M1791</f>
        <v>5482</v>
      </c>
    </row>
    <row r="1792" customFormat="false" ht="12.8" hidden="false" customHeight="false" outlineLevel="0" collapsed="false">
      <c r="A1792" s="10" t="n">
        <f aca="false">A1791+1</f>
        <v>1791</v>
      </c>
      <c r="B1792" s="11" t="n">
        <f aca="false">B1791+1</f>
        <v>46717</v>
      </c>
      <c r="C1792" s="10" t="n">
        <f aca="false">YEAR(B1792)</f>
        <v>2027</v>
      </c>
      <c r="D1792" s="10" t="n">
        <f aca="false">INT((MONTH(B1792)-1)/3)+1</f>
        <v>4</v>
      </c>
      <c r="E1792" s="10" t="n">
        <f aca="false">MONTH(B1792)</f>
        <v>11</v>
      </c>
      <c r="F1792" s="10" t="str">
        <f aca="false">CHOOSE(MOD(A1792-1,5)+1,"Центр","Юг","Север","Запад","Восток")</f>
        <v>Центр</v>
      </c>
      <c r="G1792" s="10" t="str">
        <f aca="false">"Округ_"&amp;(MOD(A1792-1,5)+1)&amp;"_"&amp;(MOD(INT((A1792-1)/5),5)+1)</f>
        <v>Округ_1_4</v>
      </c>
      <c r="H1792" s="10" t="str">
        <f aca="false">"Город_"&amp;(MOD(A1792-1,5)+1)&amp;"_"&amp;(MOD(INT((A1792-1)/5),5)+1)&amp;"_"&amp;(MOD(INT((A1792-1)/25),10)+1)</f>
        <v>Город_1_4_2</v>
      </c>
      <c r="I1792" s="10" t="str">
        <f aca="false">CHOOSE(MOD(A1792-1,4)+1,"Электроника","Одежда","Продукты","Мебель")</f>
        <v>Продукты</v>
      </c>
      <c r="J1792" s="10" t="str">
        <f aca="false">CHOOSE(MOD(INT((A1792-1)/4),4)+1,CHOOSE(MOD(A1792-1,4)+1,"Смартфоны","Ноутбуки","Аксессуары","Аудио"),CHOOSE(MOD(A1792-1,4)+1,"Верхняя одежда","Спортивная","Повседневная","Обувь"),CHOOSE(MOD(A1792-1,4)+1,"Молочные","Мясные","Бакалея","Напитки"),CHOOSE(MOD(A1792-1,4)+1,"Мягкая мебель","Корпусная","Офисная","Кухонная"))</f>
        <v>Офисная</v>
      </c>
      <c r="K1792" s="12" t="n">
        <f aca="false">1000+MOD(A1792*317+A1792*A1792*7,49001)</f>
        <v>41045</v>
      </c>
      <c r="L1792" s="12" t="n">
        <f aca="false">1+MOD(A1792*131,100)</f>
        <v>22</v>
      </c>
      <c r="M1792" s="12" t="n">
        <f aca="false">INT(K1792*(0.6+MOD(A1792*43,21)/100))</f>
        <v>27089</v>
      </c>
      <c r="N1792" s="12" t="n">
        <f aca="false">K1792-M1792</f>
        <v>13956</v>
      </c>
    </row>
    <row r="1793" customFormat="false" ht="12.8" hidden="false" customHeight="false" outlineLevel="0" collapsed="false">
      <c r="A1793" s="10" t="n">
        <f aca="false">A1792+1</f>
        <v>1792</v>
      </c>
      <c r="B1793" s="11" t="n">
        <f aca="false">B1792+1</f>
        <v>46718</v>
      </c>
      <c r="C1793" s="10" t="n">
        <f aca="false">YEAR(B1793)</f>
        <v>2027</v>
      </c>
      <c r="D1793" s="10" t="n">
        <f aca="false">INT((MONTH(B1793)-1)/3)+1</f>
        <v>4</v>
      </c>
      <c r="E1793" s="10" t="n">
        <f aca="false">MONTH(B1793)</f>
        <v>11</v>
      </c>
      <c r="F1793" s="10" t="str">
        <f aca="false">CHOOSE(MOD(A1793-1,5)+1,"Центр","Юг","Север","Запад","Восток")</f>
        <v>Юг</v>
      </c>
      <c r="G1793" s="10" t="str">
        <f aca="false">"Округ_"&amp;(MOD(A1793-1,5)+1)&amp;"_"&amp;(MOD(INT((A1793-1)/5),5)+1)</f>
        <v>Округ_2_4</v>
      </c>
      <c r="H1793" s="10" t="str">
        <f aca="false">"Город_"&amp;(MOD(A1793-1,5)+1)&amp;"_"&amp;(MOD(INT((A1793-1)/5),5)+1)&amp;"_"&amp;(MOD(INT((A1793-1)/25),10)+1)</f>
        <v>Город_2_4_2</v>
      </c>
      <c r="I1793" s="10" t="str">
        <f aca="false">CHOOSE(MOD(A1793-1,4)+1,"Электроника","Одежда","Продукты","Мебель")</f>
        <v>Мебель</v>
      </c>
      <c r="J1793" s="10" t="str">
        <f aca="false">CHOOSE(MOD(INT((A1793-1)/4),4)+1,CHOOSE(MOD(A1793-1,4)+1,"Смартфоны","Ноутбуки","Аксессуары","Аудио"),CHOOSE(MOD(A1793-1,4)+1,"Верхняя одежда","Спортивная","Повседневная","Обувь"),CHOOSE(MOD(A1793-1,4)+1,"Молочные","Мясные","Бакалея","Напитки"),CHOOSE(MOD(A1793-1,4)+1,"Мягкая мебель","Корпусная","Офисная","Кухонная"))</f>
        <v>Кухонная</v>
      </c>
      <c r="K1793" s="12" t="n">
        <f aca="false">1000+MOD(A1793*317+A1793*A1793*7,49001)</f>
        <v>17442</v>
      </c>
      <c r="L1793" s="12" t="n">
        <f aca="false">1+MOD(A1793*131,100)</f>
        <v>53</v>
      </c>
      <c r="M1793" s="12" t="n">
        <f aca="false">INT(K1793*(0.6+MOD(A1793*43,21)/100))</f>
        <v>11686</v>
      </c>
      <c r="N1793" s="12" t="n">
        <f aca="false">K1793-M1793</f>
        <v>5756</v>
      </c>
    </row>
    <row r="1794" customFormat="false" ht="12.8" hidden="false" customHeight="false" outlineLevel="0" collapsed="false">
      <c r="A1794" s="10" t="n">
        <f aca="false">A1793+1</f>
        <v>1793</v>
      </c>
      <c r="B1794" s="11" t="n">
        <f aca="false">B1793+1</f>
        <v>46719</v>
      </c>
      <c r="C1794" s="10" t="n">
        <f aca="false">YEAR(B1794)</f>
        <v>2027</v>
      </c>
      <c r="D1794" s="10" t="n">
        <f aca="false">INT((MONTH(B1794)-1)/3)+1</f>
        <v>4</v>
      </c>
      <c r="E1794" s="10" t="n">
        <f aca="false">MONTH(B1794)</f>
        <v>11</v>
      </c>
      <c r="F1794" s="10" t="str">
        <f aca="false">CHOOSE(MOD(A1794-1,5)+1,"Центр","Юг","Север","Запад","Восток")</f>
        <v>Север</v>
      </c>
      <c r="G1794" s="10" t="str">
        <f aca="false">"Округ_"&amp;(MOD(A1794-1,5)+1)&amp;"_"&amp;(MOD(INT((A1794-1)/5),5)+1)</f>
        <v>Округ_3_4</v>
      </c>
      <c r="H1794" s="10" t="str">
        <f aca="false">"Город_"&amp;(MOD(A1794-1,5)+1)&amp;"_"&amp;(MOD(INT((A1794-1)/5),5)+1)&amp;"_"&amp;(MOD(INT((A1794-1)/25),10)+1)</f>
        <v>Город_3_4_2</v>
      </c>
      <c r="I1794" s="10" t="str">
        <f aca="false">CHOOSE(MOD(A1794-1,4)+1,"Электроника","Одежда","Продукты","Мебель")</f>
        <v>Электроника</v>
      </c>
      <c r="J1794" s="10" t="str">
        <f aca="false">CHOOSE(MOD(INT((A1794-1)/4),4)+1,CHOOSE(MOD(A1794-1,4)+1,"Смартфоны","Ноутбуки","Аксессуары","Аудио"),CHOOSE(MOD(A1794-1,4)+1,"Верхняя одежда","Спортивная","Повседневная","Обувь"),CHOOSE(MOD(A1794-1,4)+1,"Молочные","Мясные","Бакалея","Напитки"),CHOOSE(MOD(A1794-1,4)+1,"Мягкая мебель","Корпусная","Офисная","Кухонная"))</f>
        <v>Смартфоны</v>
      </c>
      <c r="K1794" s="12" t="n">
        <f aca="false">1000+MOD(A1794*317+A1794*A1794*7,49001)</f>
        <v>42854</v>
      </c>
      <c r="L1794" s="12" t="n">
        <f aca="false">1+MOD(A1794*131,100)</f>
        <v>84</v>
      </c>
      <c r="M1794" s="12" t="n">
        <f aca="false">INT(K1794*(0.6+MOD(A1794*43,21)/100))</f>
        <v>29140</v>
      </c>
      <c r="N1794" s="12" t="n">
        <f aca="false">K1794-M1794</f>
        <v>13714</v>
      </c>
    </row>
    <row r="1795" customFormat="false" ht="12.8" hidden="false" customHeight="false" outlineLevel="0" collapsed="false">
      <c r="A1795" s="10" t="n">
        <f aca="false">A1794+1</f>
        <v>1794</v>
      </c>
      <c r="B1795" s="11" t="n">
        <f aca="false">B1794+1</f>
        <v>46720</v>
      </c>
      <c r="C1795" s="10" t="n">
        <f aca="false">YEAR(B1795)</f>
        <v>2027</v>
      </c>
      <c r="D1795" s="10" t="n">
        <f aca="false">INT((MONTH(B1795)-1)/3)+1</f>
        <v>4</v>
      </c>
      <c r="E1795" s="10" t="n">
        <f aca="false">MONTH(B1795)</f>
        <v>11</v>
      </c>
      <c r="F1795" s="10" t="str">
        <f aca="false">CHOOSE(MOD(A1795-1,5)+1,"Центр","Юг","Север","Запад","Восток")</f>
        <v>Запад</v>
      </c>
      <c r="G1795" s="10" t="str">
        <f aca="false">"Округ_"&amp;(MOD(A1795-1,5)+1)&amp;"_"&amp;(MOD(INT((A1795-1)/5),5)+1)</f>
        <v>Округ_4_4</v>
      </c>
      <c r="H1795" s="10" t="str">
        <f aca="false">"Город_"&amp;(MOD(A1795-1,5)+1)&amp;"_"&amp;(MOD(INT((A1795-1)/5),5)+1)&amp;"_"&amp;(MOD(INT((A1795-1)/25),10)+1)</f>
        <v>Город_4_4_2</v>
      </c>
      <c r="I1795" s="10" t="str">
        <f aca="false">CHOOSE(MOD(A1795-1,4)+1,"Электроника","Одежда","Продукты","Мебель")</f>
        <v>Одежда</v>
      </c>
      <c r="J1795" s="10" t="str">
        <f aca="false">CHOOSE(MOD(INT((A1795-1)/4),4)+1,CHOOSE(MOD(A1795-1,4)+1,"Смартфоны","Ноутбуки","Аксессуары","Аудио"),CHOOSE(MOD(A1795-1,4)+1,"Верхняя одежда","Спортивная","Повседневная","Обувь"),CHOOSE(MOD(A1795-1,4)+1,"Молочные","Мясные","Бакалея","Напитки"),CHOOSE(MOD(A1795-1,4)+1,"Мягкая мебель","Корпусная","Офисная","Кухонная"))</f>
        <v>Ноутбуки</v>
      </c>
      <c r="K1795" s="12" t="n">
        <f aca="false">1000+MOD(A1795*317+A1795*A1795*7,49001)</f>
        <v>19279</v>
      </c>
      <c r="L1795" s="12" t="n">
        <f aca="false">1+MOD(A1795*131,100)</f>
        <v>15</v>
      </c>
      <c r="M1795" s="12" t="n">
        <f aca="false">INT(K1795*(0.6+MOD(A1795*43,21)/100))</f>
        <v>13302</v>
      </c>
      <c r="N1795" s="12" t="n">
        <f aca="false">K1795-M1795</f>
        <v>5977</v>
      </c>
    </row>
    <row r="1796" customFormat="false" ht="12.8" hidden="false" customHeight="false" outlineLevel="0" collapsed="false">
      <c r="A1796" s="10" t="n">
        <f aca="false">A1795+1</f>
        <v>1795</v>
      </c>
      <c r="B1796" s="11" t="n">
        <f aca="false">B1795+1</f>
        <v>46721</v>
      </c>
      <c r="C1796" s="10" t="n">
        <f aca="false">YEAR(B1796)</f>
        <v>2027</v>
      </c>
      <c r="D1796" s="10" t="n">
        <f aca="false">INT((MONTH(B1796)-1)/3)+1</f>
        <v>4</v>
      </c>
      <c r="E1796" s="10" t="n">
        <f aca="false">MONTH(B1796)</f>
        <v>11</v>
      </c>
      <c r="F1796" s="10" t="str">
        <f aca="false">CHOOSE(MOD(A1796-1,5)+1,"Центр","Юг","Север","Запад","Восток")</f>
        <v>Восток</v>
      </c>
      <c r="G1796" s="10" t="str">
        <f aca="false">"Округ_"&amp;(MOD(A1796-1,5)+1)&amp;"_"&amp;(MOD(INT((A1796-1)/5),5)+1)</f>
        <v>Округ_5_4</v>
      </c>
      <c r="H1796" s="10" t="str">
        <f aca="false">"Город_"&amp;(MOD(A1796-1,5)+1)&amp;"_"&amp;(MOD(INT((A1796-1)/5),5)+1)&amp;"_"&amp;(MOD(INT((A1796-1)/25),10)+1)</f>
        <v>Город_5_4_2</v>
      </c>
      <c r="I1796" s="10" t="str">
        <f aca="false">CHOOSE(MOD(A1796-1,4)+1,"Электроника","Одежда","Продукты","Мебель")</f>
        <v>Продукты</v>
      </c>
      <c r="J1796" s="10" t="str">
        <f aca="false">CHOOSE(MOD(INT((A1796-1)/4),4)+1,CHOOSE(MOD(A1796-1,4)+1,"Смартфоны","Ноутбуки","Аксессуары","Аудио"),CHOOSE(MOD(A1796-1,4)+1,"Верхняя одежда","Спортивная","Повседневная","Обувь"),CHOOSE(MOD(A1796-1,4)+1,"Молочные","Мясные","Бакалея","Напитки"),CHOOSE(MOD(A1796-1,4)+1,"Мягкая мебель","Корпусная","Офисная","Кухонная"))</f>
        <v>Аксессуары</v>
      </c>
      <c r="K1796" s="12" t="n">
        <f aca="false">1000+MOD(A1796*317+A1796*A1796*7,49001)</f>
        <v>44719</v>
      </c>
      <c r="L1796" s="12" t="n">
        <f aca="false">1+MOD(A1796*131,100)</f>
        <v>46</v>
      </c>
      <c r="M1796" s="12" t="n">
        <f aca="false">INT(K1796*(0.6+MOD(A1796*43,21)/100))</f>
        <v>31303</v>
      </c>
      <c r="N1796" s="12" t="n">
        <f aca="false">K1796-M1796</f>
        <v>13416</v>
      </c>
    </row>
    <row r="1797" customFormat="false" ht="12.8" hidden="false" customHeight="false" outlineLevel="0" collapsed="false">
      <c r="A1797" s="10" t="n">
        <f aca="false">A1796+1</f>
        <v>1796</v>
      </c>
      <c r="B1797" s="11" t="n">
        <f aca="false">B1796+1</f>
        <v>46722</v>
      </c>
      <c r="C1797" s="10" t="n">
        <f aca="false">YEAR(B1797)</f>
        <v>2027</v>
      </c>
      <c r="D1797" s="10" t="n">
        <f aca="false">INT((MONTH(B1797)-1)/3)+1</f>
        <v>4</v>
      </c>
      <c r="E1797" s="10" t="n">
        <f aca="false">MONTH(B1797)</f>
        <v>12</v>
      </c>
      <c r="F1797" s="10" t="str">
        <f aca="false">CHOOSE(MOD(A1797-1,5)+1,"Центр","Юг","Север","Запад","Восток")</f>
        <v>Центр</v>
      </c>
      <c r="G1797" s="10" t="str">
        <f aca="false">"Округ_"&amp;(MOD(A1797-1,5)+1)&amp;"_"&amp;(MOD(INT((A1797-1)/5),5)+1)</f>
        <v>Округ_1_5</v>
      </c>
      <c r="H1797" s="10" t="str">
        <f aca="false">"Город_"&amp;(MOD(A1797-1,5)+1)&amp;"_"&amp;(MOD(INT((A1797-1)/5),5)+1)&amp;"_"&amp;(MOD(INT((A1797-1)/25),10)+1)</f>
        <v>Город_1_5_2</v>
      </c>
      <c r="I1797" s="10" t="str">
        <f aca="false">CHOOSE(MOD(A1797-1,4)+1,"Электроника","Одежда","Продукты","Мебель")</f>
        <v>Мебель</v>
      </c>
      <c r="J1797" s="10" t="str">
        <f aca="false">CHOOSE(MOD(INT((A1797-1)/4),4)+1,CHOOSE(MOD(A1797-1,4)+1,"Смартфоны","Ноутбуки","Аксессуары","Аудио"),CHOOSE(MOD(A1797-1,4)+1,"Верхняя одежда","Спортивная","Повседневная","Обувь"),CHOOSE(MOD(A1797-1,4)+1,"Молочные","Мясные","Бакалея","Напитки"),CHOOSE(MOD(A1797-1,4)+1,"Мягкая мебель","Корпусная","Офисная","Кухонная"))</f>
        <v>Аудио</v>
      </c>
      <c r="K1797" s="12" t="n">
        <f aca="false">1000+MOD(A1797*317+A1797*A1797*7,49001)</f>
        <v>21172</v>
      </c>
      <c r="L1797" s="12" t="n">
        <f aca="false">1+MOD(A1797*131,100)</f>
        <v>77</v>
      </c>
      <c r="M1797" s="12" t="n">
        <f aca="false">INT(K1797*(0.6+MOD(A1797*43,21)/100))</f>
        <v>15032</v>
      </c>
      <c r="N1797" s="12" t="n">
        <f aca="false">K1797-M1797</f>
        <v>6140</v>
      </c>
    </row>
    <row r="1798" customFormat="false" ht="12.8" hidden="false" customHeight="false" outlineLevel="0" collapsed="false">
      <c r="A1798" s="10" t="n">
        <f aca="false">A1797+1</f>
        <v>1797</v>
      </c>
      <c r="B1798" s="11" t="n">
        <f aca="false">B1797+1</f>
        <v>46723</v>
      </c>
      <c r="C1798" s="10" t="n">
        <f aca="false">YEAR(B1798)</f>
        <v>2027</v>
      </c>
      <c r="D1798" s="10" t="n">
        <f aca="false">INT((MONTH(B1798)-1)/3)+1</f>
        <v>4</v>
      </c>
      <c r="E1798" s="10" t="n">
        <f aca="false">MONTH(B1798)</f>
        <v>12</v>
      </c>
      <c r="F1798" s="10" t="str">
        <f aca="false">CHOOSE(MOD(A1798-1,5)+1,"Центр","Юг","Север","Запад","Восток")</f>
        <v>Юг</v>
      </c>
      <c r="G1798" s="10" t="str">
        <f aca="false">"Округ_"&amp;(MOD(A1798-1,5)+1)&amp;"_"&amp;(MOD(INT((A1798-1)/5),5)+1)</f>
        <v>Округ_2_5</v>
      </c>
      <c r="H1798" s="10" t="str">
        <f aca="false">"Город_"&amp;(MOD(A1798-1,5)+1)&amp;"_"&amp;(MOD(INT((A1798-1)/5),5)+1)&amp;"_"&amp;(MOD(INT((A1798-1)/25),10)+1)</f>
        <v>Город_2_5_2</v>
      </c>
      <c r="I1798" s="10" t="str">
        <f aca="false">CHOOSE(MOD(A1798-1,4)+1,"Электроника","Одежда","Продукты","Мебель")</f>
        <v>Электроника</v>
      </c>
      <c r="J1798" s="10" t="str">
        <f aca="false">CHOOSE(MOD(INT((A1798-1)/4),4)+1,CHOOSE(MOD(A1798-1,4)+1,"Смартфоны","Ноутбуки","Аксессуары","Аудио"),CHOOSE(MOD(A1798-1,4)+1,"Верхняя одежда","Спортивная","Повседневная","Обувь"),CHOOSE(MOD(A1798-1,4)+1,"Молочные","Мясные","Бакалея","Напитки"),CHOOSE(MOD(A1798-1,4)+1,"Мягкая мебель","Корпусная","Офисная","Кухонная"))</f>
        <v>Верхняя одежда</v>
      </c>
      <c r="K1798" s="12" t="n">
        <f aca="false">1000+MOD(A1798*317+A1798*A1798*7,49001)</f>
        <v>46640</v>
      </c>
      <c r="L1798" s="12" t="n">
        <f aca="false">1+MOD(A1798*131,100)</f>
        <v>8</v>
      </c>
      <c r="M1798" s="12" t="n">
        <f aca="false">INT(K1798*(0.6+MOD(A1798*43,21)/100))</f>
        <v>33580</v>
      </c>
      <c r="N1798" s="12" t="n">
        <f aca="false">K1798-M1798</f>
        <v>13060</v>
      </c>
    </row>
    <row r="1799" customFormat="false" ht="12.8" hidden="false" customHeight="false" outlineLevel="0" collapsed="false">
      <c r="A1799" s="10" t="n">
        <f aca="false">A1798+1</f>
        <v>1798</v>
      </c>
      <c r="B1799" s="11" t="n">
        <f aca="false">B1798+1</f>
        <v>46724</v>
      </c>
      <c r="C1799" s="10" t="n">
        <f aca="false">YEAR(B1799)</f>
        <v>2027</v>
      </c>
      <c r="D1799" s="10" t="n">
        <f aca="false">INT((MONTH(B1799)-1)/3)+1</f>
        <v>4</v>
      </c>
      <c r="E1799" s="10" t="n">
        <f aca="false">MONTH(B1799)</f>
        <v>12</v>
      </c>
      <c r="F1799" s="10" t="str">
        <f aca="false">CHOOSE(MOD(A1799-1,5)+1,"Центр","Юг","Север","Запад","Восток")</f>
        <v>Север</v>
      </c>
      <c r="G1799" s="10" t="str">
        <f aca="false">"Округ_"&amp;(MOD(A1799-1,5)+1)&amp;"_"&amp;(MOD(INT((A1799-1)/5),5)+1)</f>
        <v>Округ_3_5</v>
      </c>
      <c r="H1799" s="10" t="str">
        <f aca="false">"Город_"&amp;(MOD(A1799-1,5)+1)&amp;"_"&amp;(MOD(INT((A1799-1)/5),5)+1)&amp;"_"&amp;(MOD(INT((A1799-1)/25),10)+1)</f>
        <v>Город_3_5_2</v>
      </c>
      <c r="I1799" s="10" t="str">
        <f aca="false">CHOOSE(MOD(A1799-1,4)+1,"Электроника","Одежда","Продукты","Мебель")</f>
        <v>Одежда</v>
      </c>
      <c r="J1799" s="10" t="str">
        <f aca="false">CHOOSE(MOD(INT((A1799-1)/4),4)+1,CHOOSE(MOD(A1799-1,4)+1,"Смартфоны","Ноутбуки","Аксессуары","Аудио"),CHOOSE(MOD(A1799-1,4)+1,"Верхняя одежда","Спортивная","Повседневная","Обувь"),CHOOSE(MOD(A1799-1,4)+1,"Молочные","Мясные","Бакалея","Напитки"),CHOOSE(MOD(A1799-1,4)+1,"Мягкая мебель","Корпусная","Офисная","Кухонная"))</f>
        <v>Спортивная</v>
      </c>
      <c r="K1799" s="12" t="n">
        <f aca="false">1000+MOD(A1799*317+A1799*A1799*7,49001)</f>
        <v>23121</v>
      </c>
      <c r="L1799" s="12" t="n">
        <f aca="false">1+MOD(A1799*131,100)</f>
        <v>39</v>
      </c>
      <c r="M1799" s="12" t="n">
        <f aca="false">INT(K1799*(0.6+MOD(A1799*43,21)/100))</f>
        <v>16878</v>
      </c>
      <c r="N1799" s="12" t="n">
        <f aca="false">K1799-M1799</f>
        <v>6243</v>
      </c>
    </row>
    <row r="1800" customFormat="false" ht="12.8" hidden="false" customHeight="false" outlineLevel="0" collapsed="false">
      <c r="A1800" s="10" t="n">
        <f aca="false">A1799+1</f>
        <v>1799</v>
      </c>
      <c r="B1800" s="11" t="n">
        <f aca="false">B1799+1</f>
        <v>46725</v>
      </c>
      <c r="C1800" s="10" t="n">
        <f aca="false">YEAR(B1800)</f>
        <v>2027</v>
      </c>
      <c r="D1800" s="10" t="n">
        <f aca="false">INT((MONTH(B1800)-1)/3)+1</f>
        <v>4</v>
      </c>
      <c r="E1800" s="10" t="n">
        <f aca="false">MONTH(B1800)</f>
        <v>12</v>
      </c>
      <c r="F1800" s="10" t="str">
        <f aca="false">CHOOSE(MOD(A1800-1,5)+1,"Центр","Юг","Север","Запад","Восток")</f>
        <v>Запад</v>
      </c>
      <c r="G1800" s="10" t="str">
        <f aca="false">"Округ_"&amp;(MOD(A1800-1,5)+1)&amp;"_"&amp;(MOD(INT((A1800-1)/5),5)+1)</f>
        <v>Округ_4_5</v>
      </c>
      <c r="H1800" s="10" t="str">
        <f aca="false">"Город_"&amp;(MOD(A1800-1,5)+1)&amp;"_"&amp;(MOD(INT((A1800-1)/5),5)+1)&amp;"_"&amp;(MOD(INT((A1800-1)/25),10)+1)</f>
        <v>Город_4_5_2</v>
      </c>
      <c r="I1800" s="10" t="str">
        <f aca="false">CHOOSE(MOD(A1800-1,4)+1,"Электроника","Одежда","Продукты","Мебель")</f>
        <v>Продукты</v>
      </c>
      <c r="J1800" s="10" t="str">
        <f aca="false">CHOOSE(MOD(INT((A1800-1)/4),4)+1,CHOOSE(MOD(A1800-1,4)+1,"Смартфоны","Ноутбуки","Аксессуары","Аудио"),CHOOSE(MOD(A1800-1,4)+1,"Верхняя одежда","Спортивная","Повседневная","Обувь"),CHOOSE(MOD(A1800-1,4)+1,"Молочные","Мясные","Бакалея","Напитки"),CHOOSE(MOD(A1800-1,4)+1,"Мягкая мебель","Корпусная","Офисная","Кухонная"))</f>
        <v>Повседневная</v>
      </c>
      <c r="K1800" s="12" t="n">
        <f aca="false">1000+MOD(A1800*317+A1800*A1800*7,49001)</f>
        <v>48617</v>
      </c>
      <c r="L1800" s="12" t="n">
        <f aca="false">1+MOD(A1800*131,100)</f>
        <v>70</v>
      </c>
      <c r="M1800" s="12" t="n">
        <f aca="false">INT(K1800*(0.6+MOD(A1800*43,21)/100))</f>
        <v>35976</v>
      </c>
      <c r="N1800" s="12" t="n">
        <f aca="false">K1800-M1800</f>
        <v>12641</v>
      </c>
    </row>
    <row r="1801" customFormat="false" ht="12.8" hidden="false" customHeight="false" outlineLevel="0" collapsed="false">
      <c r="A1801" s="10" t="n">
        <f aca="false">A1800+1</f>
        <v>1800</v>
      </c>
      <c r="B1801" s="11" t="n">
        <f aca="false">B1800+1</f>
        <v>46726</v>
      </c>
      <c r="C1801" s="10" t="n">
        <f aca="false">YEAR(B1801)</f>
        <v>2027</v>
      </c>
      <c r="D1801" s="10" t="n">
        <f aca="false">INT((MONTH(B1801)-1)/3)+1</f>
        <v>4</v>
      </c>
      <c r="E1801" s="10" t="n">
        <f aca="false">MONTH(B1801)</f>
        <v>12</v>
      </c>
      <c r="F1801" s="10" t="str">
        <f aca="false">CHOOSE(MOD(A1801-1,5)+1,"Центр","Юг","Север","Запад","Восток")</f>
        <v>Восток</v>
      </c>
      <c r="G1801" s="10" t="str">
        <f aca="false">"Округ_"&amp;(MOD(A1801-1,5)+1)&amp;"_"&amp;(MOD(INT((A1801-1)/5),5)+1)</f>
        <v>Округ_5_5</v>
      </c>
      <c r="H1801" s="10" t="str">
        <f aca="false">"Город_"&amp;(MOD(A1801-1,5)+1)&amp;"_"&amp;(MOD(INT((A1801-1)/5),5)+1)&amp;"_"&amp;(MOD(INT((A1801-1)/25),10)+1)</f>
        <v>Город_5_5_2</v>
      </c>
      <c r="I1801" s="10" t="str">
        <f aca="false">CHOOSE(MOD(A1801-1,4)+1,"Электроника","Одежда","Продукты","Мебель")</f>
        <v>Мебель</v>
      </c>
      <c r="J1801" s="10" t="str">
        <f aca="false">CHOOSE(MOD(INT((A1801-1)/4),4)+1,CHOOSE(MOD(A1801-1,4)+1,"Смартфоны","Ноутбуки","Аксессуары","Аудио"),CHOOSE(MOD(A1801-1,4)+1,"Верхняя одежда","Спортивная","Повседневная","Обувь"),CHOOSE(MOD(A1801-1,4)+1,"Молочные","Мясные","Бакалея","Напитки"),CHOOSE(MOD(A1801-1,4)+1,"Мягкая мебель","Корпусная","Офисная","Кухонная"))</f>
        <v>Обувь</v>
      </c>
      <c r="K1801" s="12" t="n">
        <f aca="false">1000+MOD(A1801*317+A1801*A1801*7,49001)</f>
        <v>25126</v>
      </c>
      <c r="L1801" s="12" t="n">
        <f aca="false">1+MOD(A1801*131,100)</f>
        <v>1</v>
      </c>
      <c r="M1801" s="12" t="n">
        <f aca="false">INT(K1801*(0.6+MOD(A1801*43,21)/100))</f>
        <v>18844</v>
      </c>
      <c r="N1801" s="12" t="n">
        <f aca="false">K1801-M1801</f>
        <v>6282</v>
      </c>
    </row>
    <row r="1802" customFormat="false" ht="12.8" hidden="false" customHeight="false" outlineLevel="0" collapsed="false">
      <c r="A1802" s="10" t="n">
        <f aca="false">A1801+1</f>
        <v>1801</v>
      </c>
      <c r="B1802" s="11" t="n">
        <f aca="false">B1801+1</f>
        <v>46727</v>
      </c>
      <c r="C1802" s="10" t="n">
        <f aca="false">YEAR(B1802)</f>
        <v>2027</v>
      </c>
      <c r="D1802" s="10" t="n">
        <f aca="false">INT((MONTH(B1802)-1)/3)+1</f>
        <v>4</v>
      </c>
      <c r="E1802" s="10" t="n">
        <f aca="false">MONTH(B1802)</f>
        <v>12</v>
      </c>
      <c r="F1802" s="10" t="str">
        <f aca="false">CHOOSE(MOD(A1802-1,5)+1,"Центр","Юг","Север","Запад","Восток")</f>
        <v>Центр</v>
      </c>
      <c r="G1802" s="10" t="str">
        <f aca="false">"Округ_"&amp;(MOD(A1802-1,5)+1)&amp;"_"&amp;(MOD(INT((A1802-1)/5),5)+1)</f>
        <v>Округ_1_1</v>
      </c>
      <c r="H1802" s="10" t="str">
        <f aca="false">"Город_"&amp;(MOD(A1802-1,5)+1)&amp;"_"&amp;(MOD(INT((A1802-1)/5),5)+1)&amp;"_"&amp;(MOD(INT((A1802-1)/25),10)+1)</f>
        <v>Город_1_1_3</v>
      </c>
      <c r="I1802" s="10" t="str">
        <f aca="false">CHOOSE(MOD(A1802-1,4)+1,"Электроника","Одежда","Продукты","Мебель")</f>
        <v>Электроника</v>
      </c>
      <c r="J1802" s="10" t="str">
        <f aca="false">CHOOSE(MOD(INT((A1802-1)/4),4)+1,CHOOSE(MOD(A1802-1,4)+1,"Смартфоны","Ноутбуки","Аксессуары","Аудио"),CHOOSE(MOD(A1802-1,4)+1,"Верхняя одежда","Спортивная","Повседневная","Обувь"),CHOOSE(MOD(A1802-1,4)+1,"Молочные","Мясные","Бакалея","Напитки"),CHOOSE(MOD(A1802-1,4)+1,"Мягкая мебель","Корпусная","Офисная","Кухонная"))</f>
        <v>Молочные</v>
      </c>
      <c r="K1802" s="12" t="n">
        <f aca="false">1000+MOD(A1802*317+A1802*A1802*7,49001)</f>
        <v>1649</v>
      </c>
      <c r="L1802" s="12" t="n">
        <f aca="false">1+MOD(A1802*131,100)</f>
        <v>32</v>
      </c>
      <c r="M1802" s="12" t="n">
        <f aca="false">INT(K1802*(0.6+MOD(A1802*43,21)/100))</f>
        <v>1253</v>
      </c>
      <c r="N1802" s="12" t="n">
        <f aca="false">K1802-M1802</f>
        <v>396</v>
      </c>
    </row>
    <row r="1803" customFormat="false" ht="12.8" hidden="false" customHeight="false" outlineLevel="0" collapsed="false">
      <c r="A1803" s="10" t="n">
        <f aca="false">A1802+1</f>
        <v>1802</v>
      </c>
      <c r="B1803" s="11" t="n">
        <f aca="false">B1802+1</f>
        <v>46728</v>
      </c>
      <c r="C1803" s="10" t="n">
        <f aca="false">YEAR(B1803)</f>
        <v>2027</v>
      </c>
      <c r="D1803" s="10" t="n">
        <f aca="false">INT((MONTH(B1803)-1)/3)+1</f>
        <v>4</v>
      </c>
      <c r="E1803" s="10" t="n">
        <f aca="false">MONTH(B1803)</f>
        <v>12</v>
      </c>
      <c r="F1803" s="10" t="str">
        <f aca="false">CHOOSE(MOD(A1803-1,5)+1,"Центр","Юг","Север","Запад","Восток")</f>
        <v>Юг</v>
      </c>
      <c r="G1803" s="10" t="str">
        <f aca="false">"Округ_"&amp;(MOD(A1803-1,5)+1)&amp;"_"&amp;(MOD(INT((A1803-1)/5),5)+1)</f>
        <v>Округ_2_1</v>
      </c>
      <c r="H1803" s="10" t="str">
        <f aca="false">"Город_"&amp;(MOD(A1803-1,5)+1)&amp;"_"&amp;(MOD(INT((A1803-1)/5),5)+1)&amp;"_"&amp;(MOD(INT((A1803-1)/25),10)+1)</f>
        <v>Город_2_1_3</v>
      </c>
      <c r="I1803" s="10" t="str">
        <f aca="false">CHOOSE(MOD(A1803-1,4)+1,"Электроника","Одежда","Продукты","Мебель")</f>
        <v>Одежда</v>
      </c>
      <c r="J1803" s="10" t="str">
        <f aca="false">CHOOSE(MOD(INT((A1803-1)/4),4)+1,CHOOSE(MOD(A1803-1,4)+1,"Смартфоны","Ноутбуки","Аксессуары","Аудио"),CHOOSE(MOD(A1803-1,4)+1,"Верхняя одежда","Спортивная","Повседневная","Обувь"),CHOOSE(MOD(A1803-1,4)+1,"Молочные","Мясные","Бакалея","Напитки"),CHOOSE(MOD(A1803-1,4)+1,"Мягкая мебель","Корпусная","Офисная","Кухонная"))</f>
        <v>Мясные</v>
      </c>
      <c r="K1803" s="12" t="n">
        <f aca="false">1000+MOD(A1803*317+A1803*A1803*7,49001)</f>
        <v>27187</v>
      </c>
      <c r="L1803" s="12" t="n">
        <f aca="false">1+MOD(A1803*131,100)</f>
        <v>63</v>
      </c>
      <c r="M1803" s="12" t="n">
        <f aca="false">INT(K1803*(0.6+MOD(A1803*43,21)/100))</f>
        <v>20933</v>
      </c>
      <c r="N1803" s="12" t="n">
        <f aca="false">K1803-M1803</f>
        <v>6254</v>
      </c>
    </row>
    <row r="1804" customFormat="false" ht="12.8" hidden="false" customHeight="false" outlineLevel="0" collapsed="false">
      <c r="A1804" s="10" t="n">
        <f aca="false">A1803+1</f>
        <v>1803</v>
      </c>
      <c r="B1804" s="11" t="n">
        <f aca="false">B1803+1</f>
        <v>46729</v>
      </c>
      <c r="C1804" s="10" t="n">
        <f aca="false">YEAR(B1804)</f>
        <v>2027</v>
      </c>
      <c r="D1804" s="10" t="n">
        <f aca="false">INT((MONTH(B1804)-1)/3)+1</f>
        <v>4</v>
      </c>
      <c r="E1804" s="10" t="n">
        <f aca="false">MONTH(B1804)</f>
        <v>12</v>
      </c>
      <c r="F1804" s="10" t="str">
        <f aca="false">CHOOSE(MOD(A1804-1,5)+1,"Центр","Юг","Север","Запад","Восток")</f>
        <v>Север</v>
      </c>
      <c r="G1804" s="10" t="str">
        <f aca="false">"Округ_"&amp;(MOD(A1804-1,5)+1)&amp;"_"&amp;(MOD(INT((A1804-1)/5),5)+1)</f>
        <v>Округ_3_1</v>
      </c>
      <c r="H1804" s="10" t="str">
        <f aca="false">"Город_"&amp;(MOD(A1804-1,5)+1)&amp;"_"&amp;(MOD(INT((A1804-1)/5),5)+1)&amp;"_"&amp;(MOD(INT((A1804-1)/25),10)+1)</f>
        <v>Город_3_1_3</v>
      </c>
      <c r="I1804" s="10" t="str">
        <f aca="false">CHOOSE(MOD(A1804-1,4)+1,"Электроника","Одежда","Продукты","Мебель")</f>
        <v>Продукты</v>
      </c>
      <c r="J1804" s="10" t="str">
        <f aca="false">CHOOSE(MOD(INT((A1804-1)/4),4)+1,CHOOSE(MOD(A1804-1,4)+1,"Смартфоны","Ноутбуки","Аксессуары","Аудио"),CHOOSE(MOD(A1804-1,4)+1,"Верхняя одежда","Спортивная","Повседневная","Обувь"),CHOOSE(MOD(A1804-1,4)+1,"Молочные","Мясные","Бакалея","Напитки"),CHOOSE(MOD(A1804-1,4)+1,"Мягкая мебель","Корпусная","Офисная","Кухонная"))</f>
        <v>Бакалея</v>
      </c>
      <c r="K1804" s="12" t="n">
        <f aca="false">1000+MOD(A1804*317+A1804*A1804*7,49001)</f>
        <v>3738</v>
      </c>
      <c r="L1804" s="12" t="n">
        <f aca="false">1+MOD(A1804*131,100)</f>
        <v>94</v>
      </c>
      <c r="M1804" s="12" t="n">
        <f aca="false">INT(K1804*(0.6+MOD(A1804*43,21)/100))</f>
        <v>2915</v>
      </c>
      <c r="N1804" s="12" t="n">
        <f aca="false">K1804-M1804</f>
        <v>823</v>
      </c>
    </row>
    <row r="1805" customFormat="false" ht="12.8" hidden="false" customHeight="false" outlineLevel="0" collapsed="false">
      <c r="A1805" s="10" t="n">
        <f aca="false">A1804+1</f>
        <v>1804</v>
      </c>
      <c r="B1805" s="11" t="n">
        <f aca="false">B1804+1</f>
        <v>46730</v>
      </c>
      <c r="C1805" s="10" t="n">
        <f aca="false">YEAR(B1805)</f>
        <v>2027</v>
      </c>
      <c r="D1805" s="10" t="n">
        <f aca="false">INT((MONTH(B1805)-1)/3)+1</f>
        <v>4</v>
      </c>
      <c r="E1805" s="10" t="n">
        <f aca="false">MONTH(B1805)</f>
        <v>12</v>
      </c>
      <c r="F1805" s="10" t="str">
        <f aca="false">CHOOSE(MOD(A1805-1,5)+1,"Центр","Юг","Север","Запад","Восток")</f>
        <v>Запад</v>
      </c>
      <c r="G1805" s="10" t="str">
        <f aca="false">"Округ_"&amp;(MOD(A1805-1,5)+1)&amp;"_"&amp;(MOD(INT((A1805-1)/5),5)+1)</f>
        <v>Округ_4_1</v>
      </c>
      <c r="H1805" s="10" t="str">
        <f aca="false">"Город_"&amp;(MOD(A1805-1,5)+1)&amp;"_"&amp;(MOD(INT((A1805-1)/5),5)+1)&amp;"_"&amp;(MOD(INT((A1805-1)/25),10)+1)</f>
        <v>Город_4_1_3</v>
      </c>
      <c r="I1805" s="10" t="str">
        <f aca="false">CHOOSE(MOD(A1805-1,4)+1,"Электроника","Одежда","Продукты","Мебель")</f>
        <v>Мебель</v>
      </c>
      <c r="J1805" s="10" t="str">
        <f aca="false">CHOOSE(MOD(INT((A1805-1)/4),4)+1,CHOOSE(MOD(A1805-1,4)+1,"Смартфоны","Ноутбуки","Аксессуары","Аудио"),CHOOSE(MOD(A1805-1,4)+1,"Верхняя одежда","Спортивная","Повседневная","Обувь"),CHOOSE(MOD(A1805-1,4)+1,"Молочные","Мясные","Бакалея","Напитки"),CHOOSE(MOD(A1805-1,4)+1,"Мягкая мебель","Корпусная","Офисная","Кухонная"))</f>
        <v>Напитки</v>
      </c>
      <c r="K1805" s="12" t="n">
        <f aca="false">1000+MOD(A1805*317+A1805*A1805*7,49001)</f>
        <v>29304</v>
      </c>
      <c r="L1805" s="12" t="n">
        <f aca="false">1+MOD(A1805*131,100)</f>
        <v>25</v>
      </c>
      <c r="M1805" s="12" t="n">
        <f aca="false">INT(K1805*(0.6+MOD(A1805*43,21)/100))</f>
        <v>23150</v>
      </c>
      <c r="N1805" s="12" t="n">
        <f aca="false">K1805-M1805</f>
        <v>6154</v>
      </c>
    </row>
    <row r="1806" customFormat="false" ht="12.8" hidden="false" customHeight="false" outlineLevel="0" collapsed="false">
      <c r="A1806" s="10" t="n">
        <f aca="false">A1805+1</f>
        <v>1805</v>
      </c>
      <c r="B1806" s="11" t="n">
        <f aca="false">B1805+1</f>
        <v>46731</v>
      </c>
      <c r="C1806" s="10" t="n">
        <f aca="false">YEAR(B1806)</f>
        <v>2027</v>
      </c>
      <c r="D1806" s="10" t="n">
        <f aca="false">INT((MONTH(B1806)-1)/3)+1</f>
        <v>4</v>
      </c>
      <c r="E1806" s="10" t="n">
        <f aca="false">MONTH(B1806)</f>
        <v>12</v>
      </c>
      <c r="F1806" s="10" t="str">
        <f aca="false">CHOOSE(MOD(A1806-1,5)+1,"Центр","Юг","Север","Запад","Восток")</f>
        <v>Восток</v>
      </c>
      <c r="G1806" s="10" t="str">
        <f aca="false">"Округ_"&amp;(MOD(A1806-1,5)+1)&amp;"_"&amp;(MOD(INT((A1806-1)/5),5)+1)</f>
        <v>Округ_5_1</v>
      </c>
      <c r="H1806" s="10" t="str">
        <f aca="false">"Город_"&amp;(MOD(A1806-1,5)+1)&amp;"_"&amp;(MOD(INT((A1806-1)/5),5)+1)&amp;"_"&amp;(MOD(INT((A1806-1)/25),10)+1)</f>
        <v>Город_5_1_3</v>
      </c>
      <c r="I1806" s="10" t="str">
        <f aca="false">CHOOSE(MOD(A1806-1,4)+1,"Электроника","Одежда","Продукты","Мебель")</f>
        <v>Электроника</v>
      </c>
      <c r="J1806" s="10" t="str">
        <f aca="false">CHOOSE(MOD(INT((A1806-1)/4),4)+1,CHOOSE(MOD(A1806-1,4)+1,"Смартфоны","Ноутбуки","Аксессуары","Аудио"),CHOOSE(MOD(A1806-1,4)+1,"Верхняя одежда","Спортивная","Повседневная","Обувь"),CHOOSE(MOD(A1806-1,4)+1,"Молочные","Мясные","Бакалея","Напитки"),CHOOSE(MOD(A1806-1,4)+1,"Мягкая мебель","Корпусная","Офисная","Кухонная"))</f>
        <v>Мягкая мебель</v>
      </c>
      <c r="K1806" s="12" t="n">
        <f aca="false">1000+MOD(A1806*317+A1806*A1806*7,49001)</f>
        <v>5883</v>
      </c>
      <c r="L1806" s="12" t="n">
        <f aca="false">1+MOD(A1806*131,100)</f>
        <v>56</v>
      </c>
      <c r="M1806" s="12" t="n">
        <f aca="false">INT(K1806*(0.6+MOD(A1806*43,21)/100))</f>
        <v>4706</v>
      </c>
      <c r="N1806" s="12" t="n">
        <f aca="false">K1806-M1806</f>
        <v>1177</v>
      </c>
    </row>
    <row r="1807" customFormat="false" ht="12.8" hidden="false" customHeight="false" outlineLevel="0" collapsed="false">
      <c r="A1807" s="10" t="n">
        <f aca="false">A1806+1</f>
        <v>1806</v>
      </c>
      <c r="B1807" s="11" t="n">
        <f aca="false">B1806+1</f>
        <v>46732</v>
      </c>
      <c r="C1807" s="10" t="n">
        <f aca="false">YEAR(B1807)</f>
        <v>2027</v>
      </c>
      <c r="D1807" s="10" t="n">
        <f aca="false">INT((MONTH(B1807)-1)/3)+1</f>
        <v>4</v>
      </c>
      <c r="E1807" s="10" t="n">
        <f aca="false">MONTH(B1807)</f>
        <v>12</v>
      </c>
      <c r="F1807" s="10" t="str">
        <f aca="false">CHOOSE(MOD(A1807-1,5)+1,"Центр","Юг","Север","Запад","Восток")</f>
        <v>Центр</v>
      </c>
      <c r="G1807" s="10" t="str">
        <f aca="false">"Округ_"&amp;(MOD(A1807-1,5)+1)&amp;"_"&amp;(MOD(INT((A1807-1)/5),5)+1)</f>
        <v>Округ_1_2</v>
      </c>
      <c r="H1807" s="10" t="str">
        <f aca="false">"Город_"&amp;(MOD(A1807-1,5)+1)&amp;"_"&amp;(MOD(INT((A1807-1)/5),5)+1)&amp;"_"&amp;(MOD(INT((A1807-1)/25),10)+1)</f>
        <v>Город_1_2_3</v>
      </c>
      <c r="I1807" s="10" t="str">
        <f aca="false">CHOOSE(MOD(A1807-1,4)+1,"Электроника","Одежда","Продукты","Мебель")</f>
        <v>Одежда</v>
      </c>
      <c r="J1807" s="10" t="str">
        <f aca="false">CHOOSE(MOD(INT((A1807-1)/4),4)+1,CHOOSE(MOD(A1807-1,4)+1,"Смартфоны","Ноутбуки","Аксессуары","Аудио"),CHOOSE(MOD(A1807-1,4)+1,"Верхняя одежда","Спортивная","Повседневная","Обувь"),CHOOSE(MOD(A1807-1,4)+1,"Молочные","Мясные","Бакалея","Напитки"),CHOOSE(MOD(A1807-1,4)+1,"Мягкая мебель","Корпусная","Офисная","Кухонная"))</f>
        <v>Корпусная</v>
      </c>
      <c r="K1807" s="12" t="n">
        <f aca="false">1000+MOD(A1807*317+A1807*A1807*7,49001)</f>
        <v>31477</v>
      </c>
      <c r="L1807" s="12" t="n">
        <f aca="false">1+MOD(A1807*131,100)</f>
        <v>87</v>
      </c>
      <c r="M1807" s="12" t="n">
        <f aca="false">INT(K1807*(0.6+MOD(A1807*43,21)/100))</f>
        <v>18886</v>
      </c>
      <c r="N1807" s="12" t="n">
        <f aca="false">K1807-M1807</f>
        <v>12591</v>
      </c>
    </row>
    <row r="1808" customFormat="false" ht="12.8" hidden="false" customHeight="false" outlineLevel="0" collapsed="false">
      <c r="A1808" s="10" t="n">
        <f aca="false">A1807+1</f>
        <v>1807</v>
      </c>
      <c r="B1808" s="11" t="n">
        <f aca="false">B1807+1</f>
        <v>46733</v>
      </c>
      <c r="C1808" s="10" t="n">
        <f aca="false">YEAR(B1808)</f>
        <v>2027</v>
      </c>
      <c r="D1808" s="10" t="n">
        <f aca="false">INT((MONTH(B1808)-1)/3)+1</f>
        <v>4</v>
      </c>
      <c r="E1808" s="10" t="n">
        <f aca="false">MONTH(B1808)</f>
        <v>12</v>
      </c>
      <c r="F1808" s="10" t="str">
        <f aca="false">CHOOSE(MOD(A1808-1,5)+1,"Центр","Юг","Север","Запад","Восток")</f>
        <v>Юг</v>
      </c>
      <c r="G1808" s="10" t="str">
        <f aca="false">"Округ_"&amp;(MOD(A1808-1,5)+1)&amp;"_"&amp;(MOD(INT((A1808-1)/5),5)+1)</f>
        <v>Округ_2_2</v>
      </c>
      <c r="H1808" s="10" t="str">
        <f aca="false">"Город_"&amp;(MOD(A1808-1,5)+1)&amp;"_"&amp;(MOD(INT((A1808-1)/5),5)+1)&amp;"_"&amp;(MOD(INT((A1808-1)/25),10)+1)</f>
        <v>Город_2_2_3</v>
      </c>
      <c r="I1808" s="10" t="str">
        <f aca="false">CHOOSE(MOD(A1808-1,4)+1,"Электроника","Одежда","Продукты","Мебель")</f>
        <v>Продукты</v>
      </c>
      <c r="J1808" s="10" t="str">
        <f aca="false">CHOOSE(MOD(INT((A1808-1)/4),4)+1,CHOOSE(MOD(A1808-1,4)+1,"Смартфоны","Ноутбуки","Аксессуары","Аудио"),CHOOSE(MOD(A1808-1,4)+1,"Верхняя одежда","Спортивная","Повседневная","Обувь"),CHOOSE(MOD(A1808-1,4)+1,"Молочные","Мясные","Бакалея","Напитки"),CHOOSE(MOD(A1808-1,4)+1,"Мягкая мебель","Корпусная","Офисная","Кухонная"))</f>
        <v>Офисная</v>
      </c>
      <c r="K1808" s="12" t="n">
        <f aca="false">1000+MOD(A1808*317+A1808*A1808*7,49001)</f>
        <v>8084</v>
      </c>
      <c r="L1808" s="12" t="n">
        <f aca="false">1+MOD(A1808*131,100)</f>
        <v>18</v>
      </c>
      <c r="M1808" s="12" t="n">
        <f aca="false">INT(K1808*(0.6+MOD(A1808*43,21)/100))</f>
        <v>4931</v>
      </c>
      <c r="N1808" s="12" t="n">
        <f aca="false">K1808-M1808</f>
        <v>3153</v>
      </c>
    </row>
    <row r="1809" customFormat="false" ht="12.8" hidden="false" customHeight="false" outlineLevel="0" collapsed="false">
      <c r="A1809" s="10" t="n">
        <f aca="false">A1808+1</f>
        <v>1808</v>
      </c>
      <c r="B1809" s="11" t="n">
        <f aca="false">B1808+1</f>
        <v>46734</v>
      </c>
      <c r="C1809" s="10" t="n">
        <f aca="false">YEAR(B1809)</f>
        <v>2027</v>
      </c>
      <c r="D1809" s="10" t="n">
        <f aca="false">INT((MONTH(B1809)-1)/3)+1</f>
        <v>4</v>
      </c>
      <c r="E1809" s="10" t="n">
        <f aca="false">MONTH(B1809)</f>
        <v>12</v>
      </c>
      <c r="F1809" s="10" t="str">
        <f aca="false">CHOOSE(MOD(A1809-1,5)+1,"Центр","Юг","Север","Запад","Восток")</f>
        <v>Север</v>
      </c>
      <c r="G1809" s="10" t="str">
        <f aca="false">"Округ_"&amp;(MOD(A1809-1,5)+1)&amp;"_"&amp;(MOD(INT((A1809-1)/5),5)+1)</f>
        <v>Округ_3_2</v>
      </c>
      <c r="H1809" s="10" t="str">
        <f aca="false">"Город_"&amp;(MOD(A1809-1,5)+1)&amp;"_"&amp;(MOD(INT((A1809-1)/5),5)+1)&amp;"_"&amp;(MOD(INT((A1809-1)/25),10)+1)</f>
        <v>Город_3_2_3</v>
      </c>
      <c r="I1809" s="10" t="str">
        <f aca="false">CHOOSE(MOD(A1809-1,4)+1,"Электроника","Одежда","Продукты","Мебель")</f>
        <v>Мебель</v>
      </c>
      <c r="J1809" s="10" t="str">
        <f aca="false">CHOOSE(MOD(INT((A1809-1)/4),4)+1,CHOOSE(MOD(A1809-1,4)+1,"Смартфоны","Ноутбуки","Аксессуары","Аудио"),CHOOSE(MOD(A1809-1,4)+1,"Верхняя одежда","Спортивная","Повседневная","Обувь"),CHOOSE(MOD(A1809-1,4)+1,"Молочные","Мясные","Бакалея","Напитки"),CHOOSE(MOD(A1809-1,4)+1,"Мягкая мебель","Корпусная","Офисная","Кухонная"))</f>
        <v>Кухонная</v>
      </c>
      <c r="K1809" s="12" t="n">
        <f aca="false">1000+MOD(A1809*317+A1809*A1809*7,49001)</f>
        <v>33706</v>
      </c>
      <c r="L1809" s="12" t="n">
        <f aca="false">1+MOD(A1809*131,100)</f>
        <v>49</v>
      </c>
      <c r="M1809" s="12" t="n">
        <f aca="false">INT(K1809*(0.6+MOD(A1809*43,21)/100))</f>
        <v>20897</v>
      </c>
      <c r="N1809" s="12" t="n">
        <f aca="false">K1809-M1809</f>
        <v>12809</v>
      </c>
    </row>
    <row r="1810" customFormat="false" ht="12.8" hidden="false" customHeight="false" outlineLevel="0" collapsed="false">
      <c r="A1810" s="10" t="n">
        <f aca="false">A1809+1</f>
        <v>1809</v>
      </c>
      <c r="B1810" s="11" t="n">
        <f aca="false">B1809+1</f>
        <v>46735</v>
      </c>
      <c r="C1810" s="10" t="n">
        <f aca="false">YEAR(B1810)</f>
        <v>2027</v>
      </c>
      <c r="D1810" s="10" t="n">
        <f aca="false">INT((MONTH(B1810)-1)/3)+1</f>
        <v>4</v>
      </c>
      <c r="E1810" s="10" t="n">
        <f aca="false">MONTH(B1810)</f>
        <v>12</v>
      </c>
      <c r="F1810" s="10" t="str">
        <f aca="false">CHOOSE(MOD(A1810-1,5)+1,"Центр","Юг","Север","Запад","Восток")</f>
        <v>Запад</v>
      </c>
      <c r="G1810" s="10" t="str">
        <f aca="false">"Округ_"&amp;(MOD(A1810-1,5)+1)&amp;"_"&amp;(MOD(INT((A1810-1)/5),5)+1)</f>
        <v>Округ_4_2</v>
      </c>
      <c r="H1810" s="10" t="str">
        <f aca="false">"Город_"&amp;(MOD(A1810-1,5)+1)&amp;"_"&amp;(MOD(INT((A1810-1)/5),5)+1)&amp;"_"&amp;(MOD(INT((A1810-1)/25),10)+1)</f>
        <v>Город_4_2_3</v>
      </c>
      <c r="I1810" s="10" t="str">
        <f aca="false">CHOOSE(MOD(A1810-1,4)+1,"Электроника","Одежда","Продукты","Мебель")</f>
        <v>Электроника</v>
      </c>
      <c r="J1810" s="10" t="str">
        <f aca="false">CHOOSE(MOD(INT((A1810-1)/4),4)+1,CHOOSE(MOD(A1810-1,4)+1,"Смартфоны","Ноутбуки","Аксессуары","Аудио"),CHOOSE(MOD(A1810-1,4)+1,"Верхняя одежда","Спортивная","Повседневная","Обувь"),CHOOSE(MOD(A1810-1,4)+1,"Молочные","Мясные","Бакалея","Напитки"),CHOOSE(MOD(A1810-1,4)+1,"Мягкая мебель","Корпусная","Офисная","Кухонная"))</f>
        <v>Смартфоны</v>
      </c>
      <c r="K1810" s="12" t="n">
        <f aca="false">1000+MOD(A1810*317+A1810*A1810*7,49001)</f>
        <v>10341</v>
      </c>
      <c r="L1810" s="12" t="n">
        <f aca="false">1+MOD(A1810*131,100)</f>
        <v>80</v>
      </c>
      <c r="M1810" s="12" t="n">
        <f aca="false">INT(K1810*(0.6+MOD(A1810*43,21)/100))</f>
        <v>6514</v>
      </c>
      <c r="N1810" s="12" t="n">
        <f aca="false">K1810-M1810</f>
        <v>3827</v>
      </c>
    </row>
    <row r="1811" customFormat="false" ht="12.8" hidden="false" customHeight="false" outlineLevel="0" collapsed="false">
      <c r="A1811" s="10" t="n">
        <f aca="false">A1810+1</f>
        <v>1810</v>
      </c>
      <c r="B1811" s="11" t="n">
        <f aca="false">B1810+1</f>
        <v>46736</v>
      </c>
      <c r="C1811" s="10" t="n">
        <f aca="false">YEAR(B1811)</f>
        <v>2027</v>
      </c>
      <c r="D1811" s="10" t="n">
        <f aca="false">INT((MONTH(B1811)-1)/3)+1</f>
        <v>4</v>
      </c>
      <c r="E1811" s="10" t="n">
        <f aca="false">MONTH(B1811)</f>
        <v>12</v>
      </c>
      <c r="F1811" s="10" t="str">
        <f aca="false">CHOOSE(MOD(A1811-1,5)+1,"Центр","Юг","Север","Запад","Восток")</f>
        <v>Восток</v>
      </c>
      <c r="G1811" s="10" t="str">
        <f aca="false">"Округ_"&amp;(MOD(A1811-1,5)+1)&amp;"_"&amp;(MOD(INT((A1811-1)/5),5)+1)</f>
        <v>Округ_5_2</v>
      </c>
      <c r="H1811" s="10" t="str">
        <f aca="false">"Город_"&amp;(MOD(A1811-1,5)+1)&amp;"_"&amp;(MOD(INT((A1811-1)/5),5)+1)&amp;"_"&amp;(MOD(INT((A1811-1)/25),10)+1)</f>
        <v>Город_5_2_3</v>
      </c>
      <c r="I1811" s="10" t="str">
        <f aca="false">CHOOSE(MOD(A1811-1,4)+1,"Электроника","Одежда","Продукты","Мебель")</f>
        <v>Одежда</v>
      </c>
      <c r="J1811" s="10" t="str">
        <f aca="false">CHOOSE(MOD(INT((A1811-1)/4),4)+1,CHOOSE(MOD(A1811-1,4)+1,"Смартфоны","Ноутбуки","Аксессуары","Аудио"),CHOOSE(MOD(A1811-1,4)+1,"Верхняя одежда","Спортивная","Повседневная","Обувь"),CHOOSE(MOD(A1811-1,4)+1,"Молочные","Мясные","Бакалея","Напитки"),CHOOSE(MOD(A1811-1,4)+1,"Мягкая мебель","Корпусная","Офисная","Кухонная"))</f>
        <v>Ноутбуки</v>
      </c>
      <c r="K1811" s="12" t="n">
        <f aca="false">1000+MOD(A1811*317+A1811*A1811*7,49001)</f>
        <v>35991</v>
      </c>
      <c r="L1811" s="12" t="n">
        <f aca="false">1+MOD(A1811*131,100)</f>
        <v>11</v>
      </c>
      <c r="M1811" s="12" t="n">
        <f aca="false">INT(K1811*(0.6+MOD(A1811*43,21)/100))</f>
        <v>23034</v>
      </c>
      <c r="N1811" s="12" t="n">
        <f aca="false">K1811-M1811</f>
        <v>12957</v>
      </c>
    </row>
    <row r="1812" customFormat="false" ht="12.8" hidden="false" customHeight="false" outlineLevel="0" collapsed="false">
      <c r="A1812" s="10" t="n">
        <f aca="false">A1811+1</f>
        <v>1811</v>
      </c>
      <c r="B1812" s="11" t="n">
        <f aca="false">B1811+1</f>
        <v>46737</v>
      </c>
      <c r="C1812" s="10" t="n">
        <f aca="false">YEAR(B1812)</f>
        <v>2027</v>
      </c>
      <c r="D1812" s="10" t="n">
        <f aca="false">INT((MONTH(B1812)-1)/3)+1</f>
        <v>4</v>
      </c>
      <c r="E1812" s="10" t="n">
        <f aca="false">MONTH(B1812)</f>
        <v>12</v>
      </c>
      <c r="F1812" s="10" t="str">
        <f aca="false">CHOOSE(MOD(A1812-1,5)+1,"Центр","Юг","Север","Запад","Восток")</f>
        <v>Центр</v>
      </c>
      <c r="G1812" s="10" t="str">
        <f aca="false">"Округ_"&amp;(MOD(A1812-1,5)+1)&amp;"_"&amp;(MOD(INT((A1812-1)/5),5)+1)</f>
        <v>Округ_1_3</v>
      </c>
      <c r="H1812" s="10" t="str">
        <f aca="false">"Город_"&amp;(MOD(A1812-1,5)+1)&amp;"_"&amp;(MOD(INT((A1812-1)/5),5)+1)&amp;"_"&amp;(MOD(INT((A1812-1)/25),10)+1)</f>
        <v>Город_1_3_3</v>
      </c>
      <c r="I1812" s="10" t="str">
        <f aca="false">CHOOSE(MOD(A1812-1,4)+1,"Электроника","Одежда","Продукты","Мебель")</f>
        <v>Продукты</v>
      </c>
      <c r="J1812" s="10" t="str">
        <f aca="false">CHOOSE(MOD(INT((A1812-1)/4),4)+1,CHOOSE(MOD(A1812-1,4)+1,"Смартфоны","Ноутбуки","Аксессуары","Аудио"),CHOOSE(MOD(A1812-1,4)+1,"Верхняя одежда","Спортивная","Повседневная","Обувь"),CHOOSE(MOD(A1812-1,4)+1,"Молочные","Мясные","Бакалея","Напитки"),CHOOSE(MOD(A1812-1,4)+1,"Мягкая мебель","Корпусная","Офисная","Кухонная"))</f>
        <v>Аксессуары</v>
      </c>
      <c r="K1812" s="12" t="n">
        <f aca="false">1000+MOD(A1812*317+A1812*A1812*7,49001)</f>
        <v>12654</v>
      </c>
      <c r="L1812" s="12" t="n">
        <f aca="false">1+MOD(A1812*131,100)</f>
        <v>42</v>
      </c>
      <c r="M1812" s="12" t="n">
        <f aca="false">INT(K1812*(0.6+MOD(A1812*43,21)/100))</f>
        <v>8225</v>
      </c>
      <c r="N1812" s="12" t="n">
        <f aca="false">K1812-M1812</f>
        <v>4429</v>
      </c>
    </row>
    <row r="1813" customFormat="false" ht="12.8" hidden="false" customHeight="false" outlineLevel="0" collapsed="false">
      <c r="A1813" s="10" t="n">
        <f aca="false">A1812+1</f>
        <v>1812</v>
      </c>
      <c r="B1813" s="11" t="n">
        <f aca="false">B1812+1</f>
        <v>46738</v>
      </c>
      <c r="C1813" s="10" t="n">
        <f aca="false">YEAR(B1813)</f>
        <v>2027</v>
      </c>
      <c r="D1813" s="10" t="n">
        <f aca="false">INT((MONTH(B1813)-1)/3)+1</f>
        <v>4</v>
      </c>
      <c r="E1813" s="10" t="n">
        <f aca="false">MONTH(B1813)</f>
        <v>12</v>
      </c>
      <c r="F1813" s="10" t="str">
        <f aca="false">CHOOSE(MOD(A1813-1,5)+1,"Центр","Юг","Север","Запад","Восток")</f>
        <v>Юг</v>
      </c>
      <c r="G1813" s="10" t="str">
        <f aca="false">"Округ_"&amp;(MOD(A1813-1,5)+1)&amp;"_"&amp;(MOD(INT((A1813-1)/5),5)+1)</f>
        <v>Округ_2_3</v>
      </c>
      <c r="H1813" s="10" t="str">
        <f aca="false">"Город_"&amp;(MOD(A1813-1,5)+1)&amp;"_"&amp;(MOD(INT((A1813-1)/5),5)+1)&amp;"_"&amp;(MOD(INT((A1813-1)/25),10)+1)</f>
        <v>Город_2_3_3</v>
      </c>
      <c r="I1813" s="10" t="str">
        <f aca="false">CHOOSE(MOD(A1813-1,4)+1,"Электроника","Одежда","Продукты","Мебель")</f>
        <v>Мебель</v>
      </c>
      <c r="J1813" s="10" t="str">
        <f aca="false">CHOOSE(MOD(INT((A1813-1)/4),4)+1,CHOOSE(MOD(A1813-1,4)+1,"Смартфоны","Ноутбуки","Аксессуары","Аудио"),CHOOSE(MOD(A1813-1,4)+1,"Верхняя одежда","Спортивная","Повседневная","Обувь"),CHOOSE(MOD(A1813-1,4)+1,"Молочные","Мясные","Бакалея","Напитки"),CHOOSE(MOD(A1813-1,4)+1,"Мягкая мебель","Корпусная","Офисная","Кухонная"))</f>
        <v>Аудио</v>
      </c>
      <c r="K1813" s="12" t="n">
        <f aca="false">1000+MOD(A1813*317+A1813*A1813*7,49001)</f>
        <v>38332</v>
      </c>
      <c r="L1813" s="12" t="n">
        <f aca="false">1+MOD(A1813*131,100)</f>
        <v>73</v>
      </c>
      <c r="M1813" s="12" t="n">
        <f aca="false">INT(K1813*(0.6+MOD(A1813*43,21)/100))</f>
        <v>25299</v>
      </c>
      <c r="N1813" s="12" t="n">
        <f aca="false">K1813-M1813</f>
        <v>13033</v>
      </c>
    </row>
    <row r="1814" customFormat="false" ht="12.8" hidden="false" customHeight="false" outlineLevel="0" collapsed="false">
      <c r="A1814" s="10" t="n">
        <f aca="false">A1813+1</f>
        <v>1813</v>
      </c>
      <c r="B1814" s="11" t="n">
        <f aca="false">B1813+1</f>
        <v>46739</v>
      </c>
      <c r="C1814" s="10" t="n">
        <f aca="false">YEAR(B1814)</f>
        <v>2027</v>
      </c>
      <c r="D1814" s="10" t="n">
        <f aca="false">INT((MONTH(B1814)-1)/3)+1</f>
        <v>4</v>
      </c>
      <c r="E1814" s="10" t="n">
        <f aca="false">MONTH(B1814)</f>
        <v>12</v>
      </c>
      <c r="F1814" s="10" t="str">
        <f aca="false">CHOOSE(MOD(A1814-1,5)+1,"Центр","Юг","Север","Запад","Восток")</f>
        <v>Север</v>
      </c>
      <c r="G1814" s="10" t="str">
        <f aca="false">"Округ_"&amp;(MOD(A1814-1,5)+1)&amp;"_"&amp;(MOD(INT((A1814-1)/5),5)+1)</f>
        <v>Округ_3_3</v>
      </c>
      <c r="H1814" s="10" t="str">
        <f aca="false">"Город_"&amp;(MOD(A1814-1,5)+1)&amp;"_"&amp;(MOD(INT((A1814-1)/5),5)+1)&amp;"_"&amp;(MOD(INT((A1814-1)/25),10)+1)</f>
        <v>Город_3_3_3</v>
      </c>
      <c r="I1814" s="10" t="str">
        <f aca="false">CHOOSE(MOD(A1814-1,4)+1,"Электроника","Одежда","Продукты","Мебель")</f>
        <v>Электроника</v>
      </c>
      <c r="J1814" s="10" t="str">
        <f aca="false">CHOOSE(MOD(INT((A1814-1)/4),4)+1,CHOOSE(MOD(A1814-1,4)+1,"Смартфоны","Ноутбуки","Аксессуары","Аудио"),CHOOSE(MOD(A1814-1,4)+1,"Верхняя одежда","Спортивная","Повседневная","Обувь"),CHOOSE(MOD(A1814-1,4)+1,"Молочные","Мясные","Бакалея","Напитки"),CHOOSE(MOD(A1814-1,4)+1,"Мягкая мебель","Корпусная","Офисная","Кухонная"))</f>
        <v>Верхняя одежда</v>
      </c>
      <c r="K1814" s="12" t="n">
        <f aca="false">1000+MOD(A1814*317+A1814*A1814*7,49001)</f>
        <v>15023</v>
      </c>
      <c r="L1814" s="12" t="n">
        <f aca="false">1+MOD(A1814*131,100)</f>
        <v>4</v>
      </c>
      <c r="M1814" s="12" t="n">
        <f aca="false">INT(K1814*(0.6+MOD(A1814*43,21)/100))</f>
        <v>10065</v>
      </c>
      <c r="N1814" s="12" t="n">
        <f aca="false">K1814-M1814</f>
        <v>4958</v>
      </c>
    </row>
    <row r="1815" customFormat="false" ht="12.8" hidden="false" customHeight="false" outlineLevel="0" collapsed="false">
      <c r="A1815" s="10" t="n">
        <f aca="false">A1814+1</f>
        <v>1814</v>
      </c>
      <c r="B1815" s="11" t="n">
        <f aca="false">B1814+1</f>
        <v>46740</v>
      </c>
      <c r="C1815" s="10" t="n">
        <f aca="false">YEAR(B1815)</f>
        <v>2027</v>
      </c>
      <c r="D1815" s="10" t="n">
        <f aca="false">INT((MONTH(B1815)-1)/3)+1</f>
        <v>4</v>
      </c>
      <c r="E1815" s="10" t="n">
        <f aca="false">MONTH(B1815)</f>
        <v>12</v>
      </c>
      <c r="F1815" s="10" t="str">
        <f aca="false">CHOOSE(MOD(A1815-1,5)+1,"Центр","Юг","Север","Запад","Восток")</f>
        <v>Запад</v>
      </c>
      <c r="G1815" s="10" t="str">
        <f aca="false">"Округ_"&amp;(MOD(A1815-1,5)+1)&amp;"_"&amp;(MOD(INT((A1815-1)/5),5)+1)</f>
        <v>Округ_4_3</v>
      </c>
      <c r="H1815" s="10" t="str">
        <f aca="false">"Город_"&amp;(MOD(A1815-1,5)+1)&amp;"_"&amp;(MOD(INT((A1815-1)/5),5)+1)&amp;"_"&amp;(MOD(INT((A1815-1)/25),10)+1)</f>
        <v>Город_4_3_3</v>
      </c>
      <c r="I1815" s="10" t="str">
        <f aca="false">CHOOSE(MOD(A1815-1,4)+1,"Электроника","Одежда","Продукты","Мебель")</f>
        <v>Одежда</v>
      </c>
      <c r="J1815" s="10" t="str">
        <f aca="false">CHOOSE(MOD(INT((A1815-1)/4),4)+1,CHOOSE(MOD(A1815-1,4)+1,"Смартфоны","Ноутбуки","Аксессуары","Аудио"),CHOOSE(MOD(A1815-1,4)+1,"Верхняя одежда","Спортивная","Повседневная","Обувь"),CHOOSE(MOD(A1815-1,4)+1,"Молочные","Мясные","Бакалея","Напитки"),CHOOSE(MOD(A1815-1,4)+1,"Мягкая мебель","Корпусная","Офисная","Кухонная"))</f>
        <v>Спортивная</v>
      </c>
      <c r="K1815" s="12" t="n">
        <f aca="false">1000+MOD(A1815*317+A1815*A1815*7,49001)</f>
        <v>40729</v>
      </c>
      <c r="L1815" s="12" t="n">
        <f aca="false">1+MOD(A1815*131,100)</f>
        <v>35</v>
      </c>
      <c r="M1815" s="12" t="n">
        <f aca="false">INT(K1815*(0.6+MOD(A1815*43,21)/100))</f>
        <v>27695</v>
      </c>
      <c r="N1815" s="12" t="n">
        <f aca="false">K1815-M1815</f>
        <v>13034</v>
      </c>
    </row>
    <row r="1816" customFormat="false" ht="12.8" hidden="false" customHeight="false" outlineLevel="0" collapsed="false">
      <c r="A1816" s="10" t="n">
        <f aca="false">A1815+1</f>
        <v>1815</v>
      </c>
      <c r="B1816" s="11" t="n">
        <f aca="false">B1815+1</f>
        <v>46741</v>
      </c>
      <c r="C1816" s="10" t="n">
        <f aca="false">YEAR(B1816)</f>
        <v>2027</v>
      </c>
      <c r="D1816" s="10" t="n">
        <f aca="false">INT((MONTH(B1816)-1)/3)+1</f>
        <v>4</v>
      </c>
      <c r="E1816" s="10" t="n">
        <f aca="false">MONTH(B1816)</f>
        <v>12</v>
      </c>
      <c r="F1816" s="10" t="str">
        <f aca="false">CHOOSE(MOD(A1816-1,5)+1,"Центр","Юг","Север","Запад","Восток")</f>
        <v>Восток</v>
      </c>
      <c r="G1816" s="10" t="str">
        <f aca="false">"Округ_"&amp;(MOD(A1816-1,5)+1)&amp;"_"&amp;(MOD(INT((A1816-1)/5),5)+1)</f>
        <v>Округ_5_3</v>
      </c>
      <c r="H1816" s="10" t="str">
        <f aca="false">"Город_"&amp;(MOD(A1816-1,5)+1)&amp;"_"&amp;(MOD(INT((A1816-1)/5),5)+1)&amp;"_"&amp;(MOD(INT((A1816-1)/25),10)+1)</f>
        <v>Город_5_3_3</v>
      </c>
      <c r="I1816" s="10" t="str">
        <f aca="false">CHOOSE(MOD(A1816-1,4)+1,"Электроника","Одежда","Продукты","Мебель")</f>
        <v>Продукты</v>
      </c>
      <c r="J1816" s="10" t="str">
        <f aca="false">CHOOSE(MOD(INT((A1816-1)/4),4)+1,CHOOSE(MOD(A1816-1,4)+1,"Смартфоны","Ноутбуки","Аксессуары","Аудио"),CHOOSE(MOD(A1816-1,4)+1,"Верхняя одежда","Спортивная","Повседневная","Обувь"),CHOOSE(MOD(A1816-1,4)+1,"Молочные","Мясные","Бакалея","Напитки"),CHOOSE(MOD(A1816-1,4)+1,"Мягкая мебель","Корпусная","Офисная","Кухонная"))</f>
        <v>Повседневная</v>
      </c>
      <c r="K1816" s="12" t="n">
        <f aca="false">1000+MOD(A1816*317+A1816*A1816*7,49001)</f>
        <v>17448</v>
      </c>
      <c r="L1816" s="12" t="n">
        <f aca="false">1+MOD(A1816*131,100)</f>
        <v>66</v>
      </c>
      <c r="M1816" s="12" t="n">
        <f aca="false">INT(K1816*(0.6+MOD(A1816*43,21)/100))</f>
        <v>12039</v>
      </c>
      <c r="N1816" s="12" t="n">
        <f aca="false">K1816-M1816</f>
        <v>5409</v>
      </c>
    </row>
    <row r="1817" customFormat="false" ht="12.8" hidden="false" customHeight="false" outlineLevel="0" collapsed="false">
      <c r="A1817" s="10" t="n">
        <f aca="false">A1816+1</f>
        <v>1816</v>
      </c>
      <c r="B1817" s="11" t="n">
        <f aca="false">B1816+1</f>
        <v>46742</v>
      </c>
      <c r="C1817" s="10" t="n">
        <f aca="false">YEAR(B1817)</f>
        <v>2027</v>
      </c>
      <c r="D1817" s="10" t="n">
        <f aca="false">INT((MONTH(B1817)-1)/3)+1</f>
        <v>4</v>
      </c>
      <c r="E1817" s="10" t="n">
        <f aca="false">MONTH(B1817)</f>
        <v>12</v>
      </c>
      <c r="F1817" s="10" t="str">
        <f aca="false">CHOOSE(MOD(A1817-1,5)+1,"Центр","Юг","Север","Запад","Восток")</f>
        <v>Центр</v>
      </c>
      <c r="G1817" s="10" t="str">
        <f aca="false">"Округ_"&amp;(MOD(A1817-1,5)+1)&amp;"_"&amp;(MOD(INT((A1817-1)/5),5)+1)</f>
        <v>Округ_1_4</v>
      </c>
      <c r="H1817" s="10" t="str">
        <f aca="false">"Город_"&amp;(MOD(A1817-1,5)+1)&amp;"_"&amp;(MOD(INT((A1817-1)/5),5)+1)&amp;"_"&amp;(MOD(INT((A1817-1)/25),10)+1)</f>
        <v>Город_1_4_3</v>
      </c>
      <c r="I1817" s="10" t="str">
        <f aca="false">CHOOSE(MOD(A1817-1,4)+1,"Электроника","Одежда","Продукты","Мебель")</f>
        <v>Мебель</v>
      </c>
      <c r="J1817" s="10" t="str">
        <f aca="false">CHOOSE(MOD(INT((A1817-1)/4),4)+1,CHOOSE(MOD(A1817-1,4)+1,"Смартфоны","Ноутбуки","Аксессуары","Аудио"),CHOOSE(MOD(A1817-1,4)+1,"Верхняя одежда","Спортивная","Повседневная","Обувь"),CHOOSE(MOD(A1817-1,4)+1,"Молочные","Мясные","Бакалея","Напитки"),CHOOSE(MOD(A1817-1,4)+1,"Мягкая мебель","Корпусная","Офисная","Кухонная"))</f>
        <v>Обувь</v>
      </c>
      <c r="K1817" s="12" t="n">
        <f aca="false">1000+MOD(A1817*317+A1817*A1817*7,49001)</f>
        <v>43182</v>
      </c>
      <c r="L1817" s="12" t="n">
        <f aca="false">1+MOD(A1817*131,100)</f>
        <v>97</v>
      </c>
      <c r="M1817" s="12" t="n">
        <f aca="false">INT(K1817*(0.6+MOD(A1817*43,21)/100))</f>
        <v>30227</v>
      </c>
      <c r="N1817" s="12" t="n">
        <f aca="false">K1817-M1817</f>
        <v>12955</v>
      </c>
    </row>
    <row r="1818" customFormat="false" ht="12.8" hidden="false" customHeight="false" outlineLevel="0" collapsed="false">
      <c r="A1818" s="10" t="n">
        <f aca="false">A1817+1</f>
        <v>1817</v>
      </c>
      <c r="B1818" s="11" t="n">
        <f aca="false">B1817+1</f>
        <v>46743</v>
      </c>
      <c r="C1818" s="10" t="n">
        <f aca="false">YEAR(B1818)</f>
        <v>2027</v>
      </c>
      <c r="D1818" s="10" t="n">
        <f aca="false">INT((MONTH(B1818)-1)/3)+1</f>
        <v>4</v>
      </c>
      <c r="E1818" s="10" t="n">
        <f aca="false">MONTH(B1818)</f>
        <v>12</v>
      </c>
      <c r="F1818" s="10" t="str">
        <f aca="false">CHOOSE(MOD(A1818-1,5)+1,"Центр","Юг","Север","Запад","Восток")</f>
        <v>Юг</v>
      </c>
      <c r="G1818" s="10" t="str">
        <f aca="false">"Округ_"&amp;(MOD(A1818-1,5)+1)&amp;"_"&amp;(MOD(INT((A1818-1)/5),5)+1)</f>
        <v>Округ_2_4</v>
      </c>
      <c r="H1818" s="10" t="str">
        <f aca="false">"Город_"&amp;(MOD(A1818-1,5)+1)&amp;"_"&amp;(MOD(INT((A1818-1)/5),5)+1)&amp;"_"&amp;(MOD(INT((A1818-1)/25),10)+1)</f>
        <v>Город_2_4_3</v>
      </c>
      <c r="I1818" s="10" t="str">
        <f aca="false">CHOOSE(MOD(A1818-1,4)+1,"Электроника","Одежда","Продукты","Мебель")</f>
        <v>Электроника</v>
      </c>
      <c r="J1818" s="10" t="str">
        <f aca="false">CHOOSE(MOD(INT((A1818-1)/4),4)+1,CHOOSE(MOD(A1818-1,4)+1,"Смартфоны","Ноутбуки","Аксессуары","Аудио"),CHOOSE(MOD(A1818-1,4)+1,"Верхняя одежда","Спортивная","Повседневная","Обувь"),CHOOSE(MOD(A1818-1,4)+1,"Молочные","Мясные","Бакалея","Напитки"),CHOOSE(MOD(A1818-1,4)+1,"Мягкая мебель","Корпусная","Офисная","Кухонная"))</f>
        <v>Молочные</v>
      </c>
      <c r="K1818" s="12" t="n">
        <f aca="false">1000+MOD(A1818*317+A1818*A1818*7,49001)</f>
        <v>19929</v>
      </c>
      <c r="L1818" s="12" t="n">
        <f aca="false">1+MOD(A1818*131,100)</f>
        <v>28</v>
      </c>
      <c r="M1818" s="12" t="n">
        <f aca="false">INT(K1818*(0.6+MOD(A1818*43,21)/100))</f>
        <v>14149</v>
      </c>
      <c r="N1818" s="12" t="n">
        <f aca="false">K1818-M1818</f>
        <v>5780</v>
      </c>
    </row>
    <row r="1819" customFormat="false" ht="12.8" hidden="false" customHeight="false" outlineLevel="0" collapsed="false">
      <c r="A1819" s="10" t="n">
        <f aca="false">A1818+1</f>
        <v>1818</v>
      </c>
      <c r="B1819" s="11" t="n">
        <f aca="false">B1818+1</f>
        <v>46744</v>
      </c>
      <c r="C1819" s="10" t="n">
        <f aca="false">YEAR(B1819)</f>
        <v>2027</v>
      </c>
      <c r="D1819" s="10" t="n">
        <f aca="false">INT((MONTH(B1819)-1)/3)+1</f>
        <v>4</v>
      </c>
      <c r="E1819" s="10" t="n">
        <f aca="false">MONTH(B1819)</f>
        <v>12</v>
      </c>
      <c r="F1819" s="10" t="str">
        <f aca="false">CHOOSE(MOD(A1819-1,5)+1,"Центр","Юг","Север","Запад","Восток")</f>
        <v>Север</v>
      </c>
      <c r="G1819" s="10" t="str">
        <f aca="false">"Округ_"&amp;(MOD(A1819-1,5)+1)&amp;"_"&amp;(MOD(INT((A1819-1)/5),5)+1)</f>
        <v>Округ_3_4</v>
      </c>
      <c r="H1819" s="10" t="str">
        <f aca="false">"Город_"&amp;(MOD(A1819-1,5)+1)&amp;"_"&amp;(MOD(INT((A1819-1)/5),5)+1)&amp;"_"&amp;(MOD(INT((A1819-1)/25),10)+1)</f>
        <v>Город_3_4_3</v>
      </c>
      <c r="I1819" s="10" t="str">
        <f aca="false">CHOOSE(MOD(A1819-1,4)+1,"Электроника","Одежда","Продукты","Мебель")</f>
        <v>Одежда</v>
      </c>
      <c r="J1819" s="10" t="str">
        <f aca="false">CHOOSE(MOD(INT((A1819-1)/4),4)+1,CHOOSE(MOD(A1819-1,4)+1,"Смартфоны","Ноутбуки","Аксессуары","Аудио"),CHOOSE(MOD(A1819-1,4)+1,"Верхняя одежда","Спортивная","Повседневная","Обувь"),CHOOSE(MOD(A1819-1,4)+1,"Молочные","Мясные","Бакалея","Напитки"),CHOOSE(MOD(A1819-1,4)+1,"Мягкая мебель","Корпусная","Офисная","Кухонная"))</f>
        <v>Мясные</v>
      </c>
      <c r="K1819" s="12" t="n">
        <f aca="false">1000+MOD(A1819*317+A1819*A1819*7,49001)</f>
        <v>45691</v>
      </c>
      <c r="L1819" s="12" t="n">
        <f aca="false">1+MOD(A1819*131,100)</f>
        <v>59</v>
      </c>
      <c r="M1819" s="12" t="n">
        <f aca="false">INT(K1819*(0.6+MOD(A1819*43,21)/100))</f>
        <v>32897</v>
      </c>
      <c r="N1819" s="12" t="n">
        <f aca="false">K1819-M1819</f>
        <v>12794</v>
      </c>
    </row>
    <row r="1820" customFormat="false" ht="12.8" hidden="false" customHeight="false" outlineLevel="0" collapsed="false">
      <c r="A1820" s="10" t="n">
        <f aca="false">A1819+1</f>
        <v>1819</v>
      </c>
      <c r="B1820" s="11" t="n">
        <f aca="false">B1819+1</f>
        <v>46745</v>
      </c>
      <c r="C1820" s="10" t="n">
        <f aca="false">YEAR(B1820)</f>
        <v>2027</v>
      </c>
      <c r="D1820" s="10" t="n">
        <f aca="false">INT((MONTH(B1820)-1)/3)+1</f>
        <v>4</v>
      </c>
      <c r="E1820" s="10" t="n">
        <f aca="false">MONTH(B1820)</f>
        <v>12</v>
      </c>
      <c r="F1820" s="10" t="str">
        <f aca="false">CHOOSE(MOD(A1820-1,5)+1,"Центр","Юг","Север","Запад","Восток")</f>
        <v>Запад</v>
      </c>
      <c r="G1820" s="10" t="str">
        <f aca="false">"Округ_"&amp;(MOD(A1820-1,5)+1)&amp;"_"&amp;(MOD(INT((A1820-1)/5),5)+1)</f>
        <v>Округ_4_4</v>
      </c>
      <c r="H1820" s="10" t="str">
        <f aca="false">"Город_"&amp;(MOD(A1820-1,5)+1)&amp;"_"&amp;(MOD(INT((A1820-1)/5),5)+1)&amp;"_"&amp;(MOD(INT((A1820-1)/25),10)+1)</f>
        <v>Город_4_4_3</v>
      </c>
      <c r="I1820" s="10" t="str">
        <f aca="false">CHOOSE(MOD(A1820-1,4)+1,"Электроника","Одежда","Продукты","Мебель")</f>
        <v>Продукты</v>
      </c>
      <c r="J1820" s="10" t="str">
        <f aca="false">CHOOSE(MOD(INT((A1820-1)/4),4)+1,CHOOSE(MOD(A1820-1,4)+1,"Смартфоны","Ноутбуки","Аксессуары","Аудио"),CHOOSE(MOD(A1820-1,4)+1,"Верхняя одежда","Спортивная","Повседневная","Обувь"),CHOOSE(MOD(A1820-1,4)+1,"Молочные","Мясные","Бакалея","Напитки"),CHOOSE(MOD(A1820-1,4)+1,"Мягкая мебель","Корпусная","Офисная","Кухонная"))</f>
        <v>Бакалея</v>
      </c>
      <c r="K1820" s="12" t="n">
        <f aca="false">1000+MOD(A1820*317+A1820*A1820*7,49001)</f>
        <v>22466</v>
      </c>
      <c r="L1820" s="12" t="n">
        <f aca="false">1+MOD(A1820*131,100)</f>
        <v>90</v>
      </c>
      <c r="M1820" s="12" t="n">
        <f aca="false">INT(K1820*(0.6+MOD(A1820*43,21)/100))</f>
        <v>16400</v>
      </c>
      <c r="N1820" s="12" t="n">
        <f aca="false">K1820-M1820</f>
        <v>6066</v>
      </c>
    </row>
    <row r="1821" customFormat="false" ht="12.8" hidden="false" customHeight="false" outlineLevel="0" collapsed="false">
      <c r="A1821" s="10" t="n">
        <f aca="false">A1820+1</f>
        <v>1820</v>
      </c>
      <c r="B1821" s="11" t="n">
        <f aca="false">B1820+1</f>
        <v>46746</v>
      </c>
      <c r="C1821" s="10" t="n">
        <f aca="false">YEAR(B1821)</f>
        <v>2027</v>
      </c>
      <c r="D1821" s="10" t="n">
        <f aca="false">INT((MONTH(B1821)-1)/3)+1</f>
        <v>4</v>
      </c>
      <c r="E1821" s="10" t="n">
        <f aca="false">MONTH(B1821)</f>
        <v>12</v>
      </c>
      <c r="F1821" s="10" t="str">
        <f aca="false">CHOOSE(MOD(A1821-1,5)+1,"Центр","Юг","Север","Запад","Восток")</f>
        <v>Восток</v>
      </c>
      <c r="G1821" s="10" t="str">
        <f aca="false">"Округ_"&amp;(MOD(A1821-1,5)+1)&amp;"_"&amp;(MOD(INT((A1821-1)/5),5)+1)</f>
        <v>Округ_5_4</v>
      </c>
      <c r="H1821" s="10" t="str">
        <f aca="false">"Город_"&amp;(MOD(A1821-1,5)+1)&amp;"_"&amp;(MOD(INT((A1821-1)/5),5)+1)&amp;"_"&amp;(MOD(INT((A1821-1)/25),10)+1)</f>
        <v>Город_5_4_3</v>
      </c>
      <c r="I1821" s="10" t="str">
        <f aca="false">CHOOSE(MOD(A1821-1,4)+1,"Электроника","Одежда","Продукты","Мебель")</f>
        <v>Мебель</v>
      </c>
      <c r="J1821" s="10" t="str">
        <f aca="false">CHOOSE(MOD(INT((A1821-1)/4),4)+1,CHOOSE(MOD(A1821-1,4)+1,"Смартфоны","Ноутбуки","Аксессуары","Аудио"),CHOOSE(MOD(A1821-1,4)+1,"Верхняя одежда","Спортивная","Повседневная","Обувь"),CHOOSE(MOD(A1821-1,4)+1,"Молочные","Мясные","Бакалея","Напитки"),CHOOSE(MOD(A1821-1,4)+1,"Мягкая мебель","Корпусная","Офисная","Кухонная"))</f>
        <v>Напитки</v>
      </c>
      <c r="K1821" s="12" t="n">
        <f aca="false">1000+MOD(A1821*317+A1821*A1821*7,49001)</f>
        <v>48256</v>
      </c>
      <c r="L1821" s="12" t="n">
        <f aca="false">1+MOD(A1821*131,100)</f>
        <v>21</v>
      </c>
      <c r="M1821" s="12" t="n">
        <f aca="false">INT(K1821*(0.6+MOD(A1821*43,21)/100))</f>
        <v>35709</v>
      </c>
      <c r="N1821" s="12" t="n">
        <f aca="false">K1821-M1821</f>
        <v>12547</v>
      </c>
    </row>
    <row r="1822" customFormat="false" ht="12.8" hidden="false" customHeight="false" outlineLevel="0" collapsed="false">
      <c r="A1822" s="10" t="n">
        <f aca="false">A1821+1</f>
        <v>1821</v>
      </c>
      <c r="B1822" s="11" t="n">
        <f aca="false">B1821+1</f>
        <v>46747</v>
      </c>
      <c r="C1822" s="10" t="n">
        <f aca="false">YEAR(B1822)</f>
        <v>2027</v>
      </c>
      <c r="D1822" s="10" t="n">
        <f aca="false">INT((MONTH(B1822)-1)/3)+1</f>
        <v>4</v>
      </c>
      <c r="E1822" s="10" t="n">
        <f aca="false">MONTH(B1822)</f>
        <v>12</v>
      </c>
      <c r="F1822" s="10" t="str">
        <f aca="false">CHOOSE(MOD(A1822-1,5)+1,"Центр","Юг","Север","Запад","Восток")</f>
        <v>Центр</v>
      </c>
      <c r="G1822" s="10" t="str">
        <f aca="false">"Округ_"&amp;(MOD(A1822-1,5)+1)&amp;"_"&amp;(MOD(INT((A1822-1)/5),5)+1)</f>
        <v>Округ_1_5</v>
      </c>
      <c r="H1822" s="10" t="str">
        <f aca="false">"Город_"&amp;(MOD(A1822-1,5)+1)&amp;"_"&amp;(MOD(INT((A1822-1)/5),5)+1)&amp;"_"&amp;(MOD(INT((A1822-1)/25),10)+1)</f>
        <v>Город_1_5_3</v>
      </c>
      <c r="I1822" s="10" t="str">
        <f aca="false">CHOOSE(MOD(A1822-1,4)+1,"Электроника","Одежда","Продукты","Мебель")</f>
        <v>Электроника</v>
      </c>
      <c r="J1822" s="10" t="str">
        <f aca="false">CHOOSE(MOD(INT((A1822-1)/4),4)+1,CHOOSE(MOD(A1822-1,4)+1,"Смартфоны","Ноутбуки","Аксессуары","Аудио"),CHOOSE(MOD(A1822-1,4)+1,"Верхняя одежда","Спортивная","Повседневная","Обувь"),CHOOSE(MOD(A1822-1,4)+1,"Молочные","Мясные","Бакалея","Напитки"),CHOOSE(MOD(A1822-1,4)+1,"Мягкая мебель","Корпусная","Офисная","Кухонная"))</f>
        <v>Мягкая мебель</v>
      </c>
      <c r="K1822" s="12" t="n">
        <f aca="false">1000+MOD(A1822*317+A1822*A1822*7,49001)</f>
        <v>25059</v>
      </c>
      <c r="L1822" s="12" t="n">
        <f aca="false">1+MOD(A1822*131,100)</f>
        <v>52</v>
      </c>
      <c r="M1822" s="12" t="n">
        <f aca="false">INT(K1822*(0.6+MOD(A1822*43,21)/100))</f>
        <v>18794</v>
      </c>
      <c r="N1822" s="12" t="n">
        <f aca="false">K1822-M1822</f>
        <v>6265</v>
      </c>
    </row>
    <row r="1823" customFormat="false" ht="12.8" hidden="false" customHeight="false" outlineLevel="0" collapsed="false">
      <c r="A1823" s="10" t="n">
        <f aca="false">A1822+1</f>
        <v>1822</v>
      </c>
      <c r="B1823" s="11" t="n">
        <f aca="false">B1822+1</f>
        <v>46748</v>
      </c>
      <c r="C1823" s="10" t="n">
        <f aca="false">YEAR(B1823)</f>
        <v>2027</v>
      </c>
      <c r="D1823" s="10" t="n">
        <f aca="false">INT((MONTH(B1823)-1)/3)+1</f>
        <v>4</v>
      </c>
      <c r="E1823" s="10" t="n">
        <f aca="false">MONTH(B1823)</f>
        <v>12</v>
      </c>
      <c r="F1823" s="10" t="str">
        <f aca="false">CHOOSE(MOD(A1823-1,5)+1,"Центр","Юг","Север","Запад","Восток")</f>
        <v>Юг</v>
      </c>
      <c r="G1823" s="10" t="str">
        <f aca="false">"Округ_"&amp;(MOD(A1823-1,5)+1)&amp;"_"&amp;(MOD(INT((A1823-1)/5),5)+1)</f>
        <v>Округ_2_5</v>
      </c>
      <c r="H1823" s="10" t="str">
        <f aca="false">"Город_"&amp;(MOD(A1823-1,5)+1)&amp;"_"&amp;(MOD(INT((A1823-1)/5),5)+1)&amp;"_"&amp;(MOD(INT((A1823-1)/25),10)+1)</f>
        <v>Город_2_5_3</v>
      </c>
      <c r="I1823" s="10" t="str">
        <f aca="false">CHOOSE(MOD(A1823-1,4)+1,"Электроника","Одежда","Продукты","Мебель")</f>
        <v>Одежда</v>
      </c>
      <c r="J1823" s="10" t="str">
        <f aca="false">CHOOSE(MOD(INT((A1823-1)/4),4)+1,CHOOSE(MOD(A1823-1,4)+1,"Смартфоны","Ноутбуки","Аксессуары","Аудио"),CHOOSE(MOD(A1823-1,4)+1,"Верхняя одежда","Спортивная","Повседневная","Обувь"),CHOOSE(MOD(A1823-1,4)+1,"Молочные","Мясные","Бакалея","Напитки"),CHOOSE(MOD(A1823-1,4)+1,"Мягкая мебель","Корпусная","Офисная","Кухонная"))</f>
        <v>Корпусная</v>
      </c>
      <c r="K1823" s="12" t="n">
        <f aca="false">1000+MOD(A1823*317+A1823*A1823*7,49001)</f>
        <v>1876</v>
      </c>
      <c r="L1823" s="12" t="n">
        <f aca="false">1+MOD(A1823*131,100)</f>
        <v>83</v>
      </c>
      <c r="M1823" s="12" t="n">
        <f aca="false">INT(K1823*(0.6+MOD(A1823*43,21)/100))</f>
        <v>1425</v>
      </c>
      <c r="N1823" s="12" t="n">
        <f aca="false">K1823-M1823</f>
        <v>451</v>
      </c>
    </row>
    <row r="1824" customFormat="false" ht="12.8" hidden="false" customHeight="false" outlineLevel="0" collapsed="false">
      <c r="A1824" s="10" t="n">
        <f aca="false">A1823+1</f>
        <v>1823</v>
      </c>
      <c r="B1824" s="11" t="n">
        <f aca="false">B1823+1</f>
        <v>46749</v>
      </c>
      <c r="C1824" s="10" t="n">
        <f aca="false">YEAR(B1824)</f>
        <v>2027</v>
      </c>
      <c r="D1824" s="10" t="n">
        <f aca="false">INT((MONTH(B1824)-1)/3)+1</f>
        <v>4</v>
      </c>
      <c r="E1824" s="10" t="n">
        <f aca="false">MONTH(B1824)</f>
        <v>12</v>
      </c>
      <c r="F1824" s="10" t="str">
        <f aca="false">CHOOSE(MOD(A1824-1,5)+1,"Центр","Юг","Север","Запад","Восток")</f>
        <v>Север</v>
      </c>
      <c r="G1824" s="10" t="str">
        <f aca="false">"Округ_"&amp;(MOD(A1824-1,5)+1)&amp;"_"&amp;(MOD(INT((A1824-1)/5),5)+1)</f>
        <v>Округ_3_5</v>
      </c>
      <c r="H1824" s="10" t="str">
        <f aca="false">"Город_"&amp;(MOD(A1824-1,5)+1)&amp;"_"&amp;(MOD(INT((A1824-1)/5),5)+1)&amp;"_"&amp;(MOD(INT((A1824-1)/25),10)+1)</f>
        <v>Город_3_5_3</v>
      </c>
      <c r="I1824" s="10" t="str">
        <f aca="false">CHOOSE(MOD(A1824-1,4)+1,"Электроника","Одежда","Продукты","Мебель")</f>
        <v>Продукты</v>
      </c>
      <c r="J1824" s="10" t="str">
        <f aca="false">CHOOSE(MOD(INT((A1824-1)/4),4)+1,CHOOSE(MOD(A1824-1,4)+1,"Смартфоны","Ноутбуки","Аксессуары","Аудио"),CHOOSE(MOD(A1824-1,4)+1,"Верхняя одежда","Спортивная","Повседневная","Обувь"),CHOOSE(MOD(A1824-1,4)+1,"Молочные","Мясные","Бакалея","Напитки"),CHOOSE(MOD(A1824-1,4)+1,"Мягкая мебель","Корпусная","Офисная","Кухонная"))</f>
        <v>Офисная</v>
      </c>
      <c r="K1824" s="12" t="n">
        <f aca="false">1000+MOD(A1824*317+A1824*A1824*7,49001)</f>
        <v>27708</v>
      </c>
      <c r="L1824" s="12" t="n">
        <f aca="false">1+MOD(A1824*131,100)</f>
        <v>14</v>
      </c>
      <c r="M1824" s="12" t="n">
        <f aca="false">INT(K1824*(0.6+MOD(A1824*43,21)/100))</f>
        <v>21335</v>
      </c>
      <c r="N1824" s="12" t="n">
        <f aca="false">K1824-M1824</f>
        <v>6373</v>
      </c>
    </row>
    <row r="1825" customFormat="false" ht="12.8" hidden="false" customHeight="false" outlineLevel="0" collapsed="false">
      <c r="A1825" s="10" t="n">
        <f aca="false">A1824+1</f>
        <v>1824</v>
      </c>
      <c r="B1825" s="11" t="n">
        <f aca="false">B1824+1</f>
        <v>46750</v>
      </c>
      <c r="C1825" s="10" t="n">
        <f aca="false">YEAR(B1825)</f>
        <v>2027</v>
      </c>
      <c r="D1825" s="10" t="n">
        <f aca="false">INT((MONTH(B1825)-1)/3)+1</f>
        <v>4</v>
      </c>
      <c r="E1825" s="10" t="n">
        <f aca="false">MONTH(B1825)</f>
        <v>12</v>
      </c>
      <c r="F1825" s="10" t="str">
        <f aca="false">CHOOSE(MOD(A1825-1,5)+1,"Центр","Юг","Север","Запад","Восток")</f>
        <v>Запад</v>
      </c>
      <c r="G1825" s="10" t="str">
        <f aca="false">"Округ_"&amp;(MOD(A1825-1,5)+1)&amp;"_"&amp;(MOD(INT((A1825-1)/5),5)+1)</f>
        <v>Округ_4_5</v>
      </c>
      <c r="H1825" s="10" t="str">
        <f aca="false">"Город_"&amp;(MOD(A1825-1,5)+1)&amp;"_"&amp;(MOD(INT((A1825-1)/5),5)+1)&amp;"_"&amp;(MOD(INT((A1825-1)/25),10)+1)</f>
        <v>Город_4_5_3</v>
      </c>
      <c r="I1825" s="10" t="str">
        <f aca="false">CHOOSE(MOD(A1825-1,4)+1,"Электроника","Одежда","Продукты","Мебель")</f>
        <v>Мебель</v>
      </c>
      <c r="J1825" s="10" t="str">
        <f aca="false">CHOOSE(MOD(INT((A1825-1)/4),4)+1,CHOOSE(MOD(A1825-1,4)+1,"Смартфоны","Ноутбуки","Аксессуары","Аудио"),CHOOSE(MOD(A1825-1,4)+1,"Верхняя одежда","Спортивная","Повседневная","Обувь"),CHOOSE(MOD(A1825-1,4)+1,"Молочные","Мясные","Бакалея","Напитки"),CHOOSE(MOD(A1825-1,4)+1,"Мягкая мебель","Корпусная","Офисная","Кухонная"))</f>
        <v>Кухонная</v>
      </c>
      <c r="K1825" s="12" t="n">
        <f aca="false">1000+MOD(A1825*317+A1825*A1825*7,49001)</f>
        <v>4553</v>
      </c>
      <c r="L1825" s="12" t="n">
        <f aca="false">1+MOD(A1825*131,100)</f>
        <v>45</v>
      </c>
      <c r="M1825" s="12" t="n">
        <f aca="false">INT(K1825*(0.6+MOD(A1825*43,21)/100))</f>
        <v>3551</v>
      </c>
      <c r="N1825" s="12" t="n">
        <f aca="false">K1825-M1825</f>
        <v>1002</v>
      </c>
    </row>
    <row r="1826" customFormat="false" ht="12.8" hidden="false" customHeight="false" outlineLevel="0" collapsed="false">
      <c r="A1826" s="10" t="n">
        <f aca="false">A1825+1</f>
        <v>1825</v>
      </c>
      <c r="B1826" s="11" t="n">
        <f aca="false">B1825+1</f>
        <v>46751</v>
      </c>
      <c r="C1826" s="10" t="n">
        <f aca="false">YEAR(B1826)</f>
        <v>2027</v>
      </c>
      <c r="D1826" s="10" t="n">
        <f aca="false">INT((MONTH(B1826)-1)/3)+1</f>
        <v>4</v>
      </c>
      <c r="E1826" s="10" t="n">
        <f aca="false">MONTH(B1826)</f>
        <v>12</v>
      </c>
      <c r="F1826" s="10" t="str">
        <f aca="false">CHOOSE(MOD(A1826-1,5)+1,"Центр","Юг","Север","Запад","Восток")</f>
        <v>Восток</v>
      </c>
      <c r="G1826" s="10" t="str">
        <f aca="false">"Округ_"&amp;(MOD(A1826-1,5)+1)&amp;"_"&amp;(MOD(INT((A1826-1)/5),5)+1)</f>
        <v>Округ_5_5</v>
      </c>
      <c r="H1826" s="10" t="str">
        <f aca="false">"Город_"&amp;(MOD(A1826-1,5)+1)&amp;"_"&amp;(MOD(INT((A1826-1)/5),5)+1)&amp;"_"&amp;(MOD(INT((A1826-1)/25),10)+1)</f>
        <v>Город_5_5_3</v>
      </c>
      <c r="I1826" s="10" t="str">
        <f aca="false">CHOOSE(MOD(A1826-1,4)+1,"Электроника","Одежда","Продукты","Мебель")</f>
        <v>Электроника</v>
      </c>
      <c r="J1826" s="10" t="str">
        <f aca="false">CHOOSE(MOD(INT((A1826-1)/4),4)+1,CHOOSE(MOD(A1826-1,4)+1,"Смартфоны","Ноутбуки","Аксессуары","Аудио"),CHOOSE(MOD(A1826-1,4)+1,"Верхняя одежда","Спортивная","Повседневная","Обувь"),CHOOSE(MOD(A1826-1,4)+1,"Молочные","Мясные","Бакалея","Напитки"),CHOOSE(MOD(A1826-1,4)+1,"Мягкая мебель","Корпусная","Офисная","Кухонная"))</f>
        <v>Смартфоны</v>
      </c>
      <c r="K1826" s="12" t="n">
        <f aca="false">1000+MOD(A1826*317+A1826*A1826*7,49001)</f>
        <v>30413</v>
      </c>
      <c r="L1826" s="12" t="n">
        <f aca="false">1+MOD(A1826*131,100)</f>
        <v>76</v>
      </c>
      <c r="M1826" s="12" t="n">
        <f aca="false">INT(K1826*(0.6+MOD(A1826*43,21)/100))</f>
        <v>24026</v>
      </c>
      <c r="N1826" s="12" t="n">
        <f aca="false">K1826-M1826</f>
        <v>6387</v>
      </c>
    </row>
    <row r="1827" customFormat="false" ht="12.8" hidden="false" customHeight="false" outlineLevel="0" collapsed="false">
      <c r="A1827" s="10" t="n">
        <f aca="false">A1826+1</f>
        <v>1826</v>
      </c>
      <c r="B1827" s="11" t="n">
        <f aca="false">B1826+1</f>
        <v>46752</v>
      </c>
      <c r="C1827" s="10" t="n">
        <f aca="false">YEAR(B1827)</f>
        <v>2027</v>
      </c>
      <c r="D1827" s="10" t="n">
        <f aca="false">INT((MONTH(B1827)-1)/3)+1</f>
        <v>4</v>
      </c>
      <c r="E1827" s="10" t="n">
        <f aca="false">MONTH(B1827)</f>
        <v>12</v>
      </c>
      <c r="F1827" s="10" t="str">
        <f aca="false">CHOOSE(MOD(A1827-1,5)+1,"Центр","Юг","Север","Запад","Восток")</f>
        <v>Центр</v>
      </c>
      <c r="G1827" s="10" t="str">
        <f aca="false">"Округ_"&amp;(MOD(A1827-1,5)+1)&amp;"_"&amp;(MOD(INT((A1827-1)/5),5)+1)</f>
        <v>Округ_1_1</v>
      </c>
      <c r="H1827" s="10" t="str">
        <f aca="false">"Город_"&amp;(MOD(A1827-1,5)+1)&amp;"_"&amp;(MOD(INT((A1827-1)/5),5)+1)&amp;"_"&amp;(MOD(INT((A1827-1)/25),10)+1)</f>
        <v>Город_1_1_4</v>
      </c>
      <c r="I1827" s="10" t="str">
        <f aca="false">CHOOSE(MOD(A1827-1,4)+1,"Электроника","Одежда","Продукты","Мебель")</f>
        <v>Одежда</v>
      </c>
      <c r="J1827" s="10" t="str">
        <f aca="false">CHOOSE(MOD(INT((A1827-1)/4),4)+1,CHOOSE(MOD(A1827-1,4)+1,"Смартфоны","Ноутбуки","Аксессуары","Аудио"),CHOOSE(MOD(A1827-1,4)+1,"Верхняя одежда","Спортивная","Повседневная","Обувь"),CHOOSE(MOD(A1827-1,4)+1,"Молочные","Мясные","Бакалея","Напитки"),CHOOSE(MOD(A1827-1,4)+1,"Мягкая мебель","Корпусная","Офисная","Кухонная"))</f>
        <v>Ноутбуки</v>
      </c>
      <c r="K1827" s="12" t="n">
        <f aca="false">1000+MOD(A1827*317+A1827*A1827*7,49001)</f>
        <v>7286</v>
      </c>
      <c r="L1827" s="12" t="n">
        <f aca="false">1+MOD(A1827*131,100)</f>
        <v>7</v>
      </c>
      <c r="M1827" s="12" t="n">
        <f aca="false">INT(K1827*(0.6+MOD(A1827*43,21)/100))</f>
        <v>5828</v>
      </c>
      <c r="N1827" s="12" t="n">
        <f aca="false">K1827-M1827</f>
        <v>1458</v>
      </c>
    </row>
    <row r="1828" customFormat="false" ht="12.8" hidden="false" customHeight="false" outlineLevel="0" collapsed="false">
      <c r="A1828" s="10" t="n">
        <f aca="false">A1827+1</f>
        <v>1827</v>
      </c>
      <c r="B1828" s="11" t="n">
        <f aca="false">B1827+1</f>
        <v>46753</v>
      </c>
      <c r="C1828" s="10" t="n">
        <f aca="false">YEAR(B1828)</f>
        <v>2028</v>
      </c>
      <c r="D1828" s="10" t="n">
        <f aca="false">INT((MONTH(B1828)-1)/3)+1</f>
        <v>1</v>
      </c>
      <c r="E1828" s="10" t="n">
        <f aca="false">MONTH(B1828)</f>
        <v>1</v>
      </c>
      <c r="F1828" s="10" t="str">
        <f aca="false">CHOOSE(MOD(A1828-1,5)+1,"Центр","Юг","Север","Запад","Восток")</f>
        <v>Юг</v>
      </c>
      <c r="G1828" s="10" t="str">
        <f aca="false">"Округ_"&amp;(MOD(A1828-1,5)+1)&amp;"_"&amp;(MOD(INT((A1828-1)/5),5)+1)</f>
        <v>Округ_2_1</v>
      </c>
      <c r="H1828" s="10" t="str">
        <f aca="false">"Город_"&amp;(MOD(A1828-1,5)+1)&amp;"_"&amp;(MOD(INT((A1828-1)/5),5)+1)&amp;"_"&amp;(MOD(INT((A1828-1)/25),10)+1)</f>
        <v>Город_2_1_4</v>
      </c>
      <c r="I1828" s="10" t="str">
        <f aca="false">CHOOSE(MOD(A1828-1,4)+1,"Электроника","Одежда","Продукты","Мебель")</f>
        <v>Продукты</v>
      </c>
      <c r="J1828" s="10" t="str">
        <f aca="false">CHOOSE(MOD(INT((A1828-1)/4),4)+1,CHOOSE(MOD(A1828-1,4)+1,"Смартфоны","Ноутбуки","Аксессуары","Аудио"),CHOOSE(MOD(A1828-1,4)+1,"Верхняя одежда","Спортивная","Повседневная","Обувь"),CHOOSE(MOD(A1828-1,4)+1,"Молочные","Мясные","Бакалея","Напитки"),CHOOSE(MOD(A1828-1,4)+1,"Мягкая мебель","Корпусная","Офисная","Кухонная"))</f>
        <v>Аксессуары</v>
      </c>
      <c r="K1828" s="12" t="n">
        <f aca="false">1000+MOD(A1828*317+A1828*A1828*7,49001)</f>
        <v>33174</v>
      </c>
      <c r="L1828" s="12" t="n">
        <f aca="false">1+MOD(A1828*131,100)</f>
        <v>38</v>
      </c>
      <c r="M1828" s="12" t="n">
        <f aca="false">INT(K1828*(0.6+MOD(A1828*43,21)/100))</f>
        <v>19904</v>
      </c>
      <c r="N1828" s="12" t="n">
        <f aca="false">K1828-M1828</f>
        <v>13270</v>
      </c>
    </row>
    <row r="1829" customFormat="false" ht="12.8" hidden="false" customHeight="false" outlineLevel="0" collapsed="false">
      <c r="A1829" s="10" t="n">
        <f aca="false">A1828+1</f>
        <v>1828</v>
      </c>
      <c r="B1829" s="11" t="n">
        <f aca="false">B1828+1</f>
        <v>46754</v>
      </c>
      <c r="C1829" s="10" t="n">
        <f aca="false">YEAR(B1829)</f>
        <v>2028</v>
      </c>
      <c r="D1829" s="10" t="n">
        <f aca="false">INT((MONTH(B1829)-1)/3)+1</f>
        <v>1</v>
      </c>
      <c r="E1829" s="10" t="n">
        <f aca="false">MONTH(B1829)</f>
        <v>1</v>
      </c>
      <c r="F1829" s="10" t="str">
        <f aca="false">CHOOSE(MOD(A1829-1,5)+1,"Центр","Юг","Север","Запад","Восток")</f>
        <v>Север</v>
      </c>
      <c r="G1829" s="10" t="str">
        <f aca="false">"Округ_"&amp;(MOD(A1829-1,5)+1)&amp;"_"&amp;(MOD(INT((A1829-1)/5),5)+1)</f>
        <v>Округ_3_1</v>
      </c>
      <c r="H1829" s="10" t="str">
        <f aca="false">"Город_"&amp;(MOD(A1829-1,5)+1)&amp;"_"&amp;(MOD(INT((A1829-1)/5),5)+1)&amp;"_"&amp;(MOD(INT((A1829-1)/25),10)+1)</f>
        <v>Город_3_1_4</v>
      </c>
      <c r="I1829" s="10" t="str">
        <f aca="false">CHOOSE(MOD(A1829-1,4)+1,"Электроника","Одежда","Продукты","Мебель")</f>
        <v>Мебель</v>
      </c>
      <c r="J1829" s="10" t="str">
        <f aca="false">CHOOSE(MOD(INT((A1829-1)/4),4)+1,CHOOSE(MOD(A1829-1,4)+1,"Смартфоны","Ноутбуки","Аксессуары","Аудио"),CHOOSE(MOD(A1829-1,4)+1,"Верхняя одежда","Спортивная","Повседневная","Обувь"),CHOOSE(MOD(A1829-1,4)+1,"Молочные","Мясные","Бакалея","Напитки"),CHOOSE(MOD(A1829-1,4)+1,"Мягкая мебель","Корпусная","Офисная","Кухонная"))</f>
        <v>Аудио</v>
      </c>
      <c r="K1829" s="12" t="n">
        <f aca="false">1000+MOD(A1829*317+A1829*A1829*7,49001)</f>
        <v>10075</v>
      </c>
      <c r="L1829" s="12" t="n">
        <f aca="false">1+MOD(A1829*131,100)</f>
        <v>69</v>
      </c>
      <c r="M1829" s="12" t="n">
        <f aca="false">INT(K1829*(0.6+MOD(A1829*43,21)/100))</f>
        <v>6145</v>
      </c>
      <c r="N1829" s="12" t="n">
        <f aca="false">K1829-M1829</f>
        <v>3930</v>
      </c>
    </row>
    <row r="1830" customFormat="false" ht="12.8" hidden="false" customHeight="false" outlineLevel="0" collapsed="false">
      <c r="A1830" s="10" t="n">
        <f aca="false">A1829+1</f>
        <v>1829</v>
      </c>
      <c r="B1830" s="11" t="n">
        <f aca="false">B1829+1</f>
        <v>46755</v>
      </c>
      <c r="C1830" s="10" t="n">
        <f aca="false">YEAR(B1830)</f>
        <v>2028</v>
      </c>
      <c r="D1830" s="10" t="n">
        <f aca="false">INT((MONTH(B1830)-1)/3)+1</f>
        <v>1</v>
      </c>
      <c r="E1830" s="10" t="n">
        <f aca="false">MONTH(B1830)</f>
        <v>1</v>
      </c>
      <c r="F1830" s="10" t="str">
        <f aca="false">CHOOSE(MOD(A1830-1,5)+1,"Центр","Юг","Север","Запад","Восток")</f>
        <v>Запад</v>
      </c>
      <c r="G1830" s="10" t="str">
        <f aca="false">"Округ_"&amp;(MOD(A1830-1,5)+1)&amp;"_"&amp;(MOD(INT((A1830-1)/5),5)+1)</f>
        <v>Округ_4_1</v>
      </c>
      <c r="H1830" s="10" t="str">
        <f aca="false">"Город_"&amp;(MOD(A1830-1,5)+1)&amp;"_"&amp;(MOD(INT((A1830-1)/5),5)+1)&amp;"_"&amp;(MOD(INT((A1830-1)/25),10)+1)</f>
        <v>Город_4_1_4</v>
      </c>
      <c r="I1830" s="10" t="str">
        <f aca="false">CHOOSE(MOD(A1830-1,4)+1,"Электроника","Одежда","Продукты","Мебель")</f>
        <v>Электроника</v>
      </c>
      <c r="J1830" s="10" t="str">
        <f aca="false">CHOOSE(MOD(INT((A1830-1)/4),4)+1,CHOOSE(MOD(A1830-1,4)+1,"Смартфоны","Ноутбуки","Аксессуары","Аудио"),CHOOSE(MOD(A1830-1,4)+1,"Верхняя одежда","Спортивная","Повседневная","Обувь"),CHOOSE(MOD(A1830-1,4)+1,"Молочные","Мясные","Бакалея","Напитки"),CHOOSE(MOD(A1830-1,4)+1,"Мягкая мебель","Корпусная","Офисная","Кухонная"))</f>
        <v>Верхняя одежда</v>
      </c>
      <c r="K1830" s="12" t="n">
        <f aca="false">1000+MOD(A1830*317+A1830*A1830*7,49001)</f>
        <v>35991</v>
      </c>
      <c r="L1830" s="12" t="n">
        <f aca="false">1+MOD(A1830*131,100)</f>
        <v>100</v>
      </c>
      <c r="M1830" s="12" t="n">
        <f aca="false">INT(K1830*(0.6+MOD(A1830*43,21)/100))</f>
        <v>22314</v>
      </c>
      <c r="N1830" s="12" t="n">
        <f aca="false">K1830-M1830</f>
        <v>13677</v>
      </c>
    </row>
    <row r="1831" customFormat="false" ht="12.8" hidden="false" customHeight="false" outlineLevel="0" collapsed="false">
      <c r="A1831" s="10" t="n">
        <f aca="false">A1830+1</f>
        <v>1830</v>
      </c>
      <c r="B1831" s="11" t="n">
        <f aca="false">B1830+1</f>
        <v>46756</v>
      </c>
      <c r="C1831" s="10" t="n">
        <f aca="false">YEAR(B1831)</f>
        <v>2028</v>
      </c>
      <c r="D1831" s="10" t="n">
        <f aca="false">INT((MONTH(B1831)-1)/3)+1</f>
        <v>1</v>
      </c>
      <c r="E1831" s="10" t="n">
        <f aca="false">MONTH(B1831)</f>
        <v>1</v>
      </c>
      <c r="F1831" s="10" t="str">
        <f aca="false">CHOOSE(MOD(A1831-1,5)+1,"Центр","Юг","Север","Запад","Восток")</f>
        <v>Восток</v>
      </c>
      <c r="G1831" s="10" t="str">
        <f aca="false">"Округ_"&amp;(MOD(A1831-1,5)+1)&amp;"_"&amp;(MOD(INT((A1831-1)/5),5)+1)</f>
        <v>Округ_5_1</v>
      </c>
      <c r="H1831" s="10" t="str">
        <f aca="false">"Город_"&amp;(MOD(A1831-1,5)+1)&amp;"_"&amp;(MOD(INT((A1831-1)/5),5)+1)&amp;"_"&amp;(MOD(INT((A1831-1)/25),10)+1)</f>
        <v>Город_5_1_4</v>
      </c>
      <c r="I1831" s="10" t="str">
        <f aca="false">CHOOSE(MOD(A1831-1,4)+1,"Электроника","Одежда","Продукты","Мебель")</f>
        <v>Одежда</v>
      </c>
      <c r="J1831" s="10" t="str">
        <f aca="false">CHOOSE(MOD(INT((A1831-1)/4),4)+1,CHOOSE(MOD(A1831-1,4)+1,"Смартфоны","Ноутбуки","Аксессуары","Аудио"),CHOOSE(MOD(A1831-1,4)+1,"Верхняя одежда","Спортивная","Повседневная","Обувь"),CHOOSE(MOD(A1831-1,4)+1,"Молочные","Мясные","Бакалея","Напитки"),CHOOSE(MOD(A1831-1,4)+1,"Мягкая мебель","Корпусная","Офисная","Кухонная"))</f>
        <v>Спортивная</v>
      </c>
      <c r="K1831" s="12" t="n">
        <f aca="false">1000+MOD(A1831*317+A1831*A1831*7,49001)</f>
        <v>12920</v>
      </c>
      <c r="L1831" s="12" t="n">
        <f aca="false">1+MOD(A1831*131,100)</f>
        <v>31</v>
      </c>
      <c r="M1831" s="12" t="n">
        <f aca="false">INT(K1831*(0.6+MOD(A1831*43,21)/100))</f>
        <v>8139</v>
      </c>
      <c r="N1831" s="12" t="n">
        <f aca="false">K1831-M1831</f>
        <v>4781</v>
      </c>
    </row>
    <row r="1832" customFormat="false" ht="12.8" hidden="false" customHeight="false" outlineLevel="0" collapsed="false">
      <c r="A1832" s="10" t="n">
        <f aca="false">A1831+1</f>
        <v>1831</v>
      </c>
      <c r="B1832" s="11" t="n">
        <f aca="false">B1831+1</f>
        <v>46757</v>
      </c>
      <c r="C1832" s="10" t="n">
        <f aca="false">YEAR(B1832)</f>
        <v>2028</v>
      </c>
      <c r="D1832" s="10" t="n">
        <f aca="false">INT((MONTH(B1832)-1)/3)+1</f>
        <v>1</v>
      </c>
      <c r="E1832" s="10" t="n">
        <f aca="false">MONTH(B1832)</f>
        <v>1</v>
      </c>
      <c r="F1832" s="10" t="str">
        <f aca="false">CHOOSE(MOD(A1832-1,5)+1,"Центр","Юг","Север","Запад","Восток")</f>
        <v>Центр</v>
      </c>
      <c r="G1832" s="10" t="str">
        <f aca="false">"Округ_"&amp;(MOD(A1832-1,5)+1)&amp;"_"&amp;(MOD(INT((A1832-1)/5),5)+1)</f>
        <v>Округ_1_2</v>
      </c>
      <c r="H1832" s="10" t="str">
        <f aca="false">"Город_"&amp;(MOD(A1832-1,5)+1)&amp;"_"&amp;(MOD(INT((A1832-1)/5),5)+1)&amp;"_"&amp;(MOD(INT((A1832-1)/25),10)+1)</f>
        <v>Город_1_2_4</v>
      </c>
      <c r="I1832" s="10" t="str">
        <f aca="false">CHOOSE(MOD(A1832-1,4)+1,"Электроника","Одежда","Продукты","Мебель")</f>
        <v>Продукты</v>
      </c>
      <c r="J1832" s="10" t="str">
        <f aca="false">CHOOSE(MOD(INT((A1832-1)/4),4)+1,CHOOSE(MOD(A1832-1,4)+1,"Смартфоны","Ноутбуки","Аксессуары","Аудио"),CHOOSE(MOD(A1832-1,4)+1,"Верхняя одежда","Спортивная","Повседневная","Обувь"),CHOOSE(MOD(A1832-1,4)+1,"Молочные","Мясные","Бакалея","Напитки"),CHOOSE(MOD(A1832-1,4)+1,"Мягкая мебель","Корпусная","Офисная","Кухонная"))</f>
        <v>Повседневная</v>
      </c>
      <c r="K1832" s="12" t="n">
        <f aca="false">1000+MOD(A1832*317+A1832*A1832*7,49001)</f>
        <v>38864</v>
      </c>
      <c r="L1832" s="12" t="n">
        <f aca="false">1+MOD(A1832*131,100)</f>
        <v>62</v>
      </c>
      <c r="M1832" s="12" t="n">
        <f aca="false">INT(K1832*(0.6+MOD(A1832*43,21)/100))</f>
        <v>24872</v>
      </c>
      <c r="N1832" s="12" t="n">
        <f aca="false">K1832-M1832</f>
        <v>13992</v>
      </c>
    </row>
    <row r="1833" customFormat="false" ht="12.8" hidden="false" customHeight="false" outlineLevel="0" collapsed="false">
      <c r="A1833" s="10" t="n">
        <f aca="false">A1832+1</f>
        <v>1832</v>
      </c>
      <c r="B1833" s="11" t="n">
        <f aca="false">B1832+1</f>
        <v>46758</v>
      </c>
      <c r="C1833" s="10" t="n">
        <f aca="false">YEAR(B1833)</f>
        <v>2028</v>
      </c>
      <c r="D1833" s="10" t="n">
        <f aca="false">INT((MONTH(B1833)-1)/3)+1</f>
        <v>1</v>
      </c>
      <c r="E1833" s="10" t="n">
        <f aca="false">MONTH(B1833)</f>
        <v>1</v>
      </c>
      <c r="F1833" s="10" t="str">
        <f aca="false">CHOOSE(MOD(A1833-1,5)+1,"Центр","Юг","Север","Запад","Восток")</f>
        <v>Юг</v>
      </c>
      <c r="G1833" s="10" t="str">
        <f aca="false">"Округ_"&amp;(MOD(A1833-1,5)+1)&amp;"_"&amp;(MOD(INT((A1833-1)/5),5)+1)</f>
        <v>Округ_2_2</v>
      </c>
      <c r="H1833" s="10" t="str">
        <f aca="false">"Город_"&amp;(MOD(A1833-1,5)+1)&amp;"_"&amp;(MOD(INT((A1833-1)/5),5)+1)&amp;"_"&amp;(MOD(INT((A1833-1)/25),10)+1)</f>
        <v>Город_2_2_4</v>
      </c>
      <c r="I1833" s="10" t="str">
        <f aca="false">CHOOSE(MOD(A1833-1,4)+1,"Электроника","Одежда","Продукты","Мебель")</f>
        <v>Мебель</v>
      </c>
      <c r="J1833" s="10" t="str">
        <f aca="false">CHOOSE(MOD(INT((A1833-1)/4),4)+1,CHOOSE(MOD(A1833-1,4)+1,"Смартфоны","Ноутбуки","Аксессуары","Аудио"),CHOOSE(MOD(A1833-1,4)+1,"Верхняя одежда","Спортивная","Повседневная","Обувь"),CHOOSE(MOD(A1833-1,4)+1,"Молочные","Мясные","Бакалея","Напитки"),CHOOSE(MOD(A1833-1,4)+1,"Мягкая мебель","Корпусная","Офисная","Кухонная"))</f>
        <v>Обувь</v>
      </c>
      <c r="K1833" s="12" t="n">
        <f aca="false">1000+MOD(A1833*317+A1833*A1833*7,49001)</f>
        <v>15821</v>
      </c>
      <c r="L1833" s="12" t="n">
        <f aca="false">1+MOD(A1833*131,100)</f>
        <v>93</v>
      </c>
      <c r="M1833" s="12" t="n">
        <f aca="false">INT(K1833*(0.6+MOD(A1833*43,21)/100))</f>
        <v>10283</v>
      </c>
      <c r="N1833" s="12" t="n">
        <f aca="false">K1833-M1833</f>
        <v>5538</v>
      </c>
    </row>
    <row r="1834" customFormat="false" ht="12.8" hidden="false" customHeight="false" outlineLevel="0" collapsed="false">
      <c r="A1834" s="10" t="n">
        <f aca="false">A1833+1</f>
        <v>1833</v>
      </c>
      <c r="B1834" s="11" t="n">
        <f aca="false">B1833+1</f>
        <v>46759</v>
      </c>
      <c r="C1834" s="10" t="n">
        <f aca="false">YEAR(B1834)</f>
        <v>2028</v>
      </c>
      <c r="D1834" s="10" t="n">
        <f aca="false">INT((MONTH(B1834)-1)/3)+1</f>
        <v>1</v>
      </c>
      <c r="E1834" s="10" t="n">
        <f aca="false">MONTH(B1834)</f>
        <v>1</v>
      </c>
      <c r="F1834" s="10" t="str">
        <f aca="false">CHOOSE(MOD(A1834-1,5)+1,"Центр","Юг","Север","Запад","Восток")</f>
        <v>Север</v>
      </c>
      <c r="G1834" s="10" t="str">
        <f aca="false">"Округ_"&amp;(MOD(A1834-1,5)+1)&amp;"_"&amp;(MOD(INT((A1834-1)/5),5)+1)</f>
        <v>Округ_3_2</v>
      </c>
      <c r="H1834" s="10" t="str">
        <f aca="false">"Город_"&amp;(MOD(A1834-1,5)+1)&amp;"_"&amp;(MOD(INT((A1834-1)/5),5)+1)&amp;"_"&amp;(MOD(INT((A1834-1)/25),10)+1)</f>
        <v>Город_3_2_4</v>
      </c>
      <c r="I1834" s="10" t="str">
        <f aca="false">CHOOSE(MOD(A1834-1,4)+1,"Электроника","Одежда","Продукты","Мебель")</f>
        <v>Электроника</v>
      </c>
      <c r="J1834" s="10" t="str">
        <f aca="false">CHOOSE(MOD(INT((A1834-1)/4),4)+1,CHOOSE(MOD(A1834-1,4)+1,"Смартфоны","Ноутбуки","Аксессуары","Аудио"),CHOOSE(MOD(A1834-1,4)+1,"Верхняя одежда","Спортивная","Повседневная","Обувь"),CHOOSE(MOD(A1834-1,4)+1,"Молочные","Мясные","Бакалея","Напитки"),CHOOSE(MOD(A1834-1,4)+1,"Мягкая мебель","Корпусная","Офисная","Кухонная"))</f>
        <v>Молочные</v>
      </c>
      <c r="K1834" s="12" t="n">
        <f aca="false">1000+MOD(A1834*317+A1834*A1834*7,49001)</f>
        <v>41793</v>
      </c>
      <c r="L1834" s="12" t="n">
        <f aca="false">1+MOD(A1834*131,100)</f>
        <v>24</v>
      </c>
      <c r="M1834" s="12" t="n">
        <f aca="false">INT(K1834*(0.6+MOD(A1834*43,21)/100))</f>
        <v>27583</v>
      </c>
      <c r="N1834" s="12" t="n">
        <f aca="false">K1834-M1834</f>
        <v>14210</v>
      </c>
    </row>
    <row r="1835" customFormat="false" ht="12.8" hidden="false" customHeight="false" outlineLevel="0" collapsed="false">
      <c r="A1835" s="10" t="n">
        <f aca="false">A1834+1</f>
        <v>1834</v>
      </c>
      <c r="B1835" s="11" t="n">
        <f aca="false">B1834+1</f>
        <v>46760</v>
      </c>
      <c r="C1835" s="10" t="n">
        <f aca="false">YEAR(B1835)</f>
        <v>2028</v>
      </c>
      <c r="D1835" s="10" t="n">
        <f aca="false">INT((MONTH(B1835)-1)/3)+1</f>
        <v>1</v>
      </c>
      <c r="E1835" s="10" t="n">
        <f aca="false">MONTH(B1835)</f>
        <v>1</v>
      </c>
      <c r="F1835" s="10" t="str">
        <f aca="false">CHOOSE(MOD(A1835-1,5)+1,"Центр","Юг","Север","Запад","Восток")</f>
        <v>Запад</v>
      </c>
      <c r="G1835" s="10" t="str">
        <f aca="false">"Округ_"&amp;(MOD(A1835-1,5)+1)&amp;"_"&amp;(MOD(INT((A1835-1)/5),5)+1)</f>
        <v>Округ_4_2</v>
      </c>
      <c r="H1835" s="10" t="str">
        <f aca="false">"Город_"&amp;(MOD(A1835-1,5)+1)&amp;"_"&amp;(MOD(INT((A1835-1)/5),5)+1)&amp;"_"&amp;(MOD(INT((A1835-1)/25),10)+1)</f>
        <v>Город_4_2_4</v>
      </c>
      <c r="I1835" s="10" t="str">
        <f aca="false">CHOOSE(MOD(A1835-1,4)+1,"Электроника","Одежда","Продукты","Мебель")</f>
        <v>Одежда</v>
      </c>
      <c r="J1835" s="10" t="str">
        <f aca="false">CHOOSE(MOD(INT((A1835-1)/4),4)+1,CHOOSE(MOD(A1835-1,4)+1,"Смартфоны","Ноутбуки","Аксессуары","Аудио"),CHOOSE(MOD(A1835-1,4)+1,"Верхняя одежда","Спортивная","Повседневная","Обувь"),CHOOSE(MOD(A1835-1,4)+1,"Молочные","Мясные","Бакалея","Напитки"),CHOOSE(MOD(A1835-1,4)+1,"Мягкая мебель","Корпусная","Офисная","Кухонная"))</f>
        <v>Мясные</v>
      </c>
      <c r="K1835" s="12" t="n">
        <f aca="false">1000+MOD(A1835*317+A1835*A1835*7,49001)</f>
        <v>18778</v>
      </c>
      <c r="L1835" s="12" t="n">
        <f aca="false">1+MOD(A1835*131,100)</f>
        <v>55</v>
      </c>
      <c r="M1835" s="12" t="n">
        <f aca="false">INT(K1835*(0.6+MOD(A1835*43,21)/100))</f>
        <v>12581</v>
      </c>
      <c r="N1835" s="12" t="n">
        <f aca="false">K1835-M1835</f>
        <v>6197</v>
      </c>
    </row>
    <row r="1836" customFormat="false" ht="12.8" hidden="false" customHeight="false" outlineLevel="0" collapsed="false">
      <c r="A1836" s="10" t="n">
        <f aca="false">A1835+1</f>
        <v>1835</v>
      </c>
      <c r="B1836" s="11" t="n">
        <f aca="false">B1835+1</f>
        <v>46761</v>
      </c>
      <c r="C1836" s="10" t="n">
        <f aca="false">YEAR(B1836)</f>
        <v>2028</v>
      </c>
      <c r="D1836" s="10" t="n">
        <f aca="false">INT((MONTH(B1836)-1)/3)+1</f>
        <v>1</v>
      </c>
      <c r="E1836" s="10" t="n">
        <f aca="false">MONTH(B1836)</f>
        <v>1</v>
      </c>
      <c r="F1836" s="10" t="str">
        <f aca="false">CHOOSE(MOD(A1836-1,5)+1,"Центр","Юг","Север","Запад","Восток")</f>
        <v>Восток</v>
      </c>
      <c r="G1836" s="10" t="str">
        <f aca="false">"Округ_"&amp;(MOD(A1836-1,5)+1)&amp;"_"&amp;(MOD(INT((A1836-1)/5),5)+1)</f>
        <v>Округ_5_2</v>
      </c>
      <c r="H1836" s="10" t="str">
        <f aca="false">"Город_"&amp;(MOD(A1836-1,5)+1)&amp;"_"&amp;(MOD(INT((A1836-1)/5),5)+1)&amp;"_"&amp;(MOD(INT((A1836-1)/25),10)+1)</f>
        <v>Город_5_2_4</v>
      </c>
      <c r="I1836" s="10" t="str">
        <f aca="false">CHOOSE(MOD(A1836-1,4)+1,"Электроника","Одежда","Продукты","Мебель")</f>
        <v>Продукты</v>
      </c>
      <c r="J1836" s="10" t="str">
        <f aca="false">CHOOSE(MOD(INT((A1836-1)/4),4)+1,CHOOSE(MOD(A1836-1,4)+1,"Смартфоны","Ноутбуки","Аксессуары","Аудио"),CHOOSE(MOD(A1836-1,4)+1,"Верхняя одежда","Спортивная","Повседневная","Обувь"),CHOOSE(MOD(A1836-1,4)+1,"Молочные","Мясные","Бакалея","Напитки"),CHOOSE(MOD(A1836-1,4)+1,"Мягкая мебель","Корпусная","Офисная","Кухонная"))</f>
        <v>Бакалея</v>
      </c>
      <c r="K1836" s="12" t="n">
        <f aca="false">1000+MOD(A1836*317+A1836*A1836*7,49001)</f>
        <v>44778</v>
      </c>
      <c r="L1836" s="12" t="n">
        <f aca="false">1+MOD(A1836*131,100)</f>
        <v>86</v>
      </c>
      <c r="M1836" s="12" t="n">
        <f aca="false">INT(K1836*(0.6+MOD(A1836*43,21)/100))</f>
        <v>30449</v>
      </c>
      <c r="N1836" s="12" t="n">
        <f aca="false">K1836-M1836</f>
        <v>14329</v>
      </c>
    </row>
    <row r="1837" customFormat="false" ht="12.8" hidden="false" customHeight="false" outlineLevel="0" collapsed="false">
      <c r="A1837" s="10" t="n">
        <f aca="false">A1836+1</f>
        <v>1836</v>
      </c>
      <c r="B1837" s="11" t="n">
        <f aca="false">B1836+1</f>
        <v>46762</v>
      </c>
      <c r="C1837" s="10" t="n">
        <f aca="false">YEAR(B1837)</f>
        <v>2028</v>
      </c>
      <c r="D1837" s="10" t="n">
        <f aca="false">INT((MONTH(B1837)-1)/3)+1</f>
        <v>1</v>
      </c>
      <c r="E1837" s="10" t="n">
        <f aca="false">MONTH(B1837)</f>
        <v>1</v>
      </c>
      <c r="F1837" s="10" t="str">
        <f aca="false">CHOOSE(MOD(A1837-1,5)+1,"Центр","Юг","Север","Запад","Восток")</f>
        <v>Центр</v>
      </c>
      <c r="G1837" s="10" t="str">
        <f aca="false">"Округ_"&amp;(MOD(A1837-1,5)+1)&amp;"_"&amp;(MOD(INT((A1837-1)/5),5)+1)</f>
        <v>Округ_1_3</v>
      </c>
      <c r="H1837" s="10" t="str">
        <f aca="false">"Город_"&amp;(MOD(A1837-1,5)+1)&amp;"_"&amp;(MOD(INT((A1837-1)/5),5)+1)&amp;"_"&amp;(MOD(INT((A1837-1)/25),10)+1)</f>
        <v>Город_1_3_4</v>
      </c>
      <c r="I1837" s="10" t="str">
        <f aca="false">CHOOSE(MOD(A1837-1,4)+1,"Электроника","Одежда","Продукты","Мебель")</f>
        <v>Мебель</v>
      </c>
      <c r="J1837" s="10" t="str">
        <f aca="false">CHOOSE(MOD(INT((A1837-1)/4),4)+1,CHOOSE(MOD(A1837-1,4)+1,"Смартфоны","Ноутбуки","Аксессуары","Аудио"),CHOOSE(MOD(A1837-1,4)+1,"Верхняя одежда","Спортивная","Повседневная","Обувь"),CHOOSE(MOD(A1837-1,4)+1,"Молочные","Мясные","Бакалея","Напитки"),CHOOSE(MOD(A1837-1,4)+1,"Мягкая мебель","Корпусная","Офисная","Кухонная"))</f>
        <v>Напитки</v>
      </c>
      <c r="K1837" s="12" t="n">
        <f aca="false">1000+MOD(A1837*317+A1837*A1837*7,49001)</f>
        <v>21791</v>
      </c>
      <c r="L1837" s="12" t="n">
        <f aca="false">1+MOD(A1837*131,100)</f>
        <v>17</v>
      </c>
      <c r="M1837" s="12" t="n">
        <f aca="false">INT(K1837*(0.6+MOD(A1837*43,21)/100))</f>
        <v>15035</v>
      </c>
      <c r="N1837" s="12" t="n">
        <f aca="false">K1837-M1837</f>
        <v>6756</v>
      </c>
    </row>
    <row r="1838" customFormat="false" ht="12.8" hidden="false" customHeight="false" outlineLevel="0" collapsed="false">
      <c r="A1838" s="10" t="n">
        <f aca="false">A1837+1</f>
        <v>1837</v>
      </c>
      <c r="B1838" s="11" t="n">
        <f aca="false">B1837+1</f>
        <v>46763</v>
      </c>
      <c r="C1838" s="10" t="n">
        <f aca="false">YEAR(B1838)</f>
        <v>2028</v>
      </c>
      <c r="D1838" s="10" t="n">
        <f aca="false">INT((MONTH(B1838)-1)/3)+1</f>
        <v>1</v>
      </c>
      <c r="E1838" s="10" t="n">
        <f aca="false">MONTH(B1838)</f>
        <v>1</v>
      </c>
      <c r="F1838" s="10" t="str">
        <f aca="false">CHOOSE(MOD(A1838-1,5)+1,"Центр","Юг","Север","Запад","Восток")</f>
        <v>Юг</v>
      </c>
      <c r="G1838" s="10" t="str">
        <f aca="false">"Округ_"&amp;(MOD(A1838-1,5)+1)&amp;"_"&amp;(MOD(INT((A1838-1)/5),5)+1)</f>
        <v>Округ_2_3</v>
      </c>
      <c r="H1838" s="10" t="str">
        <f aca="false">"Город_"&amp;(MOD(A1838-1,5)+1)&amp;"_"&amp;(MOD(INT((A1838-1)/5),5)+1)&amp;"_"&amp;(MOD(INT((A1838-1)/25),10)+1)</f>
        <v>Город_2_3_4</v>
      </c>
      <c r="I1838" s="10" t="str">
        <f aca="false">CHOOSE(MOD(A1838-1,4)+1,"Электроника","Одежда","Продукты","Мебель")</f>
        <v>Электроника</v>
      </c>
      <c r="J1838" s="10" t="str">
        <f aca="false">CHOOSE(MOD(INT((A1838-1)/4),4)+1,CHOOSE(MOD(A1838-1,4)+1,"Смартфоны","Ноутбуки","Аксессуары","Аудио"),CHOOSE(MOD(A1838-1,4)+1,"Верхняя одежда","Спортивная","Повседневная","Обувь"),CHOOSE(MOD(A1838-1,4)+1,"Молочные","Мясные","Бакалея","Напитки"),CHOOSE(MOD(A1838-1,4)+1,"Мягкая мебель","Корпусная","Офисная","Кухонная"))</f>
        <v>Мягкая мебель</v>
      </c>
      <c r="K1838" s="12" t="n">
        <f aca="false">1000+MOD(A1838*317+A1838*A1838*7,49001)</f>
        <v>47819</v>
      </c>
      <c r="L1838" s="12" t="n">
        <f aca="false">1+MOD(A1838*131,100)</f>
        <v>48</v>
      </c>
      <c r="M1838" s="12" t="n">
        <f aca="false">INT(K1838*(0.6+MOD(A1838*43,21)/100))</f>
        <v>33473</v>
      </c>
      <c r="N1838" s="12" t="n">
        <f aca="false">K1838-M1838</f>
        <v>14346</v>
      </c>
    </row>
    <row r="1839" customFormat="false" ht="12.8" hidden="false" customHeight="false" outlineLevel="0" collapsed="false">
      <c r="A1839" s="10" t="n">
        <f aca="false">A1838+1</f>
        <v>1838</v>
      </c>
      <c r="B1839" s="11" t="n">
        <f aca="false">B1838+1</f>
        <v>46764</v>
      </c>
      <c r="C1839" s="10" t="n">
        <f aca="false">YEAR(B1839)</f>
        <v>2028</v>
      </c>
      <c r="D1839" s="10" t="n">
        <f aca="false">INT((MONTH(B1839)-1)/3)+1</f>
        <v>1</v>
      </c>
      <c r="E1839" s="10" t="n">
        <f aca="false">MONTH(B1839)</f>
        <v>1</v>
      </c>
      <c r="F1839" s="10" t="str">
        <f aca="false">CHOOSE(MOD(A1839-1,5)+1,"Центр","Юг","Север","Запад","Восток")</f>
        <v>Север</v>
      </c>
      <c r="G1839" s="10" t="str">
        <f aca="false">"Округ_"&amp;(MOD(A1839-1,5)+1)&amp;"_"&amp;(MOD(INT((A1839-1)/5),5)+1)</f>
        <v>Округ_3_3</v>
      </c>
      <c r="H1839" s="10" t="str">
        <f aca="false">"Город_"&amp;(MOD(A1839-1,5)+1)&amp;"_"&amp;(MOD(INT((A1839-1)/5),5)+1)&amp;"_"&amp;(MOD(INT((A1839-1)/25),10)+1)</f>
        <v>Город_3_3_4</v>
      </c>
      <c r="I1839" s="10" t="str">
        <f aca="false">CHOOSE(MOD(A1839-1,4)+1,"Электроника","Одежда","Продукты","Мебель")</f>
        <v>Одежда</v>
      </c>
      <c r="J1839" s="10" t="str">
        <f aca="false">CHOOSE(MOD(INT((A1839-1)/4),4)+1,CHOOSE(MOD(A1839-1,4)+1,"Смартфоны","Ноутбуки","Аксессуары","Аудио"),CHOOSE(MOD(A1839-1,4)+1,"Верхняя одежда","Спортивная","Повседневная","Обувь"),CHOOSE(MOD(A1839-1,4)+1,"Молочные","Мясные","Бакалея","Напитки"),CHOOSE(MOD(A1839-1,4)+1,"Мягкая мебель","Корпусная","Офисная","Кухонная"))</f>
        <v>Корпусная</v>
      </c>
      <c r="K1839" s="12" t="n">
        <f aca="false">1000+MOD(A1839*317+A1839*A1839*7,49001)</f>
        <v>24860</v>
      </c>
      <c r="L1839" s="12" t="n">
        <f aca="false">1+MOD(A1839*131,100)</f>
        <v>79</v>
      </c>
      <c r="M1839" s="12" t="n">
        <f aca="false">INT(K1839*(0.6+MOD(A1839*43,21)/100))</f>
        <v>17650</v>
      </c>
      <c r="N1839" s="12" t="n">
        <f aca="false">K1839-M1839</f>
        <v>7210</v>
      </c>
    </row>
    <row r="1840" customFormat="false" ht="12.8" hidden="false" customHeight="false" outlineLevel="0" collapsed="false">
      <c r="A1840" s="10" t="n">
        <f aca="false">A1839+1</f>
        <v>1839</v>
      </c>
      <c r="B1840" s="11" t="n">
        <f aca="false">B1839+1</f>
        <v>46765</v>
      </c>
      <c r="C1840" s="10" t="n">
        <f aca="false">YEAR(B1840)</f>
        <v>2028</v>
      </c>
      <c r="D1840" s="10" t="n">
        <f aca="false">INT((MONTH(B1840)-1)/3)+1</f>
        <v>1</v>
      </c>
      <c r="E1840" s="10" t="n">
        <f aca="false">MONTH(B1840)</f>
        <v>1</v>
      </c>
      <c r="F1840" s="10" t="str">
        <f aca="false">CHOOSE(MOD(A1840-1,5)+1,"Центр","Юг","Север","Запад","Восток")</f>
        <v>Запад</v>
      </c>
      <c r="G1840" s="10" t="str">
        <f aca="false">"Округ_"&amp;(MOD(A1840-1,5)+1)&amp;"_"&amp;(MOD(INT((A1840-1)/5),5)+1)</f>
        <v>Округ_4_3</v>
      </c>
      <c r="H1840" s="10" t="str">
        <f aca="false">"Город_"&amp;(MOD(A1840-1,5)+1)&amp;"_"&amp;(MOD(INT((A1840-1)/5),5)+1)&amp;"_"&amp;(MOD(INT((A1840-1)/25),10)+1)</f>
        <v>Город_4_3_4</v>
      </c>
      <c r="I1840" s="10" t="str">
        <f aca="false">CHOOSE(MOD(A1840-1,4)+1,"Электроника","Одежда","Продукты","Мебель")</f>
        <v>Продукты</v>
      </c>
      <c r="J1840" s="10" t="str">
        <f aca="false">CHOOSE(MOD(INT((A1840-1)/4),4)+1,CHOOSE(MOD(A1840-1,4)+1,"Смартфоны","Ноутбуки","Аксессуары","Аудио"),CHOOSE(MOD(A1840-1,4)+1,"Верхняя одежда","Спортивная","Повседневная","Обувь"),CHOOSE(MOD(A1840-1,4)+1,"Молочные","Мясные","Бакалея","Напитки"),CHOOSE(MOD(A1840-1,4)+1,"Мягкая мебель","Корпусная","Офисная","Кухонная"))</f>
        <v>Офисная</v>
      </c>
      <c r="K1840" s="12" t="n">
        <f aca="false">1000+MOD(A1840*317+A1840*A1840*7,49001)</f>
        <v>1915</v>
      </c>
      <c r="L1840" s="12" t="n">
        <f aca="false">1+MOD(A1840*131,100)</f>
        <v>10</v>
      </c>
      <c r="M1840" s="12" t="n">
        <f aca="false">INT(K1840*(0.6+MOD(A1840*43,21)/100))</f>
        <v>1378</v>
      </c>
      <c r="N1840" s="12" t="n">
        <f aca="false">K1840-M1840</f>
        <v>537</v>
      </c>
    </row>
    <row r="1841" customFormat="false" ht="12.8" hidden="false" customHeight="false" outlineLevel="0" collapsed="false">
      <c r="A1841" s="10" t="n">
        <f aca="false">A1840+1</f>
        <v>1840</v>
      </c>
      <c r="B1841" s="11" t="n">
        <f aca="false">B1840+1</f>
        <v>46766</v>
      </c>
      <c r="C1841" s="10" t="n">
        <f aca="false">YEAR(B1841)</f>
        <v>2028</v>
      </c>
      <c r="D1841" s="10" t="n">
        <f aca="false">INT((MONTH(B1841)-1)/3)+1</f>
        <v>1</v>
      </c>
      <c r="E1841" s="10" t="n">
        <f aca="false">MONTH(B1841)</f>
        <v>1</v>
      </c>
      <c r="F1841" s="10" t="str">
        <f aca="false">CHOOSE(MOD(A1841-1,5)+1,"Центр","Юг","Север","Запад","Восток")</f>
        <v>Восток</v>
      </c>
      <c r="G1841" s="10" t="str">
        <f aca="false">"Округ_"&amp;(MOD(A1841-1,5)+1)&amp;"_"&amp;(MOD(INT((A1841-1)/5),5)+1)</f>
        <v>Округ_5_3</v>
      </c>
      <c r="H1841" s="10" t="str">
        <f aca="false">"Город_"&amp;(MOD(A1841-1,5)+1)&amp;"_"&amp;(MOD(INT((A1841-1)/5),5)+1)&amp;"_"&amp;(MOD(INT((A1841-1)/25),10)+1)</f>
        <v>Город_5_3_4</v>
      </c>
      <c r="I1841" s="10" t="str">
        <f aca="false">CHOOSE(MOD(A1841-1,4)+1,"Электроника","Одежда","Продукты","Мебель")</f>
        <v>Мебель</v>
      </c>
      <c r="J1841" s="10" t="str">
        <f aca="false">CHOOSE(MOD(INT((A1841-1)/4),4)+1,CHOOSE(MOD(A1841-1,4)+1,"Смартфоны","Ноутбуки","Аксессуары","Аудио"),CHOOSE(MOD(A1841-1,4)+1,"Верхняя одежда","Спортивная","Повседневная","Обувь"),CHOOSE(MOD(A1841-1,4)+1,"Молочные","Мясные","Бакалея","Напитки"),CHOOSE(MOD(A1841-1,4)+1,"Мягкая мебель","Корпусная","Офисная","Кухонная"))</f>
        <v>Кухонная</v>
      </c>
      <c r="K1841" s="12" t="n">
        <f aca="false">1000+MOD(A1841*317+A1841*A1841*7,49001)</f>
        <v>27985</v>
      </c>
      <c r="L1841" s="12" t="n">
        <f aca="false">1+MOD(A1841*131,100)</f>
        <v>41</v>
      </c>
      <c r="M1841" s="12" t="n">
        <f aca="false">INT(K1841*(0.6+MOD(A1841*43,21)/100))</f>
        <v>20429</v>
      </c>
      <c r="N1841" s="12" t="n">
        <f aca="false">K1841-M1841</f>
        <v>7556</v>
      </c>
    </row>
    <row r="1842" customFormat="false" ht="12.8" hidden="false" customHeight="false" outlineLevel="0" collapsed="false">
      <c r="A1842" s="10" t="n">
        <f aca="false">A1841+1</f>
        <v>1841</v>
      </c>
      <c r="B1842" s="11" t="n">
        <f aca="false">B1841+1</f>
        <v>46767</v>
      </c>
      <c r="C1842" s="10" t="n">
        <f aca="false">YEAR(B1842)</f>
        <v>2028</v>
      </c>
      <c r="D1842" s="10" t="n">
        <f aca="false">INT((MONTH(B1842)-1)/3)+1</f>
        <v>1</v>
      </c>
      <c r="E1842" s="10" t="n">
        <f aca="false">MONTH(B1842)</f>
        <v>1</v>
      </c>
      <c r="F1842" s="10" t="str">
        <f aca="false">CHOOSE(MOD(A1842-1,5)+1,"Центр","Юг","Север","Запад","Восток")</f>
        <v>Центр</v>
      </c>
      <c r="G1842" s="10" t="str">
        <f aca="false">"Округ_"&amp;(MOD(A1842-1,5)+1)&amp;"_"&amp;(MOD(INT((A1842-1)/5),5)+1)</f>
        <v>Округ_1_4</v>
      </c>
      <c r="H1842" s="10" t="str">
        <f aca="false">"Город_"&amp;(MOD(A1842-1,5)+1)&amp;"_"&amp;(MOD(INT((A1842-1)/5),5)+1)&amp;"_"&amp;(MOD(INT((A1842-1)/25),10)+1)</f>
        <v>Город_1_4_4</v>
      </c>
      <c r="I1842" s="10" t="str">
        <f aca="false">CHOOSE(MOD(A1842-1,4)+1,"Электроника","Одежда","Продукты","Мебель")</f>
        <v>Электроника</v>
      </c>
      <c r="J1842" s="10" t="str">
        <f aca="false">CHOOSE(MOD(INT((A1842-1)/4),4)+1,CHOOSE(MOD(A1842-1,4)+1,"Смартфоны","Ноутбуки","Аксессуары","Аудио"),CHOOSE(MOD(A1842-1,4)+1,"Верхняя одежда","Спортивная","Повседневная","Обувь"),CHOOSE(MOD(A1842-1,4)+1,"Молочные","Мясные","Бакалея","Напитки"),CHOOSE(MOD(A1842-1,4)+1,"Мягкая мебель","Корпусная","Офисная","Кухонная"))</f>
        <v>Смартфоны</v>
      </c>
      <c r="K1842" s="12" t="n">
        <f aca="false">1000+MOD(A1842*317+A1842*A1842*7,49001)</f>
        <v>5068</v>
      </c>
      <c r="L1842" s="12" t="n">
        <f aca="false">1+MOD(A1842*131,100)</f>
        <v>72</v>
      </c>
      <c r="M1842" s="12" t="n">
        <f aca="false">INT(K1842*(0.6+MOD(A1842*43,21)/100))</f>
        <v>3750</v>
      </c>
      <c r="N1842" s="12" t="n">
        <f aca="false">K1842-M1842</f>
        <v>1318</v>
      </c>
    </row>
    <row r="1843" customFormat="false" ht="12.8" hidden="false" customHeight="false" outlineLevel="0" collapsed="false">
      <c r="A1843" s="10" t="n">
        <f aca="false">A1842+1</f>
        <v>1842</v>
      </c>
      <c r="B1843" s="11" t="n">
        <f aca="false">B1842+1</f>
        <v>46768</v>
      </c>
      <c r="C1843" s="10" t="n">
        <f aca="false">YEAR(B1843)</f>
        <v>2028</v>
      </c>
      <c r="D1843" s="10" t="n">
        <f aca="false">INT((MONTH(B1843)-1)/3)+1</f>
        <v>1</v>
      </c>
      <c r="E1843" s="10" t="n">
        <f aca="false">MONTH(B1843)</f>
        <v>1</v>
      </c>
      <c r="F1843" s="10" t="str">
        <f aca="false">CHOOSE(MOD(A1843-1,5)+1,"Центр","Юг","Север","Запад","Восток")</f>
        <v>Юг</v>
      </c>
      <c r="G1843" s="10" t="str">
        <f aca="false">"Округ_"&amp;(MOD(A1843-1,5)+1)&amp;"_"&amp;(MOD(INT((A1843-1)/5),5)+1)</f>
        <v>Округ_2_4</v>
      </c>
      <c r="H1843" s="10" t="str">
        <f aca="false">"Город_"&amp;(MOD(A1843-1,5)+1)&amp;"_"&amp;(MOD(INT((A1843-1)/5),5)+1)&amp;"_"&amp;(MOD(INT((A1843-1)/25),10)+1)</f>
        <v>Город_2_4_4</v>
      </c>
      <c r="I1843" s="10" t="str">
        <f aca="false">CHOOSE(MOD(A1843-1,4)+1,"Электроника","Одежда","Продукты","Мебель")</f>
        <v>Одежда</v>
      </c>
      <c r="J1843" s="10" t="str">
        <f aca="false">CHOOSE(MOD(INT((A1843-1)/4),4)+1,CHOOSE(MOD(A1843-1,4)+1,"Смартфоны","Ноутбуки","Аксессуары","Аудио"),CHOOSE(MOD(A1843-1,4)+1,"Верхняя одежда","Спортивная","Повседневная","Обувь"),CHOOSE(MOD(A1843-1,4)+1,"Молочные","Мясные","Бакалея","Напитки"),CHOOSE(MOD(A1843-1,4)+1,"Мягкая мебель","Корпусная","Офисная","Кухонная"))</f>
        <v>Ноутбуки</v>
      </c>
      <c r="K1843" s="12" t="n">
        <f aca="false">1000+MOD(A1843*317+A1843*A1843*7,49001)</f>
        <v>31166</v>
      </c>
      <c r="L1843" s="12" t="n">
        <f aca="false">1+MOD(A1843*131,100)</f>
        <v>3</v>
      </c>
      <c r="M1843" s="12" t="n">
        <f aca="false">INT(K1843*(0.6+MOD(A1843*43,21)/100))</f>
        <v>23374</v>
      </c>
      <c r="N1843" s="12" t="n">
        <f aca="false">K1843-M1843</f>
        <v>7792</v>
      </c>
    </row>
    <row r="1844" customFormat="false" ht="12.8" hidden="false" customHeight="false" outlineLevel="0" collapsed="false">
      <c r="A1844" s="10" t="n">
        <f aca="false">A1843+1</f>
        <v>1843</v>
      </c>
      <c r="B1844" s="11" t="n">
        <f aca="false">B1843+1</f>
        <v>46769</v>
      </c>
      <c r="C1844" s="10" t="n">
        <f aca="false">YEAR(B1844)</f>
        <v>2028</v>
      </c>
      <c r="D1844" s="10" t="n">
        <f aca="false">INT((MONTH(B1844)-1)/3)+1</f>
        <v>1</v>
      </c>
      <c r="E1844" s="10" t="n">
        <f aca="false">MONTH(B1844)</f>
        <v>1</v>
      </c>
      <c r="F1844" s="10" t="str">
        <f aca="false">CHOOSE(MOD(A1844-1,5)+1,"Центр","Юг","Север","Запад","Восток")</f>
        <v>Север</v>
      </c>
      <c r="G1844" s="10" t="str">
        <f aca="false">"Округ_"&amp;(MOD(A1844-1,5)+1)&amp;"_"&amp;(MOD(INT((A1844-1)/5),5)+1)</f>
        <v>Округ_3_4</v>
      </c>
      <c r="H1844" s="10" t="str">
        <f aca="false">"Город_"&amp;(MOD(A1844-1,5)+1)&amp;"_"&amp;(MOD(INT((A1844-1)/5),5)+1)&amp;"_"&amp;(MOD(INT((A1844-1)/25),10)+1)</f>
        <v>Город_3_4_4</v>
      </c>
      <c r="I1844" s="10" t="str">
        <f aca="false">CHOOSE(MOD(A1844-1,4)+1,"Электроника","Одежда","Продукты","Мебель")</f>
        <v>Продукты</v>
      </c>
      <c r="J1844" s="10" t="str">
        <f aca="false">CHOOSE(MOD(INT((A1844-1)/4),4)+1,CHOOSE(MOD(A1844-1,4)+1,"Смартфоны","Ноутбуки","Аксессуары","Аудио"),CHOOSE(MOD(A1844-1,4)+1,"Верхняя одежда","Спортивная","Повседневная","Обувь"),CHOOSE(MOD(A1844-1,4)+1,"Молочные","Мясные","Бакалея","Напитки"),CHOOSE(MOD(A1844-1,4)+1,"Мягкая мебель","Корпусная","Офисная","Кухонная"))</f>
        <v>Аксессуары</v>
      </c>
      <c r="K1844" s="12" t="n">
        <f aca="false">1000+MOD(A1844*317+A1844*A1844*7,49001)</f>
        <v>8277</v>
      </c>
      <c r="L1844" s="12" t="n">
        <f aca="false">1+MOD(A1844*131,100)</f>
        <v>34</v>
      </c>
      <c r="M1844" s="12" t="n">
        <f aca="false">INT(K1844*(0.6+MOD(A1844*43,21)/100))</f>
        <v>6290</v>
      </c>
      <c r="N1844" s="12" t="n">
        <f aca="false">K1844-M1844</f>
        <v>1987</v>
      </c>
    </row>
    <row r="1845" customFormat="false" ht="12.8" hidden="false" customHeight="false" outlineLevel="0" collapsed="false">
      <c r="A1845" s="10" t="n">
        <f aca="false">A1844+1</f>
        <v>1844</v>
      </c>
      <c r="B1845" s="11" t="n">
        <f aca="false">B1844+1</f>
        <v>46770</v>
      </c>
      <c r="C1845" s="10" t="n">
        <f aca="false">YEAR(B1845)</f>
        <v>2028</v>
      </c>
      <c r="D1845" s="10" t="n">
        <f aca="false">INT((MONTH(B1845)-1)/3)+1</f>
        <v>1</v>
      </c>
      <c r="E1845" s="10" t="n">
        <f aca="false">MONTH(B1845)</f>
        <v>1</v>
      </c>
      <c r="F1845" s="10" t="str">
        <f aca="false">CHOOSE(MOD(A1845-1,5)+1,"Центр","Юг","Север","Запад","Восток")</f>
        <v>Запад</v>
      </c>
      <c r="G1845" s="10" t="str">
        <f aca="false">"Округ_"&amp;(MOD(A1845-1,5)+1)&amp;"_"&amp;(MOD(INT((A1845-1)/5),5)+1)</f>
        <v>Округ_4_4</v>
      </c>
      <c r="H1845" s="10" t="str">
        <f aca="false">"Город_"&amp;(MOD(A1845-1,5)+1)&amp;"_"&amp;(MOD(INT((A1845-1)/5),5)+1)&amp;"_"&amp;(MOD(INT((A1845-1)/25),10)+1)</f>
        <v>Город_4_4_4</v>
      </c>
      <c r="I1845" s="10" t="str">
        <f aca="false">CHOOSE(MOD(A1845-1,4)+1,"Электроника","Одежда","Продукты","Мебель")</f>
        <v>Мебель</v>
      </c>
      <c r="J1845" s="10" t="str">
        <f aca="false">CHOOSE(MOD(INT((A1845-1)/4),4)+1,CHOOSE(MOD(A1845-1,4)+1,"Смартфоны","Ноутбуки","Аксессуары","Аудио"),CHOOSE(MOD(A1845-1,4)+1,"Верхняя одежда","Спортивная","Повседневная","Обувь"),CHOOSE(MOD(A1845-1,4)+1,"Молочные","Мясные","Бакалея","Напитки"),CHOOSE(MOD(A1845-1,4)+1,"Мягкая мебель","Корпусная","Офисная","Кухонная"))</f>
        <v>Аудио</v>
      </c>
      <c r="K1845" s="12" t="n">
        <f aca="false">1000+MOD(A1845*317+A1845*A1845*7,49001)</f>
        <v>34403</v>
      </c>
      <c r="L1845" s="12" t="n">
        <f aca="false">1+MOD(A1845*131,100)</f>
        <v>65</v>
      </c>
      <c r="M1845" s="12" t="n">
        <f aca="false">INT(K1845*(0.6+MOD(A1845*43,21)/100))</f>
        <v>26490</v>
      </c>
      <c r="N1845" s="12" t="n">
        <f aca="false">K1845-M1845</f>
        <v>7913</v>
      </c>
    </row>
    <row r="1846" customFormat="false" ht="12.8" hidden="false" customHeight="false" outlineLevel="0" collapsed="false">
      <c r="A1846" s="10" t="n">
        <f aca="false">A1845+1</f>
        <v>1845</v>
      </c>
      <c r="B1846" s="11" t="n">
        <f aca="false">B1845+1</f>
        <v>46771</v>
      </c>
      <c r="C1846" s="10" t="n">
        <f aca="false">YEAR(B1846)</f>
        <v>2028</v>
      </c>
      <c r="D1846" s="10" t="n">
        <f aca="false">INT((MONTH(B1846)-1)/3)+1</f>
        <v>1</v>
      </c>
      <c r="E1846" s="10" t="n">
        <f aca="false">MONTH(B1846)</f>
        <v>1</v>
      </c>
      <c r="F1846" s="10" t="str">
        <f aca="false">CHOOSE(MOD(A1846-1,5)+1,"Центр","Юг","Север","Запад","Восток")</f>
        <v>Восток</v>
      </c>
      <c r="G1846" s="10" t="str">
        <f aca="false">"Округ_"&amp;(MOD(A1846-1,5)+1)&amp;"_"&amp;(MOD(INT((A1846-1)/5),5)+1)</f>
        <v>Округ_5_4</v>
      </c>
      <c r="H1846" s="10" t="str">
        <f aca="false">"Город_"&amp;(MOD(A1846-1,5)+1)&amp;"_"&amp;(MOD(INT((A1846-1)/5),5)+1)&amp;"_"&amp;(MOD(INT((A1846-1)/25),10)+1)</f>
        <v>Город_5_4_4</v>
      </c>
      <c r="I1846" s="10" t="str">
        <f aca="false">CHOOSE(MOD(A1846-1,4)+1,"Электроника","Одежда","Продукты","Мебель")</f>
        <v>Электроника</v>
      </c>
      <c r="J1846" s="10" t="str">
        <f aca="false">CHOOSE(MOD(INT((A1846-1)/4),4)+1,CHOOSE(MOD(A1846-1,4)+1,"Смартфоны","Ноутбуки","Аксессуары","Аудио"),CHOOSE(MOD(A1846-1,4)+1,"Верхняя одежда","Спортивная","Повседневная","Обувь"),CHOOSE(MOD(A1846-1,4)+1,"Молочные","Мясные","Бакалея","Напитки"),CHOOSE(MOD(A1846-1,4)+1,"Мягкая мебель","Корпусная","Офисная","Кухонная"))</f>
        <v>Верхняя одежда</v>
      </c>
      <c r="K1846" s="12" t="n">
        <f aca="false">1000+MOD(A1846*317+A1846*A1846*7,49001)</f>
        <v>11542</v>
      </c>
      <c r="L1846" s="12" t="n">
        <f aca="false">1+MOD(A1846*131,100)</f>
        <v>96</v>
      </c>
      <c r="M1846" s="12" t="n">
        <f aca="false">INT(K1846*(0.6+MOD(A1846*43,21)/100))</f>
        <v>9002</v>
      </c>
      <c r="N1846" s="12" t="n">
        <f aca="false">K1846-M1846</f>
        <v>2540</v>
      </c>
    </row>
    <row r="1847" customFormat="false" ht="12.8" hidden="false" customHeight="false" outlineLevel="0" collapsed="false">
      <c r="A1847" s="10" t="n">
        <f aca="false">A1846+1</f>
        <v>1846</v>
      </c>
      <c r="B1847" s="11" t="n">
        <f aca="false">B1846+1</f>
        <v>46772</v>
      </c>
      <c r="C1847" s="10" t="n">
        <f aca="false">YEAR(B1847)</f>
        <v>2028</v>
      </c>
      <c r="D1847" s="10" t="n">
        <f aca="false">INT((MONTH(B1847)-1)/3)+1</f>
        <v>1</v>
      </c>
      <c r="E1847" s="10" t="n">
        <f aca="false">MONTH(B1847)</f>
        <v>1</v>
      </c>
      <c r="F1847" s="10" t="str">
        <f aca="false">CHOOSE(MOD(A1847-1,5)+1,"Центр","Юг","Север","Запад","Восток")</f>
        <v>Центр</v>
      </c>
      <c r="G1847" s="10" t="str">
        <f aca="false">"Округ_"&amp;(MOD(A1847-1,5)+1)&amp;"_"&amp;(MOD(INT((A1847-1)/5),5)+1)</f>
        <v>Округ_1_5</v>
      </c>
      <c r="H1847" s="10" t="str">
        <f aca="false">"Город_"&amp;(MOD(A1847-1,5)+1)&amp;"_"&amp;(MOD(INT((A1847-1)/5),5)+1)&amp;"_"&amp;(MOD(INT((A1847-1)/25),10)+1)</f>
        <v>Город_1_5_4</v>
      </c>
      <c r="I1847" s="10" t="str">
        <f aca="false">CHOOSE(MOD(A1847-1,4)+1,"Электроника","Одежда","Продукты","Мебель")</f>
        <v>Одежда</v>
      </c>
      <c r="J1847" s="10" t="str">
        <f aca="false">CHOOSE(MOD(INT((A1847-1)/4),4)+1,CHOOSE(MOD(A1847-1,4)+1,"Смартфоны","Ноутбуки","Аксессуары","Аудио"),CHOOSE(MOD(A1847-1,4)+1,"Верхняя одежда","Спортивная","Повседневная","Обувь"),CHOOSE(MOD(A1847-1,4)+1,"Молочные","Мясные","Бакалея","Напитки"),CHOOSE(MOD(A1847-1,4)+1,"Мягкая мебель","Корпусная","Офисная","Кухонная"))</f>
        <v>Спортивная</v>
      </c>
      <c r="K1847" s="12" t="n">
        <f aca="false">1000+MOD(A1847*317+A1847*A1847*7,49001)</f>
        <v>37696</v>
      </c>
      <c r="L1847" s="12" t="n">
        <f aca="false">1+MOD(A1847*131,100)</f>
        <v>27</v>
      </c>
      <c r="M1847" s="12" t="n">
        <f aca="false">INT(K1847*(0.6+MOD(A1847*43,21)/100))</f>
        <v>29779</v>
      </c>
      <c r="N1847" s="12" t="n">
        <f aca="false">K1847-M1847</f>
        <v>7917</v>
      </c>
    </row>
    <row r="1848" customFormat="false" ht="12.8" hidden="false" customHeight="false" outlineLevel="0" collapsed="false">
      <c r="A1848" s="10" t="n">
        <f aca="false">A1847+1</f>
        <v>1847</v>
      </c>
      <c r="B1848" s="11" t="n">
        <f aca="false">B1847+1</f>
        <v>46773</v>
      </c>
      <c r="C1848" s="10" t="n">
        <f aca="false">YEAR(B1848)</f>
        <v>2028</v>
      </c>
      <c r="D1848" s="10" t="n">
        <f aca="false">INT((MONTH(B1848)-1)/3)+1</f>
        <v>1</v>
      </c>
      <c r="E1848" s="10" t="n">
        <f aca="false">MONTH(B1848)</f>
        <v>1</v>
      </c>
      <c r="F1848" s="10" t="str">
        <f aca="false">CHOOSE(MOD(A1848-1,5)+1,"Центр","Юг","Север","Запад","Восток")</f>
        <v>Юг</v>
      </c>
      <c r="G1848" s="10" t="str">
        <f aca="false">"Округ_"&amp;(MOD(A1848-1,5)+1)&amp;"_"&amp;(MOD(INT((A1848-1)/5),5)+1)</f>
        <v>Округ_2_5</v>
      </c>
      <c r="H1848" s="10" t="str">
        <f aca="false">"Город_"&amp;(MOD(A1848-1,5)+1)&amp;"_"&amp;(MOD(INT((A1848-1)/5),5)+1)&amp;"_"&amp;(MOD(INT((A1848-1)/25),10)+1)</f>
        <v>Город_2_5_4</v>
      </c>
      <c r="I1848" s="10" t="str">
        <f aca="false">CHOOSE(MOD(A1848-1,4)+1,"Электроника","Одежда","Продукты","Мебель")</f>
        <v>Продукты</v>
      </c>
      <c r="J1848" s="10" t="str">
        <f aca="false">CHOOSE(MOD(INT((A1848-1)/4),4)+1,CHOOSE(MOD(A1848-1,4)+1,"Смартфоны","Ноутбуки","Аксессуары","Аудио"),CHOOSE(MOD(A1848-1,4)+1,"Верхняя одежда","Спортивная","Повседневная","Обувь"),CHOOSE(MOD(A1848-1,4)+1,"Молочные","Мясные","Бакалея","Напитки"),CHOOSE(MOD(A1848-1,4)+1,"Мягкая мебель","Корпусная","Офисная","Кухонная"))</f>
        <v>Повседневная</v>
      </c>
      <c r="K1848" s="12" t="n">
        <f aca="false">1000+MOD(A1848*317+A1848*A1848*7,49001)</f>
        <v>14863</v>
      </c>
      <c r="L1848" s="12" t="n">
        <f aca="false">1+MOD(A1848*131,100)</f>
        <v>58</v>
      </c>
      <c r="M1848" s="12" t="n">
        <f aca="false">INT(K1848*(0.6+MOD(A1848*43,21)/100))</f>
        <v>11890</v>
      </c>
      <c r="N1848" s="12" t="n">
        <f aca="false">K1848-M1848</f>
        <v>2973</v>
      </c>
    </row>
    <row r="1849" customFormat="false" ht="12.8" hidden="false" customHeight="false" outlineLevel="0" collapsed="false">
      <c r="A1849" s="10" t="n">
        <f aca="false">A1848+1</f>
        <v>1848</v>
      </c>
      <c r="B1849" s="11" t="n">
        <f aca="false">B1848+1</f>
        <v>46774</v>
      </c>
      <c r="C1849" s="10" t="n">
        <f aca="false">YEAR(B1849)</f>
        <v>2028</v>
      </c>
      <c r="D1849" s="10" t="n">
        <f aca="false">INT((MONTH(B1849)-1)/3)+1</f>
        <v>1</v>
      </c>
      <c r="E1849" s="10" t="n">
        <f aca="false">MONTH(B1849)</f>
        <v>1</v>
      </c>
      <c r="F1849" s="10" t="str">
        <f aca="false">CHOOSE(MOD(A1849-1,5)+1,"Центр","Юг","Север","Запад","Восток")</f>
        <v>Север</v>
      </c>
      <c r="G1849" s="10" t="str">
        <f aca="false">"Округ_"&amp;(MOD(A1849-1,5)+1)&amp;"_"&amp;(MOD(INT((A1849-1)/5),5)+1)</f>
        <v>Округ_3_5</v>
      </c>
      <c r="H1849" s="10" t="str">
        <f aca="false">"Город_"&amp;(MOD(A1849-1,5)+1)&amp;"_"&amp;(MOD(INT((A1849-1)/5),5)+1)&amp;"_"&amp;(MOD(INT((A1849-1)/25),10)+1)</f>
        <v>Город_3_5_4</v>
      </c>
      <c r="I1849" s="10" t="str">
        <f aca="false">CHOOSE(MOD(A1849-1,4)+1,"Электроника","Одежда","Продукты","Мебель")</f>
        <v>Мебель</v>
      </c>
      <c r="J1849" s="10" t="str">
        <f aca="false">CHOOSE(MOD(INT((A1849-1)/4),4)+1,CHOOSE(MOD(A1849-1,4)+1,"Смартфоны","Ноутбуки","Аксессуары","Аудио"),CHOOSE(MOD(A1849-1,4)+1,"Верхняя одежда","Спортивная","Повседневная","Обувь"),CHOOSE(MOD(A1849-1,4)+1,"Молочные","Мясные","Бакалея","Напитки"),CHOOSE(MOD(A1849-1,4)+1,"Мягкая мебель","Корпусная","Офисная","Кухонная"))</f>
        <v>Обувь</v>
      </c>
      <c r="K1849" s="12" t="n">
        <f aca="false">1000+MOD(A1849*317+A1849*A1849*7,49001)</f>
        <v>41045</v>
      </c>
      <c r="L1849" s="12" t="n">
        <f aca="false">1+MOD(A1849*131,100)</f>
        <v>89</v>
      </c>
      <c r="M1849" s="12" t="n">
        <f aca="false">INT(K1849*(0.6+MOD(A1849*43,21)/100))</f>
        <v>24627</v>
      </c>
      <c r="N1849" s="12" t="n">
        <f aca="false">K1849-M1849</f>
        <v>16418</v>
      </c>
    </row>
    <row r="1850" customFormat="false" ht="12.8" hidden="false" customHeight="false" outlineLevel="0" collapsed="false">
      <c r="A1850" s="10" t="n">
        <f aca="false">A1849+1</f>
        <v>1849</v>
      </c>
      <c r="B1850" s="11" t="n">
        <f aca="false">B1849+1</f>
        <v>46775</v>
      </c>
      <c r="C1850" s="10" t="n">
        <f aca="false">YEAR(B1850)</f>
        <v>2028</v>
      </c>
      <c r="D1850" s="10" t="n">
        <f aca="false">INT((MONTH(B1850)-1)/3)+1</f>
        <v>1</v>
      </c>
      <c r="E1850" s="10" t="n">
        <f aca="false">MONTH(B1850)</f>
        <v>1</v>
      </c>
      <c r="F1850" s="10" t="str">
        <f aca="false">CHOOSE(MOD(A1850-1,5)+1,"Центр","Юг","Север","Запад","Восток")</f>
        <v>Запад</v>
      </c>
      <c r="G1850" s="10" t="str">
        <f aca="false">"Округ_"&amp;(MOD(A1850-1,5)+1)&amp;"_"&amp;(MOD(INT((A1850-1)/5),5)+1)</f>
        <v>Округ_4_5</v>
      </c>
      <c r="H1850" s="10" t="str">
        <f aca="false">"Город_"&amp;(MOD(A1850-1,5)+1)&amp;"_"&amp;(MOD(INT((A1850-1)/5),5)+1)&amp;"_"&amp;(MOD(INT((A1850-1)/25),10)+1)</f>
        <v>Город_4_5_4</v>
      </c>
      <c r="I1850" s="10" t="str">
        <f aca="false">CHOOSE(MOD(A1850-1,4)+1,"Электроника","Одежда","Продукты","Мебель")</f>
        <v>Электроника</v>
      </c>
      <c r="J1850" s="10" t="str">
        <f aca="false">CHOOSE(MOD(INT((A1850-1)/4),4)+1,CHOOSE(MOD(A1850-1,4)+1,"Смартфоны","Ноутбуки","Аксессуары","Аудио"),CHOOSE(MOD(A1850-1,4)+1,"Верхняя одежда","Спортивная","Повседневная","Обувь"),CHOOSE(MOD(A1850-1,4)+1,"Молочные","Мясные","Бакалея","Напитки"),CHOOSE(MOD(A1850-1,4)+1,"Мягкая мебель","Корпусная","Офисная","Кухонная"))</f>
        <v>Молочные</v>
      </c>
      <c r="K1850" s="12" t="n">
        <f aca="false">1000+MOD(A1850*317+A1850*A1850*7,49001)</f>
        <v>18240</v>
      </c>
      <c r="L1850" s="12" t="n">
        <f aca="false">1+MOD(A1850*131,100)</f>
        <v>20</v>
      </c>
      <c r="M1850" s="12" t="n">
        <f aca="false">INT(K1850*(0.6+MOD(A1850*43,21)/100))</f>
        <v>11126</v>
      </c>
      <c r="N1850" s="12" t="n">
        <f aca="false">K1850-M1850</f>
        <v>7114</v>
      </c>
    </row>
    <row r="1851" customFormat="false" ht="12.8" hidden="false" customHeight="false" outlineLevel="0" collapsed="false">
      <c r="A1851" s="10" t="n">
        <f aca="false">A1850+1</f>
        <v>1850</v>
      </c>
      <c r="B1851" s="11" t="n">
        <f aca="false">B1850+1</f>
        <v>46776</v>
      </c>
      <c r="C1851" s="10" t="n">
        <f aca="false">YEAR(B1851)</f>
        <v>2028</v>
      </c>
      <c r="D1851" s="10" t="n">
        <f aca="false">INT((MONTH(B1851)-1)/3)+1</f>
        <v>1</v>
      </c>
      <c r="E1851" s="10" t="n">
        <f aca="false">MONTH(B1851)</f>
        <v>1</v>
      </c>
      <c r="F1851" s="10" t="str">
        <f aca="false">CHOOSE(MOD(A1851-1,5)+1,"Центр","Юг","Север","Запад","Восток")</f>
        <v>Восток</v>
      </c>
      <c r="G1851" s="10" t="str">
        <f aca="false">"Округ_"&amp;(MOD(A1851-1,5)+1)&amp;"_"&amp;(MOD(INT((A1851-1)/5),5)+1)</f>
        <v>Округ_5_5</v>
      </c>
      <c r="H1851" s="10" t="str">
        <f aca="false">"Город_"&amp;(MOD(A1851-1,5)+1)&amp;"_"&amp;(MOD(INT((A1851-1)/5),5)+1)&amp;"_"&amp;(MOD(INT((A1851-1)/25),10)+1)</f>
        <v>Город_5_5_4</v>
      </c>
      <c r="I1851" s="10" t="str">
        <f aca="false">CHOOSE(MOD(A1851-1,4)+1,"Электроника","Одежда","Продукты","Мебель")</f>
        <v>Одежда</v>
      </c>
      <c r="J1851" s="10" t="str">
        <f aca="false">CHOOSE(MOD(INT((A1851-1)/4),4)+1,CHOOSE(MOD(A1851-1,4)+1,"Смартфоны","Ноутбуки","Аксессуары","Аудио"),CHOOSE(MOD(A1851-1,4)+1,"Верхняя одежда","Спортивная","Повседневная","Обувь"),CHOOSE(MOD(A1851-1,4)+1,"Молочные","Мясные","Бакалея","Напитки"),CHOOSE(MOD(A1851-1,4)+1,"Мягкая мебель","Корпусная","Офисная","Кухонная"))</f>
        <v>Мясные</v>
      </c>
      <c r="K1851" s="12" t="n">
        <f aca="false">1000+MOD(A1851*317+A1851*A1851*7,49001)</f>
        <v>44450</v>
      </c>
      <c r="L1851" s="12" t="n">
        <f aca="false">1+MOD(A1851*131,100)</f>
        <v>51</v>
      </c>
      <c r="M1851" s="12" t="n">
        <f aca="false">INT(K1851*(0.6+MOD(A1851*43,21)/100))</f>
        <v>27559</v>
      </c>
      <c r="N1851" s="12" t="n">
        <f aca="false">K1851-M1851</f>
        <v>16891</v>
      </c>
    </row>
    <row r="1852" customFormat="false" ht="12.8" hidden="false" customHeight="false" outlineLevel="0" collapsed="false">
      <c r="A1852" s="10" t="n">
        <f aca="false">A1851+1</f>
        <v>1851</v>
      </c>
      <c r="B1852" s="11" t="n">
        <f aca="false">B1851+1</f>
        <v>46777</v>
      </c>
      <c r="C1852" s="10" t="n">
        <f aca="false">YEAR(B1852)</f>
        <v>2028</v>
      </c>
      <c r="D1852" s="10" t="n">
        <f aca="false">INT((MONTH(B1852)-1)/3)+1</f>
        <v>1</v>
      </c>
      <c r="E1852" s="10" t="n">
        <f aca="false">MONTH(B1852)</f>
        <v>1</v>
      </c>
      <c r="F1852" s="10" t="str">
        <f aca="false">CHOOSE(MOD(A1852-1,5)+1,"Центр","Юг","Север","Запад","Восток")</f>
        <v>Центр</v>
      </c>
      <c r="G1852" s="10" t="str">
        <f aca="false">"Округ_"&amp;(MOD(A1852-1,5)+1)&amp;"_"&amp;(MOD(INT((A1852-1)/5),5)+1)</f>
        <v>Округ_1_1</v>
      </c>
      <c r="H1852" s="10" t="str">
        <f aca="false">"Город_"&amp;(MOD(A1852-1,5)+1)&amp;"_"&amp;(MOD(INT((A1852-1)/5),5)+1)&amp;"_"&amp;(MOD(INT((A1852-1)/25),10)+1)</f>
        <v>Город_1_1_5</v>
      </c>
      <c r="I1852" s="10" t="str">
        <f aca="false">CHOOSE(MOD(A1852-1,4)+1,"Электроника","Одежда","Продукты","Мебель")</f>
        <v>Продукты</v>
      </c>
      <c r="J1852" s="10" t="str">
        <f aca="false">CHOOSE(MOD(INT((A1852-1)/4),4)+1,CHOOSE(MOD(A1852-1,4)+1,"Смартфоны","Ноутбуки","Аксессуары","Аудио"),CHOOSE(MOD(A1852-1,4)+1,"Верхняя одежда","Спортивная","Повседневная","Обувь"),CHOOSE(MOD(A1852-1,4)+1,"Молочные","Мясные","Бакалея","Напитки"),CHOOSE(MOD(A1852-1,4)+1,"Мягкая мебель","Корпусная","Офисная","Кухонная"))</f>
        <v>Бакалея</v>
      </c>
      <c r="K1852" s="12" t="n">
        <f aca="false">1000+MOD(A1852*317+A1852*A1852*7,49001)</f>
        <v>21673</v>
      </c>
      <c r="L1852" s="12" t="n">
        <f aca="false">1+MOD(A1852*131,100)</f>
        <v>82</v>
      </c>
      <c r="M1852" s="12" t="n">
        <f aca="false">INT(K1852*(0.6+MOD(A1852*43,21)/100))</f>
        <v>13653</v>
      </c>
      <c r="N1852" s="12" t="n">
        <f aca="false">K1852-M1852</f>
        <v>8020</v>
      </c>
    </row>
    <row r="1853" customFormat="false" ht="12.8" hidden="false" customHeight="false" outlineLevel="0" collapsed="false">
      <c r="A1853" s="10" t="n">
        <f aca="false">A1852+1</f>
        <v>1852</v>
      </c>
      <c r="B1853" s="11" t="n">
        <f aca="false">B1852+1</f>
        <v>46778</v>
      </c>
      <c r="C1853" s="10" t="n">
        <f aca="false">YEAR(B1853)</f>
        <v>2028</v>
      </c>
      <c r="D1853" s="10" t="n">
        <f aca="false">INT((MONTH(B1853)-1)/3)+1</f>
        <v>1</v>
      </c>
      <c r="E1853" s="10" t="n">
        <f aca="false">MONTH(B1853)</f>
        <v>1</v>
      </c>
      <c r="F1853" s="10" t="str">
        <f aca="false">CHOOSE(MOD(A1853-1,5)+1,"Центр","Юг","Север","Запад","Восток")</f>
        <v>Юг</v>
      </c>
      <c r="G1853" s="10" t="str">
        <f aca="false">"Округ_"&amp;(MOD(A1853-1,5)+1)&amp;"_"&amp;(MOD(INT((A1853-1)/5),5)+1)</f>
        <v>Округ_2_1</v>
      </c>
      <c r="H1853" s="10" t="str">
        <f aca="false">"Город_"&amp;(MOD(A1853-1,5)+1)&amp;"_"&amp;(MOD(INT((A1853-1)/5),5)+1)&amp;"_"&amp;(MOD(INT((A1853-1)/25),10)+1)</f>
        <v>Город_2_1_5</v>
      </c>
      <c r="I1853" s="10" t="str">
        <f aca="false">CHOOSE(MOD(A1853-1,4)+1,"Электроника","Одежда","Продукты","Мебель")</f>
        <v>Мебель</v>
      </c>
      <c r="J1853" s="10" t="str">
        <f aca="false">CHOOSE(MOD(INT((A1853-1)/4),4)+1,CHOOSE(MOD(A1853-1,4)+1,"Смартфоны","Ноутбуки","Аксессуары","Аудио"),CHOOSE(MOD(A1853-1,4)+1,"Верхняя одежда","Спортивная","Повседневная","Обувь"),CHOOSE(MOD(A1853-1,4)+1,"Молочные","Мясные","Бакалея","Напитки"),CHOOSE(MOD(A1853-1,4)+1,"Мягкая мебель","Корпусная","Офисная","Кухонная"))</f>
        <v>Напитки</v>
      </c>
      <c r="K1853" s="12" t="n">
        <f aca="false">1000+MOD(A1853*317+A1853*A1853*7,49001)</f>
        <v>47911</v>
      </c>
      <c r="L1853" s="12" t="n">
        <f aca="false">1+MOD(A1853*131,100)</f>
        <v>13</v>
      </c>
      <c r="M1853" s="12" t="n">
        <f aca="false">INT(K1853*(0.6+MOD(A1853*43,21)/100))</f>
        <v>30663</v>
      </c>
      <c r="N1853" s="12" t="n">
        <f aca="false">K1853-M1853</f>
        <v>17248</v>
      </c>
    </row>
    <row r="1854" customFormat="false" ht="12.8" hidden="false" customHeight="false" outlineLevel="0" collapsed="false">
      <c r="A1854" s="10" t="n">
        <f aca="false">A1853+1</f>
        <v>1853</v>
      </c>
      <c r="B1854" s="11" t="n">
        <f aca="false">B1853+1</f>
        <v>46779</v>
      </c>
      <c r="C1854" s="10" t="n">
        <f aca="false">YEAR(B1854)</f>
        <v>2028</v>
      </c>
      <c r="D1854" s="10" t="n">
        <f aca="false">INT((MONTH(B1854)-1)/3)+1</f>
        <v>1</v>
      </c>
      <c r="E1854" s="10" t="n">
        <f aca="false">MONTH(B1854)</f>
        <v>1</v>
      </c>
      <c r="F1854" s="10" t="str">
        <f aca="false">CHOOSE(MOD(A1854-1,5)+1,"Центр","Юг","Север","Запад","Восток")</f>
        <v>Север</v>
      </c>
      <c r="G1854" s="10" t="str">
        <f aca="false">"Округ_"&amp;(MOD(A1854-1,5)+1)&amp;"_"&amp;(MOD(INT((A1854-1)/5),5)+1)</f>
        <v>Округ_3_1</v>
      </c>
      <c r="H1854" s="10" t="str">
        <f aca="false">"Город_"&amp;(MOD(A1854-1,5)+1)&amp;"_"&amp;(MOD(INT((A1854-1)/5),5)+1)&amp;"_"&amp;(MOD(INT((A1854-1)/25),10)+1)</f>
        <v>Город_3_1_5</v>
      </c>
      <c r="I1854" s="10" t="str">
        <f aca="false">CHOOSE(MOD(A1854-1,4)+1,"Электроника","Одежда","Продукты","Мебель")</f>
        <v>Электроника</v>
      </c>
      <c r="J1854" s="10" t="str">
        <f aca="false">CHOOSE(MOD(INT((A1854-1)/4),4)+1,CHOOSE(MOD(A1854-1,4)+1,"Смартфоны","Ноутбуки","Аксессуары","Аудио"),CHOOSE(MOD(A1854-1,4)+1,"Верхняя одежда","Спортивная","Повседневная","Обувь"),CHOOSE(MOD(A1854-1,4)+1,"Молочные","Мясные","Бакалея","Напитки"),CHOOSE(MOD(A1854-1,4)+1,"Мягкая мебель","Корпусная","Офисная","Кухонная"))</f>
        <v>Мягкая мебель</v>
      </c>
      <c r="K1854" s="12" t="n">
        <f aca="false">1000+MOD(A1854*317+A1854*A1854*7,49001)</f>
        <v>25162</v>
      </c>
      <c r="L1854" s="12" t="n">
        <f aca="false">1+MOD(A1854*131,100)</f>
        <v>44</v>
      </c>
      <c r="M1854" s="12" t="n">
        <f aca="false">INT(K1854*(0.6+MOD(A1854*43,21)/100))</f>
        <v>16355</v>
      </c>
      <c r="N1854" s="12" t="n">
        <f aca="false">K1854-M1854</f>
        <v>8807</v>
      </c>
    </row>
    <row r="1855" customFormat="false" ht="12.8" hidden="false" customHeight="false" outlineLevel="0" collapsed="false">
      <c r="A1855" s="10" t="n">
        <f aca="false">A1854+1</f>
        <v>1854</v>
      </c>
      <c r="B1855" s="11" t="n">
        <f aca="false">B1854+1</f>
        <v>46780</v>
      </c>
      <c r="C1855" s="10" t="n">
        <f aca="false">YEAR(B1855)</f>
        <v>2028</v>
      </c>
      <c r="D1855" s="10" t="n">
        <f aca="false">INT((MONTH(B1855)-1)/3)+1</f>
        <v>1</v>
      </c>
      <c r="E1855" s="10" t="n">
        <f aca="false">MONTH(B1855)</f>
        <v>1</v>
      </c>
      <c r="F1855" s="10" t="str">
        <f aca="false">CHOOSE(MOD(A1855-1,5)+1,"Центр","Юг","Север","Запад","Восток")</f>
        <v>Запад</v>
      </c>
      <c r="G1855" s="10" t="str">
        <f aca="false">"Округ_"&amp;(MOD(A1855-1,5)+1)&amp;"_"&amp;(MOD(INT((A1855-1)/5),5)+1)</f>
        <v>Округ_4_1</v>
      </c>
      <c r="H1855" s="10" t="str">
        <f aca="false">"Город_"&amp;(MOD(A1855-1,5)+1)&amp;"_"&amp;(MOD(INT((A1855-1)/5),5)+1)&amp;"_"&amp;(MOD(INT((A1855-1)/25),10)+1)</f>
        <v>Город_4_1_5</v>
      </c>
      <c r="I1855" s="10" t="str">
        <f aca="false">CHOOSE(MOD(A1855-1,4)+1,"Электроника","Одежда","Продукты","Мебель")</f>
        <v>Одежда</v>
      </c>
      <c r="J1855" s="10" t="str">
        <f aca="false">CHOOSE(MOD(INT((A1855-1)/4),4)+1,CHOOSE(MOD(A1855-1,4)+1,"Смартфоны","Ноутбуки","Аксессуары","Аудио"),CHOOSE(MOD(A1855-1,4)+1,"Верхняя одежда","Спортивная","Повседневная","Обувь"),CHOOSE(MOD(A1855-1,4)+1,"Молочные","Мясные","Бакалея","Напитки"),CHOOSE(MOD(A1855-1,4)+1,"Мягкая мебель","Корпусная","Офисная","Кухонная"))</f>
        <v>Корпусная</v>
      </c>
      <c r="K1855" s="12" t="n">
        <f aca="false">1000+MOD(A1855*317+A1855*A1855*7,49001)</f>
        <v>2427</v>
      </c>
      <c r="L1855" s="12" t="n">
        <f aca="false">1+MOD(A1855*131,100)</f>
        <v>75</v>
      </c>
      <c r="M1855" s="12" t="n">
        <f aca="false">INT(K1855*(0.6+MOD(A1855*43,21)/100))</f>
        <v>1601</v>
      </c>
      <c r="N1855" s="12" t="n">
        <f aca="false">K1855-M1855</f>
        <v>826</v>
      </c>
    </row>
    <row r="1856" customFormat="false" ht="12.8" hidden="false" customHeight="false" outlineLevel="0" collapsed="false">
      <c r="A1856" s="10" t="n">
        <f aca="false">A1855+1</f>
        <v>1855</v>
      </c>
      <c r="B1856" s="11" t="n">
        <f aca="false">B1855+1</f>
        <v>46781</v>
      </c>
      <c r="C1856" s="10" t="n">
        <f aca="false">YEAR(B1856)</f>
        <v>2028</v>
      </c>
      <c r="D1856" s="10" t="n">
        <f aca="false">INT((MONTH(B1856)-1)/3)+1</f>
        <v>1</v>
      </c>
      <c r="E1856" s="10" t="n">
        <f aca="false">MONTH(B1856)</f>
        <v>1</v>
      </c>
      <c r="F1856" s="10" t="str">
        <f aca="false">CHOOSE(MOD(A1856-1,5)+1,"Центр","Юг","Север","Запад","Восток")</f>
        <v>Восток</v>
      </c>
      <c r="G1856" s="10" t="str">
        <f aca="false">"Округ_"&amp;(MOD(A1856-1,5)+1)&amp;"_"&amp;(MOD(INT((A1856-1)/5),5)+1)</f>
        <v>Округ_5_1</v>
      </c>
      <c r="H1856" s="10" t="str">
        <f aca="false">"Город_"&amp;(MOD(A1856-1,5)+1)&amp;"_"&amp;(MOD(INT((A1856-1)/5),5)+1)&amp;"_"&amp;(MOD(INT((A1856-1)/25),10)+1)</f>
        <v>Город_5_1_5</v>
      </c>
      <c r="I1856" s="10" t="str">
        <f aca="false">CHOOSE(MOD(A1856-1,4)+1,"Электроника","Одежда","Продукты","Мебель")</f>
        <v>Продукты</v>
      </c>
      <c r="J1856" s="10" t="str">
        <f aca="false">CHOOSE(MOD(INT((A1856-1)/4),4)+1,CHOOSE(MOD(A1856-1,4)+1,"Смартфоны","Ноутбуки","Аксессуары","Аудио"),CHOOSE(MOD(A1856-1,4)+1,"Верхняя одежда","Спортивная","Повседневная","Обувь"),CHOOSE(MOD(A1856-1,4)+1,"Молочные","Мясные","Бакалея","Напитки"),CHOOSE(MOD(A1856-1,4)+1,"Мягкая мебель","Корпусная","Офисная","Кухонная"))</f>
        <v>Офисная</v>
      </c>
      <c r="K1856" s="12" t="n">
        <f aca="false">1000+MOD(A1856*317+A1856*A1856*7,49001)</f>
        <v>28707</v>
      </c>
      <c r="L1856" s="12" t="n">
        <f aca="false">1+MOD(A1856*131,100)</f>
        <v>6</v>
      </c>
      <c r="M1856" s="12" t="n">
        <f aca="false">INT(K1856*(0.6+MOD(A1856*43,21)/100))</f>
        <v>19233</v>
      </c>
      <c r="N1856" s="12" t="n">
        <f aca="false">K1856-M1856</f>
        <v>9474</v>
      </c>
    </row>
    <row r="1857" customFormat="false" ht="12.8" hidden="false" customHeight="false" outlineLevel="0" collapsed="false">
      <c r="A1857" s="10" t="n">
        <f aca="false">A1856+1</f>
        <v>1856</v>
      </c>
      <c r="B1857" s="11" t="n">
        <f aca="false">B1856+1</f>
        <v>46782</v>
      </c>
      <c r="C1857" s="10" t="n">
        <f aca="false">YEAR(B1857)</f>
        <v>2028</v>
      </c>
      <c r="D1857" s="10" t="n">
        <f aca="false">INT((MONTH(B1857)-1)/3)+1</f>
        <v>1</v>
      </c>
      <c r="E1857" s="10" t="n">
        <f aca="false">MONTH(B1857)</f>
        <v>1</v>
      </c>
      <c r="F1857" s="10" t="str">
        <f aca="false">CHOOSE(MOD(A1857-1,5)+1,"Центр","Юг","Север","Запад","Восток")</f>
        <v>Центр</v>
      </c>
      <c r="G1857" s="10" t="str">
        <f aca="false">"Округ_"&amp;(MOD(A1857-1,5)+1)&amp;"_"&amp;(MOD(INT((A1857-1)/5),5)+1)</f>
        <v>Округ_1_2</v>
      </c>
      <c r="H1857" s="10" t="str">
        <f aca="false">"Город_"&amp;(MOD(A1857-1,5)+1)&amp;"_"&amp;(MOD(INT((A1857-1)/5),5)+1)&amp;"_"&amp;(MOD(INT((A1857-1)/25),10)+1)</f>
        <v>Город_1_2_5</v>
      </c>
      <c r="I1857" s="10" t="str">
        <f aca="false">CHOOSE(MOD(A1857-1,4)+1,"Электроника","Одежда","Продукты","Мебель")</f>
        <v>Мебель</v>
      </c>
      <c r="J1857" s="10" t="str">
        <f aca="false">CHOOSE(MOD(INT((A1857-1)/4),4)+1,CHOOSE(MOD(A1857-1,4)+1,"Смартфоны","Ноутбуки","Аксессуары","Аудио"),CHOOSE(MOD(A1857-1,4)+1,"Верхняя одежда","Спортивная","Повседневная","Обувь"),CHOOSE(MOD(A1857-1,4)+1,"Молочные","Мясные","Бакалея","Напитки"),CHOOSE(MOD(A1857-1,4)+1,"Мягкая мебель","Корпусная","Офисная","Кухонная"))</f>
        <v>Кухонная</v>
      </c>
      <c r="K1857" s="12" t="n">
        <f aca="false">1000+MOD(A1857*317+A1857*A1857*7,49001)</f>
        <v>6000</v>
      </c>
      <c r="L1857" s="12" t="n">
        <f aca="false">1+MOD(A1857*131,100)</f>
        <v>37</v>
      </c>
      <c r="M1857" s="12" t="n">
        <f aca="false">INT(K1857*(0.6+MOD(A1857*43,21)/100))</f>
        <v>4080</v>
      </c>
      <c r="N1857" s="12" t="n">
        <f aca="false">K1857-M1857</f>
        <v>1920</v>
      </c>
    </row>
    <row r="1858" customFormat="false" ht="12.8" hidden="false" customHeight="false" outlineLevel="0" collapsed="false">
      <c r="A1858" s="10" t="n">
        <f aca="false">A1857+1</f>
        <v>1857</v>
      </c>
      <c r="B1858" s="11" t="n">
        <f aca="false">B1857+1</f>
        <v>46783</v>
      </c>
      <c r="C1858" s="10" t="n">
        <f aca="false">YEAR(B1858)</f>
        <v>2028</v>
      </c>
      <c r="D1858" s="10" t="n">
        <f aca="false">INT((MONTH(B1858)-1)/3)+1</f>
        <v>1</v>
      </c>
      <c r="E1858" s="10" t="n">
        <f aca="false">MONTH(B1858)</f>
        <v>1</v>
      </c>
      <c r="F1858" s="10" t="str">
        <f aca="false">CHOOSE(MOD(A1858-1,5)+1,"Центр","Юг","Север","Запад","Восток")</f>
        <v>Юг</v>
      </c>
      <c r="G1858" s="10" t="str">
        <f aca="false">"Округ_"&amp;(MOD(A1858-1,5)+1)&amp;"_"&amp;(MOD(INT((A1858-1)/5),5)+1)</f>
        <v>Округ_2_2</v>
      </c>
      <c r="H1858" s="10" t="str">
        <f aca="false">"Город_"&amp;(MOD(A1858-1,5)+1)&amp;"_"&amp;(MOD(INT((A1858-1)/5),5)+1)&amp;"_"&amp;(MOD(INT((A1858-1)/25),10)+1)</f>
        <v>Город_2_2_5</v>
      </c>
      <c r="I1858" s="10" t="str">
        <f aca="false">CHOOSE(MOD(A1858-1,4)+1,"Электроника","Одежда","Продукты","Мебель")</f>
        <v>Электроника</v>
      </c>
      <c r="J1858" s="10" t="str">
        <f aca="false">CHOOSE(MOD(INT((A1858-1)/4),4)+1,CHOOSE(MOD(A1858-1,4)+1,"Смартфоны","Ноутбуки","Аксессуары","Аудио"),CHOOSE(MOD(A1858-1,4)+1,"Верхняя одежда","Спортивная","Повседневная","Обувь"),CHOOSE(MOD(A1858-1,4)+1,"Молочные","Мясные","Бакалея","Напитки"),CHOOSE(MOD(A1858-1,4)+1,"Мягкая мебель","Корпусная","Офисная","Кухонная"))</f>
        <v>Смартфоны</v>
      </c>
      <c r="K1858" s="12" t="n">
        <f aca="false">1000+MOD(A1858*317+A1858*A1858*7,49001)</f>
        <v>32308</v>
      </c>
      <c r="L1858" s="12" t="n">
        <f aca="false">1+MOD(A1858*131,100)</f>
        <v>68</v>
      </c>
      <c r="M1858" s="12" t="n">
        <f aca="false">INT(K1858*(0.6+MOD(A1858*43,21)/100))</f>
        <v>22292</v>
      </c>
      <c r="N1858" s="12" t="n">
        <f aca="false">K1858-M1858</f>
        <v>10016</v>
      </c>
    </row>
    <row r="1859" customFormat="false" ht="12.8" hidden="false" customHeight="false" outlineLevel="0" collapsed="false">
      <c r="A1859" s="10" t="n">
        <f aca="false">A1858+1</f>
        <v>1858</v>
      </c>
      <c r="B1859" s="11" t="n">
        <f aca="false">B1858+1</f>
        <v>46784</v>
      </c>
      <c r="C1859" s="10" t="n">
        <f aca="false">YEAR(B1859)</f>
        <v>2028</v>
      </c>
      <c r="D1859" s="10" t="n">
        <f aca="false">INT((MONTH(B1859)-1)/3)+1</f>
        <v>1</v>
      </c>
      <c r="E1859" s="10" t="n">
        <f aca="false">MONTH(B1859)</f>
        <v>2</v>
      </c>
      <c r="F1859" s="10" t="str">
        <f aca="false">CHOOSE(MOD(A1859-1,5)+1,"Центр","Юг","Север","Запад","Восток")</f>
        <v>Север</v>
      </c>
      <c r="G1859" s="10" t="str">
        <f aca="false">"Округ_"&amp;(MOD(A1859-1,5)+1)&amp;"_"&amp;(MOD(INT((A1859-1)/5),5)+1)</f>
        <v>Округ_3_2</v>
      </c>
      <c r="H1859" s="10" t="str">
        <f aca="false">"Город_"&amp;(MOD(A1859-1,5)+1)&amp;"_"&amp;(MOD(INT((A1859-1)/5),5)+1)&amp;"_"&amp;(MOD(INT((A1859-1)/25),10)+1)</f>
        <v>Город_3_2_5</v>
      </c>
      <c r="I1859" s="10" t="str">
        <f aca="false">CHOOSE(MOD(A1859-1,4)+1,"Электроника","Одежда","Продукты","Мебель")</f>
        <v>Одежда</v>
      </c>
      <c r="J1859" s="10" t="str">
        <f aca="false">CHOOSE(MOD(INT((A1859-1)/4),4)+1,CHOOSE(MOD(A1859-1,4)+1,"Смартфоны","Ноутбуки","Аксессуары","Аудио"),CHOOSE(MOD(A1859-1,4)+1,"Верхняя одежда","Спортивная","Повседневная","Обувь"),CHOOSE(MOD(A1859-1,4)+1,"Молочные","Мясные","Бакалея","Напитки"),CHOOSE(MOD(A1859-1,4)+1,"Мягкая мебель","Корпусная","Офисная","Кухонная"))</f>
        <v>Ноутбуки</v>
      </c>
      <c r="K1859" s="12" t="n">
        <f aca="false">1000+MOD(A1859*317+A1859*A1859*7,49001)</f>
        <v>9629</v>
      </c>
      <c r="L1859" s="12" t="n">
        <f aca="false">1+MOD(A1859*131,100)</f>
        <v>99</v>
      </c>
      <c r="M1859" s="12" t="n">
        <f aca="false">INT(K1859*(0.6+MOD(A1859*43,21)/100))</f>
        <v>6740</v>
      </c>
      <c r="N1859" s="12" t="n">
        <f aca="false">K1859-M1859</f>
        <v>2889</v>
      </c>
    </row>
    <row r="1860" customFormat="false" ht="12.8" hidden="false" customHeight="false" outlineLevel="0" collapsed="false">
      <c r="A1860" s="10" t="n">
        <f aca="false">A1859+1</f>
        <v>1859</v>
      </c>
      <c r="B1860" s="11" t="n">
        <f aca="false">B1859+1</f>
        <v>46785</v>
      </c>
      <c r="C1860" s="10" t="n">
        <f aca="false">YEAR(B1860)</f>
        <v>2028</v>
      </c>
      <c r="D1860" s="10" t="n">
        <f aca="false">INT((MONTH(B1860)-1)/3)+1</f>
        <v>1</v>
      </c>
      <c r="E1860" s="10" t="n">
        <f aca="false">MONTH(B1860)</f>
        <v>2</v>
      </c>
      <c r="F1860" s="10" t="str">
        <f aca="false">CHOOSE(MOD(A1860-1,5)+1,"Центр","Юг","Север","Запад","Восток")</f>
        <v>Запад</v>
      </c>
      <c r="G1860" s="10" t="str">
        <f aca="false">"Округ_"&amp;(MOD(A1860-1,5)+1)&amp;"_"&amp;(MOD(INT((A1860-1)/5),5)+1)</f>
        <v>Округ_4_2</v>
      </c>
      <c r="H1860" s="10" t="str">
        <f aca="false">"Город_"&amp;(MOD(A1860-1,5)+1)&amp;"_"&amp;(MOD(INT((A1860-1)/5),5)+1)&amp;"_"&amp;(MOD(INT((A1860-1)/25),10)+1)</f>
        <v>Город_4_2_5</v>
      </c>
      <c r="I1860" s="10" t="str">
        <f aca="false">CHOOSE(MOD(A1860-1,4)+1,"Электроника","Одежда","Продукты","Мебель")</f>
        <v>Продукты</v>
      </c>
      <c r="J1860" s="10" t="str">
        <f aca="false">CHOOSE(MOD(INT((A1860-1)/4),4)+1,CHOOSE(MOD(A1860-1,4)+1,"Смартфоны","Ноутбуки","Аксессуары","Аудио"),CHOOSE(MOD(A1860-1,4)+1,"Верхняя одежда","Спортивная","Повседневная","Обувь"),CHOOSE(MOD(A1860-1,4)+1,"Молочные","Мясные","Бакалея","Напитки"),CHOOSE(MOD(A1860-1,4)+1,"Мягкая мебель","Корпусная","Офисная","Кухонная"))</f>
        <v>Аксессуары</v>
      </c>
      <c r="K1860" s="12" t="n">
        <f aca="false">1000+MOD(A1860*317+A1860*A1860*7,49001)</f>
        <v>35965</v>
      </c>
      <c r="L1860" s="12" t="n">
        <f aca="false">1+MOD(A1860*131,100)</f>
        <v>30</v>
      </c>
      <c r="M1860" s="12" t="n">
        <f aca="false">INT(K1860*(0.6+MOD(A1860*43,21)/100))</f>
        <v>25535</v>
      </c>
      <c r="N1860" s="12" t="n">
        <f aca="false">K1860-M1860</f>
        <v>10430</v>
      </c>
    </row>
    <row r="1861" customFormat="false" ht="12.8" hidden="false" customHeight="false" outlineLevel="0" collapsed="false">
      <c r="A1861" s="10" t="n">
        <f aca="false">A1860+1</f>
        <v>1860</v>
      </c>
      <c r="B1861" s="11" t="n">
        <f aca="false">B1860+1</f>
        <v>46786</v>
      </c>
      <c r="C1861" s="10" t="n">
        <f aca="false">YEAR(B1861)</f>
        <v>2028</v>
      </c>
      <c r="D1861" s="10" t="n">
        <f aca="false">INT((MONTH(B1861)-1)/3)+1</f>
        <v>1</v>
      </c>
      <c r="E1861" s="10" t="n">
        <f aca="false">MONTH(B1861)</f>
        <v>2</v>
      </c>
      <c r="F1861" s="10" t="str">
        <f aca="false">CHOOSE(MOD(A1861-1,5)+1,"Центр","Юг","Север","Запад","Восток")</f>
        <v>Восток</v>
      </c>
      <c r="G1861" s="10" t="str">
        <f aca="false">"Округ_"&amp;(MOD(A1861-1,5)+1)&amp;"_"&amp;(MOD(INT((A1861-1)/5),5)+1)</f>
        <v>Округ_5_2</v>
      </c>
      <c r="H1861" s="10" t="str">
        <f aca="false">"Город_"&amp;(MOD(A1861-1,5)+1)&amp;"_"&amp;(MOD(INT((A1861-1)/5),5)+1)&amp;"_"&amp;(MOD(INT((A1861-1)/25),10)+1)</f>
        <v>Город_5_2_5</v>
      </c>
      <c r="I1861" s="10" t="str">
        <f aca="false">CHOOSE(MOD(A1861-1,4)+1,"Электроника","Одежда","Продукты","Мебель")</f>
        <v>Мебель</v>
      </c>
      <c r="J1861" s="10" t="str">
        <f aca="false">CHOOSE(MOD(INT((A1861-1)/4),4)+1,CHOOSE(MOD(A1861-1,4)+1,"Смартфоны","Ноутбуки","Аксессуары","Аудио"),CHOOSE(MOD(A1861-1,4)+1,"Верхняя одежда","Спортивная","Повседневная","Обувь"),CHOOSE(MOD(A1861-1,4)+1,"Молочные","Мясные","Бакалея","Напитки"),CHOOSE(MOD(A1861-1,4)+1,"Мягкая мебель","Корпусная","Офисная","Кухонная"))</f>
        <v>Аудио</v>
      </c>
      <c r="K1861" s="12" t="n">
        <f aca="false">1000+MOD(A1861*317+A1861*A1861*7,49001)</f>
        <v>13314</v>
      </c>
      <c r="L1861" s="12" t="n">
        <f aca="false">1+MOD(A1861*131,100)</f>
        <v>61</v>
      </c>
      <c r="M1861" s="12" t="n">
        <f aca="false">INT(K1861*(0.6+MOD(A1861*43,21)/100))</f>
        <v>9586</v>
      </c>
      <c r="N1861" s="12" t="n">
        <f aca="false">K1861-M1861</f>
        <v>3728</v>
      </c>
    </row>
    <row r="1862" customFormat="false" ht="12.8" hidden="false" customHeight="false" outlineLevel="0" collapsed="false">
      <c r="A1862" s="10" t="n">
        <f aca="false">A1861+1</f>
        <v>1861</v>
      </c>
      <c r="B1862" s="11" t="n">
        <f aca="false">B1861+1</f>
        <v>46787</v>
      </c>
      <c r="C1862" s="10" t="n">
        <f aca="false">YEAR(B1862)</f>
        <v>2028</v>
      </c>
      <c r="D1862" s="10" t="n">
        <f aca="false">INT((MONTH(B1862)-1)/3)+1</f>
        <v>1</v>
      </c>
      <c r="E1862" s="10" t="n">
        <f aca="false">MONTH(B1862)</f>
        <v>2</v>
      </c>
      <c r="F1862" s="10" t="str">
        <f aca="false">CHOOSE(MOD(A1862-1,5)+1,"Центр","Юг","Север","Запад","Восток")</f>
        <v>Центр</v>
      </c>
      <c r="G1862" s="10" t="str">
        <f aca="false">"Округ_"&amp;(MOD(A1862-1,5)+1)&amp;"_"&amp;(MOD(INT((A1862-1)/5),5)+1)</f>
        <v>Округ_1_3</v>
      </c>
      <c r="H1862" s="10" t="str">
        <f aca="false">"Город_"&amp;(MOD(A1862-1,5)+1)&amp;"_"&amp;(MOD(INT((A1862-1)/5),5)+1)&amp;"_"&amp;(MOD(INT((A1862-1)/25),10)+1)</f>
        <v>Город_1_3_5</v>
      </c>
      <c r="I1862" s="10" t="str">
        <f aca="false">CHOOSE(MOD(A1862-1,4)+1,"Электроника","Одежда","Продукты","Мебель")</f>
        <v>Электроника</v>
      </c>
      <c r="J1862" s="10" t="str">
        <f aca="false">CHOOSE(MOD(INT((A1862-1)/4),4)+1,CHOOSE(MOD(A1862-1,4)+1,"Смартфоны","Ноутбуки","Аксессуары","Аудио"),CHOOSE(MOD(A1862-1,4)+1,"Верхняя одежда","Спортивная","Повседневная","Обувь"),CHOOSE(MOD(A1862-1,4)+1,"Молочные","Мясные","Бакалея","Напитки"),CHOOSE(MOD(A1862-1,4)+1,"Мягкая мебель","Корпусная","Офисная","Кухонная"))</f>
        <v>Верхняя одежда</v>
      </c>
      <c r="K1862" s="12" t="n">
        <f aca="false">1000+MOD(A1862*317+A1862*A1862*7,49001)</f>
        <v>39678</v>
      </c>
      <c r="L1862" s="12" t="n">
        <f aca="false">1+MOD(A1862*131,100)</f>
        <v>92</v>
      </c>
      <c r="M1862" s="12" t="n">
        <f aca="false">INT(K1862*(0.6+MOD(A1862*43,21)/100))</f>
        <v>28964</v>
      </c>
      <c r="N1862" s="12" t="n">
        <f aca="false">K1862-M1862</f>
        <v>10714</v>
      </c>
    </row>
    <row r="1863" customFormat="false" ht="12.8" hidden="false" customHeight="false" outlineLevel="0" collapsed="false">
      <c r="A1863" s="10" t="n">
        <f aca="false">A1862+1</f>
        <v>1862</v>
      </c>
      <c r="B1863" s="11" t="n">
        <f aca="false">B1862+1</f>
        <v>46788</v>
      </c>
      <c r="C1863" s="10" t="n">
        <f aca="false">YEAR(B1863)</f>
        <v>2028</v>
      </c>
      <c r="D1863" s="10" t="n">
        <f aca="false">INT((MONTH(B1863)-1)/3)+1</f>
        <v>1</v>
      </c>
      <c r="E1863" s="10" t="n">
        <f aca="false">MONTH(B1863)</f>
        <v>2</v>
      </c>
      <c r="F1863" s="10" t="str">
        <f aca="false">CHOOSE(MOD(A1863-1,5)+1,"Центр","Юг","Север","Запад","Восток")</f>
        <v>Юг</v>
      </c>
      <c r="G1863" s="10" t="str">
        <f aca="false">"Округ_"&amp;(MOD(A1863-1,5)+1)&amp;"_"&amp;(MOD(INT((A1863-1)/5),5)+1)</f>
        <v>Округ_2_3</v>
      </c>
      <c r="H1863" s="10" t="str">
        <f aca="false">"Город_"&amp;(MOD(A1863-1,5)+1)&amp;"_"&amp;(MOD(INT((A1863-1)/5),5)+1)&amp;"_"&amp;(MOD(INT((A1863-1)/25),10)+1)</f>
        <v>Город_2_3_5</v>
      </c>
      <c r="I1863" s="10" t="str">
        <f aca="false">CHOOSE(MOD(A1863-1,4)+1,"Электроника","Одежда","Продукты","Мебель")</f>
        <v>Одежда</v>
      </c>
      <c r="J1863" s="10" t="str">
        <f aca="false">CHOOSE(MOD(INT((A1863-1)/4),4)+1,CHOOSE(MOD(A1863-1,4)+1,"Смартфоны","Ноутбуки","Аксессуары","Аудио"),CHOOSE(MOD(A1863-1,4)+1,"Верхняя одежда","Спортивная","Повседневная","Обувь"),CHOOSE(MOD(A1863-1,4)+1,"Молочные","Мясные","Бакалея","Напитки"),CHOOSE(MOD(A1863-1,4)+1,"Мягкая мебель","Корпусная","Офисная","Кухонная"))</f>
        <v>Спортивная</v>
      </c>
      <c r="K1863" s="12" t="n">
        <f aca="false">1000+MOD(A1863*317+A1863*A1863*7,49001)</f>
        <v>17055</v>
      </c>
      <c r="L1863" s="12" t="n">
        <f aca="false">1+MOD(A1863*131,100)</f>
        <v>23</v>
      </c>
      <c r="M1863" s="12" t="n">
        <f aca="false">INT(K1863*(0.6+MOD(A1863*43,21)/100))</f>
        <v>12620</v>
      </c>
      <c r="N1863" s="12" t="n">
        <f aca="false">K1863-M1863</f>
        <v>4435</v>
      </c>
    </row>
    <row r="1864" customFormat="false" ht="12.8" hidden="false" customHeight="false" outlineLevel="0" collapsed="false">
      <c r="A1864" s="10" t="n">
        <f aca="false">A1863+1</f>
        <v>1863</v>
      </c>
      <c r="B1864" s="11" t="n">
        <f aca="false">B1863+1</f>
        <v>46789</v>
      </c>
      <c r="C1864" s="10" t="n">
        <f aca="false">YEAR(B1864)</f>
        <v>2028</v>
      </c>
      <c r="D1864" s="10" t="n">
        <f aca="false">INT((MONTH(B1864)-1)/3)+1</f>
        <v>1</v>
      </c>
      <c r="E1864" s="10" t="n">
        <f aca="false">MONTH(B1864)</f>
        <v>2</v>
      </c>
      <c r="F1864" s="10" t="str">
        <f aca="false">CHOOSE(MOD(A1864-1,5)+1,"Центр","Юг","Север","Запад","Восток")</f>
        <v>Север</v>
      </c>
      <c r="G1864" s="10" t="str">
        <f aca="false">"Округ_"&amp;(MOD(A1864-1,5)+1)&amp;"_"&amp;(MOD(INT((A1864-1)/5),5)+1)</f>
        <v>Округ_3_3</v>
      </c>
      <c r="H1864" s="10" t="str">
        <f aca="false">"Город_"&amp;(MOD(A1864-1,5)+1)&amp;"_"&amp;(MOD(INT((A1864-1)/5),5)+1)&amp;"_"&amp;(MOD(INT((A1864-1)/25),10)+1)</f>
        <v>Город_3_3_5</v>
      </c>
      <c r="I1864" s="10" t="str">
        <f aca="false">CHOOSE(MOD(A1864-1,4)+1,"Электроника","Одежда","Продукты","Мебель")</f>
        <v>Продукты</v>
      </c>
      <c r="J1864" s="10" t="str">
        <f aca="false">CHOOSE(MOD(INT((A1864-1)/4),4)+1,CHOOSE(MOD(A1864-1,4)+1,"Смартфоны","Ноутбуки","Аксессуары","Аудио"),CHOOSE(MOD(A1864-1,4)+1,"Верхняя одежда","Спортивная","Повседневная","Обувь"),CHOOSE(MOD(A1864-1,4)+1,"Молочные","Мясные","Бакалея","Напитки"),CHOOSE(MOD(A1864-1,4)+1,"Мягкая мебель","Корпусная","Офисная","Кухонная"))</f>
        <v>Повседневная</v>
      </c>
      <c r="K1864" s="12" t="n">
        <f aca="false">1000+MOD(A1864*317+A1864*A1864*7,49001)</f>
        <v>43447</v>
      </c>
      <c r="L1864" s="12" t="n">
        <f aca="false">1+MOD(A1864*131,100)</f>
        <v>54</v>
      </c>
      <c r="M1864" s="12" t="n">
        <f aca="false">INT(K1864*(0.6+MOD(A1864*43,21)/100))</f>
        <v>32585</v>
      </c>
      <c r="N1864" s="12" t="n">
        <f aca="false">K1864-M1864</f>
        <v>10862</v>
      </c>
    </row>
    <row r="1865" customFormat="false" ht="12.8" hidden="false" customHeight="false" outlineLevel="0" collapsed="false">
      <c r="A1865" s="10" t="n">
        <f aca="false">A1864+1</f>
        <v>1864</v>
      </c>
      <c r="B1865" s="11" t="n">
        <f aca="false">B1864+1</f>
        <v>46790</v>
      </c>
      <c r="C1865" s="10" t="n">
        <f aca="false">YEAR(B1865)</f>
        <v>2028</v>
      </c>
      <c r="D1865" s="10" t="n">
        <f aca="false">INT((MONTH(B1865)-1)/3)+1</f>
        <v>1</v>
      </c>
      <c r="E1865" s="10" t="n">
        <f aca="false">MONTH(B1865)</f>
        <v>2</v>
      </c>
      <c r="F1865" s="10" t="str">
        <f aca="false">CHOOSE(MOD(A1865-1,5)+1,"Центр","Юг","Север","Запад","Восток")</f>
        <v>Запад</v>
      </c>
      <c r="G1865" s="10" t="str">
        <f aca="false">"Округ_"&amp;(MOD(A1865-1,5)+1)&amp;"_"&amp;(MOD(INT((A1865-1)/5),5)+1)</f>
        <v>Округ_4_3</v>
      </c>
      <c r="H1865" s="10" t="str">
        <f aca="false">"Город_"&amp;(MOD(A1865-1,5)+1)&amp;"_"&amp;(MOD(INT((A1865-1)/5),5)+1)&amp;"_"&amp;(MOD(INT((A1865-1)/25),10)+1)</f>
        <v>Город_4_3_5</v>
      </c>
      <c r="I1865" s="10" t="str">
        <f aca="false">CHOOSE(MOD(A1865-1,4)+1,"Электроника","Одежда","Продукты","Мебель")</f>
        <v>Мебель</v>
      </c>
      <c r="J1865" s="10" t="str">
        <f aca="false">CHOOSE(MOD(INT((A1865-1)/4),4)+1,CHOOSE(MOD(A1865-1,4)+1,"Смартфоны","Ноутбуки","Аксессуары","Аудио"),CHOOSE(MOD(A1865-1,4)+1,"Верхняя одежда","Спортивная","Повседневная","Обувь"),CHOOSE(MOD(A1865-1,4)+1,"Молочные","Мясные","Бакалея","Напитки"),CHOOSE(MOD(A1865-1,4)+1,"Мягкая мебель","Корпусная","Офисная","Кухонная"))</f>
        <v>Обувь</v>
      </c>
      <c r="K1865" s="12" t="n">
        <f aca="false">1000+MOD(A1865*317+A1865*A1865*7,49001)</f>
        <v>20852</v>
      </c>
      <c r="L1865" s="12" t="n">
        <f aca="false">1+MOD(A1865*131,100)</f>
        <v>85</v>
      </c>
      <c r="M1865" s="12" t="n">
        <f aca="false">INT(K1865*(0.6+MOD(A1865*43,21)/100))</f>
        <v>15847</v>
      </c>
      <c r="N1865" s="12" t="n">
        <f aca="false">K1865-M1865</f>
        <v>5005</v>
      </c>
    </row>
    <row r="1866" customFormat="false" ht="12.8" hidden="false" customHeight="false" outlineLevel="0" collapsed="false">
      <c r="A1866" s="10" t="n">
        <f aca="false">A1865+1</f>
        <v>1865</v>
      </c>
      <c r="B1866" s="11" t="n">
        <f aca="false">B1865+1</f>
        <v>46791</v>
      </c>
      <c r="C1866" s="10" t="n">
        <f aca="false">YEAR(B1866)</f>
        <v>2028</v>
      </c>
      <c r="D1866" s="10" t="n">
        <f aca="false">INT((MONTH(B1866)-1)/3)+1</f>
        <v>1</v>
      </c>
      <c r="E1866" s="10" t="n">
        <f aca="false">MONTH(B1866)</f>
        <v>2</v>
      </c>
      <c r="F1866" s="10" t="str">
        <f aca="false">CHOOSE(MOD(A1866-1,5)+1,"Центр","Юг","Север","Запад","Восток")</f>
        <v>Восток</v>
      </c>
      <c r="G1866" s="10" t="str">
        <f aca="false">"Округ_"&amp;(MOD(A1866-1,5)+1)&amp;"_"&amp;(MOD(INT((A1866-1)/5),5)+1)</f>
        <v>Округ_5_3</v>
      </c>
      <c r="H1866" s="10" t="str">
        <f aca="false">"Город_"&amp;(MOD(A1866-1,5)+1)&amp;"_"&amp;(MOD(INT((A1866-1)/5),5)+1)&amp;"_"&amp;(MOD(INT((A1866-1)/25),10)+1)</f>
        <v>Город_5_3_5</v>
      </c>
      <c r="I1866" s="10" t="str">
        <f aca="false">CHOOSE(MOD(A1866-1,4)+1,"Электроника","Одежда","Продукты","Мебель")</f>
        <v>Электроника</v>
      </c>
      <c r="J1866" s="10" t="str">
        <f aca="false">CHOOSE(MOD(INT((A1866-1)/4),4)+1,CHOOSE(MOD(A1866-1,4)+1,"Смартфоны","Ноутбуки","Аксессуары","Аудио"),CHOOSE(MOD(A1866-1,4)+1,"Верхняя одежда","Спортивная","Повседневная","Обувь"),CHOOSE(MOD(A1866-1,4)+1,"Молочные","Мясные","Бакалея","Напитки"),CHOOSE(MOD(A1866-1,4)+1,"Мягкая мебель","Корпусная","Офисная","Кухонная"))</f>
        <v>Молочные</v>
      </c>
      <c r="K1866" s="12" t="n">
        <f aca="false">1000+MOD(A1866*317+A1866*A1866*7,49001)</f>
        <v>47272</v>
      </c>
      <c r="L1866" s="12" t="n">
        <f aca="false">1+MOD(A1866*131,100)</f>
        <v>16</v>
      </c>
      <c r="M1866" s="12" t="n">
        <f aca="false">INT(K1866*(0.6+MOD(A1866*43,21)/100))</f>
        <v>36399</v>
      </c>
      <c r="N1866" s="12" t="n">
        <f aca="false">K1866-M1866</f>
        <v>10873</v>
      </c>
    </row>
    <row r="1867" customFormat="false" ht="12.8" hidden="false" customHeight="false" outlineLevel="0" collapsed="false">
      <c r="A1867" s="10" t="n">
        <f aca="false">A1866+1</f>
        <v>1866</v>
      </c>
      <c r="B1867" s="11" t="n">
        <f aca="false">B1866+1</f>
        <v>46792</v>
      </c>
      <c r="C1867" s="10" t="n">
        <f aca="false">YEAR(B1867)</f>
        <v>2028</v>
      </c>
      <c r="D1867" s="10" t="n">
        <f aca="false">INT((MONTH(B1867)-1)/3)+1</f>
        <v>1</v>
      </c>
      <c r="E1867" s="10" t="n">
        <f aca="false">MONTH(B1867)</f>
        <v>2</v>
      </c>
      <c r="F1867" s="10" t="str">
        <f aca="false">CHOOSE(MOD(A1867-1,5)+1,"Центр","Юг","Север","Запад","Восток")</f>
        <v>Центр</v>
      </c>
      <c r="G1867" s="10" t="str">
        <f aca="false">"Округ_"&amp;(MOD(A1867-1,5)+1)&amp;"_"&amp;(MOD(INT((A1867-1)/5),5)+1)</f>
        <v>Округ_1_4</v>
      </c>
      <c r="H1867" s="10" t="str">
        <f aca="false">"Город_"&amp;(MOD(A1867-1,5)+1)&amp;"_"&amp;(MOD(INT((A1867-1)/5),5)+1)&amp;"_"&amp;(MOD(INT((A1867-1)/25),10)+1)</f>
        <v>Город_1_4_5</v>
      </c>
      <c r="I1867" s="10" t="str">
        <f aca="false">CHOOSE(MOD(A1867-1,4)+1,"Электроника","Одежда","Продукты","Мебель")</f>
        <v>Одежда</v>
      </c>
      <c r="J1867" s="10" t="str">
        <f aca="false">CHOOSE(MOD(INT((A1867-1)/4),4)+1,CHOOSE(MOD(A1867-1,4)+1,"Смартфоны","Ноутбуки","Аксессуары","Аудио"),CHOOSE(MOD(A1867-1,4)+1,"Верхняя одежда","Спортивная","Повседневная","Обувь"),CHOOSE(MOD(A1867-1,4)+1,"Молочные","Мясные","Бакалея","Напитки"),CHOOSE(MOD(A1867-1,4)+1,"Мягкая мебель","Корпусная","Офисная","Кухонная"))</f>
        <v>Мясные</v>
      </c>
      <c r="K1867" s="12" t="n">
        <f aca="false">1000+MOD(A1867*317+A1867*A1867*7,49001)</f>
        <v>24705</v>
      </c>
      <c r="L1867" s="12" t="n">
        <f aca="false">1+MOD(A1867*131,100)</f>
        <v>47</v>
      </c>
      <c r="M1867" s="12" t="n">
        <f aca="false">INT(K1867*(0.6+MOD(A1867*43,21)/100))</f>
        <v>19269</v>
      </c>
      <c r="N1867" s="12" t="n">
        <f aca="false">K1867-M1867</f>
        <v>5436</v>
      </c>
    </row>
    <row r="1868" customFormat="false" ht="12.8" hidden="false" customHeight="false" outlineLevel="0" collapsed="false">
      <c r="A1868" s="10" t="n">
        <f aca="false">A1867+1</f>
        <v>1867</v>
      </c>
      <c r="B1868" s="11" t="n">
        <f aca="false">B1867+1</f>
        <v>46793</v>
      </c>
      <c r="C1868" s="10" t="n">
        <f aca="false">YEAR(B1868)</f>
        <v>2028</v>
      </c>
      <c r="D1868" s="10" t="n">
        <f aca="false">INT((MONTH(B1868)-1)/3)+1</f>
        <v>1</v>
      </c>
      <c r="E1868" s="10" t="n">
        <f aca="false">MONTH(B1868)</f>
        <v>2</v>
      </c>
      <c r="F1868" s="10" t="str">
        <f aca="false">CHOOSE(MOD(A1868-1,5)+1,"Центр","Юг","Север","Запад","Восток")</f>
        <v>Юг</v>
      </c>
      <c r="G1868" s="10" t="str">
        <f aca="false">"Округ_"&amp;(MOD(A1868-1,5)+1)&amp;"_"&amp;(MOD(INT((A1868-1)/5),5)+1)</f>
        <v>Округ_2_4</v>
      </c>
      <c r="H1868" s="10" t="str">
        <f aca="false">"Город_"&amp;(MOD(A1868-1,5)+1)&amp;"_"&amp;(MOD(INT((A1868-1)/5),5)+1)&amp;"_"&amp;(MOD(INT((A1868-1)/25),10)+1)</f>
        <v>Город_2_4_5</v>
      </c>
      <c r="I1868" s="10" t="str">
        <f aca="false">CHOOSE(MOD(A1868-1,4)+1,"Электроника","Одежда","Продукты","Мебель")</f>
        <v>Продукты</v>
      </c>
      <c r="J1868" s="10" t="str">
        <f aca="false">CHOOSE(MOD(INT((A1868-1)/4),4)+1,CHOOSE(MOD(A1868-1,4)+1,"Смартфоны","Ноутбуки","Аксессуары","Аудио"),CHOOSE(MOD(A1868-1,4)+1,"Верхняя одежда","Спортивная","Повседневная","Обувь"),CHOOSE(MOD(A1868-1,4)+1,"Молочные","Мясные","Бакалея","Напитки"),CHOOSE(MOD(A1868-1,4)+1,"Мягкая мебель","Корпусная","Офисная","Кухонная"))</f>
        <v>Бакалея</v>
      </c>
      <c r="K1868" s="12" t="n">
        <f aca="false">1000+MOD(A1868*317+A1868*A1868*7,49001)</f>
        <v>2152</v>
      </c>
      <c r="L1868" s="12" t="n">
        <f aca="false">1+MOD(A1868*131,100)</f>
        <v>78</v>
      </c>
      <c r="M1868" s="12" t="n">
        <f aca="false">INT(K1868*(0.6+MOD(A1868*43,21)/100))</f>
        <v>1700</v>
      </c>
      <c r="N1868" s="12" t="n">
        <f aca="false">K1868-M1868</f>
        <v>452</v>
      </c>
    </row>
    <row r="1869" customFormat="false" ht="12.8" hidden="false" customHeight="false" outlineLevel="0" collapsed="false">
      <c r="A1869" s="10" t="n">
        <f aca="false">A1868+1</f>
        <v>1868</v>
      </c>
      <c r="B1869" s="11" t="n">
        <f aca="false">B1868+1</f>
        <v>46794</v>
      </c>
      <c r="C1869" s="10" t="n">
        <f aca="false">YEAR(B1869)</f>
        <v>2028</v>
      </c>
      <c r="D1869" s="10" t="n">
        <f aca="false">INT((MONTH(B1869)-1)/3)+1</f>
        <v>1</v>
      </c>
      <c r="E1869" s="10" t="n">
        <f aca="false">MONTH(B1869)</f>
        <v>2</v>
      </c>
      <c r="F1869" s="10" t="str">
        <f aca="false">CHOOSE(MOD(A1869-1,5)+1,"Центр","Юг","Север","Запад","Восток")</f>
        <v>Север</v>
      </c>
      <c r="G1869" s="10" t="str">
        <f aca="false">"Округ_"&amp;(MOD(A1869-1,5)+1)&amp;"_"&amp;(MOD(INT((A1869-1)/5),5)+1)</f>
        <v>Округ_3_4</v>
      </c>
      <c r="H1869" s="10" t="str">
        <f aca="false">"Город_"&amp;(MOD(A1869-1,5)+1)&amp;"_"&amp;(MOD(INT((A1869-1)/5),5)+1)&amp;"_"&amp;(MOD(INT((A1869-1)/25),10)+1)</f>
        <v>Город_3_4_5</v>
      </c>
      <c r="I1869" s="10" t="str">
        <f aca="false">CHOOSE(MOD(A1869-1,4)+1,"Электроника","Одежда","Продукты","Мебель")</f>
        <v>Мебель</v>
      </c>
      <c r="J1869" s="10" t="str">
        <f aca="false">CHOOSE(MOD(INT((A1869-1)/4),4)+1,CHOOSE(MOD(A1869-1,4)+1,"Смартфоны","Ноутбуки","Аксессуары","Аудио"),CHOOSE(MOD(A1869-1,4)+1,"Верхняя одежда","Спортивная","Повседневная","Обувь"),CHOOSE(MOD(A1869-1,4)+1,"Молочные","Мясные","Бакалея","Напитки"),CHOOSE(MOD(A1869-1,4)+1,"Мягкая мебель","Корпусная","Офисная","Кухонная"))</f>
        <v>Напитки</v>
      </c>
      <c r="K1869" s="12" t="n">
        <f aca="false">1000+MOD(A1869*317+A1869*A1869*7,49001)</f>
        <v>28614</v>
      </c>
      <c r="L1869" s="12" t="n">
        <f aca="false">1+MOD(A1869*131,100)</f>
        <v>9</v>
      </c>
      <c r="M1869" s="12" t="n">
        <f aca="false">INT(K1869*(0.6+MOD(A1869*43,21)/100))</f>
        <v>22891</v>
      </c>
      <c r="N1869" s="12" t="n">
        <f aca="false">K1869-M1869</f>
        <v>5723</v>
      </c>
    </row>
    <row r="1870" customFormat="false" ht="12.8" hidden="false" customHeight="false" outlineLevel="0" collapsed="false">
      <c r="A1870" s="10" t="n">
        <f aca="false">A1869+1</f>
        <v>1869</v>
      </c>
      <c r="B1870" s="11" t="n">
        <f aca="false">B1869+1</f>
        <v>46795</v>
      </c>
      <c r="C1870" s="10" t="n">
        <f aca="false">YEAR(B1870)</f>
        <v>2028</v>
      </c>
      <c r="D1870" s="10" t="n">
        <f aca="false">INT((MONTH(B1870)-1)/3)+1</f>
        <v>1</v>
      </c>
      <c r="E1870" s="10" t="n">
        <f aca="false">MONTH(B1870)</f>
        <v>2</v>
      </c>
      <c r="F1870" s="10" t="str">
        <f aca="false">CHOOSE(MOD(A1870-1,5)+1,"Центр","Юг","Север","Запад","Восток")</f>
        <v>Запад</v>
      </c>
      <c r="G1870" s="10" t="str">
        <f aca="false">"Округ_"&amp;(MOD(A1870-1,5)+1)&amp;"_"&amp;(MOD(INT((A1870-1)/5),5)+1)</f>
        <v>Округ_4_4</v>
      </c>
      <c r="H1870" s="10" t="str">
        <f aca="false">"Город_"&amp;(MOD(A1870-1,5)+1)&amp;"_"&amp;(MOD(INT((A1870-1)/5),5)+1)&amp;"_"&amp;(MOD(INT((A1870-1)/25),10)+1)</f>
        <v>Город_4_4_5</v>
      </c>
      <c r="I1870" s="10" t="str">
        <f aca="false">CHOOSE(MOD(A1870-1,4)+1,"Электроника","Одежда","Продукты","Мебель")</f>
        <v>Электроника</v>
      </c>
      <c r="J1870" s="10" t="str">
        <f aca="false">CHOOSE(MOD(INT((A1870-1)/4),4)+1,CHOOSE(MOD(A1870-1,4)+1,"Смартфоны","Ноутбуки","Аксессуары","Аудио"),CHOOSE(MOD(A1870-1,4)+1,"Верхняя одежда","Спортивная","Повседневная","Обувь"),CHOOSE(MOD(A1870-1,4)+1,"Молочные","Мясные","Бакалея","Напитки"),CHOOSE(MOD(A1870-1,4)+1,"Мягкая мебель","Корпусная","Офисная","Кухонная"))</f>
        <v>Мягкая мебель</v>
      </c>
      <c r="K1870" s="12" t="n">
        <f aca="false">1000+MOD(A1870*317+A1870*A1870*7,49001)</f>
        <v>6089</v>
      </c>
      <c r="L1870" s="12" t="n">
        <f aca="false">1+MOD(A1870*131,100)</f>
        <v>40</v>
      </c>
      <c r="M1870" s="12" t="n">
        <f aca="false">INT(K1870*(0.6+MOD(A1870*43,21)/100))</f>
        <v>3653</v>
      </c>
      <c r="N1870" s="12" t="n">
        <f aca="false">K1870-M1870</f>
        <v>2436</v>
      </c>
    </row>
    <row r="1871" customFormat="false" ht="12.8" hidden="false" customHeight="false" outlineLevel="0" collapsed="false">
      <c r="A1871" s="10" t="n">
        <f aca="false">A1870+1</f>
        <v>1870</v>
      </c>
      <c r="B1871" s="11" t="n">
        <f aca="false">B1870+1</f>
        <v>46796</v>
      </c>
      <c r="C1871" s="10" t="n">
        <f aca="false">YEAR(B1871)</f>
        <v>2028</v>
      </c>
      <c r="D1871" s="10" t="n">
        <f aca="false">INT((MONTH(B1871)-1)/3)+1</f>
        <v>1</v>
      </c>
      <c r="E1871" s="10" t="n">
        <f aca="false">MONTH(B1871)</f>
        <v>2</v>
      </c>
      <c r="F1871" s="10" t="str">
        <f aca="false">CHOOSE(MOD(A1871-1,5)+1,"Центр","Юг","Север","Запад","Восток")</f>
        <v>Восток</v>
      </c>
      <c r="G1871" s="10" t="str">
        <f aca="false">"Округ_"&amp;(MOD(A1871-1,5)+1)&amp;"_"&amp;(MOD(INT((A1871-1)/5),5)+1)</f>
        <v>Округ_5_4</v>
      </c>
      <c r="H1871" s="10" t="str">
        <f aca="false">"Город_"&amp;(MOD(A1871-1,5)+1)&amp;"_"&amp;(MOD(INT((A1871-1)/5),5)+1)&amp;"_"&amp;(MOD(INT((A1871-1)/25),10)+1)</f>
        <v>Город_5_4_5</v>
      </c>
      <c r="I1871" s="10" t="str">
        <f aca="false">CHOOSE(MOD(A1871-1,4)+1,"Электроника","Одежда","Продукты","Мебель")</f>
        <v>Одежда</v>
      </c>
      <c r="J1871" s="10" t="str">
        <f aca="false">CHOOSE(MOD(INT((A1871-1)/4),4)+1,CHOOSE(MOD(A1871-1,4)+1,"Смартфоны","Ноутбуки","Аксессуары","Аудио"),CHOOSE(MOD(A1871-1,4)+1,"Верхняя одежда","Спортивная","Повседневная","Обувь"),CHOOSE(MOD(A1871-1,4)+1,"Молочные","Мясные","Бакалея","Напитки"),CHOOSE(MOD(A1871-1,4)+1,"Мягкая мебель","Корпусная","Офисная","Кухонная"))</f>
        <v>Корпусная</v>
      </c>
      <c r="K1871" s="12" t="n">
        <f aca="false">1000+MOD(A1871*317+A1871*A1871*7,49001)</f>
        <v>32579</v>
      </c>
      <c r="L1871" s="12" t="n">
        <f aca="false">1+MOD(A1871*131,100)</f>
        <v>71</v>
      </c>
      <c r="M1871" s="12" t="n">
        <f aca="false">INT(K1871*(0.6+MOD(A1871*43,21)/100))</f>
        <v>19873</v>
      </c>
      <c r="N1871" s="12" t="n">
        <f aca="false">K1871-M1871</f>
        <v>12706</v>
      </c>
    </row>
    <row r="1872" customFormat="false" ht="12.8" hidden="false" customHeight="false" outlineLevel="0" collapsed="false">
      <c r="A1872" s="10" t="n">
        <f aca="false">A1871+1</f>
        <v>1871</v>
      </c>
      <c r="B1872" s="11" t="n">
        <f aca="false">B1871+1</f>
        <v>46797</v>
      </c>
      <c r="C1872" s="10" t="n">
        <f aca="false">YEAR(B1872)</f>
        <v>2028</v>
      </c>
      <c r="D1872" s="10" t="n">
        <f aca="false">INT((MONTH(B1872)-1)/3)+1</f>
        <v>1</v>
      </c>
      <c r="E1872" s="10" t="n">
        <f aca="false">MONTH(B1872)</f>
        <v>2</v>
      </c>
      <c r="F1872" s="10" t="str">
        <f aca="false">CHOOSE(MOD(A1872-1,5)+1,"Центр","Юг","Север","Запад","Восток")</f>
        <v>Центр</v>
      </c>
      <c r="G1872" s="10" t="str">
        <f aca="false">"Округ_"&amp;(MOD(A1872-1,5)+1)&amp;"_"&amp;(MOD(INT((A1872-1)/5),5)+1)</f>
        <v>Округ_1_5</v>
      </c>
      <c r="H1872" s="10" t="str">
        <f aca="false">"Город_"&amp;(MOD(A1872-1,5)+1)&amp;"_"&amp;(MOD(INT((A1872-1)/5),5)+1)&amp;"_"&amp;(MOD(INT((A1872-1)/25),10)+1)</f>
        <v>Город_1_5_5</v>
      </c>
      <c r="I1872" s="10" t="str">
        <f aca="false">CHOOSE(MOD(A1872-1,4)+1,"Электроника","Одежда","Продукты","Мебель")</f>
        <v>Продукты</v>
      </c>
      <c r="J1872" s="10" t="str">
        <f aca="false">CHOOSE(MOD(INT((A1872-1)/4),4)+1,CHOOSE(MOD(A1872-1,4)+1,"Смартфоны","Ноутбуки","Аксессуары","Аудио"),CHOOSE(MOD(A1872-1,4)+1,"Верхняя одежда","Спортивная","Повседневная","Обувь"),CHOOSE(MOD(A1872-1,4)+1,"Молочные","Мясные","Бакалея","Напитки"),CHOOSE(MOD(A1872-1,4)+1,"Мягкая мебель","Корпусная","Офисная","Кухонная"))</f>
        <v>Офисная</v>
      </c>
      <c r="K1872" s="12" t="n">
        <f aca="false">1000+MOD(A1872*317+A1872*A1872*7,49001)</f>
        <v>10082</v>
      </c>
      <c r="L1872" s="12" t="n">
        <f aca="false">1+MOD(A1872*131,100)</f>
        <v>2</v>
      </c>
      <c r="M1872" s="12" t="n">
        <f aca="false">INT(K1872*(0.6+MOD(A1872*43,21)/100))</f>
        <v>6250</v>
      </c>
      <c r="N1872" s="12" t="n">
        <f aca="false">K1872-M1872</f>
        <v>3832</v>
      </c>
    </row>
    <row r="1873" customFormat="false" ht="12.8" hidden="false" customHeight="false" outlineLevel="0" collapsed="false">
      <c r="A1873" s="10" t="n">
        <f aca="false">A1872+1</f>
        <v>1872</v>
      </c>
      <c r="B1873" s="11" t="n">
        <f aca="false">B1872+1</f>
        <v>46798</v>
      </c>
      <c r="C1873" s="10" t="n">
        <f aca="false">YEAR(B1873)</f>
        <v>2028</v>
      </c>
      <c r="D1873" s="10" t="n">
        <f aca="false">INT((MONTH(B1873)-1)/3)+1</f>
        <v>1</v>
      </c>
      <c r="E1873" s="10" t="n">
        <f aca="false">MONTH(B1873)</f>
        <v>2</v>
      </c>
      <c r="F1873" s="10" t="str">
        <f aca="false">CHOOSE(MOD(A1873-1,5)+1,"Центр","Юг","Север","Запад","Восток")</f>
        <v>Юг</v>
      </c>
      <c r="G1873" s="10" t="str">
        <f aca="false">"Округ_"&amp;(MOD(A1873-1,5)+1)&amp;"_"&amp;(MOD(INT((A1873-1)/5),5)+1)</f>
        <v>Округ_2_5</v>
      </c>
      <c r="H1873" s="10" t="str">
        <f aca="false">"Город_"&amp;(MOD(A1873-1,5)+1)&amp;"_"&amp;(MOD(INT((A1873-1)/5),5)+1)&amp;"_"&amp;(MOD(INT((A1873-1)/25),10)+1)</f>
        <v>Город_2_5_5</v>
      </c>
      <c r="I1873" s="10" t="str">
        <f aca="false">CHOOSE(MOD(A1873-1,4)+1,"Электроника","Одежда","Продукты","Мебель")</f>
        <v>Мебель</v>
      </c>
      <c r="J1873" s="10" t="str">
        <f aca="false">CHOOSE(MOD(INT((A1873-1)/4),4)+1,CHOOSE(MOD(A1873-1,4)+1,"Смартфоны","Ноутбуки","Аксессуары","Аудио"),CHOOSE(MOD(A1873-1,4)+1,"Верхняя одежда","Спортивная","Повседневная","Обувь"),CHOOSE(MOD(A1873-1,4)+1,"Молочные","Мясные","Бакалея","Напитки"),CHOOSE(MOD(A1873-1,4)+1,"Мягкая мебель","Корпусная","Офисная","Кухонная"))</f>
        <v>Кухонная</v>
      </c>
      <c r="K1873" s="12" t="n">
        <f aca="false">1000+MOD(A1873*317+A1873*A1873*7,49001)</f>
        <v>36600</v>
      </c>
      <c r="L1873" s="12" t="n">
        <f aca="false">1+MOD(A1873*131,100)</f>
        <v>33</v>
      </c>
      <c r="M1873" s="12" t="n">
        <f aca="false">INT(K1873*(0.6+MOD(A1873*43,21)/100))</f>
        <v>23058</v>
      </c>
      <c r="N1873" s="12" t="n">
        <f aca="false">K1873-M1873</f>
        <v>13542</v>
      </c>
    </row>
    <row r="1874" customFormat="false" ht="12.8" hidden="false" customHeight="false" outlineLevel="0" collapsed="false">
      <c r="A1874" s="10" t="n">
        <f aca="false">A1873+1</f>
        <v>1873</v>
      </c>
      <c r="B1874" s="11" t="n">
        <f aca="false">B1873+1</f>
        <v>46799</v>
      </c>
      <c r="C1874" s="10" t="n">
        <f aca="false">YEAR(B1874)</f>
        <v>2028</v>
      </c>
      <c r="D1874" s="10" t="n">
        <f aca="false">INT((MONTH(B1874)-1)/3)+1</f>
        <v>1</v>
      </c>
      <c r="E1874" s="10" t="n">
        <f aca="false">MONTH(B1874)</f>
        <v>2</v>
      </c>
      <c r="F1874" s="10" t="str">
        <f aca="false">CHOOSE(MOD(A1874-1,5)+1,"Центр","Юг","Север","Запад","Восток")</f>
        <v>Север</v>
      </c>
      <c r="G1874" s="10" t="str">
        <f aca="false">"Округ_"&amp;(MOD(A1874-1,5)+1)&amp;"_"&amp;(MOD(INT((A1874-1)/5),5)+1)</f>
        <v>Округ_3_5</v>
      </c>
      <c r="H1874" s="10" t="str">
        <f aca="false">"Город_"&amp;(MOD(A1874-1,5)+1)&amp;"_"&amp;(MOD(INT((A1874-1)/5),5)+1)&amp;"_"&amp;(MOD(INT((A1874-1)/25),10)+1)</f>
        <v>Город_3_5_5</v>
      </c>
      <c r="I1874" s="10" t="str">
        <f aca="false">CHOOSE(MOD(A1874-1,4)+1,"Электроника","Одежда","Продукты","Мебель")</f>
        <v>Электроника</v>
      </c>
      <c r="J1874" s="10" t="str">
        <f aca="false">CHOOSE(MOD(INT((A1874-1)/4),4)+1,CHOOSE(MOD(A1874-1,4)+1,"Смартфоны","Ноутбуки","Аксессуары","Аудио"),CHOOSE(MOD(A1874-1,4)+1,"Верхняя одежда","Спортивная","Повседневная","Обувь"),CHOOSE(MOD(A1874-1,4)+1,"Молочные","Мясные","Бакалея","Напитки"),CHOOSE(MOD(A1874-1,4)+1,"Мягкая мебель","Корпусная","Офисная","Кухонная"))</f>
        <v>Смартфоны</v>
      </c>
      <c r="K1874" s="12" t="n">
        <f aca="false">1000+MOD(A1874*317+A1874*A1874*7,49001)</f>
        <v>14131</v>
      </c>
      <c r="L1874" s="12" t="n">
        <f aca="false">1+MOD(A1874*131,100)</f>
        <v>64</v>
      </c>
      <c r="M1874" s="12" t="n">
        <f aca="false">INT(K1874*(0.6+MOD(A1874*43,21)/100))</f>
        <v>9043</v>
      </c>
      <c r="N1874" s="12" t="n">
        <f aca="false">K1874-M1874</f>
        <v>5088</v>
      </c>
    </row>
    <row r="1875" customFormat="false" ht="12.8" hidden="false" customHeight="false" outlineLevel="0" collapsed="false">
      <c r="A1875" s="10" t="n">
        <f aca="false">A1874+1</f>
        <v>1874</v>
      </c>
      <c r="B1875" s="11" t="n">
        <f aca="false">B1874+1</f>
        <v>46800</v>
      </c>
      <c r="C1875" s="10" t="n">
        <f aca="false">YEAR(B1875)</f>
        <v>2028</v>
      </c>
      <c r="D1875" s="10" t="n">
        <f aca="false">INT((MONTH(B1875)-1)/3)+1</f>
        <v>1</v>
      </c>
      <c r="E1875" s="10" t="n">
        <f aca="false">MONTH(B1875)</f>
        <v>2</v>
      </c>
      <c r="F1875" s="10" t="str">
        <f aca="false">CHOOSE(MOD(A1875-1,5)+1,"Центр","Юг","Север","Запад","Восток")</f>
        <v>Запад</v>
      </c>
      <c r="G1875" s="10" t="str">
        <f aca="false">"Округ_"&amp;(MOD(A1875-1,5)+1)&amp;"_"&amp;(MOD(INT((A1875-1)/5),5)+1)</f>
        <v>Округ_4_5</v>
      </c>
      <c r="H1875" s="10" t="str">
        <f aca="false">"Город_"&amp;(MOD(A1875-1,5)+1)&amp;"_"&amp;(MOD(INT((A1875-1)/5),5)+1)&amp;"_"&amp;(MOD(INT((A1875-1)/25),10)+1)</f>
        <v>Город_4_5_5</v>
      </c>
      <c r="I1875" s="10" t="str">
        <f aca="false">CHOOSE(MOD(A1875-1,4)+1,"Электроника","Одежда","Продукты","Мебель")</f>
        <v>Одежда</v>
      </c>
      <c r="J1875" s="10" t="str">
        <f aca="false">CHOOSE(MOD(INT((A1875-1)/4),4)+1,CHOOSE(MOD(A1875-1,4)+1,"Смартфоны","Ноутбуки","Аксессуары","Аудио"),CHOOSE(MOD(A1875-1,4)+1,"Верхняя одежда","Спортивная","Повседневная","Обувь"),CHOOSE(MOD(A1875-1,4)+1,"Молочные","Мясные","Бакалея","Напитки"),CHOOSE(MOD(A1875-1,4)+1,"Мягкая мебель","Корпусная","Офисная","Кухонная"))</f>
        <v>Ноутбуки</v>
      </c>
      <c r="K1875" s="12" t="n">
        <f aca="false">1000+MOD(A1875*317+A1875*A1875*7,49001)</f>
        <v>40677</v>
      </c>
      <c r="L1875" s="12" t="n">
        <f aca="false">1+MOD(A1875*131,100)</f>
        <v>95</v>
      </c>
      <c r="M1875" s="12" t="n">
        <f aca="false">INT(K1875*(0.6+MOD(A1875*43,21)/100))</f>
        <v>26440</v>
      </c>
      <c r="N1875" s="12" t="n">
        <f aca="false">K1875-M1875</f>
        <v>14237</v>
      </c>
    </row>
    <row r="1876" customFormat="false" ht="12.8" hidden="false" customHeight="false" outlineLevel="0" collapsed="false">
      <c r="A1876" s="10" t="n">
        <f aca="false">A1875+1</f>
        <v>1875</v>
      </c>
      <c r="B1876" s="11" t="n">
        <f aca="false">B1875+1</f>
        <v>46801</v>
      </c>
      <c r="C1876" s="10" t="n">
        <f aca="false">YEAR(B1876)</f>
        <v>2028</v>
      </c>
      <c r="D1876" s="10" t="n">
        <f aca="false">INT((MONTH(B1876)-1)/3)+1</f>
        <v>1</v>
      </c>
      <c r="E1876" s="10" t="n">
        <f aca="false">MONTH(B1876)</f>
        <v>2</v>
      </c>
      <c r="F1876" s="10" t="str">
        <f aca="false">CHOOSE(MOD(A1876-1,5)+1,"Центр","Юг","Север","Запад","Восток")</f>
        <v>Восток</v>
      </c>
      <c r="G1876" s="10" t="str">
        <f aca="false">"Округ_"&amp;(MOD(A1876-1,5)+1)&amp;"_"&amp;(MOD(INT((A1876-1)/5),5)+1)</f>
        <v>Округ_5_5</v>
      </c>
      <c r="H1876" s="10" t="str">
        <f aca="false">"Город_"&amp;(MOD(A1876-1,5)+1)&amp;"_"&amp;(MOD(INT((A1876-1)/5),5)+1)&amp;"_"&amp;(MOD(INT((A1876-1)/25),10)+1)</f>
        <v>Город_5_5_5</v>
      </c>
      <c r="I1876" s="10" t="str">
        <f aca="false">CHOOSE(MOD(A1876-1,4)+1,"Электроника","Одежда","Продукты","Мебель")</f>
        <v>Продукты</v>
      </c>
      <c r="J1876" s="10" t="str">
        <f aca="false">CHOOSE(MOD(INT((A1876-1)/4),4)+1,CHOOSE(MOD(A1876-1,4)+1,"Смартфоны","Ноутбуки","Аксессуары","Аудио"),CHOOSE(MOD(A1876-1,4)+1,"Верхняя одежда","Спортивная","Повседневная","Обувь"),CHOOSE(MOD(A1876-1,4)+1,"Молочные","Мясные","Бакалея","Напитки"),CHOOSE(MOD(A1876-1,4)+1,"Мягкая мебель","Корпусная","Офисная","Кухонная"))</f>
        <v>Аксессуары</v>
      </c>
      <c r="K1876" s="12" t="n">
        <f aca="false">1000+MOD(A1876*317+A1876*A1876*7,49001)</f>
        <v>18236</v>
      </c>
      <c r="L1876" s="12" t="n">
        <f aca="false">1+MOD(A1876*131,100)</f>
        <v>26</v>
      </c>
      <c r="M1876" s="12" t="n">
        <f aca="false">INT(K1876*(0.6+MOD(A1876*43,21)/100))</f>
        <v>12035</v>
      </c>
      <c r="N1876" s="12" t="n">
        <f aca="false">K1876-M1876</f>
        <v>6201</v>
      </c>
    </row>
    <row r="1877" customFormat="false" ht="12.8" hidden="false" customHeight="false" outlineLevel="0" collapsed="false">
      <c r="A1877" s="10" t="n">
        <f aca="false">A1876+1</f>
        <v>1876</v>
      </c>
      <c r="B1877" s="11" t="n">
        <f aca="false">B1876+1</f>
        <v>46802</v>
      </c>
      <c r="C1877" s="10" t="n">
        <f aca="false">YEAR(B1877)</f>
        <v>2028</v>
      </c>
      <c r="D1877" s="10" t="n">
        <f aca="false">INT((MONTH(B1877)-1)/3)+1</f>
        <v>1</v>
      </c>
      <c r="E1877" s="10" t="n">
        <f aca="false">MONTH(B1877)</f>
        <v>2</v>
      </c>
      <c r="F1877" s="10" t="str">
        <f aca="false">CHOOSE(MOD(A1877-1,5)+1,"Центр","Юг","Север","Запад","Восток")</f>
        <v>Центр</v>
      </c>
      <c r="G1877" s="10" t="str">
        <f aca="false">"Округ_"&amp;(MOD(A1877-1,5)+1)&amp;"_"&amp;(MOD(INT((A1877-1)/5),5)+1)</f>
        <v>Округ_1_1</v>
      </c>
      <c r="H1877" s="10" t="str">
        <f aca="false">"Город_"&amp;(MOD(A1877-1,5)+1)&amp;"_"&amp;(MOD(INT((A1877-1)/5),5)+1)&amp;"_"&amp;(MOD(INT((A1877-1)/25),10)+1)</f>
        <v>Город_1_1_6</v>
      </c>
      <c r="I1877" s="10" t="str">
        <f aca="false">CHOOSE(MOD(A1877-1,4)+1,"Электроника","Одежда","Продукты","Мебель")</f>
        <v>Мебель</v>
      </c>
      <c r="J1877" s="10" t="str">
        <f aca="false">CHOOSE(MOD(INT((A1877-1)/4),4)+1,CHOOSE(MOD(A1877-1,4)+1,"Смартфоны","Ноутбуки","Аксессуары","Аудио"),CHOOSE(MOD(A1877-1,4)+1,"Верхняя одежда","Спортивная","Повседневная","Обувь"),CHOOSE(MOD(A1877-1,4)+1,"Молочные","Мясные","Бакалея","Напитки"),CHOOSE(MOD(A1877-1,4)+1,"Мягкая мебель","Корпусная","Офисная","Кухонная"))</f>
        <v>Аудио</v>
      </c>
      <c r="K1877" s="12" t="n">
        <f aca="false">1000+MOD(A1877*317+A1877*A1877*7,49001)</f>
        <v>44810</v>
      </c>
      <c r="L1877" s="12" t="n">
        <f aca="false">1+MOD(A1877*131,100)</f>
        <v>57</v>
      </c>
      <c r="M1877" s="12" t="n">
        <f aca="false">INT(K1877*(0.6+MOD(A1877*43,21)/100))</f>
        <v>30022</v>
      </c>
      <c r="N1877" s="12" t="n">
        <f aca="false">K1877-M1877</f>
        <v>14788</v>
      </c>
    </row>
    <row r="1878" customFormat="false" ht="12.8" hidden="false" customHeight="false" outlineLevel="0" collapsed="false">
      <c r="A1878" s="10" t="n">
        <f aca="false">A1877+1</f>
        <v>1877</v>
      </c>
      <c r="B1878" s="11" t="n">
        <f aca="false">B1877+1</f>
        <v>46803</v>
      </c>
      <c r="C1878" s="10" t="n">
        <f aca="false">YEAR(B1878)</f>
        <v>2028</v>
      </c>
      <c r="D1878" s="10" t="n">
        <f aca="false">INT((MONTH(B1878)-1)/3)+1</f>
        <v>1</v>
      </c>
      <c r="E1878" s="10" t="n">
        <f aca="false">MONTH(B1878)</f>
        <v>2</v>
      </c>
      <c r="F1878" s="10" t="str">
        <f aca="false">CHOOSE(MOD(A1878-1,5)+1,"Центр","Юг","Север","Запад","Восток")</f>
        <v>Юг</v>
      </c>
      <c r="G1878" s="10" t="str">
        <f aca="false">"Округ_"&amp;(MOD(A1878-1,5)+1)&amp;"_"&amp;(MOD(INT((A1878-1)/5),5)+1)</f>
        <v>Округ_2_1</v>
      </c>
      <c r="H1878" s="10" t="str">
        <f aca="false">"Город_"&amp;(MOD(A1878-1,5)+1)&amp;"_"&amp;(MOD(INT((A1878-1)/5),5)+1)&amp;"_"&amp;(MOD(INT((A1878-1)/25),10)+1)</f>
        <v>Город_2_1_6</v>
      </c>
      <c r="I1878" s="10" t="str">
        <f aca="false">CHOOSE(MOD(A1878-1,4)+1,"Электроника","Одежда","Продукты","Мебель")</f>
        <v>Электроника</v>
      </c>
      <c r="J1878" s="10" t="str">
        <f aca="false">CHOOSE(MOD(INT((A1878-1)/4),4)+1,CHOOSE(MOD(A1878-1,4)+1,"Смартфоны","Ноутбуки","Аксессуары","Аудио"),CHOOSE(MOD(A1878-1,4)+1,"Верхняя одежда","Спортивная","Повседневная","Обувь"),CHOOSE(MOD(A1878-1,4)+1,"Молочные","Мясные","Бакалея","Напитки"),CHOOSE(MOD(A1878-1,4)+1,"Мягкая мебель","Корпусная","Офисная","Кухонная"))</f>
        <v>Верхняя одежда</v>
      </c>
      <c r="K1878" s="12" t="n">
        <f aca="false">1000+MOD(A1878*317+A1878*A1878*7,49001)</f>
        <v>22397</v>
      </c>
      <c r="L1878" s="12" t="n">
        <f aca="false">1+MOD(A1878*131,100)</f>
        <v>88</v>
      </c>
      <c r="M1878" s="12" t="n">
        <f aca="false">INT(K1878*(0.6+MOD(A1878*43,21)/100))</f>
        <v>15229</v>
      </c>
      <c r="N1878" s="12" t="n">
        <f aca="false">K1878-M1878</f>
        <v>7168</v>
      </c>
    </row>
    <row r="1879" customFormat="false" ht="12.8" hidden="false" customHeight="false" outlineLevel="0" collapsed="false">
      <c r="A1879" s="10" t="n">
        <f aca="false">A1878+1</f>
        <v>1878</v>
      </c>
      <c r="B1879" s="11" t="n">
        <f aca="false">B1878+1</f>
        <v>46804</v>
      </c>
      <c r="C1879" s="10" t="n">
        <f aca="false">YEAR(B1879)</f>
        <v>2028</v>
      </c>
      <c r="D1879" s="10" t="n">
        <f aca="false">INT((MONTH(B1879)-1)/3)+1</f>
        <v>1</v>
      </c>
      <c r="E1879" s="10" t="n">
        <f aca="false">MONTH(B1879)</f>
        <v>2</v>
      </c>
      <c r="F1879" s="10" t="str">
        <f aca="false">CHOOSE(MOD(A1879-1,5)+1,"Центр","Юг","Север","Запад","Восток")</f>
        <v>Север</v>
      </c>
      <c r="G1879" s="10" t="str">
        <f aca="false">"Округ_"&amp;(MOD(A1879-1,5)+1)&amp;"_"&amp;(MOD(INT((A1879-1)/5),5)+1)</f>
        <v>Округ_3_1</v>
      </c>
      <c r="H1879" s="10" t="str">
        <f aca="false">"Город_"&amp;(MOD(A1879-1,5)+1)&amp;"_"&amp;(MOD(INT((A1879-1)/5),5)+1)&amp;"_"&amp;(MOD(INT((A1879-1)/25),10)+1)</f>
        <v>Город_3_1_6</v>
      </c>
      <c r="I1879" s="10" t="str">
        <f aca="false">CHOOSE(MOD(A1879-1,4)+1,"Электроника","Одежда","Продукты","Мебель")</f>
        <v>Одежда</v>
      </c>
      <c r="J1879" s="10" t="str">
        <f aca="false">CHOOSE(MOD(INT((A1879-1)/4),4)+1,CHOOSE(MOD(A1879-1,4)+1,"Смартфоны","Ноутбуки","Аксессуары","Аудио"),CHOOSE(MOD(A1879-1,4)+1,"Верхняя одежда","Спортивная","Повседневная","Обувь"),CHOOSE(MOD(A1879-1,4)+1,"Молочные","Мясные","Бакалея","Напитки"),CHOOSE(MOD(A1879-1,4)+1,"Мягкая мебель","Корпусная","Офисная","Кухонная"))</f>
        <v>Спортивная</v>
      </c>
      <c r="K1879" s="12" t="n">
        <f aca="false">1000+MOD(A1879*317+A1879*A1879*7,49001)</f>
        <v>48999</v>
      </c>
      <c r="L1879" s="12" t="n">
        <f aca="false">1+MOD(A1879*131,100)</f>
        <v>19</v>
      </c>
      <c r="M1879" s="12" t="n">
        <f aca="false">INT(K1879*(0.6+MOD(A1879*43,21)/100))</f>
        <v>33809</v>
      </c>
      <c r="N1879" s="12" t="n">
        <f aca="false">K1879-M1879</f>
        <v>15190</v>
      </c>
    </row>
    <row r="1880" customFormat="false" ht="12.8" hidden="false" customHeight="false" outlineLevel="0" collapsed="false">
      <c r="A1880" s="10" t="n">
        <f aca="false">A1879+1</f>
        <v>1879</v>
      </c>
      <c r="B1880" s="11" t="n">
        <f aca="false">B1879+1</f>
        <v>46805</v>
      </c>
      <c r="C1880" s="10" t="n">
        <f aca="false">YEAR(B1880)</f>
        <v>2028</v>
      </c>
      <c r="D1880" s="10" t="n">
        <f aca="false">INT((MONTH(B1880)-1)/3)+1</f>
        <v>1</v>
      </c>
      <c r="E1880" s="10" t="n">
        <f aca="false">MONTH(B1880)</f>
        <v>2</v>
      </c>
      <c r="F1880" s="10" t="str">
        <f aca="false">CHOOSE(MOD(A1880-1,5)+1,"Центр","Юг","Север","Запад","Восток")</f>
        <v>Запад</v>
      </c>
      <c r="G1880" s="10" t="str">
        <f aca="false">"Округ_"&amp;(MOD(A1880-1,5)+1)&amp;"_"&amp;(MOD(INT((A1880-1)/5),5)+1)</f>
        <v>Округ_4_1</v>
      </c>
      <c r="H1880" s="10" t="str">
        <f aca="false">"Город_"&amp;(MOD(A1880-1,5)+1)&amp;"_"&amp;(MOD(INT((A1880-1)/5),5)+1)&amp;"_"&amp;(MOD(INT((A1880-1)/25),10)+1)</f>
        <v>Город_4_1_6</v>
      </c>
      <c r="I1880" s="10" t="str">
        <f aca="false">CHOOSE(MOD(A1880-1,4)+1,"Электроника","Одежда","Продукты","Мебель")</f>
        <v>Продукты</v>
      </c>
      <c r="J1880" s="10" t="str">
        <f aca="false">CHOOSE(MOD(INT((A1880-1)/4),4)+1,CHOOSE(MOD(A1880-1,4)+1,"Смартфоны","Ноутбуки","Аксессуары","Аудио"),CHOOSE(MOD(A1880-1,4)+1,"Верхняя одежда","Спортивная","Повседневная","Обувь"),CHOOSE(MOD(A1880-1,4)+1,"Молочные","Мясные","Бакалея","Напитки"),CHOOSE(MOD(A1880-1,4)+1,"Мягкая мебель","Корпусная","Офисная","Кухонная"))</f>
        <v>Повседневная</v>
      </c>
      <c r="K1880" s="12" t="n">
        <f aca="false">1000+MOD(A1880*317+A1880*A1880*7,49001)</f>
        <v>26614</v>
      </c>
      <c r="L1880" s="12" t="n">
        <f aca="false">1+MOD(A1880*131,100)</f>
        <v>50</v>
      </c>
      <c r="M1880" s="12" t="n">
        <f aca="false">INT(K1880*(0.6+MOD(A1880*43,21)/100))</f>
        <v>18629</v>
      </c>
      <c r="N1880" s="12" t="n">
        <f aca="false">K1880-M1880</f>
        <v>7985</v>
      </c>
    </row>
    <row r="1881" customFormat="false" ht="12.8" hidden="false" customHeight="false" outlineLevel="0" collapsed="false">
      <c r="A1881" s="10" t="n">
        <f aca="false">A1880+1</f>
        <v>1880</v>
      </c>
      <c r="B1881" s="11" t="n">
        <f aca="false">B1880+1</f>
        <v>46806</v>
      </c>
      <c r="C1881" s="10" t="n">
        <f aca="false">YEAR(B1881)</f>
        <v>2028</v>
      </c>
      <c r="D1881" s="10" t="n">
        <f aca="false">INT((MONTH(B1881)-1)/3)+1</f>
        <v>1</v>
      </c>
      <c r="E1881" s="10" t="n">
        <f aca="false">MONTH(B1881)</f>
        <v>2</v>
      </c>
      <c r="F1881" s="10" t="str">
        <f aca="false">CHOOSE(MOD(A1881-1,5)+1,"Центр","Юг","Север","Запад","Восток")</f>
        <v>Восток</v>
      </c>
      <c r="G1881" s="10" t="str">
        <f aca="false">"Округ_"&amp;(MOD(A1881-1,5)+1)&amp;"_"&amp;(MOD(INT((A1881-1)/5),5)+1)</f>
        <v>Округ_5_1</v>
      </c>
      <c r="H1881" s="10" t="str">
        <f aca="false">"Город_"&amp;(MOD(A1881-1,5)+1)&amp;"_"&amp;(MOD(INT((A1881-1)/5),5)+1)&amp;"_"&amp;(MOD(INT((A1881-1)/25),10)+1)</f>
        <v>Город_5_1_6</v>
      </c>
      <c r="I1881" s="10" t="str">
        <f aca="false">CHOOSE(MOD(A1881-1,4)+1,"Электроника","Одежда","Продукты","Мебель")</f>
        <v>Мебель</v>
      </c>
      <c r="J1881" s="10" t="str">
        <f aca="false">CHOOSE(MOD(INT((A1881-1)/4),4)+1,CHOOSE(MOD(A1881-1,4)+1,"Смартфоны","Ноутбуки","Аксессуары","Аудио"),CHOOSE(MOD(A1881-1,4)+1,"Верхняя одежда","Спортивная","Повседневная","Обувь"),CHOOSE(MOD(A1881-1,4)+1,"Молочные","Мясные","Бакалея","Напитки"),CHOOSE(MOD(A1881-1,4)+1,"Мягкая мебель","Корпусная","Офисная","Кухонная"))</f>
        <v>Обувь</v>
      </c>
      <c r="K1881" s="12" t="n">
        <f aca="false">1000+MOD(A1881*317+A1881*A1881*7,49001)</f>
        <v>4243</v>
      </c>
      <c r="L1881" s="12" t="n">
        <f aca="false">1+MOD(A1881*131,100)</f>
        <v>81</v>
      </c>
      <c r="M1881" s="12" t="n">
        <f aca="false">INT(K1881*(0.6+MOD(A1881*43,21)/100))</f>
        <v>3012</v>
      </c>
      <c r="N1881" s="12" t="n">
        <f aca="false">K1881-M1881</f>
        <v>1231</v>
      </c>
    </row>
    <row r="1882" customFormat="false" ht="12.8" hidden="false" customHeight="false" outlineLevel="0" collapsed="false">
      <c r="A1882" s="10" t="n">
        <f aca="false">A1881+1</f>
        <v>1881</v>
      </c>
      <c r="B1882" s="11" t="n">
        <f aca="false">B1881+1</f>
        <v>46807</v>
      </c>
      <c r="C1882" s="10" t="n">
        <f aca="false">YEAR(B1882)</f>
        <v>2028</v>
      </c>
      <c r="D1882" s="10" t="n">
        <f aca="false">INT((MONTH(B1882)-1)/3)+1</f>
        <v>1</v>
      </c>
      <c r="E1882" s="10" t="n">
        <f aca="false">MONTH(B1882)</f>
        <v>2</v>
      </c>
      <c r="F1882" s="10" t="str">
        <f aca="false">CHOOSE(MOD(A1882-1,5)+1,"Центр","Юг","Север","Запад","Восток")</f>
        <v>Центр</v>
      </c>
      <c r="G1882" s="10" t="str">
        <f aca="false">"Округ_"&amp;(MOD(A1882-1,5)+1)&amp;"_"&amp;(MOD(INT((A1882-1)/5),5)+1)</f>
        <v>Округ_1_2</v>
      </c>
      <c r="H1882" s="10" t="str">
        <f aca="false">"Город_"&amp;(MOD(A1882-1,5)+1)&amp;"_"&amp;(MOD(INT((A1882-1)/5),5)+1)&amp;"_"&amp;(MOD(INT((A1882-1)/25),10)+1)</f>
        <v>Город_1_2_6</v>
      </c>
      <c r="I1882" s="10" t="str">
        <f aca="false">CHOOSE(MOD(A1882-1,4)+1,"Электроника","Одежда","Продукты","Мебель")</f>
        <v>Электроника</v>
      </c>
      <c r="J1882" s="10" t="str">
        <f aca="false">CHOOSE(MOD(INT((A1882-1)/4),4)+1,CHOOSE(MOD(A1882-1,4)+1,"Смартфоны","Ноутбуки","Аксессуары","Аудио"),CHOOSE(MOD(A1882-1,4)+1,"Верхняя одежда","Спортивная","Повседневная","Обувь"),CHOOSE(MOD(A1882-1,4)+1,"Молочные","Мясные","Бакалея","Напитки"),CHOOSE(MOD(A1882-1,4)+1,"Мягкая мебель","Корпусная","Офисная","Кухонная"))</f>
        <v>Молочные</v>
      </c>
      <c r="K1882" s="12" t="n">
        <f aca="false">1000+MOD(A1882*317+A1882*A1882*7,49001)</f>
        <v>30887</v>
      </c>
      <c r="L1882" s="12" t="n">
        <f aca="false">1+MOD(A1882*131,100)</f>
        <v>12</v>
      </c>
      <c r="M1882" s="12" t="n">
        <f aca="false">INT(K1882*(0.6+MOD(A1882*43,21)/100))</f>
        <v>22238</v>
      </c>
      <c r="N1882" s="12" t="n">
        <f aca="false">K1882-M1882</f>
        <v>8649</v>
      </c>
    </row>
    <row r="1883" customFormat="false" ht="12.8" hidden="false" customHeight="false" outlineLevel="0" collapsed="false">
      <c r="A1883" s="10" t="n">
        <f aca="false">A1882+1</f>
        <v>1882</v>
      </c>
      <c r="B1883" s="11" t="n">
        <f aca="false">B1882+1</f>
        <v>46808</v>
      </c>
      <c r="C1883" s="10" t="n">
        <f aca="false">YEAR(B1883)</f>
        <v>2028</v>
      </c>
      <c r="D1883" s="10" t="n">
        <f aca="false">INT((MONTH(B1883)-1)/3)+1</f>
        <v>1</v>
      </c>
      <c r="E1883" s="10" t="n">
        <f aca="false">MONTH(B1883)</f>
        <v>2</v>
      </c>
      <c r="F1883" s="10" t="str">
        <f aca="false">CHOOSE(MOD(A1883-1,5)+1,"Центр","Юг","Север","Запад","Восток")</f>
        <v>Юг</v>
      </c>
      <c r="G1883" s="10" t="str">
        <f aca="false">"Округ_"&amp;(MOD(A1883-1,5)+1)&amp;"_"&amp;(MOD(INT((A1883-1)/5),5)+1)</f>
        <v>Округ_2_2</v>
      </c>
      <c r="H1883" s="10" t="str">
        <f aca="false">"Город_"&amp;(MOD(A1883-1,5)+1)&amp;"_"&amp;(MOD(INT((A1883-1)/5),5)+1)&amp;"_"&amp;(MOD(INT((A1883-1)/25),10)+1)</f>
        <v>Город_2_2_6</v>
      </c>
      <c r="I1883" s="10" t="str">
        <f aca="false">CHOOSE(MOD(A1883-1,4)+1,"Электроника","Одежда","Продукты","Мебель")</f>
        <v>Одежда</v>
      </c>
      <c r="J1883" s="10" t="str">
        <f aca="false">CHOOSE(MOD(INT((A1883-1)/4),4)+1,CHOOSE(MOD(A1883-1,4)+1,"Смартфоны","Ноутбуки","Аксессуары","Аудио"),CHOOSE(MOD(A1883-1,4)+1,"Верхняя одежда","Спортивная","Повседневная","Обувь"),CHOOSE(MOD(A1883-1,4)+1,"Молочные","Мясные","Бакалея","Напитки"),CHOOSE(MOD(A1883-1,4)+1,"Мягкая мебель","Корпусная","Офисная","Кухонная"))</f>
        <v>Мясные</v>
      </c>
      <c r="K1883" s="12" t="n">
        <f aca="false">1000+MOD(A1883*317+A1883*A1883*7,49001)</f>
        <v>8544</v>
      </c>
      <c r="L1883" s="12" t="n">
        <f aca="false">1+MOD(A1883*131,100)</f>
        <v>43</v>
      </c>
      <c r="M1883" s="12" t="n">
        <f aca="false">INT(K1883*(0.6+MOD(A1883*43,21)/100))</f>
        <v>6237</v>
      </c>
      <c r="N1883" s="12" t="n">
        <f aca="false">K1883-M1883</f>
        <v>2307</v>
      </c>
    </row>
    <row r="1884" customFormat="false" ht="12.8" hidden="false" customHeight="false" outlineLevel="0" collapsed="false">
      <c r="A1884" s="10" t="n">
        <f aca="false">A1883+1</f>
        <v>1883</v>
      </c>
      <c r="B1884" s="11" t="n">
        <f aca="false">B1883+1</f>
        <v>46809</v>
      </c>
      <c r="C1884" s="10" t="n">
        <f aca="false">YEAR(B1884)</f>
        <v>2028</v>
      </c>
      <c r="D1884" s="10" t="n">
        <f aca="false">INT((MONTH(B1884)-1)/3)+1</f>
        <v>1</v>
      </c>
      <c r="E1884" s="10" t="n">
        <f aca="false">MONTH(B1884)</f>
        <v>2</v>
      </c>
      <c r="F1884" s="10" t="str">
        <f aca="false">CHOOSE(MOD(A1884-1,5)+1,"Центр","Юг","Север","Запад","Восток")</f>
        <v>Север</v>
      </c>
      <c r="G1884" s="10" t="str">
        <f aca="false">"Округ_"&amp;(MOD(A1884-1,5)+1)&amp;"_"&amp;(MOD(INT((A1884-1)/5),5)+1)</f>
        <v>Округ_3_2</v>
      </c>
      <c r="H1884" s="10" t="str">
        <f aca="false">"Город_"&amp;(MOD(A1884-1,5)+1)&amp;"_"&amp;(MOD(INT((A1884-1)/5),5)+1)&amp;"_"&amp;(MOD(INT((A1884-1)/25),10)+1)</f>
        <v>Город_3_2_6</v>
      </c>
      <c r="I1884" s="10" t="str">
        <f aca="false">CHOOSE(MOD(A1884-1,4)+1,"Электроника","Одежда","Продукты","Мебель")</f>
        <v>Продукты</v>
      </c>
      <c r="J1884" s="10" t="str">
        <f aca="false">CHOOSE(MOD(INT((A1884-1)/4),4)+1,CHOOSE(MOD(A1884-1,4)+1,"Смартфоны","Ноутбуки","Аксессуары","Аудио"),CHOOSE(MOD(A1884-1,4)+1,"Верхняя одежда","Спортивная","Повседневная","Обувь"),CHOOSE(MOD(A1884-1,4)+1,"Молочные","Мясные","Бакалея","Напитки"),CHOOSE(MOD(A1884-1,4)+1,"Мягкая мебель","Корпусная","Офисная","Кухонная"))</f>
        <v>Бакалея</v>
      </c>
      <c r="K1884" s="12" t="n">
        <f aca="false">1000+MOD(A1884*317+A1884*A1884*7,49001)</f>
        <v>35216</v>
      </c>
      <c r="L1884" s="12" t="n">
        <f aca="false">1+MOD(A1884*131,100)</f>
        <v>74</v>
      </c>
      <c r="M1884" s="12" t="n">
        <f aca="false">INT(K1884*(0.6+MOD(A1884*43,21)/100))</f>
        <v>26059</v>
      </c>
      <c r="N1884" s="12" t="n">
        <f aca="false">K1884-M1884</f>
        <v>9157</v>
      </c>
    </row>
    <row r="1885" customFormat="false" ht="12.8" hidden="false" customHeight="false" outlineLevel="0" collapsed="false">
      <c r="A1885" s="10" t="n">
        <f aca="false">A1884+1</f>
        <v>1884</v>
      </c>
      <c r="B1885" s="11" t="n">
        <f aca="false">B1884+1</f>
        <v>46810</v>
      </c>
      <c r="C1885" s="10" t="n">
        <f aca="false">YEAR(B1885)</f>
        <v>2028</v>
      </c>
      <c r="D1885" s="10" t="n">
        <f aca="false">INT((MONTH(B1885)-1)/3)+1</f>
        <v>1</v>
      </c>
      <c r="E1885" s="10" t="n">
        <f aca="false">MONTH(B1885)</f>
        <v>2</v>
      </c>
      <c r="F1885" s="10" t="str">
        <f aca="false">CHOOSE(MOD(A1885-1,5)+1,"Центр","Юг","Север","Запад","Восток")</f>
        <v>Запад</v>
      </c>
      <c r="G1885" s="10" t="str">
        <f aca="false">"Округ_"&amp;(MOD(A1885-1,5)+1)&amp;"_"&amp;(MOD(INT((A1885-1)/5),5)+1)</f>
        <v>Округ_4_2</v>
      </c>
      <c r="H1885" s="10" t="str">
        <f aca="false">"Город_"&amp;(MOD(A1885-1,5)+1)&amp;"_"&amp;(MOD(INT((A1885-1)/5),5)+1)&amp;"_"&amp;(MOD(INT((A1885-1)/25),10)+1)</f>
        <v>Город_4_2_6</v>
      </c>
      <c r="I1885" s="10" t="str">
        <f aca="false">CHOOSE(MOD(A1885-1,4)+1,"Электроника","Одежда","Продукты","Мебель")</f>
        <v>Мебель</v>
      </c>
      <c r="J1885" s="10" t="str">
        <f aca="false">CHOOSE(MOD(INT((A1885-1)/4),4)+1,CHOOSE(MOD(A1885-1,4)+1,"Смартфоны","Ноутбуки","Аксессуары","Аудио"),CHOOSE(MOD(A1885-1,4)+1,"Верхняя одежда","Спортивная","Повседневная","Обувь"),CHOOSE(MOD(A1885-1,4)+1,"Молочные","Мясные","Бакалея","Напитки"),CHOOSE(MOD(A1885-1,4)+1,"Мягкая мебель","Корпусная","Офисная","Кухонная"))</f>
        <v>Напитки</v>
      </c>
      <c r="K1885" s="12" t="n">
        <f aca="false">1000+MOD(A1885*317+A1885*A1885*7,49001)</f>
        <v>12901</v>
      </c>
      <c r="L1885" s="12" t="n">
        <f aca="false">1+MOD(A1885*131,100)</f>
        <v>5</v>
      </c>
      <c r="M1885" s="12" t="n">
        <f aca="false">INT(K1885*(0.6+MOD(A1885*43,21)/100))</f>
        <v>9675</v>
      </c>
      <c r="N1885" s="12" t="n">
        <f aca="false">K1885-M1885</f>
        <v>3226</v>
      </c>
    </row>
    <row r="1886" customFormat="false" ht="12.8" hidden="false" customHeight="false" outlineLevel="0" collapsed="false">
      <c r="A1886" s="10" t="n">
        <f aca="false">A1885+1</f>
        <v>1885</v>
      </c>
      <c r="B1886" s="11" t="n">
        <f aca="false">B1885+1</f>
        <v>46811</v>
      </c>
      <c r="C1886" s="10" t="n">
        <f aca="false">YEAR(B1886)</f>
        <v>2028</v>
      </c>
      <c r="D1886" s="10" t="n">
        <f aca="false">INT((MONTH(B1886)-1)/3)+1</f>
        <v>1</v>
      </c>
      <c r="E1886" s="10" t="n">
        <f aca="false">MONTH(B1886)</f>
        <v>2</v>
      </c>
      <c r="F1886" s="10" t="str">
        <f aca="false">CHOOSE(MOD(A1886-1,5)+1,"Центр","Юг","Север","Запад","Восток")</f>
        <v>Восток</v>
      </c>
      <c r="G1886" s="10" t="str">
        <f aca="false">"Округ_"&amp;(MOD(A1886-1,5)+1)&amp;"_"&amp;(MOD(INT((A1886-1)/5),5)+1)</f>
        <v>Округ_5_2</v>
      </c>
      <c r="H1886" s="10" t="str">
        <f aca="false">"Город_"&amp;(MOD(A1886-1,5)+1)&amp;"_"&amp;(MOD(INT((A1886-1)/5),5)+1)&amp;"_"&amp;(MOD(INT((A1886-1)/25),10)+1)</f>
        <v>Город_5_2_6</v>
      </c>
      <c r="I1886" s="10" t="str">
        <f aca="false">CHOOSE(MOD(A1886-1,4)+1,"Электроника","Одежда","Продукты","Мебель")</f>
        <v>Электроника</v>
      </c>
      <c r="J1886" s="10" t="str">
        <f aca="false">CHOOSE(MOD(INT((A1886-1)/4),4)+1,CHOOSE(MOD(A1886-1,4)+1,"Смартфоны","Ноутбуки","Аксессуары","Аудио"),CHOOSE(MOD(A1886-1,4)+1,"Верхняя одежда","Спортивная","Повседневная","Обувь"),CHOOSE(MOD(A1886-1,4)+1,"Молочные","Мясные","Бакалея","Напитки"),CHOOSE(MOD(A1886-1,4)+1,"Мягкая мебель","Корпусная","Офисная","Кухонная"))</f>
        <v>Мягкая мебель</v>
      </c>
      <c r="K1886" s="12" t="n">
        <f aca="false">1000+MOD(A1886*317+A1886*A1886*7,49001)</f>
        <v>39601</v>
      </c>
      <c r="L1886" s="12" t="n">
        <f aca="false">1+MOD(A1886*131,100)</f>
        <v>36</v>
      </c>
      <c r="M1886" s="12" t="n">
        <f aca="false">INT(K1886*(0.6+MOD(A1886*43,21)/100))</f>
        <v>30096</v>
      </c>
      <c r="N1886" s="12" t="n">
        <f aca="false">K1886-M1886</f>
        <v>9505</v>
      </c>
    </row>
    <row r="1887" customFormat="false" ht="12.8" hidden="false" customHeight="false" outlineLevel="0" collapsed="false">
      <c r="A1887" s="10" t="n">
        <f aca="false">A1886+1</f>
        <v>1886</v>
      </c>
      <c r="B1887" s="11" t="n">
        <f aca="false">B1886+1</f>
        <v>46812</v>
      </c>
      <c r="C1887" s="10" t="n">
        <f aca="false">YEAR(B1887)</f>
        <v>2028</v>
      </c>
      <c r="D1887" s="10" t="n">
        <f aca="false">INT((MONTH(B1887)-1)/3)+1</f>
        <v>1</v>
      </c>
      <c r="E1887" s="10" t="n">
        <f aca="false">MONTH(B1887)</f>
        <v>2</v>
      </c>
      <c r="F1887" s="10" t="str">
        <f aca="false">CHOOSE(MOD(A1887-1,5)+1,"Центр","Юг","Север","Запад","Восток")</f>
        <v>Центр</v>
      </c>
      <c r="G1887" s="10" t="str">
        <f aca="false">"Округ_"&amp;(MOD(A1887-1,5)+1)&amp;"_"&amp;(MOD(INT((A1887-1)/5),5)+1)</f>
        <v>Округ_1_3</v>
      </c>
      <c r="H1887" s="10" t="str">
        <f aca="false">"Город_"&amp;(MOD(A1887-1,5)+1)&amp;"_"&amp;(MOD(INT((A1887-1)/5),5)+1)&amp;"_"&amp;(MOD(INT((A1887-1)/25),10)+1)</f>
        <v>Город_1_3_6</v>
      </c>
      <c r="I1887" s="10" t="str">
        <f aca="false">CHOOSE(MOD(A1887-1,4)+1,"Электроника","Одежда","Продукты","Мебель")</f>
        <v>Одежда</v>
      </c>
      <c r="J1887" s="10" t="str">
        <f aca="false">CHOOSE(MOD(INT((A1887-1)/4),4)+1,CHOOSE(MOD(A1887-1,4)+1,"Смартфоны","Ноутбуки","Аксессуары","Аудио"),CHOOSE(MOD(A1887-1,4)+1,"Верхняя одежда","Спортивная","Повседневная","Обувь"),CHOOSE(MOD(A1887-1,4)+1,"Молочные","Мясные","Бакалея","Напитки"),CHOOSE(MOD(A1887-1,4)+1,"Мягкая мебель","Корпусная","Офисная","Кухонная"))</f>
        <v>Корпусная</v>
      </c>
      <c r="K1887" s="12" t="n">
        <f aca="false">1000+MOD(A1887*317+A1887*A1887*7,49001)</f>
        <v>17314</v>
      </c>
      <c r="L1887" s="12" t="n">
        <f aca="false">1+MOD(A1887*131,100)</f>
        <v>67</v>
      </c>
      <c r="M1887" s="12" t="n">
        <f aca="false">INT(K1887*(0.6+MOD(A1887*43,21)/100))</f>
        <v>13331</v>
      </c>
      <c r="N1887" s="12" t="n">
        <f aca="false">K1887-M1887</f>
        <v>3983</v>
      </c>
    </row>
    <row r="1888" customFormat="false" ht="12.8" hidden="false" customHeight="false" outlineLevel="0" collapsed="false">
      <c r="A1888" s="10" t="n">
        <f aca="false">A1887+1</f>
        <v>1887</v>
      </c>
      <c r="B1888" s="11" t="n">
        <f aca="false">B1887+1</f>
        <v>46813</v>
      </c>
      <c r="C1888" s="10" t="n">
        <f aca="false">YEAR(B1888)</f>
        <v>2028</v>
      </c>
      <c r="D1888" s="10" t="n">
        <f aca="false">INT((MONTH(B1888)-1)/3)+1</f>
        <v>1</v>
      </c>
      <c r="E1888" s="10" t="n">
        <f aca="false">MONTH(B1888)</f>
        <v>3</v>
      </c>
      <c r="F1888" s="10" t="str">
        <f aca="false">CHOOSE(MOD(A1888-1,5)+1,"Центр","Юг","Север","Запад","Восток")</f>
        <v>Юг</v>
      </c>
      <c r="G1888" s="10" t="str">
        <f aca="false">"Округ_"&amp;(MOD(A1888-1,5)+1)&amp;"_"&amp;(MOD(INT((A1888-1)/5),5)+1)</f>
        <v>Округ_2_3</v>
      </c>
      <c r="H1888" s="10" t="str">
        <f aca="false">"Город_"&amp;(MOD(A1888-1,5)+1)&amp;"_"&amp;(MOD(INT((A1888-1)/5),5)+1)&amp;"_"&amp;(MOD(INT((A1888-1)/25),10)+1)</f>
        <v>Город_2_3_6</v>
      </c>
      <c r="I1888" s="10" t="str">
        <f aca="false">CHOOSE(MOD(A1888-1,4)+1,"Электроника","Одежда","Продукты","Мебель")</f>
        <v>Продукты</v>
      </c>
      <c r="J1888" s="10" t="str">
        <f aca="false">CHOOSE(MOD(INT((A1888-1)/4),4)+1,CHOOSE(MOD(A1888-1,4)+1,"Смартфоны","Ноутбуки","Аксессуары","Аудио"),CHOOSE(MOD(A1888-1,4)+1,"Верхняя одежда","Спортивная","Повседневная","Обувь"),CHOOSE(MOD(A1888-1,4)+1,"Молочные","Мясные","Бакалея","Напитки"),CHOOSE(MOD(A1888-1,4)+1,"Мягкая мебель","Корпусная","Офисная","Кухонная"))</f>
        <v>Офисная</v>
      </c>
      <c r="K1888" s="12" t="n">
        <f aca="false">1000+MOD(A1888*317+A1888*A1888*7,49001)</f>
        <v>44042</v>
      </c>
      <c r="L1888" s="12" t="n">
        <f aca="false">1+MOD(A1888*131,100)</f>
        <v>98</v>
      </c>
      <c r="M1888" s="12" t="n">
        <f aca="false">INT(K1888*(0.6+MOD(A1888*43,21)/100))</f>
        <v>34352</v>
      </c>
      <c r="N1888" s="12" t="n">
        <f aca="false">K1888-M1888</f>
        <v>9690</v>
      </c>
    </row>
    <row r="1889" customFormat="false" ht="12.8" hidden="false" customHeight="false" outlineLevel="0" collapsed="false">
      <c r="A1889" s="10" t="n">
        <f aca="false">A1888+1</f>
        <v>1888</v>
      </c>
      <c r="B1889" s="11" t="n">
        <f aca="false">B1888+1</f>
        <v>46814</v>
      </c>
      <c r="C1889" s="10" t="n">
        <f aca="false">YEAR(B1889)</f>
        <v>2028</v>
      </c>
      <c r="D1889" s="10" t="n">
        <f aca="false">INT((MONTH(B1889)-1)/3)+1</f>
        <v>1</v>
      </c>
      <c r="E1889" s="10" t="n">
        <f aca="false">MONTH(B1889)</f>
        <v>3</v>
      </c>
      <c r="F1889" s="10" t="str">
        <f aca="false">CHOOSE(MOD(A1889-1,5)+1,"Центр","Юг","Север","Запад","Восток")</f>
        <v>Север</v>
      </c>
      <c r="G1889" s="10" t="str">
        <f aca="false">"Округ_"&amp;(MOD(A1889-1,5)+1)&amp;"_"&amp;(MOD(INT((A1889-1)/5),5)+1)</f>
        <v>Округ_3_3</v>
      </c>
      <c r="H1889" s="10" t="str">
        <f aca="false">"Город_"&amp;(MOD(A1889-1,5)+1)&amp;"_"&amp;(MOD(INT((A1889-1)/5),5)+1)&amp;"_"&amp;(MOD(INT((A1889-1)/25),10)+1)</f>
        <v>Город_3_3_6</v>
      </c>
      <c r="I1889" s="10" t="str">
        <f aca="false">CHOOSE(MOD(A1889-1,4)+1,"Электроника","Одежда","Продукты","Мебель")</f>
        <v>Мебель</v>
      </c>
      <c r="J1889" s="10" t="str">
        <f aca="false">CHOOSE(MOD(INT((A1889-1)/4),4)+1,CHOOSE(MOD(A1889-1,4)+1,"Смартфоны","Ноутбуки","Аксессуары","Аудио"),CHOOSE(MOD(A1889-1,4)+1,"Верхняя одежда","Спортивная","Повседневная","Обувь"),CHOOSE(MOD(A1889-1,4)+1,"Молочные","Мясные","Бакалея","Напитки"),CHOOSE(MOD(A1889-1,4)+1,"Мягкая мебель","Корпусная","Офисная","Кухонная"))</f>
        <v>Кухонная</v>
      </c>
      <c r="K1889" s="12" t="n">
        <f aca="false">1000+MOD(A1889*317+A1889*A1889*7,49001)</f>
        <v>21783</v>
      </c>
      <c r="L1889" s="12" t="n">
        <f aca="false">1+MOD(A1889*131,100)</f>
        <v>29</v>
      </c>
      <c r="M1889" s="12" t="n">
        <f aca="false">INT(K1889*(0.6+MOD(A1889*43,21)/100))</f>
        <v>17208</v>
      </c>
      <c r="N1889" s="12" t="n">
        <f aca="false">K1889-M1889</f>
        <v>4575</v>
      </c>
    </row>
    <row r="1890" customFormat="false" ht="12.8" hidden="false" customHeight="false" outlineLevel="0" collapsed="false">
      <c r="A1890" s="10" t="n">
        <f aca="false">A1889+1</f>
        <v>1889</v>
      </c>
      <c r="B1890" s="11" t="n">
        <f aca="false">B1889+1</f>
        <v>46815</v>
      </c>
      <c r="C1890" s="10" t="n">
        <f aca="false">YEAR(B1890)</f>
        <v>2028</v>
      </c>
      <c r="D1890" s="10" t="n">
        <f aca="false">INT((MONTH(B1890)-1)/3)+1</f>
        <v>1</v>
      </c>
      <c r="E1890" s="10" t="n">
        <f aca="false">MONTH(B1890)</f>
        <v>3</v>
      </c>
      <c r="F1890" s="10" t="str">
        <f aca="false">CHOOSE(MOD(A1890-1,5)+1,"Центр","Юг","Север","Запад","Восток")</f>
        <v>Запад</v>
      </c>
      <c r="G1890" s="10" t="str">
        <f aca="false">"Округ_"&amp;(MOD(A1890-1,5)+1)&amp;"_"&amp;(MOD(INT((A1890-1)/5),5)+1)</f>
        <v>Округ_4_3</v>
      </c>
      <c r="H1890" s="10" t="str">
        <f aca="false">"Город_"&amp;(MOD(A1890-1,5)+1)&amp;"_"&amp;(MOD(INT((A1890-1)/5),5)+1)&amp;"_"&amp;(MOD(INT((A1890-1)/25),10)+1)</f>
        <v>Город_4_3_6</v>
      </c>
      <c r="I1890" s="10" t="str">
        <f aca="false">CHOOSE(MOD(A1890-1,4)+1,"Электроника","Одежда","Продукты","Мебель")</f>
        <v>Электроника</v>
      </c>
      <c r="J1890" s="10" t="str">
        <f aca="false">CHOOSE(MOD(INT((A1890-1)/4),4)+1,CHOOSE(MOD(A1890-1,4)+1,"Смартфоны","Ноутбуки","Аксессуары","Аудио"),CHOOSE(MOD(A1890-1,4)+1,"Верхняя одежда","Спортивная","Повседневная","Обувь"),CHOOSE(MOD(A1890-1,4)+1,"Молочные","Мясные","Бакалея","Напитки"),CHOOSE(MOD(A1890-1,4)+1,"Мягкая мебель","Корпусная","Офисная","Кухонная"))</f>
        <v>Смартфоны</v>
      </c>
      <c r="K1890" s="12" t="n">
        <f aca="false">1000+MOD(A1890*317+A1890*A1890*7,49001)</f>
        <v>48539</v>
      </c>
      <c r="L1890" s="12" t="n">
        <f aca="false">1+MOD(A1890*131,100)</f>
        <v>60</v>
      </c>
      <c r="M1890" s="12" t="n">
        <f aca="false">INT(K1890*(0.6+MOD(A1890*43,21)/100))</f>
        <v>38831</v>
      </c>
      <c r="N1890" s="12" t="n">
        <f aca="false">K1890-M1890</f>
        <v>9708</v>
      </c>
    </row>
    <row r="1891" customFormat="false" ht="12.8" hidden="false" customHeight="false" outlineLevel="0" collapsed="false">
      <c r="A1891" s="10" t="n">
        <f aca="false">A1890+1</f>
        <v>1890</v>
      </c>
      <c r="B1891" s="11" t="n">
        <f aca="false">B1890+1</f>
        <v>46816</v>
      </c>
      <c r="C1891" s="10" t="n">
        <f aca="false">YEAR(B1891)</f>
        <v>2028</v>
      </c>
      <c r="D1891" s="10" t="n">
        <f aca="false">INT((MONTH(B1891)-1)/3)+1</f>
        <v>1</v>
      </c>
      <c r="E1891" s="10" t="n">
        <f aca="false">MONTH(B1891)</f>
        <v>3</v>
      </c>
      <c r="F1891" s="10" t="str">
        <f aca="false">CHOOSE(MOD(A1891-1,5)+1,"Центр","Юг","Север","Запад","Восток")</f>
        <v>Восток</v>
      </c>
      <c r="G1891" s="10" t="str">
        <f aca="false">"Округ_"&amp;(MOD(A1891-1,5)+1)&amp;"_"&amp;(MOD(INT((A1891-1)/5),5)+1)</f>
        <v>Округ_5_3</v>
      </c>
      <c r="H1891" s="10" t="str">
        <f aca="false">"Город_"&amp;(MOD(A1891-1,5)+1)&amp;"_"&amp;(MOD(INT((A1891-1)/5),5)+1)&amp;"_"&amp;(MOD(INT((A1891-1)/25),10)+1)</f>
        <v>Город_5_3_6</v>
      </c>
      <c r="I1891" s="10" t="str">
        <f aca="false">CHOOSE(MOD(A1891-1,4)+1,"Электроника","Одежда","Продукты","Мебель")</f>
        <v>Одежда</v>
      </c>
      <c r="J1891" s="10" t="str">
        <f aca="false">CHOOSE(MOD(INT((A1891-1)/4),4)+1,CHOOSE(MOD(A1891-1,4)+1,"Смартфоны","Ноутбуки","Аксессуары","Аудио"),CHOOSE(MOD(A1891-1,4)+1,"Верхняя одежда","Спортивная","Повседневная","Обувь"),CHOOSE(MOD(A1891-1,4)+1,"Молочные","Мясные","Бакалея","Напитки"),CHOOSE(MOD(A1891-1,4)+1,"Мягкая мебель","Корпусная","Офисная","Кухонная"))</f>
        <v>Ноутбуки</v>
      </c>
      <c r="K1891" s="12" t="n">
        <f aca="false">1000+MOD(A1891*317+A1891*A1891*7,49001)</f>
        <v>26308</v>
      </c>
      <c r="L1891" s="12" t="n">
        <f aca="false">1+MOD(A1891*131,100)</f>
        <v>91</v>
      </c>
      <c r="M1891" s="12" t="n">
        <f aca="false">INT(K1891*(0.6+MOD(A1891*43,21)/100))</f>
        <v>15784</v>
      </c>
      <c r="N1891" s="12" t="n">
        <f aca="false">K1891-M1891</f>
        <v>10524</v>
      </c>
    </row>
    <row r="1892" customFormat="false" ht="12.8" hidden="false" customHeight="false" outlineLevel="0" collapsed="false">
      <c r="A1892" s="10" t="n">
        <f aca="false">A1891+1</f>
        <v>1891</v>
      </c>
      <c r="B1892" s="11" t="n">
        <f aca="false">B1891+1</f>
        <v>46817</v>
      </c>
      <c r="C1892" s="10" t="n">
        <f aca="false">YEAR(B1892)</f>
        <v>2028</v>
      </c>
      <c r="D1892" s="10" t="n">
        <f aca="false">INT((MONTH(B1892)-1)/3)+1</f>
        <v>1</v>
      </c>
      <c r="E1892" s="10" t="n">
        <f aca="false">MONTH(B1892)</f>
        <v>3</v>
      </c>
      <c r="F1892" s="10" t="str">
        <f aca="false">CHOOSE(MOD(A1892-1,5)+1,"Центр","Юг","Север","Запад","Восток")</f>
        <v>Центр</v>
      </c>
      <c r="G1892" s="10" t="str">
        <f aca="false">"Округ_"&amp;(MOD(A1892-1,5)+1)&amp;"_"&amp;(MOD(INT((A1892-1)/5),5)+1)</f>
        <v>Округ_1_4</v>
      </c>
      <c r="H1892" s="10" t="str">
        <f aca="false">"Город_"&amp;(MOD(A1892-1,5)+1)&amp;"_"&amp;(MOD(INT((A1892-1)/5),5)+1)&amp;"_"&amp;(MOD(INT((A1892-1)/25),10)+1)</f>
        <v>Город_1_4_6</v>
      </c>
      <c r="I1892" s="10" t="str">
        <f aca="false">CHOOSE(MOD(A1892-1,4)+1,"Электроника","Одежда","Продукты","Мебель")</f>
        <v>Продукты</v>
      </c>
      <c r="J1892" s="10" t="str">
        <f aca="false">CHOOSE(MOD(INT((A1892-1)/4),4)+1,CHOOSE(MOD(A1892-1,4)+1,"Смартфоны","Ноутбуки","Аксессуары","Аудио"),CHOOSE(MOD(A1892-1,4)+1,"Верхняя одежда","Спортивная","Повседневная","Обувь"),CHOOSE(MOD(A1892-1,4)+1,"Молочные","Мясные","Бакалея","Напитки"),CHOOSE(MOD(A1892-1,4)+1,"Мягкая мебель","Корпусная","Офисная","Кухонная"))</f>
        <v>Аксессуары</v>
      </c>
      <c r="K1892" s="12" t="n">
        <f aca="false">1000+MOD(A1892*317+A1892*A1892*7,49001)</f>
        <v>4091</v>
      </c>
      <c r="L1892" s="12" t="n">
        <f aca="false">1+MOD(A1892*131,100)</f>
        <v>22</v>
      </c>
      <c r="M1892" s="12" t="n">
        <f aca="false">INT(K1892*(0.6+MOD(A1892*43,21)/100))</f>
        <v>2495</v>
      </c>
      <c r="N1892" s="12" t="n">
        <f aca="false">K1892-M1892</f>
        <v>1596</v>
      </c>
    </row>
    <row r="1893" customFormat="false" ht="12.8" hidden="false" customHeight="false" outlineLevel="0" collapsed="false">
      <c r="A1893" s="10" t="n">
        <f aca="false">A1892+1</f>
        <v>1892</v>
      </c>
      <c r="B1893" s="11" t="n">
        <f aca="false">B1892+1</f>
        <v>46818</v>
      </c>
      <c r="C1893" s="10" t="n">
        <f aca="false">YEAR(B1893)</f>
        <v>2028</v>
      </c>
      <c r="D1893" s="10" t="n">
        <f aca="false">INT((MONTH(B1893)-1)/3)+1</f>
        <v>1</v>
      </c>
      <c r="E1893" s="10" t="n">
        <f aca="false">MONTH(B1893)</f>
        <v>3</v>
      </c>
      <c r="F1893" s="10" t="str">
        <f aca="false">CHOOSE(MOD(A1893-1,5)+1,"Центр","Юг","Север","Запад","Восток")</f>
        <v>Юг</v>
      </c>
      <c r="G1893" s="10" t="str">
        <f aca="false">"Округ_"&amp;(MOD(A1893-1,5)+1)&amp;"_"&amp;(MOD(INT((A1893-1)/5),5)+1)</f>
        <v>Округ_2_4</v>
      </c>
      <c r="H1893" s="10" t="str">
        <f aca="false">"Город_"&amp;(MOD(A1893-1,5)+1)&amp;"_"&amp;(MOD(INT((A1893-1)/5),5)+1)&amp;"_"&amp;(MOD(INT((A1893-1)/25),10)+1)</f>
        <v>Город_2_4_6</v>
      </c>
      <c r="I1893" s="10" t="str">
        <f aca="false">CHOOSE(MOD(A1893-1,4)+1,"Электроника","Одежда","Продукты","Мебель")</f>
        <v>Мебель</v>
      </c>
      <c r="J1893" s="10" t="str">
        <f aca="false">CHOOSE(MOD(INT((A1893-1)/4),4)+1,CHOOSE(MOD(A1893-1,4)+1,"Смартфоны","Ноутбуки","Аксессуары","Аудио"),CHOOSE(MOD(A1893-1,4)+1,"Верхняя одежда","Спортивная","Повседневная","Обувь"),CHOOSE(MOD(A1893-1,4)+1,"Молочные","Мясные","Бакалея","Напитки"),CHOOSE(MOD(A1893-1,4)+1,"Мягкая мебель","Корпусная","Офисная","Кухонная"))</f>
        <v>Аудио</v>
      </c>
      <c r="K1893" s="12" t="n">
        <f aca="false">1000+MOD(A1893*317+A1893*A1893*7,49001)</f>
        <v>30889</v>
      </c>
      <c r="L1893" s="12" t="n">
        <f aca="false">1+MOD(A1893*131,100)</f>
        <v>53</v>
      </c>
      <c r="M1893" s="12" t="n">
        <f aca="false">INT(K1893*(0.6+MOD(A1893*43,21)/100))</f>
        <v>19151</v>
      </c>
      <c r="N1893" s="12" t="n">
        <f aca="false">K1893-M1893</f>
        <v>11738</v>
      </c>
    </row>
    <row r="1894" customFormat="false" ht="12.8" hidden="false" customHeight="false" outlineLevel="0" collapsed="false">
      <c r="A1894" s="10" t="n">
        <f aca="false">A1893+1</f>
        <v>1893</v>
      </c>
      <c r="B1894" s="11" t="n">
        <f aca="false">B1893+1</f>
        <v>46819</v>
      </c>
      <c r="C1894" s="10" t="n">
        <f aca="false">YEAR(B1894)</f>
        <v>2028</v>
      </c>
      <c r="D1894" s="10" t="n">
        <f aca="false">INT((MONTH(B1894)-1)/3)+1</f>
        <v>1</v>
      </c>
      <c r="E1894" s="10" t="n">
        <f aca="false">MONTH(B1894)</f>
        <v>3</v>
      </c>
      <c r="F1894" s="10" t="str">
        <f aca="false">CHOOSE(MOD(A1894-1,5)+1,"Центр","Юг","Север","Запад","Восток")</f>
        <v>Север</v>
      </c>
      <c r="G1894" s="10" t="str">
        <f aca="false">"Округ_"&amp;(MOD(A1894-1,5)+1)&amp;"_"&amp;(MOD(INT((A1894-1)/5),5)+1)</f>
        <v>Округ_3_4</v>
      </c>
      <c r="H1894" s="10" t="str">
        <f aca="false">"Город_"&amp;(MOD(A1894-1,5)+1)&amp;"_"&amp;(MOD(INT((A1894-1)/5),5)+1)&amp;"_"&amp;(MOD(INT((A1894-1)/25),10)+1)</f>
        <v>Город_3_4_6</v>
      </c>
      <c r="I1894" s="10" t="str">
        <f aca="false">CHOOSE(MOD(A1894-1,4)+1,"Электроника","Одежда","Продукты","Мебель")</f>
        <v>Электроника</v>
      </c>
      <c r="J1894" s="10" t="str">
        <f aca="false">CHOOSE(MOD(INT((A1894-1)/4),4)+1,CHOOSE(MOD(A1894-1,4)+1,"Смартфоны","Ноутбуки","Аксессуары","Аудио"),CHOOSE(MOD(A1894-1,4)+1,"Верхняя одежда","Спортивная","Повседневная","Обувь"),CHOOSE(MOD(A1894-1,4)+1,"Молочные","Мясные","Бакалея","Напитки"),CHOOSE(MOD(A1894-1,4)+1,"Мягкая мебель","Корпусная","Офисная","Кухонная"))</f>
        <v>Верхняя одежда</v>
      </c>
      <c r="K1894" s="12" t="n">
        <f aca="false">1000+MOD(A1894*317+A1894*A1894*7,49001)</f>
        <v>8700</v>
      </c>
      <c r="L1894" s="12" t="n">
        <f aca="false">1+MOD(A1894*131,100)</f>
        <v>84</v>
      </c>
      <c r="M1894" s="12" t="n">
        <f aca="false">INT(K1894*(0.6+MOD(A1894*43,21)/100))</f>
        <v>5481</v>
      </c>
      <c r="N1894" s="12" t="n">
        <f aca="false">K1894-M1894</f>
        <v>3219</v>
      </c>
    </row>
    <row r="1895" customFormat="false" ht="12.8" hidden="false" customHeight="false" outlineLevel="0" collapsed="false">
      <c r="A1895" s="10" t="n">
        <f aca="false">A1894+1</f>
        <v>1894</v>
      </c>
      <c r="B1895" s="11" t="n">
        <f aca="false">B1894+1</f>
        <v>46820</v>
      </c>
      <c r="C1895" s="10" t="n">
        <f aca="false">YEAR(B1895)</f>
        <v>2028</v>
      </c>
      <c r="D1895" s="10" t="n">
        <f aca="false">INT((MONTH(B1895)-1)/3)+1</f>
        <v>1</v>
      </c>
      <c r="E1895" s="10" t="n">
        <f aca="false">MONTH(B1895)</f>
        <v>3</v>
      </c>
      <c r="F1895" s="10" t="str">
        <f aca="false">CHOOSE(MOD(A1895-1,5)+1,"Центр","Юг","Север","Запад","Восток")</f>
        <v>Запад</v>
      </c>
      <c r="G1895" s="10" t="str">
        <f aca="false">"Округ_"&amp;(MOD(A1895-1,5)+1)&amp;"_"&amp;(MOD(INT((A1895-1)/5),5)+1)</f>
        <v>Округ_4_4</v>
      </c>
      <c r="H1895" s="10" t="str">
        <f aca="false">"Город_"&amp;(MOD(A1895-1,5)+1)&amp;"_"&amp;(MOD(INT((A1895-1)/5),5)+1)&amp;"_"&amp;(MOD(INT((A1895-1)/25),10)+1)</f>
        <v>Город_4_4_6</v>
      </c>
      <c r="I1895" s="10" t="str">
        <f aca="false">CHOOSE(MOD(A1895-1,4)+1,"Электроника","Одежда","Продукты","Мебель")</f>
        <v>Одежда</v>
      </c>
      <c r="J1895" s="10" t="str">
        <f aca="false">CHOOSE(MOD(INT((A1895-1)/4),4)+1,CHOOSE(MOD(A1895-1,4)+1,"Смартфоны","Ноутбуки","Аксессуары","Аудио"),CHOOSE(MOD(A1895-1,4)+1,"Верхняя одежда","Спортивная","Повседневная","Обувь"),CHOOSE(MOD(A1895-1,4)+1,"Молочные","Мясные","Бакалея","Напитки"),CHOOSE(MOD(A1895-1,4)+1,"Мягкая мебель","Корпусная","Офисная","Кухонная"))</f>
        <v>Спортивная</v>
      </c>
      <c r="K1895" s="12" t="n">
        <f aca="false">1000+MOD(A1895*317+A1895*A1895*7,49001)</f>
        <v>35526</v>
      </c>
      <c r="L1895" s="12" t="n">
        <f aca="false">1+MOD(A1895*131,100)</f>
        <v>15</v>
      </c>
      <c r="M1895" s="12" t="n">
        <f aca="false">INT(K1895*(0.6+MOD(A1895*43,21)/100))</f>
        <v>22736</v>
      </c>
      <c r="N1895" s="12" t="n">
        <f aca="false">K1895-M1895</f>
        <v>12790</v>
      </c>
    </row>
    <row r="1896" customFormat="false" ht="12.8" hidden="false" customHeight="false" outlineLevel="0" collapsed="false">
      <c r="A1896" s="10" t="n">
        <f aca="false">A1895+1</f>
        <v>1895</v>
      </c>
      <c r="B1896" s="11" t="n">
        <f aca="false">B1895+1</f>
        <v>46821</v>
      </c>
      <c r="C1896" s="10" t="n">
        <f aca="false">YEAR(B1896)</f>
        <v>2028</v>
      </c>
      <c r="D1896" s="10" t="n">
        <f aca="false">INT((MONTH(B1896)-1)/3)+1</f>
        <v>1</v>
      </c>
      <c r="E1896" s="10" t="n">
        <f aca="false">MONTH(B1896)</f>
        <v>3</v>
      </c>
      <c r="F1896" s="10" t="str">
        <f aca="false">CHOOSE(MOD(A1896-1,5)+1,"Центр","Юг","Север","Запад","Восток")</f>
        <v>Восток</v>
      </c>
      <c r="G1896" s="10" t="str">
        <f aca="false">"Округ_"&amp;(MOD(A1896-1,5)+1)&amp;"_"&amp;(MOD(INT((A1896-1)/5),5)+1)</f>
        <v>Округ_5_4</v>
      </c>
      <c r="H1896" s="10" t="str">
        <f aca="false">"Город_"&amp;(MOD(A1896-1,5)+1)&amp;"_"&amp;(MOD(INT((A1896-1)/5),5)+1)&amp;"_"&amp;(MOD(INT((A1896-1)/25),10)+1)</f>
        <v>Город_5_4_6</v>
      </c>
      <c r="I1896" s="10" t="str">
        <f aca="false">CHOOSE(MOD(A1896-1,4)+1,"Электроника","Одежда","Продукты","Мебель")</f>
        <v>Продукты</v>
      </c>
      <c r="J1896" s="10" t="str">
        <f aca="false">CHOOSE(MOD(INT((A1896-1)/4),4)+1,CHOOSE(MOD(A1896-1,4)+1,"Смартфоны","Ноутбуки","Аксессуары","Аудио"),CHOOSE(MOD(A1896-1,4)+1,"Верхняя одежда","Спортивная","Повседневная","Обувь"),CHOOSE(MOD(A1896-1,4)+1,"Молочные","Мясные","Бакалея","Напитки"),CHOOSE(MOD(A1896-1,4)+1,"Мягкая мебель","Корпусная","Офисная","Кухонная"))</f>
        <v>Повседневная</v>
      </c>
      <c r="K1896" s="12" t="n">
        <f aca="false">1000+MOD(A1896*317+A1896*A1896*7,49001)</f>
        <v>13365</v>
      </c>
      <c r="L1896" s="12" t="n">
        <f aca="false">1+MOD(A1896*131,100)</f>
        <v>46</v>
      </c>
      <c r="M1896" s="12" t="n">
        <f aca="false">INT(K1896*(0.6+MOD(A1896*43,21)/100))</f>
        <v>8687</v>
      </c>
      <c r="N1896" s="12" t="n">
        <f aca="false">K1896-M1896</f>
        <v>4678</v>
      </c>
    </row>
    <row r="1897" customFormat="false" ht="12.8" hidden="false" customHeight="false" outlineLevel="0" collapsed="false">
      <c r="A1897" s="10" t="n">
        <f aca="false">A1896+1</f>
        <v>1896</v>
      </c>
      <c r="B1897" s="11" t="n">
        <f aca="false">B1896+1</f>
        <v>46822</v>
      </c>
      <c r="C1897" s="10" t="n">
        <f aca="false">YEAR(B1897)</f>
        <v>2028</v>
      </c>
      <c r="D1897" s="10" t="n">
        <f aca="false">INT((MONTH(B1897)-1)/3)+1</f>
        <v>1</v>
      </c>
      <c r="E1897" s="10" t="n">
        <f aca="false">MONTH(B1897)</f>
        <v>3</v>
      </c>
      <c r="F1897" s="10" t="str">
        <f aca="false">CHOOSE(MOD(A1897-1,5)+1,"Центр","Юг","Север","Запад","Восток")</f>
        <v>Центр</v>
      </c>
      <c r="G1897" s="10" t="str">
        <f aca="false">"Округ_"&amp;(MOD(A1897-1,5)+1)&amp;"_"&amp;(MOD(INT((A1897-1)/5),5)+1)</f>
        <v>Округ_1_5</v>
      </c>
      <c r="H1897" s="10" t="str">
        <f aca="false">"Город_"&amp;(MOD(A1897-1,5)+1)&amp;"_"&amp;(MOD(INT((A1897-1)/5),5)+1)&amp;"_"&amp;(MOD(INT((A1897-1)/25),10)+1)</f>
        <v>Город_1_5_6</v>
      </c>
      <c r="I1897" s="10" t="str">
        <f aca="false">CHOOSE(MOD(A1897-1,4)+1,"Электроника","Одежда","Продукты","Мебель")</f>
        <v>Мебель</v>
      </c>
      <c r="J1897" s="10" t="str">
        <f aca="false">CHOOSE(MOD(INT((A1897-1)/4),4)+1,CHOOSE(MOD(A1897-1,4)+1,"Смартфоны","Ноутбуки","Аксессуары","Аудио"),CHOOSE(MOD(A1897-1,4)+1,"Верхняя одежда","Спортивная","Повседневная","Обувь"),CHOOSE(MOD(A1897-1,4)+1,"Молочные","Мясные","Бакалея","Напитки"),CHOOSE(MOD(A1897-1,4)+1,"Мягкая мебель","Корпусная","Офисная","Кухонная"))</f>
        <v>Обувь</v>
      </c>
      <c r="K1897" s="12" t="n">
        <f aca="false">1000+MOD(A1897*317+A1897*A1897*7,49001)</f>
        <v>40219</v>
      </c>
      <c r="L1897" s="12" t="n">
        <f aca="false">1+MOD(A1897*131,100)</f>
        <v>77</v>
      </c>
      <c r="M1897" s="12" t="n">
        <f aca="false">INT(K1897*(0.6+MOD(A1897*43,21)/100))</f>
        <v>26544</v>
      </c>
      <c r="N1897" s="12" t="n">
        <f aca="false">K1897-M1897</f>
        <v>13675</v>
      </c>
    </row>
    <row r="1898" customFormat="false" ht="12.8" hidden="false" customHeight="false" outlineLevel="0" collapsed="false">
      <c r="A1898" s="10" t="n">
        <f aca="false">A1897+1</f>
        <v>1897</v>
      </c>
      <c r="B1898" s="11" t="n">
        <f aca="false">B1897+1</f>
        <v>46823</v>
      </c>
      <c r="C1898" s="10" t="n">
        <f aca="false">YEAR(B1898)</f>
        <v>2028</v>
      </c>
      <c r="D1898" s="10" t="n">
        <f aca="false">INT((MONTH(B1898)-1)/3)+1</f>
        <v>1</v>
      </c>
      <c r="E1898" s="10" t="n">
        <f aca="false">MONTH(B1898)</f>
        <v>3</v>
      </c>
      <c r="F1898" s="10" t="str">
        <f aca="false">CHOOSE(MOD(A1898-1,5)+1,"Центр","Юг","Север","Запад","Восток")</f>
        <v>Юг</v>
      </c>
      <c r="G1898" s="10" t="str">
        <f aca="false">"Округ_"&amp;(MOD(A1898-1,5)+1)&amp;"_"&amp;(MOD(INT((A1898-1)/5),5)+1)</f>
        <v>Округ_2_5</v>
      </c>
      <c r="H1898" s="10" t="str">
        <f aca="false">"Город_"&amp;(MOD(A1898-1,5)+1)&amp;"_"&amp;(MOD(INT((A1898-1)/5),5)+1)&amp;"_"&amp;(MOD(INT((A1898-1)/25),10)+1)</f>
        <v>Город_2_5_6</v>
      </c>
      <c r="I1898" s="10" t="str">
        <f aca="false">CHOOSE(MOD(A1898-1,4)+1,"Электроника","Одежда","Продукты","Мебель")</f>
        <v>Электроника</v>
      </c>
      <c r="J1898" s="10" t="str">
        <f aca="false">CHOOSE(MOD(INT((A1898-1)/4),4)+1,CHOOSE(MOD(A1898-1,4)+1,"Смартфоны","Ноутбуки","Аксессуары","Аудио"),CHOOSE(MOD(A1898-1,4)+1,"Верхняя одежда","Спортивная","Повседневная","Обувь"),CHOOSE(MOD(A1898-1,4)+1,"Молочные","Мясные","Бакалея","Напитки"),CHOOSE(MOD(A1898-1,4)+1,"Мягкая мебель","Корпусная","Офисная","Кухонная"))</f>
        <v>Молочные</v>
      </c>
      <c r="K1898" s="12" t="n">
        <f aca="false">1000+MOD(A1898*317+A1898*A1898*7,49001)</f>
        <v>18086</v>
      </c>
      <c r="L1898" s="12" t="n">
        <f aca="false">1+MOD(A1898*131,100)</f>
        <v>8</v>
      </c>
      <c r="M1898" s="12" t="n">
        <f aca="false">INT(K1898*(0.6+MOD(A1898*43,21)/100))</f>
        <v>12117</v>
      </c>
      <c r="N1898" s="12" t="n">
        <f aca="false">K1898-M1898</f>
        <v>5969</v>
      </c>
    </row>
    <row r="1899" customFormat="false" ht="12.8" hidden="false" customHeight="false" outlineLevel="0" collapsed="false">
      <c r="A1899" s="10" t="n">
        <f aca="false">A1898+1</f>
        <v>1898</v>
      </c>
      <c r="B1899" s="11" t="n">
        <f aca="false">B1898+1</f>
        <v>46824</v>
      </c>
      <c r="C1899" s="10" t="n">
        <f aca="false">YEAR(B1899)</f>
        <v>2028</v>
      </c>
      <c r="D1899" s="10" t="n">
        <f aca="false">INT((MONTH(B1899)-1)/3)+1</f>
        <v>1</v>
      </c>
      <c r="E1899" s="10" t="n">
        <f aca="false">MONTH(B1899)</f>
        <v>3</v>
      </c>
      <c r="F1899" s="10" t="str">
        <f aca="false">CHOOSE(MOD(A1899-1,5)+1,"Центр","Юг","Север","Запад","Восток")</f>
        <v>Север</v>
      </c>
      <c r="G1899" s="10" t="str">
        <f aca="false">"Округ_"&amp;(MOD(A1899-1,5)+1)&amp;"_"&amp;(MOD(INT((A1899-1)/5),5)+1)</f>
        <v>Округ_3_5</v>
      </c>
      <c r="H1899" s="10" t="str">
        <f aca="false">"Город_"&amp;(MOD(A1899-1,5)+1)&amp;"_"&amp;(MOD(INT((A1899-1)/5),5)+1)&amp;"_"&amp;(MOD(INT((A1899-1)/25),10)+1)</f>
        <v>Город_3_5_6</v>
      </c>
      <c r="I1899" s="10" t="str">
        <f aca="false">CHOOSE(MOD(A1899-1,4)+1,"Электроника","Одежда","Продукты","Мебель")</f>
        <v>Одежда</v>
      </c>
      <c r="J1899" s="10" t="str">
        <f aca="false">CHOOSE(MOD(INT((A1899-1)/4),4)+1,CHOOSE(MOD(A1899-1,4)+1,"Смартфоны","Ноутбуки","Аксессуары","Аудио"),CHOOSE(MOD(A1899-1,4)+1,"Верхняя одежда","Спортивная","Повседневная","Обувь"),CHOOSE(MOD(A1899-1,4)+1,"Молочные","Мясные","Бакалея","Напитки"),CHOOSE(MOD(A1899-1,4)+1,"Мягкая мебель","Корпусная","Офисная","Кухонная"))</f>
        <v>Мясные</v>
      </c>
      <c r="K1899" s="12" t="n">
        <f aca="false">1000+MOD(A1899*317+A1899*A1899*7,49001)</f>
        <v>44968</v>
      </c>
      <c r="L1899" s="12" t="n">
        <f aca="false">1+MOD(A1899*131,100)</f>
        <v>39</v>
      </c>
      <c r="M1899" s="12" t="n">
        <f aca="false">INT(K1899*(0.6+MOD(A1899*43,21)/100))</f>
        <v>30578</v>
      </c>
      <c r="N1899" s="12" t="n">
        <f aca="false">K1899-M1899</f>
        <v>14390</v>
      </c>
    </row>
    <row r="1900" customFormat="false" ht="12.8" hidden="false" customHeight="false" outlineLevel="0" collapsed="false">
      <c r="A1900" s="10" t="n">
        <f aca="false">A1899+1</f>
        <v>1899</v>
      </c>
      <c r="B1900" s="11" t="n">
        <f aca="false">B1899+1</f>
        <v>46825</v>
      </c>
      <c r="C1900" s="10" t="n">
        <f aca="false">YEAR(B1900)</f>
        <v>2028</v>
      </c>
      <c r="D1900" s="10" t="n">
        <f aca="false">INT((MONTH(B1900)-1)/3)+1</f>
        <v>1</v>
      </c>
      <c r="E1900" s="10" t="n">
        <f aca="false">MONTH(B1900)</f>
        <v>3</v>
      </c>
      <c r="F1900" s="10" t="str">
        <f aca="false">CHOOSE(MOD(A1900-1,5)+1,"Центр","Юг","Север","Запад","Восток")</f>
        <v>Запад</v>
      </c>
      <c r="G1900" s="10" t="str">
        <f aca="false">"Округ_"&amp;(MOD(A1900-1,5)+1)&amp;"_"&amp;(MOD(INT((A1900-1)/5),5)+1)</f>
        <v>Округ_4_5</v>
      </c>
      <c r="H1900" s="10" t="str">
        <f aca="false">"Город_"&amp;(MOD(A1900-1,5)+1)&amp;"_"&amp;(MOD(INT((A1900-1)/5),5)+1)&amp;"_"&amp;(MOD(INT((A1900-1)/25),10)+1)</f>
        <v>Город_4_5_6</v>
      </c>
      <c r="I1900" s="10" t="str">
        <f aca="false">CHOOSE(MOD(A1900-1,4)+1,"Электроника","Одежда","Продукты","Мебель")</f>
        <v>Продукты</v>
      </c>
      <c r="J1900" s="10" t="str">
        <f aca="false">CHOOSE(MOD(INT((A1900-1)/4),4)+1,CHOOSE(MOD(A1900-1,4)+1,"Смартфоны","Ноутбуки","Аксессуары","Аудио"),CHOOSE(MOD(A1900-1,4)+1,"Верхняя одежда","Спортивная","Повседневная","Обувь"),CHOOSE(MOD(A1900-1,4)+1,"Молочные","Мясные","Бакалея","Напитки"),CHOOSE(MOD(A1900-1,4)+1,"Мягкая мебель","Корпусная","Офисная","Кухонная"))</f>
        <v>Бакалея</v>
      </c>
      <c r="K1900" s="12" t="n">
        <f aca="false">1000+MOD(A1900*317+A1900*A1900*7,49001)</f>
        <v>22863</v>
      </c>
      <c r="L1900" s="12" t="n">
        <f aca="false">1+MOD(A1900*131,100)</f>
        <v>70</v>
      </c>
      <c r="M1900" s="12" t="n">
        <f aca="false">INT(K1900*(0.6+MOD(A1900*43,21)/100))</f>
        <v>15775</v>
      </c>
      <c r="N1900" s="12" t="n">
        <f aca="false">K1900-M1900</f>
        <v>7088</v>
      </c>
    </row>
    <row r="1901" customFormat="false" ht="12.8" hidden="false" customHeight="false" outlineLevel="0" collapsed="false">
      <c r="A1901" s="10" t="n">
        <f aca="false">A1900+1</f>
        <v>1900</v>
      </c>
      <c r="B1901" s="11" t="n">
        <f aca="false">B1900+1</f>
        <v>46826</v>
      </c>
      <c r="C1901" s="10" t="n">
        <f aca="false">YEAR(B1901)</f>
        <v>2028</v>
      </c>
      <c r="D1901" s="10" t="n">
        <f aca="false">INT((MONTH(B1901)-1)/3)+1</f>
        <v>1</v>
      </c>
      <c r="E1901" s="10" t="n">
        <f aca="false">MONTH(B1901)</f>
        <v>3</v>
      </c>
      <c r="F1901" s="10" t="str">
        <f aca="false">CHOOSE(MOD(A1901-1,5)+1,"Центр","Юг","Север","Запад","Восток")</f>
        <v>Восток</v>
      </c>
      <c r="G1901" s="10" t="str">
        <f aca="false">"Округ_"&amp;(MOD(A1901-1,5)+1)&amp;"_"&amp;(MOD(INT((A1901-1)/5),5)+1)</f>
        <v>Округ_5_5</v>
      </c>
      <c r="H1901" s="10" t="str">
        <f aca="false">"Город_"&amp;(MOD(A1901-1,5)+1)&amp;"_"&amp;(MOD(INT((A1901-1)/5),5)+1)&amp;"_"&amp;(MOD(INT((A1901-1)/25),10)+1)</f>
        <v>Город_5_5_6</v>
      </c>
      <c r="I1901" s="10" t="str">
        <f aca="false">CHOOSE(MOD(A1901-1,4)+1,"Электроника","Одежда","Продукты","Мебель")</f>
        <v>Мебель</v>
      </c>
      <c r="J1901" s="10" t="str">
        <f aca="false">CHOOSE(MOD(INT((A1901-1)/4),4)+1,CHOOSE(MOD(A1901-1,4)+1,"Смартфоны","Ноутбуки","Аксессуары","Аудио"),CHOOSE(MOD(A1901-1,4)+1,"Верхняя одежда","Спортивная","Повседневная","Обувь"),CHOOSE(MOD(A1901-1,4)+1,"Молочные","Мясные","Бакалея","Напитки"),CHOOSE(MOD(A1901-1,4)+1,"Мягкая мебель","Корпусная","Офисная","Кухонная"))</f>
        <v>Напитки</v>
      </c>
      <c r="K1901" s="12" t="n">
        <f aca="false">1000+MOD(A1901*317+A1901*A1901*7,49001)</f>
        <v>49773</v>
      </c>
      <c r="L1901" s="12" t="n">
        <f aca="false">1+MOD(A1901*131,100)</f>
        <v>1</v>
      </c>
      <c r="M1901" s="12" t="n">
        <f aca="false">INT(K1901*(0.6+MOD(A1901*43,21)/100))</f>
        <v>34841</v>
      </c>
      <c r="N1901" s="12" t="n">
        <f aca="false">K1901-M1901</f>
        <v>14932</v>
      </c>
    </row>
    <row r="1902" customFormat="false" ht="12.8" hidden="false" customHeight="false" outlineLevel="0" collapsed="false">
      <c r="A1902" s="10" t="n">
        <f aca="false">A1901+1</f>
        <v>1901</v>
      </c>
      <c r="B1902" s="11" t="n">
        <f aca="false">B1901+1</f>
        <v>46827</v>
      </c>
      <c r="C1902" s="10" t="n">
        <f aca="false">YEAR(B1902)</f>
        <v>2028</v>
      </c>
      <c r="D1902" s="10" t="n">
        <f aca="false">INT((MONTH(B1902)-1)/3)+1</f>
        <v>1</v>
      </c>
      <c r="E1902" s="10" t="n">
        <f aca="false">MONTH(B1902)</f>
        <v>3</v>
      </c>
      <c r="F1902" s="10" t="str">
        <f aca="false">CHOOSE(MOD(A1902-1,5)+1,"Центр","Юг","Север","Запад","Восток")</f>
        <v>Центр</v>
      </c>
      <c r="G1902" s="10" t="str">
        <f aca="false">"Округ_"&amp;(MOD(A1902-1,5)+1)&amp;"_"&amp;(MOD(INT((A1902-1)/5),5)+1)</f>
        <v>Округ_1_1</v>
      </c>
      <c r="H1902" s="10" t="str">
        <f aca="false">"Город_"&amp;(MOD(A1902-1,5)+1)&amp;"_"&amp;(MOD(INT((A1902-1)/5),5)+1)&amp;"_"&amp;(MOD(INT((A1902-1)/25),10)+1)</f>
        <v>Город_1_1_7</v>
      </c>
      <c r="I1902" s="10" t="str">
        <f aca="false">CHOOSE(MOD(A1902-1,4)+1,"Электроника","Одежда","Продукты","Мебель")</f>
        <v>Электроника</v>
      </c>
      <c r="J1902" s="10" t="str">
        <f aca="false">CHOOSE(MOD(INT((A1902-1)/4),4)+1,CHOOSE(MOD(A1902-1,4)+1,"Смартфоны","Ноутбуки","Аксессуары","Аудио"),CHOOSE(MOD(A1902-1,4)+1,"Верхняя одежда","Спортивная","Повседневная","Обувь"),CHOOSE(MOD(A1902-1,4)+1,"Молочные","Мясные","Бакалея","Напитки"),CHOOSE(MOD(A1902-1,4)+1,"Мягкая мебель","Корпусная","Офисная","Кухонная"))</f>
        <v>Мягкая мебель</v>
      </c>
      <c r="K1902" s="12" t="n">
        <f aca="false">1000+MOD(A1902*317+A1902*A1902*7,49001)</f>
        <v>27696</v>
      </c>
      <c r="L1902" s="12" t="n">
        <f aca="false">1+MOD(A1902*131,100)</f>
        <v>32</v>
      </c>
      <c r="M1902" s="12" t="n">
        <f aca="false">INT(K1902*(0.6+MOD(A1902*43,21)/100))</f>
        <v>19664</v>
      </c>
      <c r="N1902" s="12" t="n">
        <f aca="false">K1902-M1902</f>
        <v>8032</v>
      </c>
    </row>
    <row r="1903" customFormat="false" ht="12.8" hidden="false" customHeight="false" outlineLevel="0" collapsed="false">
      <c r="A1903" s="10" t="n">
        <f aca="false">A1902+1</f>
        <v>1902</v>
      </c>
      <c r="B1903" s="11" t="n">
        <f aca="false">B1902+1</f>
        <v>46828</v>
      </c>
      <c r="C1903" s="10" t="n">
        <f aca="false">YEAR(B1903)</f>
        <v>2028</v>
      </c>
      <c r="D1903" s="10" t="n">
        <f aca="false">INT((MONTH(B1903)-1)/3)+1</f>
        <v>1</v>
      </c>
      <c r="E1903" s="10" t="n">
        <f aca="false">MONTH(B1903)</f>
        <v>3</v>
      </c>
      <c r="F1903" s="10" t="str">
        <f aca="false">CHOOSE(MOD(A1903-1,5)+1,"Центр","Юг","Север","Запад","Восток")</f>
        <v>Юг</v>
      </c>
      <c r="G1903" s="10" t="str">
        <f aca="false">"Округ_"&amp;(MOD(A1903-1,5)+1)&amp;"_"&amp;(MOD(INT((A1903-1)/5),5)+1)</f>
        <v>Округ_2_1</v>
      </c>
      <c r="H1903" s="10" t="str">
        <f aca="false">"Город_"&amp;(MOD(A1903-1,5)+1)&amp;"_"&amp;(MOD(INT((A1903-1)/5),5)+1)&amp;"_"&amp;(MOD(INT((A1903-1)/25),10)+1)</f>
        <v>Город_2_1_7</v>
      </c>
      <c r="I1903" s="10" t="str">
        <f aca="false">CHOOSE(MOD(A1903-1,4)+1,"Электроника","Одежда","Продукты","Мебель")</f>
        <v>Одежда</v>
      </c>
      <c r="J1903" s="10" t="str">
        <f aca="false">CHOOSE(MOD(INT((A1903-1)/4),4)+1,CHOOSE(MOD(A1903-1,4)+1,"Смартфоны","Ноутбуки","Аксессуары","Аудио"),CHOOSE(MOD(A1903-1,4)+1,"Верхняя одежда","Спортивная","Повседневная","Обувь"),CHOOSE(MOD(A1903-1,4)+1,"Молочные","Мясные","Бакалея","Напитки"),CHOOSE(MOD(A1903-1,4)+1,"Мягкая мебель","Корпусная","Офисная","Кухонная"))</f>
        <v>Корпусная</v>
      </c>
      <c r="K1903" s="12" t="n">
        <f aca="false">1000+MOD(A1903*317+A1903*A1903*7,49001)</f>
        <v>5633</v>
      </c>
      <c r="L1903" s="12" t="n">
        <f aca="false">1+MOD(A1903*131,100)</f>
        <v>63</v>
      </c>
      <c r="M1903" s="12" t="n">
        <f aca="false">INT(K1903*(0.6+MOD(A1903*43,21)/100))</f>
        <v>4055</v>
      </c>
      <c r="N1903" s="12" t="n">
        <f aca="false">K1903-M1903</f>
        <v>1578</v>
      </c>
    </row>
    <row r="1904" customFormat="false" ht="12.8" hidden="false" customHeight="false" outlineLevel="0" collapsed="false">
      <c r="A1904" s="10" t="n">
        <f aca="false">A1903+1</f>
        <v>1903</v>
      </c>
      <c r="B1904" s="11" t="n">
        <f aca="false">B1903+1</f>
        <v>46829</v>
      </c>
      <c r="C1904" s="10" t="n">
        <f aca="false">YEAR(B1904)</f>
        <v>2028</v>
      </c>
      <c r="D1904" s="10" t="n">
        <f aca="false">INT((MONTH(B1904)-1)/3)+1</f>
        <v>1</v>
      </c>
      <c r="E1904" s="10" t="n">
        <f aca="false">MONTH(B1904)</f>
        <v>3</v>
      </c>
      <c r="F1904" s="10" t="str">
        <f aca="false">CHOOSE(MOD(A1904-1,5)+1,"Центр","Юг","Север","Запад","Восток")</f>
        <v>Север</v>
      </c>
      <c r="G1904" s="10" t="str">
        <f aca="false">"Округ_"&amp;(MOD(A1904-1,5)+1)&amp;"_"&amp;(MOD(INT((A1904-1)/5),5)+1)</f>
        <v>Округ_3_1</v>
      </c>
      <c r="H1904" s="10" t="str">
        <f aca="false">"Город_"&amp;(MOD(A1904-1,5)+1)&amp;"_"&amp;(MOD(INT((A1904-1)/5),5)+1)&amp;"_"&amp;(MOD(INT((A1904-1)/25),10)+1)</f>
        <v>Город_3_1_7</v>
      </c>
      <c r="I1904" s="10" t="str">
        <f aca="false">CHOOSE(MOD(A1904-1,4)+1,"Электроника","Одежда","Продукты","Мебель")</f>
        <v>Продукты</v>
      </c>
      <c r="J1904" s="10" t="str">
        <f aca="false">CHOOSE(MOD(INT((A1904-1)/4),4)+1,CHOOSE(MOD(A1904-1,4)+1,"Смартфоны","Ноутбуки","Аксессуары","Аудио"),CHOOSE(MOD(A1904-1,4)+1,"Верхняя одежда","Спортивная","Повседневная","Обувь"),CHOOSE(MOD(A1904-1,4)+1,"Молочные","Мясные","Бакалея","Напитки"),CHOOSE(MOD(A1904-1,4)+1,"Мягкая мебель","Корпусная","Офисная","Кухонная"))</f>
        <v>Офисная</v>
      </c>
      <c r="K1904" s="12" t="n">
        <f aca="false">1000+MOD(A1904*317+A1904*A1904*7,49001)</f>
        <v>32585</v>
      </c>
      <c r="L1904" s="12" t="n">
        <f aca="false">1+MOD(A1904*131,100)</f>
        <v>94</v>
      </c>
      <c r="M1904" s="12" t="n">
        <f aca="false">INT(K1904*(0.6+MOD(A1904*43,21)/100))</f>
        <v>23787</v>
      </c>
      <c r="N1904" s="12" t="n">
        <f aca="false">K1904-M1904</f>
        <v>8798</v>
      </c>
    </row>
    <row r="1905" customFormat="false" ht="12.8" hidden="false" customHeight="false" outlineLevel="0" collapsed="false">
      <c r="A1905" s="10" t="n">
        <f aca="false">A1904+1</f>
        <v>1904</v>
      </c>
      <c r="B1905" s="11" t="n">
        <f aca="false">B1904+1</f>
        <v>46830</v>
      </c>
      <c r="C1905" s="10" t="n">
        <f aca="false">YEAR(B1905)</f>
        <v>2028</v>
      </c>
      <c r="D1905" s="10" t="n">
        <f aca="false">INT((MONTH(B1905)-1)/3)+1</f>
        <v>1</v>
      </c>
      <c r="E1905" s="10" t="n">
        <f aca="false">MONTH(B1905)</f>
        <v>3</v>
      </c>
      <c r="F1905" s="10" t="str">
        <f aca="false">CHOOSE(MOD(A1905-1,5)+1,"Центр","Юг","Север","Запад","Восток")</f>
        <v>Запад</v>
      </c>
      <c r="G1905" s="10" t="str">
        <f aca="false">"Округ_"&amp;(MOD(A1905-1,5)+1)&amp;"_"&amp;(MOD(INT((A1905-1)/5),5)+1)</f>
        <v>Округ_4_1</v>
      </c>
      <c r="H1905" s="10" t="str">
        <f aca="false">"Город_"&amp;(MOD(A1905-1,5)+1)&amp;"_"&amp;(MOD(INT((A1905-1)/5),5)+1)&amp;"_"&amp;(MOD(INT((A1905-1)/25),10)+1)</f>
        <v>Город_4_1_7</v>
      </c>
      <c r="I1905" s="10" t="str">
        <f aca="false">CHOOSE(MOD(A1905-1,4)+1,"Электроника","Одежда","Продукты","Мебель")</f>
        <v>Мебель</v>
      </c>
      <c r="J1905" s="10" t="str">
        <f aca="false">CHOOSE(MOD(INT((A1905-1)/4),4)+1,CHOOSE(MOD(A1905-1,4)+1,"Смартфоны","Ноутбуки","Аксессуары","Аудио"),CHOOSE(MOD(A1905-1,4)+1,"Верхняя одежда","Спортивная","Повседневная","Обувь"),CHOOSE(MOD(A1905-1,4)+1,"Молочные","Мясные","Бакалея","Напитки"),CHOOSE(MOD(A1905-1,4)+1,"Мягкая мебель","Корпусная","Офисная","Кухонная"))</f>
        <v>Кухонная</v>
      </c>
      <c r="K1905" s="12" t="n">
        <f aca="false">1000+MOD(A1905*317+A1905*A1905*7,49001)</f>
        <v>10550</v>
      </c>
      <c r="L1905" s="12" t="n">
        <f aca="false">1+MOD(A1905*131,100)</f>
        <v>25</v>
      </c>
      <c r="M1905" s="12" t="n">
        <f aca="false">INT(K1905*(0.6+MOD(A1905*43,21)/100))</f>
        <v>7807</v>
      </c>
      <c r="N1905" s="12" t="n">
        <f aca="false">K1905-M1905</f>
        <v>2743</v>
      </c>
    </row>
    <row r="1906" customFormat="false" ht="12.8" hidden="false" customHeight="false" outlineLevel="0" collapsed="false">
      <c r="A1906" s="10" t="n">
        <f aca="false">A1905+1</f>
        <v>1905</v>
      </c>
      <c r="B1906" s="11" t="n">
        <f aca="false">B1905+1</f>
        <v>46831</v>
      </c>
      <c r="C1906" s="10" t="n">
        <f aca="false">YEAR(B1906)</f>
        <v>2028</v>
      </c>
      <c r="D1906" s="10" t="n">
        <f aca="false">INT((MONTH(B1906)-1)/3)+1</f>
        <v>1</v>
      </c>
      <c r="E1906" s="10" t="n">
        <f aca="false">MONTH(B1906)</f>
        <v>3</v>
      </c>
      <c r="F1906" s="10" t="str">
        <f aca="false">CHOOSE(MOD(A1906-1,5)+1,"Центр","Юг","Север","Запад","Восток")</f>
        <v>Восток</v>
      </c>
      <c r="G1906" s="10" t="str">
        <f aca="false">"Округ_"&amp;(MOD(A1906-1,5)+1)&amp;"_"&amp;(MOD(INT((A1906-1)/5),5)+1)</f>
        <v>Округ_5_1</v>
      </c>
      <c r="H1906" s="10" t="str">
        <f aca="false">"Город_"&amp;(MOD(A1906-1,5)+1)&amp;"_"&amp;(MOD(INT((A1906-1)/5),5)+1)&amp;"_"&amp;(MOD(INT((A1906-1)/25),10)+1)</f>
        <v>Город_5_1_7</v>
      </c>
      <c r="I1906" s="10" t="str">
        <f aca="false">CHOOSE(MOD(A1906-1,4)+1,"Электроника","Одежда","Продукты","Мебель")</f>
        <v>Электроника</v>
      </c>
      <c r="J1906" s="10" t="str">
        <f aca="false">CHOOSE(MOD(INT((A1906-1)/4),4)+1,CHOOSE(MOD(A1906-1,4)+1,"Смартфоны","Ноутбуки","Аксессуары","Аудио"),CHOOSE(MOD(A1906-1,4)+1,"Верхняя одежда","Спортивная","Повседневная","Обувь"),CHOOSE(MOD(A1906-1,4)+1,"Молочные","Мясные","Бакалея","Напитки"),CHOOSE(MOD(A1906-1,4)+1,"Мягкая мебель","Корпусная","Офисная","Кухонная"))</f>
        <v>Смартфоны</v>
      </c>
      <c r="K1906" s="12" t="n">
        <f aca="false">1000+MOD(A1906*317+A1906*A1906*7,49001)</f>
        <v>37530</v>
      </c>
      <c r="L1906" s="12" t="n">
        <f aca="false">1+MOD(A1906*131,100)</f>
        <v>56</v>
      </c>
      <c r="M1906" s="12" t="n">
        <f aca="false">INT(K1906*(0.6+MOD(A1906*43,21)/100))</f>
        <v>28147</v>
      </c>
      <c r="N1906" s="12" t="n">
        <f aca="false">K1906-M1906</f>
        <v>9383</v>
      </c>
    </row>
    <row r="1907" customFormat="false" ht="12.8" hidden="false" customHeight="false" outlineLevel="0" collapsed="false">
      <c r="A1907" s="10" t="n">
        <f aca="false">A1906+1</f>
        <v>1906</v>
      </c>
      <c r="B1907" s="11" t="n">
        <f aca="false">B1906+1</f>
        <v>46832</v>
      </c>
      <c r="C1907" s="10" t="n">
        <f aca="false">YEAR(B1907)</f>
        <v>2028</v>
      </c>
      <c r="D1907" s="10" t="n">
        <f aca="false">INT((MONTH(B1907)-1)/3)+1</f>
        <v>1</v>
      </c>
      <c r="E1907" s="10" t="n">
        <f aca="false">MONTH(B1907)</f>
        <v>3</v>
      </c>
      <c r="F1907" s="10" t="str">
        <f aca="false">CHOOSE(MOD(A1907-1,5)+1,"Центр","Юг","Север","Запад","Восток")</f>
        <v>Центр</v>
      </c>
      <c r="G1907" s="10" t="str">
        <f aca="false">"Округ_"&amp;(MOD(A1907-1,5)+1)&amp;"_"&amp;(MOD(INT((A1907-1)/5),5)+1)</f>
        <v>Округ_1_2</v>
      </c>
      <c r="H1907" s="10" t="str">
        <f aca="false">"Город_"&amp;(MOD(A1907-1,5)+1)&amp;"_"&amp;(MOD(INT((A1907-1)/5),5)+1)&amp;"_"&amp;(MOD(INT((A1907-1)/25),10)+1)</f>
        <v>Город_1_2_7</v>
      </c>
      <c r="I1907" s="10" t="str">
        <f aca="false">CHOOSE(MOD(A1907-1,4)+1,"Электроника","Одежда","Продукты","Мебель")</f>
        <v>Одежда</v>
      </c>
      <c r="J1907" s="10" t="str">
        <f aca="false">CHOOSE(MOD(INT((A1907-1)/4),4)+1,CHOOSE(MOD(A1907-1,4)+1,"Смартфоны","Ноутбуки","Аксессуары","Аудио"),CHOOSE(MOD(A1907-1,4)+1,"Верхняя одежда","Спортивная","Повседневная","Обувь"),CHOOSE(MOD(A1907-1,4)+1,"Молочные","Мясные","Бакалея","Напитки"),CHOOSE(MOD(A1907-1,4)+1,"Мягкая мебель","Корпусная","Офисная","Кухонная"))</f>
        <v>Ноутбуки</v>
      </c>
      <c r="K1907" s="12" t="n">
        <f aca="false">1000+MOD(A1907*317+A1907*A1907*7,49001)</f>
        <v>15523</v>
      </c>
      <c r="L1907" s="12" t="n">
        <f aca="false">1+MOD(A1907*131,100)</f>
        <v>87</v>
      </c>
      <c r="M1907" s="12" t="n">
        <f aca="false">INT(K1907*(0.6+MOD(A1907*43,21)/100))</f>
        <v>11797</v>
      </c>
      <c r="N1907" s="12" t="n">
        <f aca="false">K1907-M1907</f>
        <v>3726</v>
      </c>
    </row>
    <row r="1908" customFormat="false" ht="12.8" hidden="false" customHeight="false" outlineLevel="0" collapsed="false">
      <c r="A1908" s="10" t="n">
        <f aca="false">A1907+1</f>
        <v>1907</v>
      </c>
      <c r="B1908" s="11" t="n">
        <f aca="false">B1907+1</f>
        <v>46833</v>
      </c>
      <c r="C1908" s="10" t="n">
        <f aca="false">YEAR(B1908)</f>
        <v>2028</v>
      </c>
      <c r="D1908" s="10" t="n">
        <f aca="false">INT((MONTH(B1908)-1)/3)+1</f>
        <v>1</v>
      </c>
      <c r="E1908" s="10" t="n">
        <f aca="false">MONTH(B1908)</f>
        <v>3</v>
      </c>
      <c r="F1908" s="10" t="str">
        <f aca="false">CHOOSE(MOD(A1908-1,5)+1,"Центр","Юг","Север","Запад","Восток")</f>
        <v>Юг</v>
      </c>
      <c r="G1908" s="10" t="str">
        <f aca="false">"Округ_"&amp;(MOD(A1908-1,5)+1)&amp;"_"&amp;(MOD(INT((A1908-1)/5),5)+1)</f>
        <v>Округ_2_2</v>
      </c>
      <c r="H1908" s="10" t="str">
        <f aca="false">"Город_"&amp;(MOD(A1908-1,5)+1)&amp;"_"&amp;(MOD(INT((A1908-1)/5),5)+1)&amp;"_"&amp;(MOD(INT((A1908-1)/25),10)+1)</f>
        <v>Город_2_2_7</v>
      </c>
      <c r="I1908" s="10" t="str">
        <f aca="false">CHOOSE(MOD(A1908-1,4)+1,"Электроника","Одежда","Продукты","Мебель")</f>
        <v>Продукты</v>
      </c>
      <c r="J1908" s="10" t="str">
        <f aca="false">CHOOSE(MOD(INT((A1908-1)/4),4)+1,CHOOSE(MOD(A1908-1,4)+1,"Смартфоны","Ноутбуки","Аксессуары","Аудио"),CHOOSE(MOD(A1908-1,4)+1,"Верхняя одежда","Спортивная","Повседневная","Обувь"),CHOOSE(MOD(A1908-1,4)+1,"Молочные","Мясные","Бакалея","Напитки"),CHOOSE(MOD(A1908-1,4)+1,"Мягкая мебель","Корпусная","Офисная","Кухонная"))</f>
        <v>Аксессуары</v>
      </c>
      <c r="K1908" s="12" t="n">
        <f aca="false">1000+MOD(A1908*317+A1908*A1908*7,49001)</f>
        <v>42531</v>
      </c>
      <c r="L1908" s="12" t="n">
        <f aca="false">1+MOD(A1908*131,100)</f>
        <v>18</v>
      </c>
      <c r="M1908" s="12" t="n">
        <f aca="false">INT(K1908*(0.6+MOD(A1908*43,21)/100))</f>
        <v>32748</v>
      </c>
      <c r="N1908" s="12" t="n">
        <f aca="false">K1908-M1908</f>
        <v>9783</v>
      </c>
    </row>
    <row r="1909" customFormat="false" ht="12.8" hidden="false" customHeight="false" outlineLevel="0" collapsed="false">
      <c r="A1909" s="10" t="n">
        <f aca="false">A1908+1</f>
        <v>1908</v>
      </c>
      <c r="B1909" s="11" t="n">
        <f aca="false">B1908+1</f>
        <v>46834</v>
      </c>
      <c r="C1909" s="10" t="n">
        <f aca="false">YEAR(B1909)</f>
        <v>2028</v>
      </c>
      <c r="D1909" s="10" t="n">
        <f aca="false">INT((MONTH(B1909)-1)/3)+1</f>
        <v>1</v>
      </c>
      <c r="E1909" s="10" t="n">
        <f aca="false">MONTH(B1909)</f>
        <v>3</v>
      </c>
      <c r="F1909" s="10" t="str">
        <f aca="false">CHOOSE(MOD(A1909-1,5)+1,"Центр","Юг","Север","Запад","Восток")</f>
        <v>Север</v>
      </c>
      <c r="G1909" s="10" t="str">
        <f aca="false">"Округ_"&amp;(MOD(A1909-1,5)+1)&amp;"_"&amp;(MOD(INT((A1909-1)/5),5)+1)</f>
        <v>Округ_3_2</v>
      </c>
      <c r="H1909" s="10" t="str">
        <f aca="false">"Город_"&amp;(MOD(A1909-1,5)+1)&amp;"_"&amp;(MOD(INT((A1909-1)/5),5)+1)&amp;"_"&amp;(MOD(INT((A1909-1)/25),10)+1)</f>
        <v>Город_3_2_7</v>
      </c>
      <c r="I1909" s="10" t="str">
        <f aca="false">CHOOSE(MOD(A1909-1,4)+1,"Электроника","Одежда","Продукты","Мебель")</f>
        <v>Мебель</v>
      </c>
      <c r="J1909" s="10" t="str">
        <f aca="false">CHOOSE(MOD(INT((A1909-1)/4),4)+1,CHOOSE(MOD(A1909-1,4)+1,"Смартфоны","Ноутбуки","Аксессуары","Аудио"),CHOOSE(MOD(A1909-1,4)+1,"Верхняя одежда","Спортивная","Повседневная","Обувь"),CHOOSE(MOD(A1909-1,4)+1,"Молочные","Мясные","Бакалея","Напитки"),CHOOSE(MOD(A1909-1,4)+1,"Мягкая мебель","Корпусная","Офисная","Кухонная"))</f>
        <v>Аудио</v>
      </c>
      <c r="K1909" s="12" t="n">
        <f aca="false">1000+MOD(A1909*317+A1909*A1909*7,49001)</f>
        <v>20552</v>
      </c>
      <c r="L1909" s="12" t="n">
        <f aca="false">1+MOD(A1909*131,100)</f>
        <v>49</v>
      </c>
      <c r="M1909" s="12" t="n">
        <f aca="false">INT(K1909*(0.6+MOD(A1909*43,21)/100))</f>
        <v>16030</v>
      </c>
      <c r="N1909" s="12" t="n">
        <f aca="false">K1909-M1909</f>
        <v>4522</v>
      </c>
    </row>
    <row r="1910" customFormat="false" ht="12.8" hidden="false" customHeight="false" outlineLevel="0" collapsed="false">
      <c r="A1910" s="10" t="n">
        <f aca="false">A1909+1</f>
        <v>1909</v>
      </c>
      <c r="B1910" s="11" t="n">
        <f aca="false">B1909+1</f>
        <v>46835</v>
      </c>
      <c r="C1910" s="10" t="n">
        <f aca="false">YEAR(B1910)</f>
        <v>2028</v>
      </c>
      <c r="D1910" s="10" t="n">
        <f aca="false">INT((MONTH(B1910)-1)/3)+1</f>
        <v>1</v>
      </c>
      <c r="E1910" s="10" t="n">
        <f aca="false">MONTH(B1910)</f>
        <v>3</v>
      </c>
      <c r="F1910" s="10" t="str">
        <f aca="false">CHOOSE(MOD(A1910-1,5)+1,"Центр","Юг","Север","Запад","Восток")</f>
        <v>Запад</v>
      </c>
      <c r="G1910" s="10" t="str">
        <f aca="false">"Округ_"&amp;(MOD(A1910-1,5)+1)&amp;"_"&amp;(MOD(INT((A1910-1)/5),5)+1)</f>
        <v>Округ_4_2</v>
      </c>
      <c r="H1910" s="10" t="str">
        <f aca="false">"Город_"&amp;(MOD(A1910-1,5)+1)&amp;"_"&amp;(MOD(INT((A1910-1)/5),5)+1)&amp;"_"&amp;(MOD(INT((A1910-1)/25),10)+1)</f>
        <v>Город_4_2_7</v>
      </c>
      <c r="I1910" s="10" t="str">
        <f aca="false">CHOOSE(MOD(A1910-1,4)+1,"Электроника","Одежда","Продукты","Мебель")</f>
        <v>Электроника</v>
      </c>
      <c r="J1910" s="10" t="str">
        <f aca="false">CHOOSE(MOD(INT((A1910-1)/4),4)+1,CHOOSE(MOD(A1910-1,4)+1,"Смартфоны","Ноутбуки","Аксессуары","Аудио"),CHOOSE(MOD(A1910-1,4)+1,"Верхняя одежда","Спортивная","Повседневная","Обувь"),CHOOSE(MOD(A1910-1,4)+1,"Молочные","Мясные","Бакалея","Напитки"),CHOOSE(MOD(A1910-1,4)+1,"Мягкая мебель","Корпусная","Офисная","Кухонная"))</f>
        <v>Верхняя одежда</v>
      </c>
      <c r="K1910" s="12" t="n">
        <f aca="false">1000+MOD(A1910*317+A1910*A1910*7,49001)</f>
        <v>47588</v>
      </c>
      <c r="L1910" s="12" t="n">
        <f aca="false">1+MOD(A1910*131,100)</f>
        <v>80</v>
      </c>
      <c r="M1910" s="12" t="n">
        <f aca="false">INT(K1910*(0.6+MOD(A1910*43,21)/100))</f>
        <v>37594</v>
      </c>
      <c r="N1910" s="12" t="n">
        <f aca="false">K1910-M1910</f>
        <v>9994</v>
      </c>
    </row>
    <row r="1911" customFormat="false" ht="12.8" hidden="false" customHeight="false" outlineLevel="0" collapsed="false">
      <c r="A1911" s="10" t="n">
        <f aca="false">A1910+1</f>
        <v>1910</v>
      </c>
      <c r="B1911" s="11" t="n">
        <f aca="false">B1910+1</f>
        <v>46836</v>
      </c>
      <c r="C1911" s="10" t="n">
        <f aca="false">YEAR(B1911)</f>
        <v>2028</v>
      </c>
      <c r="D1911" s="10" t="n">
        <f aca="false">INT((MONTH(B1911)-1)/3)+1</f>
        <v>1</v>
      </c>
      <c r="E1911" s="10" t="n">
        <f aca="false">MONTH(B1911)</f>
        <v>3</v>
      </c>
      <c r="F1911" s="10" t="str">
        <f aca="false">CHOOSE(MOD(A1911-1,5)+1,"Центр","Юг","Север","Запад","Восток")</f>
        <v>Восток</v>
      </c>
      <c r="G1911" s="10" t="str">
        <f aca="false">"Округ_"&amp;(MOD(A1911-1,5)+1)&amp;"_"&amp;(MOD(INT((A1911-1)/5),5)+1)</f>
        <v>Округ_5_2</v>
      </c>
      <c r="H1911" s="10" t="str">
        <f aca="false">"Город_"&amp;(MOD(A1911-1,5)+1)&amp;"_"&amp;(MOD(INT((A1911-1)/5),5)+1)&amp;"_"&amp;(MOD(INT((A1911-1)/25),10)+1)</f>
        <v>Город_5_2_7</v>
      </c>
      <c r="I1911" s="10" t="str">
        <f aca="false">CHOOSE(MOD(A1911-1,4)+1,"Электроника","Одежда","Продукты","Мебель")</f>
        <v>Одежда</v>
      </c>
      <c r="J1911" s="10" t="str">
        <f aca="false">CHOOSE(MOD(INT((A1911-1)/4),4)+1,CHOOSE(MOD(A1911-1,4)+1,"Смартфоны","Ноутбуки","Аксессуары","Аудио"),CHOOSE(MOD(A1911-1,4)+1,"Верхняя одежда","Спортивная","Повседневная","Обувь"),CHOOSE(MOD(A1911-1,4)+1,"Молочные","Мясные","Бакалея","Напитки"),CHOOSE(MOD(A1911-1,4)+1,"Мягкая мебель","Корпусная","Офисная","Кухонная"))</f>
        <v>Спортивная</v>
      </c>
      <c r="K1911" s="12" t="n">
        <f aca="false">1000+MOD(A1911*317+A1911*A1911*7,49001)</f>
        <v>25637</v>
      </c>
      <c r="L1911" s="12" t="n">
        <f aca="false">1+MOD(A1911*131,100)</f>
        <v>11</v>
      </c>
      <c r="M1911" s="12" t="n">
        <f aca="false">INT(K1911*(0.6+MOD(A1911*43,21)/100))</f>
        <v>20509</v>
      </c>
      <c r="N1911" s="12" t="n">
        <f aca="false">K1911-M1911</f>
        <v>5128</v>
      </c>
    </row>
    <row r="1912" customFormat="false" ht="12.8" hidden="false" customHeight="false" outlineLevel="0" collapsed="false">
      <c r="A1912" s="10" t="n">
        <f aca="false">A1911+1</f>
        <v>1911</v>
      </c>
      <c r="B1912" s="11" t="n">
        <f aca="false">B1911+1</f>
        <v>46837</v>
      </c>
      <c r="C1912" s="10" t="n">
        <f aca="false">YEAR(B1912)</f>
        <v>2028</v>
      </c>
      <c r="D1912" s="10" t="n">
        <f aca="false">INT((MONTH(B1912)-1)/3)+1</f>
        <v>1</v>
      </c>
      <c r="E1912" s="10" t="n">
        <f aca="false">MONTH(B1912)</f>
        <v>3</v>
      </c>
      <c r="F1912" s="10" t="str">
        <f aca="false">CHOOSE(MOD(A1912-1,5)+1,"Центр","Юг","Север","Запад","Восток")</f>
        <v>Центр</v>
      </c>
      <c r="G1912" s="10" t="str">
        <f aca="false">"Округ_"&amp;(MOD(A1912-1,5)+1)&amp;"_"&amp;(MOD(INT((A1912-1)/5),5)+1)</f>
        <v>Округ_1_3</v>
      </c>
      <c r="H1912" s="10" t="str">
        <f aca="false">"Город_"&amp;(MOD(A1912-1,5)+1)&amp;"_"&amp;(MOD(INT((A1912-1)/5),5)+1)&amp;"_"&amp;(MOD(INT((A1912-1)/25),10)+1)</f>
        <v>Город_1_3_7</v>
      </c>
      <c r="I1912" s="10" t="str">
        <f aca="false">CHOOSE(MOD(A1912-1,4)+1,"Электроника","Одежда","Продукты","Мебель")</f>
        <v>Продукты</v>
      </c>
      <c r="J1912" s="10" t="str">
        <f aca="false">CHOOSE(MOD(INT((A1912-1)/4),4)+1,CHOOSE(MOD(A1912-1,4)+1,"Смартфоны","Ноутбуки","Аксессуары","Аудио"),CHOOSE(MOD(A1912-1,4)+1,"Верхняя одежда","Спортивная","Повседневная","Обувь"),CHOOSE(MOD(A1912-1,4)+1,"Молочные","Мясные","Бакалея","Напитки"),CHOOSE(MOD(A1912-1,4)+1,"Мягкая мебель","Корпусная","Офисная","Кухонная"))</f>
        <v>Повседневная</v>
      </c>
      <c r="K1912" s="12" t="n">
        <f aca="false">1000+MOD(A1912*317+A1912*A1912*7,49001)</f>
        <v>3700</v>
      </c>
      <c r="L1912" s="12" t="n">
        <f aca="false">1+MOD(A1912*131,100)</f>
        <v>42</v>
      </c>
      <c r="M1912" s="12" t="n">
        <f aca="false">INT(K1912*(0.6+MOD(A1912*43,21)/100))</f>
        <v>2220</v>
      </c>
      <c r="N1912" s="12" t="n">
        <f aca="false">K1912-M1912</f>
        <v>1480</v>
      </c>
    </row>
    <row r="1913" customFormat="false" ht="12.8" hidden="false" customHeight="false" outlineLevel="0" collapsed="false">
      <c r="A1913" s="10" t="n">
        <f aca="false">A1912+1</f>
        <v>1912</v>
      </c>
      <c r="B1913" s="11" t="n">
        <f aca="false">B1912+1</f>
        <v>46838</v>
      </c>
      <c r="C1913" s="10" t="n">
        <f aca="false">YEAR(B1913)</f>
        <v>2028</v>
      </c>
      <c r="D1913" s="10" t="n">
        <f aca="false">INT((MONTH(B1913)-1)/3)+1</f>
        <v>1</v>
      </c>
      <c r="E1913" s="10" t="n">
        <f aca="false">MONTH(B1913)</f>
        <v>3</v>
      </c>
      <c r="F1913" s="10" t="str">
        <f aca="false">CHOOSE(MOD(A1913-1,5)+1,"Центр","Юг","Север","Запад","Восток")</f>
        <v>Юг</v>
      </c>
      <c r="G1913" s="10" t="str">
        <f aca="false">"Округ_"&amp;(MOD(A1913-1,5)+1)&amp;"_"&amp;(MOD(INT((A1913-1)/5),5)+1)</f>
        <v>Округ_2_3</v>
      </c>
      <c r="H1913" s="10" t="str">
        <f aca="false">"Город_"&amp;(MOD(A1913-1,5)+1)&amp;"_"&amp;(MOD(INT((A1913-1)/5),5)+1)&amp;"_"&amp;(MOD(INT((A1913-1)/25),10)+1)</f>
        <v>Город_2_3_7</v>
      </c>
      <c r="I1913" s="10" t="str">
        <f aca="false">CHOOSE(MOD(A1913-1,4)+1,"Электроника","Одежда","Продукты","Мебель")</f>
        <v>Мебель</v>
      </c>
      <c r="J1913" s="10" t="str">
        <f aca="false">CHOOSE(MOD(INT((A1913-1)/4),4)+1,CHOOSE(MOD(A1913-1,4)+1,"Смартфоны","Ноутбуки","Аксессуары","Аудио"),CHOOSE(MOD(A1913-1,4)+1,"Верхняя одежда","Спортивная","Повседневная","Обувь"),CHOOSE(MOD(A1913-1,4)+1,"Молочные","Мясные","Бакалея","Напитки"),CHOOSE(MOD(A1913-1,4)+1,"Мягкая мебель","Корпусная","Офисная","Кухонная"))</f>
        <v>Обувь</v>
      </c>
      <c r="K1913" s="12" t="n">
        <f aca="false">1000+MOD(A1913*317+A1913*A1913*7,49001)</f>
        <v>30778</v>
      </c>
      <c r="L1913" s="12" t="n">
        <f aca="false">1+MOD(A1913*131,100)</f>
        <v>73</v>
      </c>
      <c r="M1913" s="12" t="n">
        <f aca="false">INT(K1913*(0.6+MOD(A1913*43,21)/100))</f>
        <v>18774</v>
      </c>
      <c r="N1913" s="12" t="n">
        <f aca="false">K1913-M1913</f>
        <v>12004</v>
      </c>
    </row>
    <row r="1914" customFormat="false" ht="12.8" hidden="false" customHeight="false" outlineLevel="0" collapsed="false">
      <c r="A1914" s="10" t="n">
        <f aca="false">A1913+1</f>
        <v>1913</v>
      </c>
      <c r="B1914" s="11" t="n">
        <f aca="false">B1913+1</f>
        <v>46839</v>
      </c>
      <c r="C1914" s="10" t="n">
        <f aca="false">YEAR(B1914)</f>
        <v>2028</v>
      </c>
      <c r="D1914" s="10" t="n">
        <f aca="false">INT((MONTH(B1914)-1)/3)+1</f>
        <v>1</v>
      </c>
      <c r="E1914" s="10" t="n">
        <f aca="false">MONTH(B1914)</f>
        <v>3</v>
      </c>
      <c r="F1914" s="10" t="str">
        <f aca="false">CHOOSE(MOD(A1914-1,5)+1,"Центр","Юг","Север","Запад","Восток")</f>
        <v>Север</v>
      </c>
      <c r="G1914" s="10" t="str">
        <f aca="false">"Округ_"&amp;(MOD(A1914-1,5)+1)&amp;"_"&amp;(MOD(INT((A1914-1)/5),5)+1)</f>
        <v>Округ_3_3</v>
      </c>
      <c r="H1914" s="10" t="str">
        <f aca="false">"Город_"&amp;(MOD(A1914-1,5)+1)&amp;"_"&amp;(MOD(INT((A1914-1)/5),5)+1)&amp;"_"&amp;(MOD(INT((A1914-1)/25),10)+1)</f>
        <v>Город_3_3_7</v>
      </c>
      <c r="I1914" s="10" t="str">
        <f aca="false">CHOOSE(MOD(A1914-1,4)+1,"Электроника","Одежда","Продукты","Мебель")</f>
        <v>Электроника</v>
      </c>
      <c r="J1914" s="10" t="str">
        <f aca="false">CHOOSE(MOD(INT((A1914-1)/4),4)+1,CHOOSE(MOD(A1914-1,4)+1,"Смартфоны","Ноутбуки","Аксессуары","Аудио"),CHOOSE(MOD(A1914-1,4)+1,"Верхняя одежда","Спортивная","Повседневная","Обувь"),CHOOSE(MOD(A1914-1,4)+1,"Молочные","Мясные","Бакалея","Напитки"),CHOOSE(MOD(A1914-1,4)+1,"Мягкая мебель","Корпусная","Офисная","Кухонная"))</f>
        <v>Молочные</v>
      </c>
      <c r="K1914" s="12" t="n">
        <f aca="false">1000+MOD(A1914*317+A1914*A1914*7,49001)</f>
        <v>8869</v>
      </c>
      <c r="L1914" s="12" t="n">
        <f aca="false">1+MOD(A1914*131,100)</f>
        <v>4</v>
      </c>
      <c r="M1914" s="12" t="n">
        <f aca="false">INT(K1914*(0.6+MOD(A1914*43,21)/100))</f>
        <v>5498</v>
      </c>
      <c r="N1914" s="12" t="n">
        <f aca="false">K1914-M1914</f>
        <v>3371</v>
      </c>
    </row>
    <row r="1915" customFormat="false" ht="12.8" hidden="false" customHeight="false" outlineLevel="0" collapsed="false">
      <c r="A1915" s="10" t="n">
        <f aca="false">A1914+1</f>
        <v>1914</v>
      </c>
      <c r="B1915" s="11" t="n">
        <f aca="false">B1914+1</f>
        <v>46840</v>
      </c>
      <c r="C1915" s="10" t="n">
        <f aca="false">YEAR(B1915)</f>
        <v>2028</v>
      </c>
      <c r="D1915" s="10" t="n">
        <f aca="false">INT((MONTH(B1915)-1)/3)+1</f>
        <v>1</v>
      </c>
      <c r="E1915" s="10" t="n">
        <f aca="false">MONTH(B1915)</f>
        <v>3</v>
      </c>
      <c r="F1915" s="10" t="str">
        <f aca="false">CHOOSE(MOD(A1915-1,5)+1,"Центр","Юг","Север","Запад","Восток")</f>
        <v>Запад</v>
      </c>
      <c r="G1915" s="10" t="str">
        <f aca="false">"Округ_"&amp;(MOD(A1915-1,5)+1)&amp;"_"&amp;(MOD(INT((A1915-1)/5),5)+1)</f>
        <v>Округ_4_3</v>
      </c>
      <c r="H1915" s="10" t="str">
        <f aca="false">"Город_"&amp;(MOD(A1915-1,5)+1)&amp;"_"&amp;(MOD(INT((A1915-1)/5),5)+1)&amp;"_"&amp;(MOD(INT((A1915-1)/25),10)+1)</f>
        <v>Город_4_3_7</v>
      </c>
      <c r="I1915" s="10" t="str">
        <f aca="false">CHOOSE(MOD(A1915-1,4)+1,"Электроника","Одежда","Продукты","Мебель")</f>
        <v>Одежда</v>
      </c>
      <c r="J1915" s="10" t="str">
        <f aca="false">CHOOSE(MOD(INT((A1915-1)/4),4)+1,CHOOSE(MOD(A1915-1,4)+1,"Смартфоны","Ноутбуки","Аксессуары","Аудио"),CHOOSE(MOD(A1915-1,4)+1,"Верхняя одежда","Спортивная","Повседневная","Обувь"),CHOOSE(MOD(A1915-1,4)+1,"Молочные","Мясные","Бакалея","Напитки"),CHOOSE(MOD(A1915-1,4)+1,"Мягкая мебель","Корпусная","Офисная","Кухонная"))</f>
        <v>Мясные</v>
      </c>
      <c r="K1915" s="12" t="n">
        <f aca="false">1000+MOD(A1915*317+A1915*A1915*7,49001)</f>
        <v>35975</v>
      </c>
      <c r="L1915" s="12" t="n">
        <f aca="false">1+MOD(A1915*131,100)</f>
        <v>35</v>
      </c>
      <c r="M1915" s="12" t="n">
        <f aca="false">INT(K1915*(0.6+MOD(A1915*43,21)/100))</f>
        <v>22664</v>
      </c>
      <c r="N1915" s="12" t="n">
        <f aca="false">K1915-M1915</f>
        <v>13311</v>
      </c>
    </row>
    <row r="1916" customFormat="false" ht="12.8" hidden="false" customHeight="false" outlineLevel="0" collapsed="false">
      <c r="A1916" s="10" t="n">
        <f aca="false">A1915+1</f>
        <v>1915</v>
      </c>
      <c r="B1916" s="11" t="n">
        <f aca="false">B1915+1</f>
        <v>46841</v>
      </c>
      <c r="C1916" s="10" t="n">
        <f aca="false">YEAR(B1916)</f>
        <v>2028</v>
      </c>
      <c r="D1916" s="10" t="n">
        <f aca="false">INT((MONTH(B1916)-1)/3)+1</f>
        <v>1</v>
      </c>
      <c r="E1916" s="10" t="n">
        <f aca="false">MONTH(B1916)</f>
        <v>3</v>
      </c>
      <c r="F1916" s="10" t="str">
        <f aca="false">CHOOSE(MOD(A1916-1,5)+1,"Центр","Юг","Север","Запад","Восток")</f>
        <v>Восток</v>
      </c>
      <c r="G1916" s="10" t="str">
        <f aca="false">"Округ_"&amp;(MOD(A1916-1,5)+1)&amp;"_"&amp;(MOD(INT((A1916-1)/5),5)+1)</f>
        <v>Округ_5_3</v>
      </c>
      <c r="H1916" s="10" t="str">
        <f aca="false">"Город_"&amp;(MOD(A1916-1,5)+1)&amp;"_"&amp;(MOD(INT((A1916-1)/5),5)+1)&amp;"_"&amp;(MOD(INT((A1916-1)/25),10)+1)</f>
        <v>Город_5_3_7</v>
      </c>
      <c r="I1916" s="10" t="str">
        <f aca="false">CHOOSE(MOD(A1916-1,4)+1,"Электроника","Одежда","Продукты","Мебель")</f>
        <v>Продукты</v>
      </c>
      <c r="J1916" s="10" t="str">
        <f aca="false">CHOOSE(MOD(INT((A1916-1)/4),4)+1,CHOOSE(MOD(A1916-1,4)+1,"Смартфоны","Ноутбуки","Аксессуары","Аудио"),CHOOSE(MOD(A1916-1,4)+1,"Верхняя одежда","Спортивная","Повседневная","Обувь"),CHOOSE(MOD(A1916-1,4)+1,"Молочные","Мясные","Бакалея","Напитки"),CHOOSE(MOD(A1916-1,4)+1,"Мягкая мебель","Корпусная","Офисная","Кухонная"))</f>
        <v>Бакалея</v>
      </c>
      <c r="K1916" s="12" t="n">
        <f aca="false">1000+MOD(A1916*317+A1916*A1916*7,49001)</f>
        <v>14094</v>
      </c>
      <c r="L1916" s="12" t="n">
        <f aca="false">1+MOD(A1916*131,100)</f>
        <v>66</v>
      </c>
      <c r="M1916" s="12" t="n">
        <f aca="false">INT(K1916*(0.6+MOD(A1916*43,21)/100))</f>
        <v>9020</v>
      </c>
      <c r="N1916" s="12" t="n">
        <f aca="false">K1916-M1916</f>
        <v>5074</v>
      </c>
    </row>
    <row r="1917" customFormat="false" ht="12.8" hidden="false" customHeight="false" outlineLevel="0" collapsed="false">
      <c r="A1917" s="10" t="n">
        <f aca="false">A1916+1</f>
        <v>1916</v>
      </c>
      <c r="B1917" s="11" t="n">
        <f aca="false">B1916+1</f>
        <v>46842</v>
      </c>
      <c r="C1917" s="10" t="n">
        <f aca="false">YEAR(B1917)</f>
        <v>2028</v>
      </c>
      <c r="D1917" s="10" t="n">
        <f aca="false">INT((MONTH(B1917)-1)/3)+1</f>
        <v>1</v>
      </c>
      <c r="E1917" s="10" t="n">
        <f aca="false">MONTH(B1917)</f>
        <v>3</v>
      </c>
      <c r="F1917" s="10" t="str">
        <f aca="false">CHOOSE(MOD(A1917-1,5)+1,"Центр","Юг","Север","Запад","Восток")</f>
        <v>Центр</v>
      </c>
      <c r="G1917" s="10" t="str">
        <f aca="false">"Округ_"&amp;(MOD(A1917-1,5)+1)&amp;"_"&amp;(MOD(INT((A1917-1)/5),5)+1)</f>
        <v>Округ_1_4</v>
      </c>
      <c r="H1917" s="10" t="str">
        <f aca="false">"Город_"&amp;(MOD(A1917-1,5)+1)&amp;"_"&amp;(MOD(INT((A1917-1)/5),5)+1)&amp;"_"&amp;(MOD(INT((A1917-1)/25),10)+1)</f>
        <v>Город_1_4_7</v>
      </c>
      <c r="I1917" s="10" t="str">
        <f aca="false">CHOOSE(MOD(A1917-1,4)+1,"Электроника","Одежда","Продукты","Мебель")</f>
        <v>Мебель</v>
      </c>
      <c r="J1917" s="10" t="str">
        <f aca="false">CHOOSE(MOD(INT((A1917-1)/4),4)+1,CHOOSE(MOD(A1917-1,4)+1,"Смартфоны","Ноутбуки","Аксессуары","Аудио"),CHOOSE(MOD(A1917-1,4)+1,"Верхняя одежда","Спортивная","Повседневная","Обувь"),CHOOSE(MOD(A1917-1,4)+1,"Молочные","Мясные","Бакалея","Напитки"),CHOOSE(MOD(A1917-1,4)+1,"Мягкая мебель","Корпусная","Офисная","Кухонная"))</f>
        <v>Напитки</v>
      </c>
      <c r="K1917" s="12" t="n">
        <f aca="false">1000+MOD(A1917*317+A1917*A1917*7,49001)</f>
        <v>41228</v>
      </c>
      <c r="L1917" s="12" t="n">
        <f aca="false">1+MOD(A1917*131,100)</f>
        <v>97</v>
      </c>
      <c r="M1917" s="12" t="n">
        <f aca="false">INT(K1917*(0.6+MOD(A1917*43,21)/100))</f>
        <v>26798</v>
      </c>
      <c r="N1917" s="12" t="n">
        <f aca="false">K1917-M1917</f>
        <v>14430</v>
      </c>
    </row>
    <row r="1918" customFormat="false" ht="12.8" hidden="false" customHeight="false" outlineLevel="0" collapsed="false">
      <c r="A1918" s="10" t="n">
        <f aca="false">A1917+1</f>
        <v>1917</v>
      </c>
      <c r="B1918" s="11" t="n">
        <f aca="false">B1917+1</f>
        <v>46843</v>
      </c>
      <c r="C1918" s="10" t="n">
        <f aca="false">YEAR(B1918)</f>
        <v>2028</v>
      </c>
      <c r="D1918" s="10" t="n">
        <f aca="false">INT((MONTH(B1918)-1)/3)+1</f>
        <v>1</v>
      </c>
      <c r="E1918" s="10" t="n">
        <f aca="false">MONTH(B1918)</f>
        <v>3</v>
      </c>
      <c r="F1918" s="10" t="str">
        <f aca="false">CHOOSE(MOD(A1918-1,5)+1,"Центр","Юг","Север","Запад","Восток")</f>
        <v>Юг</v>
      </c>
      <c r="G1918" s="10" t="str">
        <f aca="false">"Округ_"&amp;(MOD(A1918-1,5)+1)&amp;"_"&amp;(MOD(INT((A1918-1)/5),5)+1)</f>
        <v>Округ_2_4</v>
      </c>
      <c r="H1918" s="10" t="str">
        <f aca="false">"Город_"&amp;(MOD(A1918-1,5)+1)&amp;"_"&amp;(MOD(INT((A1918-1)/5),5)+1)&amp;"_"&amp;(MOD(INT((A1918-1)/25),10)+1)</f>
        <v>Город_2_4_7</v>
      </c>
      <c r="I1918" s="10" t="str">
        <f aca="false">CHOOSE(MOD(A1918-1,4)+1,"Электроника","Одежда","Продукты","Мебель")</f>
        <v>Электроника</v>
      </c>
      <c r="J1918" s="10" t="str">
        <f aca="false">CHOOSE(MOD(INT((A1918-1)/4),4)+1,CHOOSE(MOD(A1918-1,4)+1,"Смартфоны","Ноутбуки","Аксессуары","Аудио"),CHOOSE(MOD(A1918-1,4)+1,"Верхняя одежда","Спортивная","Повседневная","Обувь"),CHOOSE(MOD(A1918-1,4)+1,"Молочные","Мясные","Бакалея","Напитки"),CHOOSE(MOD(A1918-1,4)+1,"Мягкая мебель","Корпусная","Офисная","Кухонная"))</f>
        <v>Мягкая мебель</v>
      </c>
      <c r="K1918" s="12" t="n">
        <f aca="false">1000+MOD(A1918*317+A1918*A1918*7,49001)</f>
        <v>19375</v>
      </c>
      <c r="L1918" s="12" t="n">
        <f aca="false">1+MOD(A1918*131,100)</f>
        <v>28</v>
      </c>
      <c r="M1918" s="12" t="n">
        <f aca="false">INT(K1918*(0.6+MOD(A1918*43,21)/100))</f>
        <v>12787</v>
      </c>
      <c r="N1918" s="12" t="n">
        <f aca="false">K1918-M1918</f>
        <v>6588</v>
      </c>
    </row>
    <row r="1919" customFormat="false" ht="12.8" hidden="false" customHeight="false" outlineLevel="0" collapsed="false">
      <c r="A1919" s="10" t="n">
        <f aca="false">A1918+1</f>
        <v>1918</v>
      </c>
      <c r="B1919" s="11" t="n">
        <f aca="false">B1918+1</f>
        <v>46844</v>
      </c>
      <c r="C1919" s="10" t="n">
        <f aca="false">YEAR(B1919)</f>
        <v>2028</v>
      </c>
      <c r="D1919" s="10" t="n">
        <f aca="false">INT((MONTH(B1919)-1)/3)+1</f>
        <v>2</v>
      </c>
      <c r="E1919" s="10" t="n">
        <f aca="false">MONTH(B1919)</f>
        <v>4</v>
      </c>
      <c r="F1919" s="10" t="str">
        <f aca="false">CHOOSE(MOD(A1919-1,5)+1,"Центр","Юг","Север","Запад","Восток")</f>
        <v>Север</v>
      </c>
      <c r="G1919" s="10" t="str">
        <f aca="false">"Округ_"&amp;(MOD(A1919-1,5)+1)&amp;"_"&amp;(MOD(INT((A1919-1)/5),5)+1)</f>
        <v>Округ_3_4</v>
      </c>
      <c r="H1919" s="10" t="str">
        <f aca="false">"Город_"&amp;(MOD(A1919-1,5)+1)&amp;"_"&amp;(MOD(INT((A1919-1)/5),5)+1)&amp;"_"&amp;(MOD(INT((A1919-1)/25),10)+1)</f>
        <v>Город_3_4_7</v>
      </c>
      <c r="I1919" s="10" t="str">
        <f aca="false">CHOOSE(MOD(A1919-1,4)+1,"Электроника","Одежда","Продукты","Мебель")</f>
        <v>Одежда</v>
      </c>
      <c r="J1919" s="10" t="str">
        <f aca="false">CHOOSE(MOD(INT((A1919-1)/4),4)+1,CHOOSE(MOD(A1919-1,4)+1,"Смартфоны","Ноутбуки","Аксессуары","Аудио"),CHOOSE(MOD(A1919-1,4)+1,"Верхняя одежда","Спортивная","Повседневная","Обувь"),CHOOSE(MOD(A1919-1,4)+1,"Молочные","Мясные","Бакалея","Напитки"),CHOOSE(MOD(A1919-1,4)+1,"Мягкая мебель","Корпусная","Офисная","Кухонная"))</f>
        <v>Корпусная</v>
      </c>
      <c r="K1919" s="12" t="n">
        <f aca="false">1000+MOD(A1919*317+A1919*A1919*7,49001)</f>
        <v>46537</v>
      </c>
      <c r="L1919" s="12" t="n">
        <f aca="false">1+MOD(A1919*131,100)</f>
        <v>59</v>
      </c>
      <c r="M1919" s="12" t="n">
        <f aca="false">INT(K1919*(0.6+MOD(A1919*43,21)/100))</f>
        <v>31179</v>
      </c>
      <c r="N1919" s="12" t="n">
        <f aca="false">K1919-M1919</f>
        <v>15358</v>
      </c>
    </row>
    <row r="1920" customFormat="false" ht="12.8" hidden="false" customHeight="false" outlineLevel="0" collapsed="false">
      <c r="A1920" s="10" t="n">
        <f aca="false">A1919+1</f>
        <v>1919</v>
      </c>
      <c r="B1920" s="11" t="n">
        <f aca="false">B1919+1</f>
        <v>46845</v>
      </c>
      <c r="C1920" s="10" t="n">
        <f aca="false">YEAR(B1920)</f>
        <v>2028</v>
      </c>
      <c r="D1920" s="10" t="n">
        <f aca="false">INT((MONTH(B1920)-1)/3)+1</f>
        <v>2</v>
      </c>
      <c r="E1920" s="10" t="n">
        <f aca="false">MONTH(B1920)</f>
        <v>4</v>
      </c>
      <c r="F1920" s="10" t="str">
        <f aca="false">CHOOSE(MOD(A1920-1,5)+1,"Центр","Юг","Север","Запад","Восток")</f>
        <v>Запад</v>
      </c>
      <c r="G1920" s="10" t="str">
        <f aca="false">"Округ_"&amp;(MOD(A1920-1,5)+1)&amp;"_"&amp;(MOD(INT((A1920-1)/5),5)+1)</f>
        <v>Округ_4_4</v>
      </c>
      <c r="H1920" s="10" t="str">
        <f aca="false">"Город_"&amp;(MOD(A1920-1,5)+1)&amp;"_"&amp;(MOD(INT((A1920-1)/5),5)+1)&amp;"_"&amp;(MOD(INT((A1920-1)/25),10)+1)</f>
        <v>Город_4_4_7</v>
      </c>
      <c r="I1920" s="10" t="str">
        <f aca="false">CHOOSE(MOD(A1920-1,4)+1,"Электроника","Одежда","Продукты","Мебель")</f>
        <v>Продукты</v>
      </c>
      <c r="J1920" s="10" t="str">
        <f aca="false">CHOOSE(MOD(INT((A1920-1)/4),4)+1,CHOOSE(MOD(A1920-1,4)+1,"Смартфоны","Ноутбуки","Аксессуары","Аудио"),CHOOSE(MOD(A1920-1,4)+1,"Верхняя одежда","Спортивная","Повседневная","Обувь"),CHOOSE(MOD(A1920-1,4)+1,"Молочные","Мясные","Бакалея","Напитки"),CHOOSE(MOD(A1920-1,4)+1,"Мягкая мебель","Корпусная","Офисная","Кухонная"))</f>
        <v>Офисная</v>
      </c>
      <c r="K1920" s="12" t="n">
        <f aca="false">1000+MOD(A1920*317+A1920*A1920*7,49001)</f>
        <v>24712</v>
      </c>
      <c r="L1920" s="12" t="n">
        <f aca="false">1+MOD(A1920*131,100)</f>
        <v>90</v>
      </c>
      <c r="M1920" s="12" t="n">
        <f aca="false">INT(K1920*(0.6+MOD(A1920*43,21)/100))</f>
        <v>16804</v>
      </c>
      <c r="N1920" s="12" t="n">
        <f aca="false">K1920-M1920</f>
        <v>7908</v>
      </c>
    </row>
    <row r="1921" customFormat="false" ht="12.8" hidden="false" customHeight="false" outlineLevel="0" collapsed="false">
      <c r="A1921" s="10" t="n">
        <f aca="false">A1920+1</f>
        <v>1920</v>
      </c>
      <c r="B1921" s="11" t="n">
        <f aca="false">B1920+1</f>
        <v>46846</v>
      </c>
      <c r="C1921" s="10" t="n">
        <f aca="false">YEAR(B1921)</f>
        <v>2028</v>
      </c>
      <c r="D1921" s="10" t="n">
        <f aca="false">INT((MONTH(B1921)-1)/3)+1</f>
        <v>2</v>
      </c>
      <c r="E1921" s="10" t="n">
        <f aca="false">MONTH(B1921)</f>
        <v>4</v>
      </c>
      <c r="F1921" s="10" t="str">
        <f aca="false">CHOOSE(MOD(A1921-1,5)+1,"Центр","Юг","Север","Запад","Восток")</f>
        <v>Восток</v>
      </c>
      <c r="G1921" s="10" t="str">
        <f aca="false">"Округ_"&amp;(MOD(A1921-1,5)+1)&amp;"_"&amp;(MOD(INT((A1921-1)/5),5)+1)</f>
        <v>Округ_5_4</v>
      </c>
      <c r="H1921" s="10" t="str">
        <f aca="false">"Город_"&amp;(MOD(A1921-1,5)+1)&amp;"_"&amp;(MOD(INT((A1921-1)/5),5)+1)&amp;"_"&amp;(MOD(INT((A1921-1)/25),10)+1)</f>
        <v>Город_5_4_7</v>
      </c>
      <c r="I1921" s="10" t="str">
        <f aca="false">CHOOSE(MOD(A1921-1,4)+1,"Электроника","Одежда","Продукты","Мебель")</f>
        <v>Мебель</v>
      </c>
      <c r="J1921" s="10" t="str">
        <f aca="false">CHOOSE(MOD(INT((A1921-1)/4),4)+1,CHOOSE(MOD(A1921-1,4)+1,"Смартфоны","Ноутбуки","Аксессуары","Аудио"),CHOOSE(MOD(A1921-1,4)+1,"Верхняя одежда","Спортивная","Повседневная","Обувь"),CHOOSE(MOD(A1921-1,4)+1,"Молочные","Мясные","Бакалея","Напитки"),CHOOSE(MOD(A1921-1,4)+1,"Мягкая мебель","Корпусная","Офисная","Кухонная"))</f>
        <v>Кухонная</v>
      </c>
      <c r="K1921" s="12" t="n">
        <f aca="false">1000+MOD(A1921*317+A1921*A1921*7,49001)</f>
        <v>2901</v>
      </c>
      <c r="L1921" s="12" t="n">
        <f aca="false">1+MOD(A1921*131,100)</f>
        <v>21</v>
      </c>
      <c r="M1921" s="12" t="n">
        <f aca="false">INT(K1921*(0.6+MOD(A1921*43,21)/100))</f>
        <v>2001</v>
      </c>
      <c r="N1921" s="12" t="n">
        <f aca="false">K1921-M1921</f>
        <v>900</v>
      </c>
    </row>
    <row r="1922" customFormat="false" ht="12.8" hidden="false" customHeight="false" outlineLevel="0" collapsed="false">
      <c r="A1922" s="10" t="n">
        <f aca="false">A1921+1</f>
        <v>1921</v>
      </c>
      <c r="B1922" s="11" t="n">
        <f aca="false">B1921+1</f>
        <v>46847</v>
      </c>
      <c r="C1922" s="10" t="n">
        <f aca="false">YEAR(B1922)</f>
        <v>2028</v>
      </c>
      <c r="D1922" s="10" t="n">
        <f aca="false">INT((MONTH(B1922)-1)/3)+1</f>
        <v>2</v>
      </c>
      <c r="E1922" s="10" t="n">
        <f aca="false">MONTH(B1922)</f>
        <v>4</v>
      </c>
      <c r="F1922" s="10" t="str">
        <f aca="false">CHOOSE(MOD(A1922-1,5)+1,"Центр","Юг","Север","Запад","Восток")</f>
        <v>Центр</v>
      </c>
      <c r="G1922" s="10" t="str">
        <f aca="false">"Округ_"&amp;(MOD(A1922-1,5)+1)&amp;"_"&amp;(MOD(INT((A1922-1)/5),5)+1)</f>
        <v>Округ_1_5</v>
      </c>
      <c r="H1922" s="10" t="str">
        <f aca="false">"Город_"&amp;(MOD(A1922-1,5)+1)&amp;"_"&amp;(MOD(INT((A1922-1)/5),5)+1)&amp;"_"&amp;(MOD(INT((A1922-1)/25),10)+1)</f>
        <v>Город_1_5_7</v>
      </c>
      <c r="I1922" s="10" t="str">
        <f aca="false">CHOOSE(MOD(A1922-1,4)+1,"Электроника","Одежда","Продукты","Мебель")</f>
        <v>Электроника</v>
      </c>
      <c r="J1922" s="10" t="str">
        <f aca="false">CHOOSE(MOD(INT((A1922-1)/4),4)+1,CHOOSE(MOD(A1922-1,4)+1,"Смартфоны","Ноутбуки","Аксессуары","Аудио"),CHOOSE(MOD(A1922-1,4)+1,"Верхняя одежда","Спортивная","Повседневная","Обувь"),CHOOSE(MOD(A1922-1,4)+1,"Молочные","Мясные","Бакалея","Напитки"),CHOOSE(MOD(A1922-1,4)+1,"Мягкая мебель","Корпусная","Офисная","Кухонная"))</f>
        <v>Смартфоны</v>
      </c>
      <c r="K1922" s="12" t="n">
        <f aca="false">1000+MOD(A1922*317+A1922*A1922*7,49001)</f>
        <v>30105</v>
      </c>
      <c r="L1922" s="12" t="n">
        <f aca="false">1+MOD(A1922*131,100)</f>
        <v>52</v>
      </c>
      <c r="M1922" s="12" t="n">
        <f aca="false">INT(K1922*(0.6+MOD(A1922*43,21)/100))</f>
        <v>21073</v>
      </c>
      <c r="N1922" s="12" t="n">
        <f aca="false">K1922-M1922</f>
        <v>9032</v>
      </c>
    </row>
    <row r="1923" customFormat="false" ht="12.8" hidden="false" customHeight="false" outlineLevel="0" collapsed="false">
      <c r="A1923" s="10" t="n">
        <f aca="false">A1922+1</f>
        <v>1922</v>
      </c>
      <c r="B1923" s="11" t="n">
        <f aca="false">B1922+1</f>
        <v>46848</v>
      </c>
      <c r="C1923" s="10" t="n">
        <f aca="false">YEAR(B1923)</f>
        <v>2028</v>
      </c>
      <c r="D1923" s="10" t="n">
        <f aca="false">INT((MONTH(B1923)-1)/3)+1</f>
        <v>2</v>
      </c>
      <c r="E1923" s="10" t="n">
        <f aca="false">MONTH(B1923)</f>
        <v>4</v>
      </c>
      <c r="F1923" s="10" t="str">
        <f aca="false">CHOOSE(MOD(A1923-1,5)+1,"Центр","Юг","Север","Запад","Восток")</f>
        <v>Юг</v>
      </c>
      <c r="G1923" s="10" t="str">
        <f aca="false">"Округ_"&amp;(MOD(A1923-1,5)+1)&amp;"_"&amp;(MOD(INT((A1923-1)/5),5)+1)</f>
        <v>Округ_2_5</v>
      </c>
      <c r="H1923" s="10" t="str">
        <f aca="false">"Город_"&amp;(MOD(A1923-1,5)+1)&amp;"_"&amp;(MOD(INT((A1923-1)/5),5)+1)&amp;"_"&amp;(MOD(INT((A1923-1)/25),10)+1)</f>
        <v>Город_2_5_7</v>
      </c>
      <c r="I1923" s="10" t="str">
        <f aca="false">CHOOSE(MOD(A1923-1,4)+1,"Электроника","Одежда","Продукты","Мебель")</f>
        <v>Одежда</v>
      </c>
      <c r="J1923" s="10" t="str">
        <f aca="false">CHOOSE(MOD(INT((A1923-1)/4),4)+1,CHOOSE(MOD(A1923-1,4)+1,"Смартфоны","Ноутбуки","Аксессуары","Аудио"),CHOOSE(MOD(A1923-1,4)+1,"Верхняя одежда","Спортивная","Повседневная","Обувь"),CHOOSE(MOD(A1923-1,4)+1,"Молочные","Мясные","Бакалея","Напитки"),CHOOSE(MOD(A1923-1,4)+1,"Мягкая мебель","Корпусная","Офисная","Кухонная"))</f>
        <v>Ноутбуки</v>
      </c>
      <c r="K1923" s="12" t="n">
        <f aca="false">1000+MOD(A1923*317+A1923*A1923*7,49001)</f>
        <v>8322</v>
      </c>
      <c r="L1923" s="12" t="n">
        <f aca="false">1+MOD(A1923*131,100)</f>
        <v>83</v>
      </c>
      <c r="M1923" s="12" t="n">
        <f aca="false">INT(K1923*(0.6+MOD(A1923*43,21)/100))</f>
        <v>5908</v>
      </c>
      <c r="N1923" s="12" t="n">
        <f aca="false">K1923-M1923</f>
        <v>2414</v>
      </c>
    </row>
    <row r="1924" customFormat="false" ht="12.8" hidden="false" customHeight="false" outlineLevel="0" collapsed="false">
      <c r="A1924" s="10" t="n">
        <f aca="false">A1923+1</f>
        <v>1923</v>
      </c>
      <c r="B1924" s="11" t="n">
        <f aca="false">B1923+1</f>
        <v>46849</v>
      </c>
      <c r="C1924" s="10" t="n">
        <f aca="false">YEAR(B1924)</f>
        <v>2028</v>
      </c>
      <c r="D1924" s="10" t="n">
        <f aca="false">INT((MONTH(B1924)-1)/3)+1</f>
        <v>2</v>
      </c>
      <c r="E1924" s="10" t="n">
        <f aca="false">MONTH(B1924)</f>
        <v>4</v>
      </c>
      <c r="F1924" s="10" t="str">
        <f aca="false">CHOOSE(MOD(A1924-1,5)+1,"Центр","Юг","Север","Запад","Восток")</f>
        <v>Север</v>
      </c>
      <c r="G1924" s="10" t="str">
        <f aca="false">"Округ_"&amp;(MOD(A1924-1,5)+1)&amp;"_"&amp;(MOD(INT((A1924-1)/5),5)+1)</f>
        <v>Округ_3_5</v>
      </c>
      <c r="H1924" s="10" t="str">
        <f aca="false">"Город_"&amp;(MOD(A1924-1,5)+1)&amp;"_"&amp;(MOD(INT((A1924-1)/5),5)+1)&amp;"_"&amp;(MOD(INT((A1924-1)/25),10)+1)</f>
        <v>Город_3_5_7</v>
      </c>
      <c r="I1924" s="10" t="str">
        <f aca="false">CHOOSE(MOD(A1924-1,4)+1,"Электроника","Одежда","Продукты","Мебель")</f>
        <v>Продукты</v>
      </c>
      <c r="J1924" s="10" t="str">
        <f aca="false">CHOOSE(MOD(INT((A1924-1)/4),4)+1,CHOOSE(MOD(A1924-1,4)+1,"Смартфоны","Ноутбуки","Аксессуары","Аудио"),CHOOSE(MOD(A1924-1,4)+1,"Верхняя одежда","Спортивная","Повседневная","Обувь"),CHOOSE(MOD(A1924-1,4)+1,"Молочные","Мясные","Бакалея","Напитки"),CHOOSE(MOD(A1924-1,4)+1,"Мягкая мебель","Корпусная","Офисная","Кухонная"))</f>
        <v>Аксессуары</v>
      </c>
      <c r="K1924" s="12" t="n">
        <f aca="false">1000+MOD(A1924*317+A1924*A1924*7,49001)</f>
        <v>35554</v>
      </c>
      <c r="L1924" s="12" t="n">
        <f aca="false">1+MOD(A1924*131,100)</f>
        <v>14</v>
      </c>
      <c r="M1924" s="12" t="n">
        <f aca="false">INT(K1924*(0.6+MOD(A1924*43,21)/100))</f>
        <v>25598</v>
      </c>
      <c r="N1924" s="12" t="n">
        <f aca="false">K1924-M1924</f>
        <v>9956</v>
      </c>
    </row>
    <row r="1925" customFormat="false" ht="12.8" hidden="false" customHeight="false" outlineLevel="0" collapsed="false">
      <c r="A1925" s="10" t="n">
        <f aca="false">A1924+1</f>
        <v>1924</v>
      </c>
      <c r="B1925" s="11" t="n">
        <f aca="false">B1924+1</f>
        <v>46850</v>
      </c>
      <c r="C1925" s="10" t="n">
        <f aca="false">YEAR(B1925)</f>
        <v>2028</v>
      </c>
      <c r="D1925" s="10" t="n">
        <f aca="false">INT((MONTH(B1925)-1)/3)+1</f>
        <v>2</v>
      </c>
      <c r="E1925" s="10" t="n">
        <f aca="false">MONTH(B1925)</f>
        <v>4</v>
      </c>
      <c r="F1925" s="10" t="str">
        <f aca="false">CHOOSE(MOD(A1925-1,5)+1,"Центр","Юг","Север","Запад","Восток")</f>
        <v>Запад</v>
      </c>
      <c r="G1925" s="10" t="str">
        <f aca="false">"Округ_"&amp;(MOD(A1925-1,5)+1)&amp;"_"&amp;(MOD(INT((A1925-1)/5),5)+1)</f>
        <v>Округ_4_5</v>
      </c>
      <c r="H1925" s="10" t="str">
        <f aca="false">"Город_"&amp;(MOD(A1925-1,5)+1)&amp;"_"&amp;(MOD(INT((A1925-1)/5),5)+1)&amp;"_"&amp;(MOD(INT((A1925-1)/25),10)+1)</f>
        <v>Город_4_5_7</v>
      </c>
      <c r="I1925" s="10" t="str">
        <f aca="false">CHOOSE(MOD(A1925-1,4)+1,"Электроника","Одежда","Продукты","Мебель")</f>
        <v>Мебель</v>
      </c>
      <c r="J1925" s="10" t="str">
        <f aca="false">CHOOSE(MOD(INT((A1925-1)/4),4)+1,CHOOSE(MOD(A1925-1,4)+1,"Смартфоны","Ноутбуки","Аксессуары","Аудио"),CHOOSE(MOD(A1925-1,4)+1,"Верхняя одежда","Спортивная","Повседневная","Обувь"),CHOOSE(MOD(A1925-1,4)+1,"Молочные","Мясные","Бакалея","Напитки"),CHOOSE(MOD(A1925-1,4)+1,"Мягкая мебель","Корпусная","Офисная","Кухонная"))</f>
        <v>Аудио</v>
      </c>
      <c r="K1925" s="12" t="n">
        <f aca="false">1000+MOD(A1925*317+A1925*A1925*7,49001)</f>
        <v>13799</v>
      </c>
      <c r="L1925" s="12" t="n">
        <f aca="false">1+MOD(A1925*131,100)</f>
        <v>45</v>
      </c>
      <c r="M1925" s="12" t="n">
        <f aca="false">INT(K1925*(0.6+MOD(A1925*43,21)/100))</f>
        <v>10073</v>
      </c>
      <c r="N1925" s="12" t="n">
        <f aca="false">K1925-M1925</f>
        <v>3726</v>
      </c>
    </row>
    <row r="1926" customFormat="false" ht="12.8" hidden="false" customHeight="false" outlineLevel="0" collapsed="false">
      <c r="A1926" s="10" t="n">
        <f aca="false">A1925+1</f>
        <v>1925</v>
      </c>
      <c r="B1926" s="11" t="n">
        <f aca="false">B1925+1</f>
        <v>46851</v>
      </c>
      <c r="C1926" s="10" t="n">
        <f aca="false">YEAR(B1926)</f>
        <v>2028</v>
      </c>
      <c r="D1926" s="10" t="n">
        <f aca="false">INT((MONTH(B1926)-1)/3)+1</f>
        <v>2</v>
      </c>
      <c r="E1926" s="10" t="n">
        <f aca="false">MONTH(B1926)</f>
        <v>4</v>
      </c>
      <c r="F1926" s="10" t="str">
        <f aca="false">CHOOSE(MOD(A1926-1,5)+1,"Центр","Юг","Север","Запад","Восток")</f>
        <v>Восток</v>
      </c>
      <c r="G1926" s="10" t="str">
        <f aca="false">"Округ_"&amp;(MOD(A1926-1,5)+1)&amp;"_"&amp;(MOD(INT((A1926-1)/5),5)+1)</f>
        <v>Округ_5_5</v>
      </c>
      <c r="H1926" s="10" t="str">
        <f aca="false">"Город_"&amp;(MOD(A1926-1,5)+1)&amp;"_"&amp;(MOD(INT((A1926-1)/5),5)+1)&amp;"_"&amp;(MOD(INT((A1926-1)/25),10)+1)</f>
        <v>Город_5_5_7</v>
      </c>
      <c r="I1926" s="10" t="str">
        <f aca="false">CHOOSE(MOD(A1926-1,4)+1,"Электроника","Одежда","Продукты","Мебель")</f>
        <v>Электроника</v>
      </c>
      <c r="J1926" s="10" t="str">
        <f aca="false">CHOOSE(MOD(INT((A1926-1)/4),4)+1,CHOOSE(MOD(A1926-1,4)+1,"Смартфоны","Ноутбуки","Аксессуары","Аудио"),CHOOSE(MOD(A1926-1,4)+1,"Верхняя одежда","Спортивная","Повседневная","Обувь"),CHOOSE(MOD(A1926-1,4)+1,"Молочные","Мясные","Бакалея","Напитки"),CHOOSE(MOD(A1926-1,4)+1,"Мягкая мебель","Корпусная","Офисная","Кухонная"))</f>
        <v>Верхняя одежда</v>
      </c>
      <c r="K1926" s="12" t="n">
        <f aca="false">1000+MOD(A1926*317+A1926*A1926*7,49001)</f>
        <v>41059</v>
      </c>
      <c r="L1926" s="12" t="n">
        <f aca="false">1+MOD(A1926*131,100)</f>
        <v>76</v>
      </c>
      <c r="M1926" s="12" t="n">
        <f aca="false">INT(K1926*(0.6+MOD(A1926*43,21)/100))</f>
        <v>30383</v>
      </c>
      <c r="N1926" s="12" t="n">
        <f aca="false">K1926-M1926</f>
        <v>10676</v>
      </c>
    </row>
    <row r="1927" customFormat="false" ht="12.8" hidden="false" customHeight="false" outlineLevel="0" collapsed="false">
      <c r="A1927" s="10" t="n">
        <f aca="false">A1926+1</f>
        <v>1926</v>
      </c>
      <c r="B1927" s="11" t="n">
        <f aca="false">B1926+1</f>
        <v>46852</v>
      </c>
      <c r="C1927" s="10" t="n">
        <f aca="false">YEAR(B1927)</f>
        <v>2028</v>
      </c>
      <c r="D1927" s="10" t="n">
        <f aca="false">INT((MONTH(B1927)-1)/3)+1</f>
        <v>2</v>
      </c>
      <c r="E1927" s="10" t="n">
        <f aca="false">MONTH(B1927)</f>
        <v>4</v>
      </c>
      <c r="F1927" s="10" t="str">
        <f aca="false">CHOOSE(MOD(A1927-1,5)+1,"Центр","Юг","Север","Запад","Восток")</f>
        <v>Центр</v>
      </c>
      <c r="G1927" s="10" t="str">
        <f aca="false">"Округ_"&amp;(MOD(A1927-1,5)+1)&amp;"_"&amp;(MOD(INT((A1927-1)/5),5)+1)</f>
        <v>Округ_1_1</v>
      </c>
      <c r="H1927" s="10" t="str">
        <f aca="false">"Город_"&amp;(MOD(A1927-1,5)+1)&amp;"_"&amp;(MOD(INT((A1927-1)/5),5)+1)&amp;"_"&amp;(MOD(INT((A1927-1)/25),10)+1)</f>
        <v>Город_1_1_8</v>
      </c>
      <c r="I1927" s="10" t="str">
        <f aca="false">CHOOSE(MOD(A1927-1,4)+1,"Электроника","Одежда","Продукты","Мебель")</f>
        <v>Одежда</v>
      </c>
      <c r="J1927" s="10" t="str">
        <f aca="false">CHOOSE(MOD(INT((A1927-1)/4),4)+1,CHOOSE(MOD(A1927-1,4)+1,"Смартфоны","Ноутбуки","Аксессуары","Аудио"),CHOOSE(MOD(A1927-1,4)+1,"Верхняя одежда","Спортивная","Повседневная","Обувь"),CHOOSE(MOD(A1927-1,4)+1,"Молочные","Мясные","Бакалея","Напитки"),CHOOSE(MOD(A1927-1,4)+1,"Мягкая мебель","Корпусная","Офисная","Кухонная"))</f>
        <v>Спортивная</v>
      </c>
      <c r="K1927" s="12" t="n">
        <f aca="false">1000+MOD(A1927*317+A1927*A1927*7,49001)</f>
        <v>19332</v>
      </c>
      <c r="L1927" s="12" t="n">
        <f aca="false">1+MOD(A1927*131,100)</f>
        <v>7</v>
      </c>
      <c r="M1927" s="12" t="n">
        <f aca="false">INT(K1927*(0.6+MOD(A1927*43,21)/100))</f>
        <v>14499</v>
      </c>
      <c r="N1927" s="12" t="n">
        <f aca="false">K1927-M1927</f>
        <v>4833</v>
      </c>
    </row>
    <row r="1928" customFormat="false" ht="12.8" hidden="false" customHeight="false" outlineLevel="0" collapsed="false">
      <c r="A1928" s="10" t="n">
        <f aca="false">A1927+1</f>
        <v>1927</v>
      </c>
      <c r="B1928" s="11" t="n">
        <f aca="false">B1927+1</f>
        <v>46853</v>
      </c>
      <c r="C1928" s="10" t="n">
        <f aca="false">YEAR(B1928)</f>
        <v>2028</v>
      </c>
      <c r="D1928" s="10" t="n">
        <f aca="false">INT((MONTH(B1928)-1)/3)+1</f>
        <v>2</v>
      </c>
      <c r="E1928" s="10" t="n">
        <f aca="false">MONTH(B1928)</f>
        <v>4</v>
      </c>
      <c r="F1928" s="10" t="str">
        <f aca="false">CHOOSE(MOD(A1928-1,5)+1,"Центр","Юг","Север","Запад","Восток")</f>
        <v>Юг</v>
      </c>
      <c r="G1928" s="10" t="str">
        <f aca="false">"Округ_"&amp;(MOD(A1928-1,5)+1)&amp;"_"&amp;(MOD(INT((A1928-1)/5),5)+1)</f>
        <v>Округ_2_1</v>
      </c>
      <c r="H1928" s="10" t="str">
        <f aca="false">"Город_"&amp;(MOD(A1928-1,5)+1)&amp;"_"&amp;(MOD(INT((A1928-1)/5),5)+1)&amp;"_"&amp;(MOD(INT((A1928-1)/25),10)+1)</f>
        <v>Город_2_1_8</v>
      </c>
      <c r="I1928" s="10" t="str">
        <f aca="false">CHOOSE(MOD(A1928-1,4)+1,"Электроника","Одежда","Продукты","Мебель")</f>
        <v>Продукты</v>
      </c>
      <c r="J1928" s="10" t="str">
        <f aca="false">CHOOSE(MOD(INT((A1928-1)/4),4)+1,CHOOSE(MOD(A1928-1,4)+1,"Смартфоны","Ноутбуки","Аксессуары","Аудио"),CHOOSE(MOD(A1928-1,4)+1,"Верхняя одежда","Спортивная","Повседневная","Обувь"),CHOOSE(MOD(A1928-1,4)+1,"Молочные","Мясные","Бакалея","Напитки"),CHOOSE(MOD(A1928-1,4)+1,"Мягкая мебель","Корпусная","Офисная","Кухонная"))</f>
        <v>Повседневная</v>
      </c>
      <c r="K1928" s="12" t="n">
        <f aca="false">1000+MOD(A1928*317+A1928*A1928*7,49001)</f>
        <v>46620</v>
      </c>
      <c r="L1928" s="12" t="n">
        <f aca="false">1+MOD(A1928*131,100)</f>
        <v>38</v>
      </c>
      <c r="M1928" s="12" t="n">
        <f aca="false">INT(K1928*(0.6+MOD(A1928*43,21)/100))</f>
        <v>35431</v>
      </c>
      <c r="N1928" s="12" t="n">
        <f aca="false">K1928-M1928</f>
        <v>11189</v>
      </c>
    </row>
    <row r="1929" customFormat="false" ht="12.8" hidden="false" customHeight="false" outlineLevel="0" collapsed="false">
      <c r="A1929" s="10" t="n">
        <f aca="false">A1928+1</f>
        <v>1928</v>
      </c>
      <c r="B1929" s="11" t="n">
        <f aca="false">B1928+1</f>
        <v>46854</v>
      </c>
      <c r="C1929" s="10" t="n">
        <f aca="false">YEAR(B1929)</f>
        <v>2028</v>
      </c>
      <c r="D1929" s="10" t="n">
        <f aca="false">INT((MONTH(B1929)-1)/3)+1</f>
        <v>2</v>
      </c>
      <c r="E1929" s="10" t="n">
        <f aca="false">MONTH(B1929)</f>
        <v>4</v>
      </c>
      <c r="F1929" s="10" t="str">
        <f aca="false">CHOOSE(MOD(A1929-1,5)+1,"Центр","Юг","Север","Запад","Восток")</f>
        <v>Север</v>
      </c>
      <c r="G1929" s="10" t="str">
        <f aca="false">"Округ_"&amp;(MOD(A1929-1,5)+1)&amp;"_"&amp;(MOD(INT((A1929-1)/5),5)+1)</f>
        <v>Округ_3_1</v>
      </c>
      <c r="H1929" s="10" t="str">
        <f aca="false">"Город_"&amp;(MOD(A1929-1,5)+1)&amp;"_"&amp;(MOD(INT((A1929-1)/5),5)+1)&amp;"_"&amp;(MOD(INT((A1929-1)/25),10)+1)</f>
        <v>Город_3_1_8</v>
      </c>
      <c r="I1929" s="10" t="str">
        <f aca="false">CHOOSE(MOD(A1929-1,4)+1,"Электроника","Одежда","Продукты","Мебель")</f>
        <v>Мебель</v>
      </c>
      <c r="J1929" s="10" t="str">
        <f aca="false">CHOOSE(MOD(INT((A1929-1)/4),4)+1,CHOOSE(MOD(A1929-1,4)+1,"Смартфоны","Ноутбуки","Аксессуары","Аудио"),CHOOSE(MOD(A1929-1,4)+1,"Верхняя одежда","Спортивная","Повседневная","Обувь"),CHOOSE(MOD(A1929-1,4)+1,"Молочные","Мясные","Бакалея","Напитки"),CHOOSE(MOD(A1929-1,4)+1,"Мягкая мебель","Корпусная","Офисная","Кухонная"))</f>
        <v>Обувь</v>
      </c>
      <c r="K1929" s="12" t="n">
        <f aca="false">1000+MOD(A1929*317+A1929*A1929*7,49001)</f>
        <v>24921</v>
      </c>
      <c r="L1929" s="12" t="n">
        <f aca="false">1+MOD(A1929*131,100)</f>
        <v>69</v>
      </c>
      <c r="M1929" s="12" t="n">
        <f aca="false">INT(K1929*(0.6+MOD(A1929*43,21)/100))</f>
        <v>19189</v>
      </c>
      <c r="N1929" s="12" t="n">
        <f aca="false">K1929-M1929</f>
        <v>5732</v>
      </c>
    </row>
    <row r="1930" customFormat="false" ht="12.8" hidden="false" customHeight="false" outlineLevel="0" collapsed="false">
      <c r="A1930" s="10" t="n">
        <f aca="false">A1929+1</f>
        <v>1929</v>
      </c>
      <c r="B1930" s="11" t="n">
        <f aca="false">B1929+1</f>
        <v>46855</v>
      </c>
      <c r="C1930" s="10" t="n">
        <f aca="false">YEAR(B1930)</f>
        <v>2028</v>
      </c>
      <c r="D1930" s="10" t="n">
        <f aca="false">INT((MONTH(B1930)-1)/3)+1</f>
        <v>2</v>
      </c>
      <c r="E1930" s="10" t="n">
        <f aca="false">MONTH(B1930)</f>
        <v>4</v>
      </c>
      <c r="F1930" s="10" t="str">
        <f aca="false">CHOOSE(MOD(A1930-1,5)+1,"Центр","Юг","Север","Запад","Восток")</f>
        <v>Запад</v>
      </c>
      <c r="G1930" s="10" t="str">
        <f aca="false">"Округ_"&amp;(MOD(A1930-1,5)+1)&amp;"_"&amp;(MOD(INT((A1930-1)/5),5)+1)</f>
        <v>Округ_4_1</v>
      </c>
      <c r="H1930" s="10" t="str">
        <f aca="false">"Город_"&amp;(MOD(A1930-1,5)+1)&amp;"_"&amp;(MOD(INT((A1930-1)/5),5)+1)&amp;"_"&amp;(MOD(INT((A1930-1)/25),10)+1)</f>
        <v>Город_4_1_8</v>
      </c>
      <c r="I1930" s="10" t="str">
        <f aca="false">CHOOSE(MOD(A1930-1,4)+1,"Электроника","Одежда","Продукты","Мебель")</f>
        <v>Электроника</v>
      </c>
      <c r="J1930" s="10" t="str">
        <f aca="false">CHOOSE(MOD(INT((A1930-1)/4),4)+1,CHOOSE(MOD(A1930-1,4)+1,"Смартфоны","Ноутбуки","Аксессуары","Аудио"),CHOOSE(MOD(A1930-1,4)+1,"Верхняя одежда","Спортивная","Повседневная","Обувь"),CHOOSE(MOD(A1930-1,4)+1,"Молочные","Мясные","Бакалея","Напитки"),CHOOSE(MOD(A1930-1,4)+1,"Мягкая мебель","Корпусная","Офисная","Кухонная"))</f>
        <v>Молочные</v>
      </c>
      <c r="K1930" s="12" t="n">
        <f aca="false">1000+MOD(A1930*317+A1930*A1930*7,49001)</f>
        <v>3236</v>
      </c>
      <c r="L1930" s="12" t="n">
        <f aca="false">1+MOD(A1930*131,100)</f>
        <v>100</v>
      </c>
      <c r="M1930" s="12" t="n">
        <f aca="false">INT(K1930*(0.6+MOD(A1930*43,21)/100))</f>
        <v>2524</v>
      </c>
      <c r="N1930" s="12" t="n">
        <f aca="false">K1930-M1930</f>
        <v>712</v>
      </c>
    </row>
    <row r="1931" customFormat="false" ht="12.8" hidden="false" customHeight="false" outlineLevel="0" collapsed="false">
      <c r="A1931" s="10" t="n">
        <f aca="false">A1930+1</f>
        <v>1930</v>
      </c>
      <c r="B1931" s="11" t="n">
        <f aca="false">B1930+1</f>
        <v>46856</v>
      </c>
      <c r="C1931" s="10" t="n">
        <f aca="false">YEAR(B1931)</f>
        <v>2028</v>
      </c>
      <c r="D1931" s="10" t="n">
        <f aca="false">INT((MONTH(B1931)-1)/3)+1</f>
        <v>2</v>
      </c>
      <c r="E1931" s="10" t="n">
        <f aca="false">MONTH(B1931)</f>
        <v>4</v>
      </c>
      <c r="F1931" s="10" t="str">
        <f aca="false">CHOOSE(MOD(A1931-1,5)+1,"Центр","Юг","Север","Запад","Восток")</f>
        <v>Восток</v>
      </c>
      <c r="G1931" s="10" t="str">
        <f aca="false">"Округ_"&amp;(MOD(A1931-1,5)+1)&amp;"_"&amp;(MOD(INT((A1931-1)/5),5)+1)</f>
        <v>Округ_5_1</v>
      </c>
      <c r="H1931" s="10" t="str">
        <f aca="false">"Город_"&amp;(MOD(A1931-1,5)+1)&amp;"_"&amp;(MOD(INT((A1931-1)/5),5)+1)&amp;"_"&amp;(MOD(INT((A1931-1)/25),10)+1)</f>
        <v>Город_5_1_8</v>
      </c>
      <c r="I1931" s="10" t="str">
        <f aca="false">CHOOSE(MOD(A1931-1,4)+1,"Электроника","Одежда","Продукты","Мебель")</f>
        <v>Одежда</v>
      </c>
      <c r="J1931" s="10" t="str">
        <f aca="false">CHOOSE(MOD(INT((A1931-1)/4),4)+1,CHOOSE(MOD(A1931-1,4)+1,"Смартфоны","Ноутбуки","Аксессуары","Аудио"),CHOOSE(MOD(A1931-1,4)+1,"Верхняя одежда","Спортивная","Повседневная","Обувь"),CHOOSE(MOD(A1931-1,4)+1,"Молочные","Мясные","Бакалея","Напитки"),CHOOSE(MOD(A1931-1,4)+1,"Мягкая мебель","Корпусная","Офисная","Кухонная"))</f>
        <v>Мясные</v>
      </c>
      <c r="K1931" s="12" t="n">
        <f aca="false">1000+MOD(A1931*317+A1931*A1931*7,49001)</f>
        <v>30566</v>
      </c>
      <c r="L1931" s="12" t="n">
        <f aca="false">1+MOD(A1931*131,100)</f>
        <v>31</v>
      </c>
      <c r="M1931" s="12" t="n">
        <f aca="false">INT(K1931*(0.6+MOD(A1931*43,21)/100))</f>
        <v>24147</v>
      </c>
      <c r="N1931" s="12" t="n">
        <f aca="false">K1931-M1931</f>
        <v>6419</v>
      </c>
    </row>
    <row r="1932" customFormat="false" ht="12.8" hidden="false" customHeight="false" outlineLevel="0" collapsed="false">
      <c r="A1932" s="10" t="n">
        <f aca="false">A1931+1</f>
        <v>1931</v>
      </c>
      <c r="B1932" s="11" t="n">
        <f aca="false">B1931+1</f>
        <v>46857</v>
      </c>
      <c r="C1932" s="10" t="n">
        <f aca="false">YEAR(B1932)</f>
        <v>2028</v>
      </c>
      <c r="D1932" s="10" t="n">
        <f aca="false">INT((MONTH(B1932)-1)/3)+1</f>
        <v>2</v>
      </c>
      <c r="E1932" s="10" t="n">
        <f aca="false">MONTH(B1932)</f>
        <v>4</v>
      </c>
      <c r="F1932" s="10" t="str">
        <f aca="false">CHOOSE(MOD(A1932-1,5)+1,"Центр","Юг","Север","Запад","Восток")</f>
        <v>Центр</v>
      </c>
      <c r="G1932" s="10" t="str">
        <f aca="false">"Округ_"&amp;(MOD(A1932-1,5)+1)&amp;"_"&amp;(MOD(INT((A1932-1)/5),5)+1)</f>
        <v>Округ_1_2</v>
      </c>
      <c r="H1932" s="10" t="str">
        <f aca="false">"Город_"&amp;(MOD(A1932-1,5)+1)&amp;"_"&amp;(MOD(INT((A1932-1)/5),5)+1)&amp;"_"&amp;(MOD(INT((A1932-1)/25),10)+1)</f>
        <v>Город_1_2_8</v>
      </c>
      <c r="I1932" s="10" t="str">
        <f aca="false">CHOOSE(MOD(A1932-1,4)+1,"Электроника","Одежда","Продукты","Мебель")</f>
        <v>Продукты</v>
      </c>
      <c r="J1932" s="10" t="str">
        <f aca="false">CHOOSE(MOD(INT((A1932-1)/4),4)+1,CHOOSE(MOD(A1932-1,4)+1,"Смартфоны","Ноутбуки","Аксессуары","Аудио"),CHOOSE(MOD(A1932-1,4)+1,"Верхняя одежда","Спортивная","Повседневная","Обувь"),CHOOSE(MOD(A1932-1,4)+1,"Молочные","Мясные","Бакалея","Напитки"),CHOOSE(MOD(A1932-1,4)+1,"Мягкая мебель","Корпусная","Офисная","Кухонная"))</f>
        <v>Бакалея</v>
      </c>
      <c r="K1932" s="12" t="n">
        <f aca="false">1000+MOD(A1932*317+A1932*A1932*7,49001)</f>
        <v>8909</v>
      </c>
      <c r="L1932" s="12" t="n">
        <f aca="false">1+MOD(A1932*131,100)</f>
        <v>62</v>
      </c>
      <c r="M1932" s="12" t="n">
        <f aca="false">INT(K1932*(0.6+MOD(A1932*43,21)/100))</f>
        <v>7127</v>
      </c>
      <c r="N1932" s="12" t="n">
        <f aca="false">K1932-M1932</f>
        <v>1782</v>
      </c>
    </row>
    <row r="1933" customFormat="false" ht="12.8" hidden="false" customHeight="false" outlineLevel="0" collapsed="false">
      <c r="A1933" s="10" t="n">
        <f aca="false">A1932+1</f>
        <v>1932</v>
      </c>
      <c r="B1933" s="11" t="n">
        <f aca="false">B1932+1</f>
        <v>46858</v>
      </c>
      <c r="C1933" s="10" t="n">
        <f aca="false">YEAR(B1933)</f>
        <v>2028</v>
      </c>
      <c r="D1933" s="10" t="n">
        <f aca="false">INT((MONTH(B1933)-1)/3)+1</f>
        <v>2</v>
      </c>
      <c r="E1933" s="10" t="n">
        <f aca="false">MONTH(B1933)</f>
        <v>4</v>
      </c>
      <c r="F1933" s="10" t="str">
        <f aca="false">CHOOSE(MOD(A1933-1,5)+1,"Центр","Юг","Север","Запад","Восток")</f>
        <v>Юг</v>
      </c>
      <c r="G1933" s="10" t="str">
        <f aca="false">"Округ_"&amp;(MOD(A1933-1,5)+1)&amp;"_"&amp;(MOD(INT((A1933-1)/5),5)+1)</f>
        <v>Округ_2_2</v>
      </c>
      <c r="H1933" s="10" t="str">
        <f aca="false">"Город_"&amp;(MOD(A1933-1,5)+1)&amp;"_"&amp;(MOD(INT((A1933-1)/5),5)+1)&amp;"_"&amp;(MOD(INT((A1933-1)/25),10)+1)</f>
        <v>Город_2_2_8</v>
      </c>
      <c r="I1933" s="10" t="str">
        <f aca="false">CHOOSE(MOD(A1933-1,4)+1,"Электроника","Одежда","Продукты","Мебель")</f>
        <v>Мебель</v>
      </c>
      <c r="J1933" s="10" t="str">
        <f aca="false">CHOOSE(MOD(INT((A1933-1)/4),4)+1,CHOOSE(MOD(A1933-1,4)+1,"Смартфоны","Ноутбуки","Аксессуары","Аудио"),CHOOSE(MOD(A1933-1,4)+1,"Верхняя одежда","Спортивная","Повседневная","Обувь"),CHOOSE(MOD(A1933-1,4)+1,"Молочные","Мясные","Бакалея","Напитки"),CHOOSE(MOD(A1933-1,4)+1,"Мягкая мебель","Корпусная","Офисная","Кухонная"))</f>
        <v>Напитки</v>
      </c>
      <c r="K1933" s="12" t="n">
        <f aca="false">1000+MOD(A1933*317+A1933*A1933*7,49001)</f>
        <v>36267</v>
      </c>
      <c r="L1933" s="12" t="n">
        <f aca="false">1+MOD(A1933*131,100)</f>
        <v>93</v>
      </c>
      <c r="M1933" s="12" t="n">
        <f aca="false">INT(K1933*(0.6+MOD(A1933*43,21)/100))</f>
        <v>21760</v>
      </c>
      <c r="N1933" s="12" t="n">
        <f aca="false">K1933-M1933</f>
        <v>14507</v>
      </c>
    </row>
    <row r="1934" customFormat="false" ht="12.8" hidden="false" customHeight="false" outlineLevel="0" collapsed="false">
      <c r="A1934" s="10" t="n">
        <f aca="false">A1933+1</f>
        <v>1933</v>
      </c>
      <c r="B1934" s="11" t="n">
        <f aca="false">B1933+1</f>
        <v>46859</v>
      </c>
      <c r="C1934" s="10" t="n">
        <f aca="false">YEAR(B1934)</f>
        <v>2028</v>
      </c>
      <c r="D1934" s="10" t="n">
        <f aca="false">INT((MONTH(B1934)-1)/3)+1</f>
        <v>2</v>
      </c>
      <c r="E1934" s="10" t="n">
        <f aca="false">MONTH(B1934)</f>
        <v>4</v>
      </c>
      <c r="F1934" s="10" t="str">
        <f aca="false">CHOOSE(MOD(A1934-1,5)+1,"Центр","Юг","Север","Запад","Восток")</f>
        <v>Север</v>
      </c>
      <c r="G1934" s="10" t="str">
        <f aca="false">"Округ_"&amp;(MOD(A1934-1,5)+1)&amp;"_"&amp;(MOD(INT((A1934-1)/5),5)+1)</f>
        <v>Округ_3_2</v>
      </c>
      <c r="H1934" s="10" t="str">
        <f aca="false">"Город_"&amp;(MOD(A1934-1,5)+1)&amp;"_"&amp;(MOD(INT((A1934-1)/5),5)+1)&amp;"_"&amp;(MOD(INT((A1934-1)/25),10)+1)</f>
        <v>Город_3_2_8</v>
      </c>
      <c r="I1934" s="10" t="str">
        <f aca="false">CHOOSE(MOD(A1934-1,4)+1,"Электроника","Одежда","Продукты","Мебель")</f>
        <v>Электроника</v>
      </c>
      <c r="J1934" s="10" t="str">
        <f aca="false">CHOOSE(MOD(INT((A1934-1)/4),4)+1,CHOOSE(MOD(A1934-1,4)+1,"Смартфоны","Ноутбуки","Аксессуары","Аудио"),CHOOSE(MOD(A1934-1,4)+1,"Верхняя одежда","Спортивная","Повседневная","Обувь"),CHOOSE(MOD(A1934-1,4)+1,"Молочные","Мясные","Бакалея","Напитки"),CHOOSE(MOD(A1934-1,4)+1,"Мягкая мебель","Корпусная","Офисная","Кухонная"))</f>
        <v>Мягкая мебель</v>
      </c>
      <c r="K1934" s="12" t="n">
        <f aca="false">1000+MOD(A1934*317+A1934*A1934*7,49001)</f>
        <v>14638</v>
      </c>
      <c r="L1934" s="12" t="n">
        <f aca="false">1+MOD(A1934*131,100)</f>
        <v>24</v>
      </c>
      <c r="M1934" s="12" t="n">
        <f aca="false">INT(K1934*(0.6+MOD(A1934*43,21)/100))</f>
        <v>8929</v>
      </c>
      <c r="N1934" s="12" t="n">
        <f aca="false">K1934-M1934</f>
        <v>5709</v>
      </c>
    </row>
    <row r="1935" customFormat="false" ht="12.8" hidden="false" customHeight="false" outlineLevel="0" collapsed="false">
      <c r="A1935" s="10" t="n">
        <f aca="false">A1934+1</f>
        <v>1934</v>
      </c>
      <c r="B1935" s="11" t="n">
        <f aca="false">B1934+1</f>
        <v>46860</v>
      </c>
      <c r="C1935" s="10" t="n">
        <f aca="false">YEAR(B1935)</f>
        <v>2028</v>
      </c>
      <c r="D1935" s="10" t="n">
        <f aca="false">INT((MONTH(B1935)-1)/3)+1</f>
        <v>2</v>
      </c>
      <c r="E1935" s="10" t="n">
        <f aca="false">MONTH(B1935)</f>
        <v>4</v>
      </c>
      <c r="F1935" s="10" t="str">
        <f aca="false">CHOOSE(MOD(A1935-1,5)+1,"Центр","Юг","Север","Запад","Восток")</f>
        <v>Запад</v>
      </c>
      <c r="G1935" s="10" t="str">
        <f aca="false">"Округ_"&amp;(MOD(A1935-1,5)+1)&amp;"_"&amp;(MOD(INT((A1935-1)/5),5)+1)</f>
        <v>Округ_4_2</v>
      </c>
      <c r="H1935" s="10" t="str">
        <f aca="false">"Город_"&amp;(MOD(A1935-1,5)+1)&amp;"_"&amp;(MOD(INT((A1935-1)/5),5)+1)&amp;"_"&amp;(MOD(INT((A1935-1)/25),10)+1)</f>
        <v>Город_4_2_8</v>
      </c>
      <c r="I1935" s="10" t="str">
        <f aca="false">CHOOSE(MOD(A1935-1,4)+1,"Электроника","Одежда","Продукты","Мебель")</f>
        <v>Одежда</v>
      </c>
      <c r="J1935" s="10" t="str">
        <f aca="false">CHOOSE(MOD(INT((A1935-1)/4),4)+1,CHOOSE(MOD(A1935-1,4)+1,"Смартфоны","Ноутбуки","Аксессуары","Аудио"),CHOOSE(MOD(A1935-1,4)+1,"Верхняя одежда","Спортивная","Повседневная","Обувь"),CHOOSE(MOD(A1935-1,4)+1,"Молочные","Мясные","Бакалея","Напитки"),CHOOSE(MOD(A1935-1,4)+1,"Мягкая мебель","Корпусная","Офисная","Кухонная"))</f>
        <v>Корпусная</v>
      </c>
      <c r="K1935" s="12" t="n">
        <f aca="false">1000+MOD(A1935*317+A1935*A1935*7,49001)</f>
        <v>42024</v>
      </c>
      <c r="L1935" s="12" t="n">
        <f aca="false">1+MOD(A1935*131,100)</f>
        <v>55</v>
      </c>
      <c r="M1935" s="12" t="n">
        <f aca="false">INT(K1935*(0.6+MOD(A1935*43,21)/100))</f>
        <v>26054</v>
      </c>
      <c r="N1935" s="12" t="n">
        <f aca="false">K1935-M1935</f>
        <v>15970</v>
      </c>
    </row>
    <row r="1936" customFormat="false" ht="12.8" hidden="false" customHeight="false" outlineLevel="0" collapsed="false">
      <c r="A1936" s="10" t="n">
        <f aca="false">A1935+1</f>
        <v>1935</v>
      </c>
      <c r="B1936" s="11" t="n">
        <f aca="false">B1935+1</f>
        <v>46861</v>
      </c>
      <c r="C1936" s="10" t="n">
        <f aca="false">YEAR(B1936)</f>
        <v>2028</v>
      </c>
      <c r="D1936" s="10" t="n">
        <f aca="false">INT((MONTH(B1936)-1)/3)+1</f>
        <v>2</v>
      </c>
      <c r="E1936" s="10" t="n">
        <f aca="false">MONTH(B1936)</f>
        <v>4</v>
      </c>
      <c r="F1936" s="10" t="str">
        <f aca="false">CHOOSE(MOD(A1936-1,5)+1,"Центр","Юг","Север","Запад","Восток")</f>
        <v>Восток</v>
      </c>
      <c r="G1936" s="10" t="str">
        <f aca="false">"Округ_"&amp;(MOD(A1936-1,5)+1)&amp;"_"&amp;(MOD(INT((A1936-1)/5),5)+1)</f>
        <v>Округ_5_2</v>
      </c>
      <c r="H1936" s="10" t="str">
        <f aca="false">"Город_"&amp;(MOD(A1936-1,5)+1)&amp;"_"&amp;(MOD(INT((A1936-1)/5),5)+1)&amp;"_"&amp;(MOD(INT((A1936-1)/25),10)+1)</f>
        <v>Город_5_2_8</v>
      </c>
      <c r="I1936" s="10" t="str">
        <f aca="false">CHOOSE(MOD(A1936-1,4)+1,"Электроника","Одежда","Продукты","Мебель")</f>
        <v>Продукты</v>
      </c>
      <c r="J1936" s="10" t="str">
        <f aca="false">CHOOSE(MOD(INT((A1936-1)/4),4)+1,CHOOSE(MOD(A1936-1,4)+1,"Смартфоны","Ноутбуки","Аксессуары","Аудио"),CHOOSE(MOD(A1936-1,4)+1,"Верхняя одежда","Спортивная","Повседневная","Обувь"),CHOOSE(MOD(A1936-1,4)+1,"Молочные","Мясные","Бакалея","Напитки"),CHOOSE(MOD(A1936-1,4)+1,"Мягкая мебель","Корпусная","Офисная","Кухонная"))</f>
        <v>Офисная</v>
      </c>
      <c r="K1936" s="12" t="n">
        <f aca="false">1000+MOD(A1936*317+A1936*A1936*7,49001)</f>
        <v>20423</v>
      </c>
      <c r="L1936" s="12" t="n">
        <f aca="false">1+MOD(A1936*131,100)</f>
        <v>86</v>
      </c>
      <c r="M1936" s="12" t="n">
        <f aca="false">INT(K1936*(0.6+MOD(A1936*43,21)/100))</f>
        <v>12866</v>
      </c>
      <c r="N1936" s="12" t="n">
        <f aca="false">K1936-M1936</f>
        <v>7557</v>
      </c>
    </row>
    <row r="1937" customFormat="false" ht="12.8" hidden="false" customHeight="false" outlineLevel="0" collapsed="false">
      <c r="A1937" s="10" t="n">
        <f aca="false">A1936+1</f>
        <v>1936</v>
      </c>
      <c r="B1937" s="11" t="n">
        <f aca="false">B1936+1</f>
        <v>46862</v>
      </c>
      <c r="C1937" s="10" t="n">
        <f aca="false">YEAR(B1937)</f>
        <v>2028</v>
      </c>
      <c r="D1937" s="10" t="n">
        <f aca="false">INT((MONTH(B1937)-1)/3)+1</f>
        <v>2</v>
      </c>
      <c r="E1937" s="10" t="n">
        <f aca="false">MONTH(B1937)</f>
        <v>4</v>
      </c>
      <c r="F1937" s="10" t="str">
        <f aca="false">CHOOSE(MOD(A1937-1,5)+1,"Центр","Юг","Север","Запад","Восток")</f>
        <v>Центр</v>
      </c>
      <c r="G1937" s="10" t="str">
        <f aca="false">"Округ_"&amp;(MOD(A1937-1,5)+1)&amp;"_"&amp;(MOD(INT((A1937-1)/5),5)+1)</f>
        <v>Округ_1_3</v>
      </c>
      <c r="H1937" s="10" t="str">
        <f aca="false">"Город_"&amp;(MOD(A1937-1,5)+1)&amp;"_"&amp;(MOD(INT((A1937-1)/5),5)+1)&amp;"_"&amp;(MOD(INT((A1937-1)/25),10)+1)</f>
        <v>Город_1_3_8</v>
      </c>
      <c r="I1937" s="10" t="str">
        <f aca="false">CHOOSE(MOD(A1937-1,4)+1,"Электроника","Одежда","Продукты","Мебель")</f>
        <v>Мебель</v>
      </c>
      <c r="J1937" s="10" t="str">
        <f aca="false">CHOOSE(MOD(INT((A1937-1)/4),4)+1,CHOOSE(MOD(A1937-1,4)+1,"Смартфоны","Ноутбуки","Аксессуары","Аудио"),CHOOSE(MOD(A1937-1,4)+1,"Верхняя одежда","Спортивная","Повседневная","Обувь"),CHOOSE(MOD(A1937-1,4)+1,"Молочные","Мясные","Бакалея","Напитки"),CHOOSE(MOD(A1937-1,4)+1,"Мягкая мебель","Корпусная","Офисная","Кухонная"))</f>
        <v>Кухонная</v>
      </c>
      <c r="K1937" s="12" t="n">
        <f aca="false">1000+MOD(A1937*317+A1937*A1937*7,49001)</f>
        <v>47837</v>
      </c>
      <c r="L1937" s="12" t="n">
        <f aca="false">1+MOD(A1937*131,100)</f>
        <v>17</v>
      </c>
      <c r="M1937" s="12" t="n">
        <f aca="false">INT(K1937*(0.6+MOD(A1937*43,21)/100))</f>
        <v>30615</v>
      </c>
      <c r="N1937" s="12" t="n">
        <f aca="false">K1937-M1937</f>
        <v>17222</v>
      </c>
    </row>
    <row r="1938" customFormat="false" ht="12.8" hidden="false" customHeight="false" outlineLevel="0" collapsed="false">
      <c r="A1938" s="10" t="n">
        <f aca="false">A1937+1</f>
        <v>1937</v>
      </c>
      <c r="B1938" s="11" t="n">
        <f aca="false">B1937+1</f>
        <v>46863</v>
      </c>
      <c r="C1938" s="10" t="n">
        <f aca="false">YEAR(B1938)</f>
        <v>2028</v>
      </c>
      <c r="D1938" s="10" t="n">
        <f aca="false">INT((MONTH(B1938)-1)/3)+1</f>
        <v>2</v>
      </c>
      <c r="E1938" s="10" t="n">
        <f aca="false">MONTH(B1938)</f>
        <v>4</v>
      </c>
      <c r="F1938" s="10" t="str">
        <f aca="false">CHOOSE(MOD(A1938-1,5)+1,"Центр","Юг","Север","Запад","Восток")</f>
        <v>Юг</v>
      </c>
      <c r="G1938" s="10" t="str">
        <f aca="false">"Округ_"&amp;(MOD(A1938-1,5)+1)&amp;"_"&amp;(MOD(INT((A1938-1)/5),5)+1)</f>
        <v>Округ_2_3</v>
      </c>
      <c r="H1938" s="10" t="str">
        <f aca="false">"Город_"&amp;(MOD(A1938-1,5)+1)&amp;"_"&amp;(MOD(INT((A1938-1)/5),5)+1)&amp;"_"&amp;(MOD(INT((A1938-1)/25),10)+1)</f>
        <v>Город_2_3_8</v>
      </c>
      <c r="I1938" s="10" t="str">
        <f aca="false">CHOOSE(MOD(A1938-1,4)+1,"Электроника","Одежда","Продукты","Мебель")</f>
        <v>Электроника</v>
      </c>
      <c r="J1938" s="10" t="str">
        <f aca="false">CHOOSE(MOD(INT((A1938-1)/4),4)+1,CHOOSE(MOD(A1938-1,4)+1,"Смартфоны","Ноутбуки","Аксессуары","Аудио"),CHOOSE(MOD(A1938-1,4)+1,"Верхняя одежда","Спортивная","Повседневная","Обувь"),CHOOSE(MOD(A1938-1,4)+1,"Молочные","Мясные","Бакалея","Напитки"),CHOOSE(MOD(A1938-1,4)+1,"Мягкая мебель","Корпусная","Офисная","Кухонная"))</f>
        <v>Смартфоны</v>
      </c>
      <c r="K1938" s="12" t="n">
        <f aca="false">1000+MOD(A1938*317+A1938*A1938*7,49001)</f>
        <v>26264</v>
      </c>
      <c r="L1938" s="12" t="n">
        <f aca="false">1+MOD(A1938*131,100)</f>
        <v>48</v>
      </c>
      <c r="M1938" s="12" t="n">
        <f aca="false">INT(K1938*(0.6+MOD(A1938*43,21)/100))</f>
        <v>17071</v>
      </c>
      <c r="N1938" s="12" t="n">
        <f aca="false">K1938-M1938</f>
        <v>9193</v>
      </c>
    </row>
    <row r="1939" customFormat="false" ht="12.8" hidden="false" customHeight="false" outlineLevel="0" collapsed="false">
      <c r="A1939" s="10" t="n">
        <f aca="false">A1938+1</f>
        <v>1938</v>
      </c>
      <c r="B1939" s="11" t="n">
        <f aca="false">B1938+1</f>
        <v>46864</v>
      </c>
      <c r="C1939" s="10" t="n">
        <f aca="false">YEAR(B1939)</f>
        <v>2028</v>
      </c>
      <c r="D1939" s="10" t="n">
        <f aca="false">INT((MONTH(B1939)-1)/3)+1</f>
        <v>2</v>
      </c>
      <c r="E1939" s="10" t="n">
        <f aca="false">MONTH(B1939)</f>
        <v>4</v>
      </c>
      <c r="F1939" s="10" t="str">
        <f aca="false">CHOOSE(MOD(A1939-1,5)+1,"Центр","Юг","Север","Запад","Восток")</f>
        <v>Север</v>
      </c>
      <c r="G1939" s="10" t="str">
        <f aca="false">"Округ_"&amp;(MOD(A1939-1,5)+1)&amp;"_"&amp;(MOD(INT((A1939-1)/5),5)+1)</f>
        <v>Округ_3_3</v>
      </c>
      <c r="H1939" s="10" t="str">
        <f aca="false">"Город_"&amp;(MOD(A1939-1,5)+1)&amp;"_"&amp;(MOD(INT((A1939-1)/5),5)+1)&amp;"_"&amp;(MOD(INT((A1939-1)/25),10)+1)</f>
        <v>Город_3_3_8</v>
      </c>
      <c r="I1939" s="10" t="str">
        <f aca="false">CHOOSE(MOD(A1939-1,4)+1,"Электроника","Одежда","Продукты","Мебель")</f>
        <v>Одежда</v>
      </c>
      <c r="J1939" s="10" t="str">
        <f aca="false">CHOOSE(MOD(INT((A1939-1)/4),4)+1,CHOOSE(MOD(A1939-1,4)+1,"Смартфоны","Ноутбуки","Аксессуары","Аудио"),CHOOSE(MOD(A1939-1,4)+1,"Верхняя одежда","Спортивная","Повседневная","Обувь"),CHOOSE(MOD(A1939-1,4)+1,"Молочные","Мясные","Бакалея","Напитки"),CHOOSE(MOD(A1939-1,4)+1,"Мягкая мебель","Корпусная","Офисная","Кухонная"))</f>
        <v>Ноутбуки</v>
      </c>
      <c r="K1939" s="12" t="n">
        <f aca="false">1000+MOD(A1939*317+A1939*A1939*7,49001)</f>
        <v>4705</v>
      </c>
      <c r="L1939" s="12" t="n">
        <f aca="false">1+MOD(A1939*131,100)</f>
        <v>79</v>
      </c>
      <c r="M1939" s="12" t="n">
        <f aca="false">INT(K1939*(0.6+MOD(A1939*43,21)/100))</f>
        <v>3105</v>
      </c>
      <c r="N1939" s="12" t="n">
        <f aca="false">K1939-M1939</f>
        <v>1600</v>
      </c>
    </row>
    <row r="1940" customFormat="false" ht="12.8" hidden="false" customHeight="false" outlineLevel="0" collapsed="false">
      <c r="A1940" s="10" t="n">
        <f aca="false">A1939+1</f>
        <v>1939</v>
      </c>
      <c r="B1940" s="11" t="n">
        <f aca="false">B1939+1</f>
        <v>46865</v>
      </c>
      <c r="C1940" s="10" t="n">
        <f aca="false">YEAR(B1940)</f>
        <v>2028</v>
      </c>
      <c r="D1940" s="10" t="n">
        <f aca="false">INT((MONTH(B1940)-1)/3)+1</f>
        <v>2</v>
      </c>
      <c r="E1940" s="10" t="n">
        <f aca="false">MONTH(B1940)</f>
        <v>4</v>
      </c>
      <c r="F1940" s="10" t="str">
        <f aca="false">CHOOSE(MOD(A1940-1,5)+1,"Центр","Юг","Север","Запад","Восток")</f>
        <v>Запад</v>
      </c>
      <c r="G1940" s="10" t="str">
        <f aca="false">"Округ_"&amp;(MOD(A1940-1,5)+1)&amp;"_"&amp;(MOD(INT((A1940-1)/5),5)+1)</f>
        <v>Округ_4_3</v>
      </c>
      <c r="H1940" s="10" t="str">
        <f aca="false">"Город_"&amp;(MOD(A1940-1,5)+1)&amp;"_"&amp;(MOD(INT((A1940-1)/5),5)+1)&amp;"_"&amp;(MOD(INT((A1940-1)/25),10)+1)</f>
        <v>Город_4_3_8</v>
      </c>
      <c r="I1940" s="10" t="str">
        <f aca="false">CHOOSE(MOD(A1940-1,4)+1,"Электроника","Одежда","Продукты","Мебель")</f>
        <v>Продукты</v>
      </c>
      <c r="J1940" s="10" t="str">
        <f aca="false">CHOOSE(MOD(INT((A1940-1)/4),4)+1,CHOOSE(MOD(A1940-1,4)+1,"Смартфоны","Ноутбуки","Аксессуары","Аудио"),CHOOSE(MOD(A1940-1,4)+1,"Верхняя одежда","Спортивная","Повседневная","Обувь"),CHOOSE(MOD(A1940-1,4)+1,"Молочные","Мясные","Бакалея","Напитки"),CHOOSE(MOD(A1940-1,4)+1,"Мягкая мебель","Корпусная","Офисная","Кухонная"))</f>
        <v>Аксессуары</v>
      </c>
      <c r="K1940" s="12" t="n">
        <f aca="false">1000+MOD(A1940*317+A1940*A1940*7,49001)</f>
        <v>32161</v>
      </c>
      <c r="L1940" s="12" t="n">
        <f aca="false">1+MOD(A1940*131,100)</f>
        <v>10</v>
      </c>
      <c r="M1940" s="12" t="n">
        <f aca="false">INT(K1940*(0.6+MOD(A1940*43,21)/100))</f>
        <v>21547</v>
      </c>
      <c r="N1940" s="12" t="n">
        <f aca="false">K1940-M1940</f>
        <v>10614</v>
      </c>
    </row>
    <row r="1941" customFormat="false" ht="12.8" hidden="false" customHeight="false" outlineLevel="0" collapsed="false">
      <c r="A1941" s="10" t="n">
        <f aca="false">A1940+1</f>
        <v>1940</v>
      </c>
      <c r="B1941" s="11" t="n">
        <f aca="false">B1940+1</f>
        <v>46866</v>
      </c>
      <c r="C1941" s="10" t="n">
        <f aca="false">YEAR(B1941)</f>
        <v>2028</v>
      </c>
      <c r="D1941" s="10" t="n">
        <f aca="false">INT((MONTH(B1941)-1)/3)+1</f>
        <v>2</v>
      </c>
      <c r="E1941" s="10" t="n">
        <f aca="false">MONTH(B1941)</f>
        <v>4</v>
      </c>
      <c r="F1941" s="10" t="str">
        <f aca="false">CHOOSE(MOD(A1941-1,5)+1,"Центр","Юг","Север","Запад","Восток")</f>
        <v>Восток</v>
      </c>
      <c r="G1941" s="10" t="str">
        <f aca="false">"Округ_"&amp;(MOD(A1941-1,5)+1)&amp;"_"&amp;(MOD(INT((A1941-1)/5),5)+1)</f>
        <v>Округ_5_3</v>
      </c>
      <c r="H1941" s="10" t="str">
        <f aca="false">"Город_"&amp;(MOD(A1941-1,5)+1)&amp;"_"&amp;(MOD(INT((A1941-1)/5),5)+1)&amp;"_"&amp;(MOD(INT((A1941-1)/25),10)+1)</f>
        <v>Город_5_3_8</v>
      </c>
      <c r="I1941" s="10" t="str">
        <f aca="false">CHOOSE(MOD(A1941-1,4)+1,"Электроника","Одежда","Продукты","Мебель")</f>
        <v>Мебель</v>
      </c>
      <c r="J1941" s="10" t="str">
        <f aca="false">CHOOSE(MOD(INT((A1941-1)/4),4)+1,CHOOSE(MOD(A1941-1,4)+1,"Смартфоны","Ноутбуки","Аксессуары","Аудио"),CHOOSE(MOD(A1941-1,4)+1,"Верхняя одежда","Спортивная","Повседневная","Обувь"),CHOOSE(MOD(A1941-1,4)+1,"Молочные","Мясные","Бакалея","Напитки"),CHOOSE(MOD(A1941-1,4)+1,"Мягкая мебель","Корпусная","Офисная","Кухонная"))</f>
        <v>Аудио</v>
      </c>
      <c r="K1941" s="12" t="n">
        <f aca="false">1000+MOD(A1941*317+A1941*A1941*7,49001)</f>
        <v>10630</v>
      </c>
      <c r="L1941" s="12" t="n">
        <f aca="false">1+MOD(A1941*131,100)</f>
        <v>41</v>
      </c>
      <c r="M1941" s="12" t="n">
        <f aca="false">INT(K1941*(0.6+MOD(A1941*43,21)/100))</f>
        <v>7228</v>
      </c>
      <c r="N1941" s="12" t="n">
        <f aca="false">K1941-M1941</f>
        <v>3402</v>
      </c>
    </row>
    <row r="1942" customFormat="false" ht="12.8" hidden="false" customHeight="false" outlineLevel="0" collapsed="false">
      <c r="A1942" s="10" t="n">
        <f aca="false">A1941+1</f>
        <v>1941</v>
      </c>
      <c r="B1942" s="11" t="n">
        <f aca="false">B1941+1</f>
        <v>46867</v>
      </c>
      <c r="C1942" s="10" t="n">
        <f aca="false">YEAR(B1942)</f>
        <v>2028</v>
      </c>
      <c r="D1942" s="10" t="n">
        <f aca="false">INT((MONTH(B1942)-1)/3)+1</f>
        <v>2</v>
      </c>
      <c r="E1942" s="10" t="n">
        <f aca="false">MONTH(B1942)</f>
        <v>4</v>
      </c>
      <c r="F1942" s="10" t="str">
        <f aca="false">CHOOSE(MOD(A1942-1,5)+1,"Центр","Юг","Север","Запад","Восток")</f>
        <v>Центр</v>
      </c>
      <c r="G1942" s="10" t="str">
        <f aca="false">"Округ_"&amp;(MOD(A1942-1,5)+1)&amp;"_"&amp;(MOD(INT((A1942-1)/5),5)+1)</f>
        <v>Округ_1_4</v>
      </c>
      <c r="H1942" s="10" t="str">
        <f aca="false">"Город_"&amp;(MOD(A1942-1,5)+1)&amp;"_"&amp;(MOD(INT((A1942-1)/5),5)+1)&amp;"_"&amp;(MOD(INT((A1942-1)/25),10)+1)</f>
        <v>Город_1_4_8</v>
      </c>
      <c r="I1942" s="10" t="str">
        <f aca="false">CHOOSE(MOD(A1942-1,4)+1,"Электроника","Одежда","Продукты","Мебель")</f>
        <v>Электроника</v>
      </c>
      <c r="J1942" s="10" t="str">
        <f aca="false">CHOOSE(MOD(INT((A1942-1)/4),4)+1,CHOOSE(MOD(A1942-1,4)+1,"Смартфоны","Ноутбуки","Аксессуары","Аудио"),CHOOSE(MOD(A1942-1,4)+1,"Верхняя одежда","Спортивная","Повседневная","Обувь"),CHOOSE(MOD(A1942-1,4)+1,"Молочные","Мясные","Бакалея","Напитки"),CHOOSE(MOD(A1942-1,4)+1,"Мягкая мебель","Корпусная","Офисная","Кухонная"))</f>
        <v>Верхняя одежда</v>
      </c>
      <c r="K1942" s="12" t="n">
        <f aca="false">1000+MOD(A1942*317+A1942*A1942*7,49001)</f>
        <v>38114</v>
      </c>
      <c r="L1942" s="12" t="n">
        <f aca="false">1+MOD(A1942*131,100)</f>
        <v>72</v>
      </c>
      <c r="M1942" s="12" t="n">
        <f aca="false">INT(K1942*(0.6+MOD(A1942*43,21)/100))</f>
        <v>26298</v>
      </c>
      <c r="N1942" s="12" t="n">
        <f aca="false">K1942-M1942</f>
        <v>11816</v>
      </c>
    </row>
    <row r="1943" customFormat="false" ht="12.8" hidden="false" customHeight="false" outlineLevel="0" collapsed="false">
      <c r="A1943" s="10" t="n">
        <f aca="false">A1942+1</f>
        <v>1942</v>
      </c>
      <c r="B1943" s="11" t="n">
        <f aca="false">B1942+1</f>
        <v>46868</v>
      </c>
      <c r="C1943" s="10" t="n">
        <f aca="false">YEAR(B1943)</f>
        <v>2028</v>
      </c>
      <c r="D1943" s="10" t="n">
        <f aca="false">INT((MONTH(B1943)-1)/3)+1</f>
        <v>2</v>
      </c>
      <c r="E1943" s="10" t="n">
        <f aca="false">MONTH(B1943)</f>
        <v>4</v>
      </c>
      <c r="F1943" s="10" t="str">
        <f aca="false">CHOOSE(MOD(A1943-1,5)+1,"Центр","Юг","Север","Запад","Восток")</f>
        <v>Юг</v>
      </c>
      <c r="G1943" s="10" t="str">
        <f aca="false">"Округ_"&amp;(MOD(A1943-1,5)+1)&amp;"_"&amp;(MOD(INT((A1943-1)/5),5)+1)</f>
        <v>Округ_2_4</v>
      </c>
      <c r="H1943" s="10" t="str">
        <f aca="false">"Город_"&amp;(MOD(A1943-1,5)+1)&amp;"_"&amp;(MOD(INT((A1943-1)/5),5)+1)&amp;"_"&amp;(MOD(INT((A1943-1)/25),10)+1)</f>
        <v>Город_2_4_8</v>
      </c>
      <c r="I1943" s="10" t="str">
        <f aca="false">CHOOSE(MOD(A1943-1,4)+1,"Электроника","Одежда","Продукты","Мебель")</f>
        <v>Одежда</v>
      </c>
      <c r="J1943" s="10" t="str">
        <f aca="false">CHOOSE(MOD(INT((A1943-1)/4),4)+1,CHOOSE(MOD(A1943-1,4)+1,"Смартфоны","Ноутбуки","Аксессуары","Аудио"),CHOOSE(MOD(A1943-1,4)+1,"Верхняя одежда","Спортивная","Повседневная","Обувь"),CHOOSE(MOD(A1943-1,4)+1,"Молочные","Мясные","Бакалея","Напитки"),CHOOSE(MOD(A1943-1,4)+1,"Мягкая мебель","Корпусная","Офисная","Кухонная"))</f>
        <v>Спортивная</v>
      </c>
      <c r="K1943" s="12" t="n">
        <f aca="false">1000+MOD(A1943*317+A1943*A1943*7,49001)</f>
        <v>16611</v>
      </c>
      <c r="L1943" s="12" t="n">
        <f aca="false">1+MOD(A1943*131,100)</f>
        <v>3</v>
      </c>
      <c r="M1943" s="12" t="n">
        <f aca="false">INT(K1943*(0.6+MOD(A1943*43,21)/100))</f>
        <v>11627</v>
      </c>
      <c r="N1943" s="12" t="n">
        <f aca="false">K1943-M1943</f>
        <v>4984</v>
      </c>
    </row>
    <row r="1944" customFormat="false" ht="12.8" hidden="false" customHeight="false" outlineLevel="0" collapsed="false">
      <c r="A1944" s="10" t="n">
        <f aca="false">A1943+1</f>
        <v>1943</v>
      </c>
      <c r="B1944" s="11" t="n">
        <f aca="false">B1943+1</f>
        <v>46869</v>
      </c>
      <c r="C1944" s="10" t="n">
        <f aca="false">YEAR(B1944)</f>
        <v>2028</v>
      </c>
      <c r="D1944" s="10" t="n">
        <f aca="false">INT((MONTH(B1944)-1)/3)+1</f>
        <v>2</v>
      </c>
      <c r="E1944" s="10" t="n">
        <f aca="false">MONTH(B1944)</f>
        <v>4</v>
      </c>
      <c r="F1944" s="10" t="str">
        <f aca="false">CHOOSE(MOD(A1944-1,5)+1,"Центр","Юг","Север","Запад","Восток")</f>
        <v>Север</v>
      </c>
      <c r="G1944" s="10" t="str">
        <f aca="false">"Округ_"&amp;(MOD(A1944-1,5)+1)&amp;"_"&amp;(MOD(INT((A1944-1)/5),5)+1)</f>
        <v>Округ_3_4</v>
      </c>
      <c r="H1944" s="10" t="str">
        <f aca="false">"Город_"&amp;(MOD(A1944-1,5)+1)&amp;"_"&amp;(MOD(INT((A1944-1)/5),5)+1)&amp;"_"&amp;(MOD(INT((A1944-1)/25),10)+1)</f>
        <v>Город_3_4_8</v>
      </c>
      <c r="I1944" s="10" t="str">
        <f aca="false">CHOOSE(MOD(A1944-1,4)+1,"Электроника","Одежда","Продукты","Мебель")</f>
        <v>Продукты</v>
      </c>
      <c r="J1944" s="10" t="str">
        <f aca="false">CHOOSE(MOD(INT((A1944-1)/4),4)+1,CHOOSE(MOD(A1944-1,4)+1,"Смартфоны","Ноутбуки","Аксессуары","Аудио"),CHOOSE(MOD(A1944-1,4)+1,"Верхняя одежда","Спортивная","Повседневная","Обувь"),CHOOSE(MOD(A1944-1,4)+1,"Молочные","Мясные","Бакалея","Напитки"),CHOOSE(MOD(A1944-1,4)+1,"Мягкая мебель","Корпусная","Офисная","Кухонная"))</f>
        <v>Повседневная</v>
      </c>
      <c r="K1944" s="12" t="n">
        <f aca="false">1000+MOD(A1944*317+A1944*A1944*7,49001)</f>
        <v>44123</v>
      </c>
      <c r="L1944" s="12" t="n">
        <f aca="false">1+MOD(A1944*131,100)</f>
        <v>34</v>
      </c>
      <c r="M1944" s="12" t="n">
        <f aca="false">INT(K1944*(0.6+MOD(A1944*43,21)/100))</f>
        <v>31327</v>
      </c>
      <c r="N1944" s="12" t="n">
        <f aca="false">K1944-M1944</f>
        <v>12796</v>
      </c>
    </row>
    <row r="1945" customFormat="false" ht="12.8" hidden="false" customHeight="false" outlineLevel="0" collapsed="false">
      <c r="A1945" s="10" t="n">
        <f aca="false">A1944+1</f>
        <v>1944</v>
      </c>
      <c r="B1945" s="11" t="n">
        <f aca="false">B1944+1</f>
        <v>46870</v>
      </c>
      <c r="C1945" s="10" t="n">
        <f aca="false">YEAR(B1945)</f>
        <v>2028</v>
      </c>
      <c r="D1945" s="10" t="n">
        <f aca="false">INT((MONTH(B1945)-1)/3)+1</f>
        <v>2</v>
      </c>
      <c r="E1945" s="10" t="n">
        <f aca="false">MONTH(B1945)</f>
        <v>4</v>
      </c>
      <c r="F1945" s="10" t="str">
        <f aca="false">CHOOSE(MOD(A1945-1,5)+1,"Центр","Юг","Север","Запад","Восток")</f>
        <v>Запад</v>
      </c>
      <c r="G1945" s="10" t="str">
        <f aca="false">"Округ_"&amp;(MOD(A1945-1,5)+1)&amp;"_"&amp;(MOD(INT((A1945-1)/5),5)+1)</f>
        <v>Округ_4_4</v>
      </c>
      <c r="H1945" s="10" t="str">
        <f aca="false">"Город_"&amp;(MOD(A1945-1,5)+1)&amp;"_"&amp;(MOD(INT((A1945-1)/5),5)+1)&amp;"_"&amp;(MOD(INT((A1945-1)/25),10)+1)</f>
        <v>Город_4_4_8</v>
      </c>
      <c r="I1945" s="10" t="str">
        <f aca="false">CHOOSE(MOD(A1945-1,4)+1,"Электроника","Одежда","Продукты","Мебель")</f>
        <v>Мебель</v>
      </c>
      <c r="J1945" s="10" t="str">
        <f aca="false">CHOOSE(MOD(INT((A1945-1)/4),4)+1,CHOOSE(MOD(A1945-1,4)+1,"Смартфоны","Ноутбуки","Аксессуары","Аудио"),CHOOSE(MOD(A1945-1,4)+1,"Верхняя одежда","Спортивная","Повседневная","Обувь"),CHOOSE(MOD(A1945-1,4)+1,"Молочные","Мясные","Бакалея","Напитки"),CHOOSE(MOD(A1945-1,4)+1,"Мягкая мебель","Корпусная","Офисная","Кухонная"))</f>
        <v>Обувь</v>
      </c>
      <c r="K1945" s="12" t="n">
        <f aca="false">1000+MOD(A1945*317+A1945*A1945*7,49001)</f>
        <v>22648</v>
      </c>
      <c r="L1945" s="12" t="n">
        <f aca="false">1+MOD(A1945*131,100)</f>
        <v>65</v>
      </c>
      <c r="M1945" s="12" t="n">
        <f aca="false">INT(K1945*(0.6+MOD(A1945*43,21)/100))</f>
        <v>16306</v>
      </c>
      <c r="N1945" s="12" t="n">
        <f aca="false">K1945-M1945</f>
        <v>6342</v>
      </c>
    </row>
    <row r="1946" customFormat="false" ht="12.8" hidden="false" customHeight="false" outlineLevel="0" collapsed="false">
      <c r="A1946" s="10" t="n">
        <f aca="false">A1945+1</f>
        <v>1945</v>
      </c>
      <c r="B1946" s="11" t="n">
        <f aca="false">B1945+1</f>
        <v>46871</v>
      </c>
      <c r="C1946" s="10" t="n">
        <f aca="false">YEAR(B1946)</f>
        <v>2028</v>
      </c>
      <c r="D1946" s="10" t="n">
        <f aca="false">INT((MONTH(B1946)-1)/3)+1</f>
        <v>2</v>
      </c>
      <c r="E1946" s="10" t="n">
        <f aca="false">MONTH(B1946)</f>
        <v>4</v>
      </c>
      <c r="F1946" s="10" t="str">
        <f aca="false">CHOOSE(MOD(A1946-1,5)+1,"Центр","Юг","Север","Запад","Восток")</f>
        <v>Восток</v>
      </c>
      <c r="G1946" s="10" t="str">
        <f aca="false">"Округ_"&amp;(MOD(A1946-1,5)+1)&amp;"_"&amp;(MOD(INT((A1946-1)/5),5)+1)</f>
        <v>Округ_5_4</v>
      </c>
      <c r="H1946" s="10" t="str">
        <f aca="false">"Город_"&amp;(MOD(A1946-1,5)+1)&amp;"_"&amp;(MOD(INT((A1946-1)/5),5)+1)&amp;"_"&amp;(MOD(INT((A1946-1)/25),10)+1)</f>
        <v>Город_5_4_8</v>
      </c>
      <c r="I1946" s="10" t="str">
        <f aca="false">CHOOSE(MOD(A1946-1,4)+1,"Электроника","Одежда","Продукты","Мебель")</f>
        <v>Электроника</v>
      </c>
      <c r="J1946" s="10" t="str">
        <f aca="false">CHOOSE(MOD(INT((A1946-1)/4),4)+1,CHOOSE(MOD(A1946-1,4)+1,"Смартфоны","Ноутбуки","Аксессуары","Аудио"),CHOOSE(MOD(A1946-1,4)+1,"Верхняя одежда","Спортивная","Повседневная","Обувь"),CHOOSE(MOD(A1946-1,4)+1,"Молочные","Мясные","Бакалея","Напитки"),CHOOSE(MOD(A1946-1,4)+1,"Мягкая мебель","Корпусная","Офисная","Кухонная"))</f>
        <v>Молочные</v>
      </c>
      <c r="K1946" s="12" t="n">
        <f aca="false">1000+MOD(A1946*317+A1946*A1946*7,49001)</f>
        <v>1187</v>
      </c>
      <c r="L1946" s="12" t="n">
        <f aca="false">1+MOD(A1946*131,100)</f>
        <v>96</v>
      </c>
      <c r="M1946" s="12" t="n">
        <f aca="false">INT(K1946*(0.6+MOD(A1946*43,21)/100))</f>
        <v>866</v>
      </c>
      <c r="N1946" s="12" t="n">
        <f aca="false">K1946-M1946</f>
        <v>321</v>
      </c>
    </row>
    <row r="1947" customFormat="false" ht="12.8" hidden="false" customHeight="false" outlineLevel="0" collapsed="false">
      <c r="A1947" s="10" t="n">
        <f aca="false">A1946+1</f>
        <v>1946</v>
      </c>
      <c r="B1947" s="11" t="n">
        <f aca="false">B1946+1</f>
        <v>46872</v>
      </c>
      <c r="C1947" s="10" t="n">
        <f aca="false">YEAR(B1947)</f>
        <v>2028</v>
      </c>
      <c r="D1947" s="10" t="n">
        <f aca="false">INT((MONTH(B1947)-1)/3)+1</f>
        <v>2</v>
      </c>
      <c r="E1947" s="10" t="n">
        <f aca="false">MONTH(B1947)</f>
        <v>4</v>
      </c>
      <c r="F1947" s="10" t="str">
        <f aca="false">CHOOSE(MOD(A1947-1,5)+1,"Центр","Юг","Север","Запад","Восток")</f>
        <v>Центр</v>
      </c>
      <c r="G1947" s="10" t="str">
        <f aca="false">"Округ_"&amp;(MOD(A1947-1,5)+1)&amp;"_"&amp;(MOD(INT((A1947-1)/5),5)+1)</f>
        <v>Округ_1_5</v>
      </c>
      <c r="H1947" s="10" t="str">
        <f aca="false">"Город_"&amp;(MOD(A1947-1,5)+1)&amp;"_"&amp;(MOD(INT((A1947-1)/5),5)+1)&amp;"_"&amp;(MOD(INT((A1947-1)/25),10)+1)</f>
        <v>Город_1_5_8</v>
      </c>
      <c r="I1947" s="10" t="str">
        <f aca="false">CHOOSE(MOD(A1947-1,4)+1,"Электроника","Одежда","Продукты","Мебель")</f>
        <v>Одежда</v>
      </c>
      <c r="J1947" s="10" t="str">
        <f aca="false">CHOOSE(MOD(INT((A1947-1)/4),4)+1,CHOOSE(MOD(A1947-1,4)+1,"Смартфоны","Ноутбуки","Аксессуары","Аудио"),CHOOSE(MOD(A1947-1,4)+1,"Верхняя одежда","Спортивная","Повседневная","Обувь"),CHOOSE(MOD(A1947-1,4)+1,"Молочные","Мясные","Бакалея","Напитки"),CHOOSE(MOD(A1947-1,4)+1,"Мягкая мебель","Корпусная","Офисная","Кухонная"))</f>
        <v>Мясные</v>
      </c>
      <c r="K1947" s="12" t="n">
        <f aca="false">1000+MOD(A1947*317+A1947*A1947*7,49001)</f>
        <v>28741</v>
      </c>
      <c r="L1947" s="12" t="n">
        <f aca="false">1+MOD(A1947*131,100)</f>
        <v>27</v>
      </c>
      <c r="M1947" s="12" t="n">
        <f aca="false">INT(K1947*(0.6+MOD(A1947*43,21)/100))</f>
        <v>21268</v>
      </c>
      <c r="N1947" s="12" t="n">
        <f aca="false">K1947-M1947</f>
        <v>7473</v>
      </c>
    </row>
    <row r="1948" customFormat="false" ht="12.8" hidden="false" customHeight="false" outlineLevel="0" collapsed="false">
      <c r="A1948" s="10" t="n">
        <f aca="false">A1947+1</f>
        <v>1947</v>
      </c>
      <c r="B1948" s="11" t="n">
        <f aca="false">B1947+1</f>
        <v>46873</v>
      </c>
      <c r="C1948" s="10" t="n">
        <f aca="false">YEAR(B1948)</f>
        <v>2028</v>
      </c>
      <c r="D1948" s="10" t="n">
        <f aca="false">INT((MONTH(B1948)-1)/3)+1</f>
        <v>2</v>
      </c>
      <c r="E1948" s="10" t="n">
        <f aca="false">MONTH(B1948)</f>
        <v>4</v>
      </c>
      <c r="F1948" s="10" t="str">
        <f aca="false">CHOOSE(MOD(A1948-1,5)+1,"Центр","Юг","Север","Запад","Восток")</f>
        <v>Юг</v>
      </c>
      <c r="G1948" s="10" t="str">
        <f aca="false">"Округ_"&amp;(MOD(A1948-1,5)+1)&amp;"_"&amp;(MOD(INT((A1948-1)/5),5)+1)</f>
        <v>Округ_2_5</v>
      </c>
      <c r="H1948" s="10" t="str">
        <f aca="false">"Город_"&amp;(MOD(A1948-1,5)+1)&amp;"_"&amp;(MOD(INT((A1948-1)/5),5)+1)&amp;"_"&amp;(MOD(INT((A1948-1)/25),10)+1)</f>
        <v>Город_2_5_8</v>
      </c>
      <c r="I1948" s="10" t="str">
        <f aca="false">CHOOSE(MOD(A1948-1,4)+1,"Электроника","Одежда","Продукты","Мебель")</f>
        <v>Продукты</v>
      </c>
      <c r="J1948" s="10" t="str">
        <f aca="false">CHOOSE(MOD(INT((A1948-1)/4),4)+1,CHOOSE(MOD(A1948-1,4)+1,"Смартфоны","Ноутбуки","Аксессуары","Аудио"),CHOOSE(MOD(A1948-1,4)+1,"Верхняя одежда","Спортивная","Повседневная","Обувь"),CHOOSE(MOD(A1948-1,4)+1,"Молочные","Мясные","Бакалея","Напитки"),CHOOSE(MOD(A1948-1,4)+1,"Мягкая мебель","Корпусная","Офисная","Кухонная"))</f>
        <v>Бакалея</v>
      </c>
      <c r="K1948" s="12" t="n">
        <f aca="false">1000+MOD(A1948*317+A1948*A1948*7,49001)</f>
        <v>7308</v>
      </c>
      <c r="L1948" s="12" t="n">
        <f aca="false">1+MOD(A1948*131,100)</f>
        <v>58</v>
      </c>
      <c r="M1948" s="12" t="n">
        <f aca="false">INT(K1948*(0.6+MOD(A1948*43,21)/100))</f>
        <v>5481</v>
      </c>
      <c r="N1948" s="12" t="n">
        <f aca="false">K1948-M1948</f>
        <v>1827</v>
      </c>
    </row>
    <row r="1949" customFormat="false" ht="12.8" hidden="false" customHeight="false" outlineLevel="0" collapsed="false">
      <c r="A1949" s="10" t="n">
        <f aca="false">A1948+1</f>
        <v>1948</v>
      </c>
      <c r="B1949" s="11" t="n">
        <f aca="false">B1948+1</f>
        <v>46874</v>
      </c>
      <c r="C1949" s="10" t="n">
        <f aca="false">YEAR(B1949)</f>
        <v>2028</v>
      </c>
      <c r="D1949" s="10" t="n">
        <f aca="false">INT((MONTH(B1949)-1)/3)+1</f>
        <v>2</v>
      </c>
      <c r="E1949" s="10" t="n">
        <f aca="false">MONTH(B1949)</f>
        <v>5</v>
      </c>
      <c r="F1949" s="10" t="str">
        <f aca="false">CHOOSE(MOD(A1949-1,5)+1,"Центр","Юг","Север","Запад","Восток")</f>
        <v>Север</v>
      </c>
      <c r="G1949" s="10" t="str">
        <f aca="false">"Округ_"&amp;(MOD(A1949-1,5)+1)&amp;"_"&amp;(MOD(INT((A1949-1)/5),5)+1)</f>
        <v>Округ_3_5</v>
      </c>
      <c r="H1949" s="10" t="str">
        <f aca="false">"Город_"&amp;(MOD(A1949-1,5)+1)&amp;"_"&amp;(MOD(INT((A1949-1)/5),5)+1)&amp;"_"&amp;(MOD(INT((A1949-1)/25),10)+1)</f>
        <v>Город_3_5_8</v>
      </c>
      <c r="I1949" s="10" t="str">
        <f aca="false">CHOOSE(MOD(A1949-1,4)+1,"Электроника","Одежда","Продукты","Мебель")</f>
        <v>Мебель</v>
      </c>
      <c r="J1949" s="10" t="str">
        <f aca="false">CHOOSE(MOD(INT((A1949-1)/4),4)+1,CHOOSE(MOD(A1949-1,4)+1,"Смартфоны","Ноутбуки","Аксессуары","Аудио"),CHOOSE(MOD(A1949-1,4)+1,"Верхняя одежда","Спортивная","Повседневная","Обувь"),CHOOSE(MOD(A1949-1,4)+1,"Молочные","Мясные","Бакалея","Напитки"),CHOOSE(MOD(A1949-1,4)+1,"Мягкая мебель","Корпусная","Офисная","Кухонная"))</f>
        <v>Напитки</v>
      </c>
      <c r="K1949" s="12" t="n">
        <f aca="false">1000+MOD(A1949*317+A1949*A1949*7,49001)</f>
        <v>34890</v>
      </c>
      <c r="L1949" s="12" t="n">
        <f aca="false">1+MOD(A1949*131,100)</f>
        <v>89</v>
      </c>
      <c r="M1949" s="12" t="n">
        <f aca="false">INT(K1949*(0.6+MOD(A1949*43,21)/100))</f>
        <v>26516</v>
      </c>
      <c r="N1949" s="12" t="n">
        <f aca="false">K1949-M1949</f>
        <v>8374</v>
      </c>
    </row>
    <row r="1950" customFormat="false" ht="12.8" hidden="false" customHeight="false" outlineLevel="0" collapsed="false">
      <c r="A1950" s="10" t="n">
        <f aca="false">A1949+1</f>
        <v>1949</v>
      </c>
      <c r="B1950" s="11" t="n">
        <f aca="false">B1949+1</f>
        <v>46875</v>
      </c>
      <c r="C1950" s="10" t="n">
        <f aca="false">YEAR(B1950)</f>
        <v>2028</v>
      </c>
      <c r="D1950" s="10" t="n">
        <f aca="false">INT((MONTH(B1950)-1)/3)+1</f>
        <v>2</v>
      </c>
      <c r="E1950" s="10" t="n">
        <f aca="false">MONTH(B1950)</f>
        <v>5</v>
      </c>
      <c r="F1950" s="10" t="str">
        <f aca="false">CHOOSE(MOD(A1950-1,5)+1,"Центр","Юг","Север","Запад","Восток")</f>
        <v>Запад</v>
      </c>
      <c r="G1950" s="10" t="str">
        <f aca="false">"Округ_"&amp;(MOD(A1950-1,5)+1)&amp;"_"&amp;(MOD(INT((A1950-1)/5),5)+1)</f>
        <v>Округ_4_5</v>
      </c>
      <c r="H1950" s="10" t="str">
        <f aca="false">"Город_"&amp;(MOD(A1950-1,5)+1)&amp;"_"&amp;(MOD(INT((A1950-1)/5),5)+1)&amp;"_"&amp;(MOD(INT((A1950-1)/25),10)+1)</f>
        <v>Город_4_5_8</v>
      </c>
      <c r="I1950" s="10" t="str">
        <f aca="false">CHOOSE(MOD(A1950-1,4)+1,"Электроника","Одежда","Продукты","Мебель")</f>
        <v>Электроника</v>
      </c>
      <c r="J1950" s="10" t="str">
        <f aca="false">CHOOSE(MOD(INT((A1950-1)/4),4)+1,CHOOSE(MOD(A1950-1,4)+1,"Смартфоны","Ноутбуки","Аксессуары","Аудио"),CHOOSE(MOD(A1950-1,4)+1,"Верхняя одежда","Спортивная","Повседневная","Обувь"),CHOOSE(MOD(A1950-1,4)+1,"Молочные","Мясные","Бакалея","Напитки"),CHOOSE(MOD(A1950-1,4)+1,"Мягкая мебель","Корпусная","Офисная","Кухонная"))</f>
        <v>Мягкая мебель</v>
      </c>
      <c r="K1950" s="12" t="n">
        <f aca="false">1000+MOD(A1950*317+A1950*A1950*7,49001)</f>
        <v>13485</v>
      </c>
      <c r="L1950" s="12" t="n">
        <f aca="false">1+MOD(A1950*131,100)</f>
        <v>20</v>
      </c>
      <c r="M1950" s="12" t="n">
        <f aca="false">INT(K1950*(0.6+MOD(A1950*43,21)/100))</f>
        <v>10383</v>
      </c>
      <c r="N1950" s="12" t="n">
        <f aca="false">K1950-M1950</f>
        <v>3102</v>
      </c>
    </row>
    <row r="1951" customFormat="false" ht="12.8" hidden="false" customHeight="false" outlineLevel="0" collapsed="false">
      <c r="A1951" s="10" t="n">
        <f aca="false">A1950+1</f>
        <v>1950</v>
      </c>
      <c r="B1951" s="11" t="n">
        <f aca="false">B1950+1</f>
        <v>46876</v>
      </c>
      <c r="C1951" s="10" t="n">
        <f aca="false">YEAR(B1951)</f>
        <v>2028</v>
      </c>
      <c r="D1951" s="10" t="n">
        <f aca="false">INT((MONTH(B1951)-1)/3)+1</f>
        <v>2</v>
      </c>
      <c r="E1951" s="10" t="n">
        <f aca="false">MONTH(B1951)</f>
        <v>5</v>
      </c>
      <c r="F1951" s="10" t="str">
        <f aca="false">CHOOSE(MOD(A1951-1,5)+1,"Центр","Юг","Север","Запад","Восток")</f>
        <v>Восток</v>
      </c>
      <c r="G1951" s="10" t="str">
        <f aca="false">"Округ_"&amp;(MOD(A1951-1,5)+1)&amp;"_"&amp;(MOD(INT((A1951-1)/5),5)+1)</f>
        <v>Округ_5_5</v>
      </c>
      <c r="H1951" s="10" t="str">
        <f aca="false">"Город_"&amp;(MOD(A1951-1,5)+1)&amp;"_"&amp;(MOD(INT((A1951-1)/5),5)+1)&amp;"_"&amp;(MOD(INT((A1951-1)/25),10)+1)</f>
        <v>Город_5_5_8</v>
      </c>
      <c r="I1951" s="10" t="str">
        <f aca="false">CHOOSE(MOD(A1951-1,4)+1,"Электроника","Одежда","Продукты","Мебель")</f>
        <v>Одежда</v>
      </c>
      <c r="J1951" s="10" t="str">
        <f aca="false">CHOOSE(MOD(INT((A1951-1)/4),4)+1,CHOOSE(MOD(A1951-1,4)+1,"Смартфоны","Ноутбуки","Аксессуары","Аудио"),CHOOSE(MOD(A1951-1,4)+1,"Верхняя одежда","Спортивная","Повседневная","Обувь"),CHOOSE(MOD(A1951-1,4)+1,"Молочные","Мясные","Бакалея","Напитки"),CHOOSE(MOD(A1951-1,4)+1,"Мягкая мебель","Корпусная","Офисная","Кухонная"))</f>
        <v>Корпусная</v>
      </c>
      <c r="K1951" s="12" t="n">
        <f aca="false">1000+MOD(A1951*317+A1951*A1951*7,49001)</f>
        <v>41095</v>
      </c>
      <c r="L1951" s="12" t="n">
        <f aca="false">1+MOD(A1951*131,100)</f>
        <v>51</v>
      </c>
      <c r="M1951" s="12" t="n">
        <f aca="false">INT(K1951*(0.6+MOD(A1951*43,21)/100))</f>
        <v>32054</v>
      </c>
      <c r="N1951" s="12" t="n">
        <f aca="false">K1951-M1951</f>
        <v>9041</v>
      </c>
    </row>
    <row r="1952" customFormat="false" ht="12.8" hidden="false" customHeight="false" outlineLevel="0" collapsed="false">
      <c r="A1952" s="10" t="n">
        <f aca="false">A1951+1</f>
        <v>1951</v>
      </c>
      <c r="B1952" s="11" t="n">
        <f aca="false">B1951+1</f>
        <v>46877</v>
      </c>
      <c r="C1952" s="10" t="n">
        <f aca="false">YEAR(B1952)</f>
        <v>2028</v>
      </c>
      <c r="D1952" s="10" t="n">
        <f aca="false">INT((MONTH(B1952)-1)/3)+1</f>
        <v>2</v>
      </c>
      <c r="E1952" s="10" t="n">
        <f aca="false">MONTH(B1952)</f>
        <v>5</v>
      </c>
      <c r="F1952" s="10" t="str">
        <f aca="false">CHOOSE(MOD(A1952-1,5)+1,"Центр","Юг","Север","Запад","Восток")</f>
        <v>Центр</v>
      </c>
      <c r="G1952" s="10" t="str">
        <f aca="false">"Округ_"&amp;(MOD(A1952-1,5)+1)&amp;"_"&amp;(MOD(INT((A1952-1)/5),5)+1)</f>
        <v>Округ_1_1</v>
      </c>
      <c r="H1952" s="10" t="str">
        <f aca="false">"Город_"&amp;(MOD(A1952-1,5)+1)&amp;"_"&amp;(MOD(INT((A1952-1)/5),5)+1)&amp;"_"&amp;(MOD(INT((A1952-1)/25),10)+1)</f>
        <v>Город_1_1_9</v>
      </c>
      <c r="I1952" s="10" t="str">
        <f aca="false">CHOOSE(MOD(A1952-1,4)+1,"Электроника","Одежда","Продукты","Мебель")</f>
        <v>Продукты</v>
      </c>
      <c r="J1952" s="10" t="str">
        <f aca="false">CHOOSE(MOD(INT((A1952-1)/4),4)+1,CHOOSE(MOD(A1952-1,4)+1,"Смартфоны","Ноутбуки","Аксессуары","Аудио"),CHOOSE(MOD(A1952-1,4)+1,"Верхняя одежда","Спортивная","Повседневная","Обувь"),CHOOSE(MOD(A1952-1,4)+1,"Молочные","Мясные","Бакалея","Напитки"),CHOOSE(MOD(A1952-1,4)+1,"Мягкая мебель","Корпусная","Офисная","Кухонная"))</f>
        <v>Офисная</v>
      </c>
      <c r="K1952" s="12" t="n">
        <f aca="false">1000+MOD(A1952*317+A1952*A1952*7,49001)</f>
        <v>19718</v>
      </c>
      <c r="L1952" s="12" t="n">
        <f aca="false">1+MOD(A1952*131,100)</f>
        <v>82</v>
      </c>
      <c r="M1952" s="12" t="n">
        <f aca="false">INT(K1952*(0.6+MOD(A1952*43,21)/100))</f>
        <v>15577</v>
      </c>
      <c r="N1952" s="12" t="n">
        <f aca="false">K1952-M1952</f>
        <v>4141</v>
      </c>
    </row>
    <row r="1953" customFormat="false" ht="12.8" hidden="false" customHeight="false" outlineLevel="0" collapsed="false">
      <c r="A1953" s="10" t="n">
        <f aca="false">A1952+1</f>
        <v>1952</v>
      </c>
      <c r="B1953" s="11" t="n">
        <f aca="false">B1952+1</f>
        <v>46878</v>
      </c>
      <c r="C1953" s="10" t="n">
        <f aca="false">YEAR(B1953)</f>
        <v>2028</v>
      </c>
      <c r="D1953" s="10" t="n">
        <f aca="false">INT((MONTH(B1953)-1)/3)+1</f>
        <v>2</v>
      </c>
      <c r="E1953" s="10" t="n">
        <f aca="false">MONTH(B1953)</f>
        <v>5</v>
      </c>
      <c r="F1953" s="10" t="str">
        <f aca="false">CHOOSE(MOD(A1953-1,5)+1,"Центр","Юг","Север","Запад","Восток")</f>
        <v>Юг</v>
      </c>
      <c r="G1953" s="10" t="str">
        <f aca="false">"Округ_"&amp;(MOD(A1953-1,5)+1)&amp;"_"&amp;(MOD(INT((A1953-1)/5),5)+1)</f>
        <v>Округ_2_1</v>
      </c>
      <c r="H1953" s="10" t="str">
        <f aca="false">"Город_"&amp;(MOD(A1953-1,5)+1)&amp;"_"&amp;(MOD(INT((A1953-1)/5),5)+1)&amp;"_"&amp;(MOD(INT((A1953-1)/25),10)+1)</f>
        <v>Город_2_1_9</v>
      </c>
      <c r="I1953" s="10" t="str">
        <f aca="false">CHOOSE(MOD(A1953-1,4)+1,"Электроника","Одежда","Продукты","Мебель")</f>
        <v>Мебель</v>
      </c>
      <c r="J1953" s="10" t="str">
        <f aca="false">CHOOSE(MOD(INT((A1953-1)/4),4)+1,CHOOSE(MOD(A1953-1,4)+1,"Смартфоны","Ноутбуки","Аксессуары","Аудио"),CHOOSE(MOD(A1953-1,4)+1,"Верхняя одежда","Спортивная","Повседневная","Обувь"),CHOOSE(MOD(A1953-1,4)+1,"Молочные","Мясные","Бакалея","Напитки"),CHOOSE(MOD(A1953-1,4)+1,"Мягкая мебель","Корпусная","Офисная","Кухонная"))</f>
        <v>Кухонная</v>
      </c>
      <c r="K1953" s="12" t="n">
        <f aca="false">1000+MOD(A1953*317+A1953*A1953*7,49001)</f>
        <v>47356</v>
      </c>
      <c r="L1953" s="12" t="n">
        <f aca="false">1+MOD(A1953*131,100)</f>
        <v>13</v>
      </c>
      <c r="M1953" s="12" t="n">
        <f aca="false">INT(K1953*(0.6+MOD(A1953*43,21)/100))</f>
        <v>37884</v>
      </c>
      <c r="N1953" s="12" t="n">
        <f aca="false">K1953-M1953</f>
        <v>9472</v>
      </c>
    </row>
    <row r="1954" customFormat="false" ht="12.8" hidden="false" customHeight="false" outlineLevel="0" collapsed="false">
      <c r="A1954" s="10" t="n">
        <f aca="false">A1953+1</f>
        <v>1953</v>
      </c>
      <c r="B1954" s="11" t="n">
        <f aca="false">B1953+1</f>
        <v>46879</v>
      </c>
      <c r="C1954" s="10" t="n">
        <f aca="false">YEAR(B1954)</f>
        <v>2028</v>
      </c>
      <c r="D1954" s="10" t="n">
        <f aca="false">INT((MONTH(B1954)-1)/3)+1</f>
        <v>2</v>
      </c>
      <c r="E1954" s="10" t="n">
        <f aca="false">MONTH(B1954)</f>
        <v>5</v>
      </c>
      <c r="F1954" s="10" t="str">
        <f aca="false">CHOOSE(MOD(A1954-1,5)+1,"Центр","Юг","Север","Запад","Восток")</f>
        <v>Север</v>
      </c>
      <c r="G1954" s="10" t="str">
        <f aca="false">"Округ_"&amp;(MOD(A1954-1,5)+1)&amp;"_"&amp;(MOD(INT((A1954-1)/5),5)+1)</f>
        <v>Округ_3_1</v>
      </c>
      <c r="H1954" s="10" t="str">
        <f aca="false">"Город_"&amp;(MOD(A1954-1,5)+1)&amp;"_"&amp;(MOD(INT((A1954-1)/5),5)+1)&amp;"_"&amp;(MOD(INT((A1954-1)/25),10)+1)</f>
        <v>Город_3_1_9</v>
      </c>
      <c r="I1954" s="10" t="str">
        <f aca="false">CHOOSE(MOD(A1954-1,4)+1,"Электроника","Одежда","Продукты","Мебель")</f>
        <v>Электроника</v>
      </c>
      <c r="J1954" s="10" t="str">
        <f aca="false">CHOOSE(MOD(INT((A1954-1)/4),4)+1,CHOOSE(MOD(A1954-1,4)+1,"Смартфоны","Ноутбуки","Аксессуары","Аудио"),CHOOSE(MOD(A1954-1,4)+1,"Верхняя одежда","Спортивная","Повседневная","Обувь"),CHOOSE(MOD(A1954-1,4)+1,"Молочные","Мясные","Бакалея","Напитки"),CHOOSE(MOD(A1954-1,4)+1,"Мягкая мебель","Корпусная","Офисная","Кухонная"))</f>
        <v>Смартфоны</v>
      </c>
      <c r="K1954" s="12" t="n">
        <f aca="false">1000+MOD(A1954*317+A1954*A1954*7,49001)</f>
        <v>26007</v>
      </c>
      <c r="L1954" s="12" t="n">
        <f aca="false">1+MOD(A1954*131,100)</f>
        <v>44</v>
      </c>
      <c r="M1954" s="12" t="n">
        <f aca="false">INT(K1954*(0.6+MOD(A1954*43,21)/100))</f>
        <v>15604</v>
      </c>
      <c r="N1954" s="12" t="n">
        <f aca="false">K1954-M1954</f>
        <v>10403</v>
      </c>
    </row>
    <row r="1955" customFormat="false" ht="12.8" hidden="false" customHeight="false" outlineLevel="0" collapsed="false">
      <c r="A1955" s="10" t="n">
        <f aca="false">A1954+1</f>
        <v>1954</v>
      </c>
      <c r="B1955" s="11" t="n">
        <f aca="false">B1954+1</f>
        <v>46880</v>
      </c>
      <c r="C1955" s="10" t="n">
        <f aca="false">YEAR(B1955)</f>
        <v>2028</v>
      </c>
      <c r="D1955" s="10" t="n">
        <f aca="false">INT((MONTH(B1955)-1)/3)+1</f>
        <v>2</v>
      </c>
      <c r="E1955" s="10" t="n">
        <f aca="false">MONTH(B1955)</f>
        <v>5</v>
      </c>
      <c r="F1955" s="10" t="str">
        <f aca="false">CHOOSE(MOD(A1955-1,5)+1,"Центр","Юг","Север","Запад","Восток")</f>
        <v>Запад</v>
      </c>
      <c r="G1955" s="10" t="str">
        <f aca="false">"Округ_"&amp;(MOD(A1955-1,5)+1)&amp;"_"&amp;(MOD(INT((A1955-1)/5),5)+1)</f>
        <v>Округ_4_1</v>
      </c>
      <c r="H1955" s="10" t="str">
        <f aca="false">"Город_"&amp;(MOD(A1955-1,5)+1)&amp;"_"&amp;(MOD(INT((A1955-1)/5),5)+1)&amp;"_"&amp;(MOD(INT((A1955-1)/25),10)+1)</f>
        <v>Город_4_1_9</v>
      </c>
      <c r="I1955" s="10" t="str">
        <f aca="false">CHOOSE(MOD(A1955-1,4)+1,"Электроника","Одежда","Продукты","Мебель")</f>
        <v>Одежда</v>
      </c>
      <c r="J1955" s="10" t="str">
        <f aca="false">CHOOSE(MOD(INT((A1955-1)/4),4)+1,CHOOSE(MOD(A1955-1,4)+1,"Смартфоны","Ноутбуки","Аксессуары","Аудио"),CHOOSE(MOD(A1955-1,4)+1,"Верхняя одежда","Спортивная","Повседневная","Обувь"),CHOOSE(MOD(A1955-1,4)+1,"Молочные","Мясные","Бакалея","Напитки"),CHOOSE(MOD(A1955-1,4)+1,"Мягкая мебель","Корпусная","Офисная","Кухонная"))</f>
        <v>Ноутбуки</v>
      </c>
      <c r="K1955" s="12" t="n">
        <f aca="false">1000+MOD(A1955*317+A1955*A1955*7,49001)</f>
        <v>4672</v>
      </c>
      <c r="L1955" s="12" t="n">
        <f aca="false">1+MOD(A1955*131,100)</f>
        <v>75</v>
      </c>
      <c r="M1955" s="12" t="n">
        <f aca="false">INT(K1955*(0.6+MOD(A1955*43,21)/100))</f>
        <v>2849</v>
      </c>
      <c r="N1955" s="12" t="n">
        <f aca="false">K1955-M1955</f>
        <v>1823</v>
      </c>
    </row>
    <row r="1956" customFormat="false" ht="12.8" hidden="false" customHeight="false" outlineLevel="0" collapsed="false">
      <c r="A1956" s="10" t="n">
        <f aca="false">A1955+1</f>
        <v>1955</v>
      </c>
      <c r="B1956" s="11" t="n">
        <f aca="false">B1955+1</f>
        <v>46881</v>
      </c>
      <c r="C1956" s="10" t="n">
        <f aca="false">YEAR(B1956)</f>
        <v>2028</v>
      </c>
      <c r="D1956" s="10" t="n">
        <f aca="false">INT((MONTH(B1956)-1)/3)+1</f>
        <v>2</v>
      </c>
      <c r="E1956" s="10" t="n">
        <f aca="false">MONTH(B1956)</f>
        <v>5</v>
      </c>
      <c r="F1956" s="10" t="str">
        <f aca="false">CHOOSE(MOD(A1956-1,5)+1,"Центр","Юг","Север","Запад","Восток")</f>
        <v>Восток</v>
      </c>
      <c r="G1956" s="10" t="str">
        <f aca="false">"Округ_"&amp;(MOD(A1956-1,5)+1)&amp;"_"&amp;(MOD(INT((A1956-1)/5),5)+1)</f>
        <v>Округ_5_1</v>
      </c>
      <c r="H1956" s="10" t="str">
        <f aca="false">"Город_"&amp;(MOD(A1956-1,5)+1)&amp;"_"&amp;(MOD(INT((A1956-1)/5),5)+1)&amp;"_"&amp;(MOD(INT((A1956-1)/25),10)+1)</f>
        <v>Город_5_1_9</v>
      </c>
      <c r="I1956" s="10" t="str">
        <f aca="false">CHOOSE(MOD(A1956-1,4)+1,"Электроника","Одежда","Продукты","Мебель")</f>
        <v>Продукты</v>
      </c>
      <c r="J1956" s="10" t="str">
        <f aca="false">CHOOSE(MOD(INT((A1956-1)/4),4)+1,CHOOSE(MOD(A1956-1,4)+1,"Смартфоны","Ноутбуки","Аксессуары","Аудио"),CHOOSE(MOD(A1956-1,4)+1,"Верхняя одежда","Спортивная","Повседневная","Обувь"),CHOOSE(MOD(A1956-1,4)+1,"Молочные","Мясные","Бакалея","Напитки"),CHOOSE(MOD(A1956-1,4)+1,"Мягкая мебель","Корпусная","Офисная","Кухонная"))</f>
        <v>Аксессуары</v>
      </c>
      <c r="K1956" s="12" t="n">
        <f aca="false">1000+MOD(A1956*317+A1956*A1956*7,49001)</f>
        <v>32352</v>
      </c>
      <c r="L1956" s="12" t="n">
        <f aca="false">1+MOD(A1956*131,100)</f>
        <v>6</v>
      </c>
      <c r="M1956" s="12" t="n">
        <f aca="false">INT(K1956*(0.6+MOD(A1956*43,21)/100))</f>
        <v>20058</v>
      </c>
      <c r="N1956" s="12" t="n">
        <f aca="false">K1956-M1956</f>
        <v>12294</v>
      </c>
    </row>
    <row r="1957" customFormat="false" ht="12.8" hidden="false" customHeight="false" outlineLevel="0" collapsed="false">
      <c r="A1957" s="10" t="n">
        <f aca="false">A1956+1</f>
        <v>1956</v>
      </c>
      <c r="B1957" s="11" t="n">
        <f aca="false">B1956+1</f>
        <v>46882</v>
      </c>
      <c r="C1957" s="10" t="n">
        <f aca="false">YEAR(B1957)</f>
        <v>2028</v>
      </c>
      <c r="D1957" s="10" t="n">
        <f aca="false">INT((MONTH(B1957)-1)/3)+1</f>
        <v>2</v>
      </c>
      <c r="E1957" s="10" t="n">
        <f aca="false">MONTH(B1957)</f>
        <v>5</v>
      </c>
      <c r="F1957" s="10" t="str">
        <f aca="false">CHOOSE(MOD(A1957-1,5)+1,"Центр","Юг","Север","Запад","Восток")</f>
        <v>Центр</v>
      </c>
      <c r="G1957" s="10" t="str">
        <f aca="false">"Округ_"&amp;(MOD(A1957-1,5)+1)&amp;"_"&amp;(MOD(INT((A1957-1)/5),5)+1)</f>
        <v>Округ_1_2</v>
      </c>
      <c r="H1957" s="10" t="str">
        <f aca="false">"Город_"&amp;(MOD(A1957-1,5)+1)&amp;"_"&amp;(MOD(INT((A1957-1)/5),5)+1)&amp;"_"&amp;(MOD(INT((A1957-1)/25),10)+1)</f>
        <v>Город_1_2_9</v>
      </c>
      <c r="I1957" s="10" t="str">
        <f aca="false">CHOOSE(MOD(A1957-1,4)+1,"Электроника","Одежда","Продукты","Мебель")</f>
        <v>Мебель</v>
      </c>
      <c r="J1957" s="10" t="str">
        <f aca="false">CHOOSE(MOD(INT((A1957-1)/4),4)+1,CHOOSE(MOD(A1957-1,4)+1,"Смартфоны","Ноутбуки","Аксессуары","Аудио"),CHOOSE(MOD(A1957-1,4)+1,"Верхняя одежда","Спортивная","Повседневная","Обувь"),CHOOSE(MOD(A1957-1,4)+1,"Молочные","Мясные","Бакалея","Напитки"),CHOOSE(MOD(A1957-1,4)+1,"Мягкая мебель","Корпусная","Офисная","Кухонная"))</f>
        <v>Аудио</v>
      </c>
      <c r="K1957" s="12" t="n">
        <f aca="false">1000+MOD(A1957*317+A1957*A1957*7,49001)</f>
        <v>11045</v>
      </c>
      <c r="L1957" s="12" t="n">
        <f aca="false">1+MOD(A1957*131,100)</f>
        <v>37</v>
      </c>
      <c r="M1957" s="12" t="n">
        <f aca="false">INT(K1957*(0.6+MOD(A1957*43,21)/100))</f>
        <v>6958</v>
      </c>
      <c r="N1957" s="12" t="n">
        <f aca="false">K1957-M1957</f>
        <v>4087</v>
      </c>
    </row>
    <row r="1958" customFormat="false" ht="12.8" hidden="false" customHeight="false" outlineLevel="0" collapsed="false">
      <c r="A1958" s="10" t="n">
        <f aca="false">A1957+1</f>
        <v>1957</v>
      </c>
      <c r="B1958" s="11" t="n">
        <f aca="false">B1957+1</f>
        <v>46883</v>
      </c>
      <c r="C1958" s="10" t="n">
        <f aca="false">YEAR(B1958)</f>
        <v>2028</v>
      </c>
      <c r="D1958" s="10" t="n">
        <f aca="false">INT((MONTH(B1958)-1)/3)+1</f>
        <v>2</v>
      </c>
      <c r="E1958" s="10" t="n">
        <f aca="false">MONTH(B1958)</f>
        <v>5</v>
      </c>
      <c r="F1958" s="10" t="str">
        <f aca="false">CHOOSE(MOD(A1958-1,5)+1,"Центр","Юг","Север","Запад","Восток")</f>
        <v>Юг</v>
      </c>
      <c r="G1958" s="10" t="str">
        <f aca="false">"Округ_"&amp;(MOD(A1958-1,5)+1)&amp;"_"&amp;(MOD(INT((A1958-1)/5),5)+1)</f>
        <v>Округ_2_2</v>
      </c>
      <c r="H1958" s="10" t="str">
        <f aca="false">"Город_"&amp;(MOD(A1958-1,5)+1)&amp;"_"&amp;(MOD(INT((A1958-1)/5),5)+1)&amp;"_"&amp;(MOD(INT((A1958-1)/25),10)+1)</f>
        <v>Город_2_2_9</v>
      </c>
      <c r="I1958" s="10" t="str">
        <f aca="false">CHOOSE(MOD(A1958-1,4)+1,"Электроника","Одежда","Продукты","Мебель")</f>
        <v>Электроника</v>
      </c>
      <c r="J1958" s="10" t="str">
        <f aca="false">CHOOSE(MOD(INT((A1958-1)/4),4)+1,CHOOSE(MOD(A1958-1,4)+1,"Смартфоны","Ноутбуки","Аксессуары","Аудио"),CHOOSE(MOD(A1958-1,4)+1,"Верхняя одежда","Спортивная","Повседневная","Обувь"),CHOOSE(MOD(A1958-1,4)+1,"Молочные","Мясные","Бакалея","Напитки"),CHOOSE(MOD(A1958-1,4)+1,"Мягкая мебель","Корпусная","Офисная","Кухонная"))</f>
        <v>Верхняя одежда</v>
      </c>
      <c r="K1958" s="12" t="n">
        <f aca="false">1000+MOD(A1958*317+A1958*A1958*7,49001)</f>
        <v>38753</v>
      </c>
      <c r="L1958" s="12" t="n">
        <f aca="false">1+MOD(A1958*131,100)</f>
        <v>68</v>
      </c>
      <c r="M1958" s="12" t="n">
        <f aca="false">INT(K1958*(0.6+MOD(A1958*43,21)/100))</f>
        <v>24801</v>
      </c>
      <c r="N1958" s="12" t="n">
        <f aca="false">K1958-M1958</f>
        <v>13952</v>
      </c>
    </row>
    <row r="1959" customFormat="false" ht="12.8" hidden="false" customHeight="false" outlineLevel="0" collapsed="false">
      <c r="A1959" s="10" t="n">
        <f aca="false">A1958+1</f>
        <v>1958</v>
      </c>
      <c r="B1959" s="11" t="n">
        <f aca="false">B1958+1</f>
        <v>46884</v>
      </c>
      <c r="C1959" s="10" t="n">
        <f aca="false">YEAR(B1959)</f>
        <v>2028</v>
      </c>
      <c r="D1959" s="10" t="n">
        <f aca="false">INT((MONTH(B1959)-1)/3)+1</f>
        <v>2</v>
      </c>
      <c r="E1959" s="10" t="n">
        <f aca="false">MONTH(B1959)</f>
        <v>5</v>
      </c>
      <c r="F1959" s="10" t="str">
        <f aca="false">CHOOSE(MOD(A1959-1,5)+1,"Центр","Юг","Север","Запад","Восток")</f>
        <v>Север</v>
      </c>
      <c r="G1959" s="10" t="str">
        <f aca="false">"Округ_"&amp;(MOD(A1959-1,5)+1)&amp;"_"&amp;(MOD(INT((A1959-1)/5),5)+1)</f>
        <v>Округ_3_2</v>
      </c>
      <c r="H1959" s="10" t="str">
        <f aca="false">"Город_"&amp;(MOD(A1959-1,5)+1)&amp;"_"&amp;(MOD(INT((A1959-1)/5),5)+1)&amp;"_"&amp;(MOD(INT((A1959-1)/25),10)+1)</f>
        <v>Город_3_2_9</v>
      </c>
      <c r="I1959" s="10" t="str">
        <f aca="false">CHOOSE(MOD(A1959-1,4)+1,"Электроника","Одежда","Продукты","Мебель")</f>
        <v>Одежда</v>
      </c>
      <c r="J1959" s="10" t="str">
        <f aca="false">CHOOSE(MOD(INT((A1959-1)/4),4)+1,CHOOSE(MOD(A1959-1,4)+1,"Смартфоны","Ноутбуки","Аксессуары","Аудио"),CHOOSE(MOD(A1959-1,4)+1,"Верхняя одежда","Спортивная","Повседневная","Обувь"),CHOOSE(MOD(A1959-1,4)+1,"Молочные","Мясные","Бакалея","Напитки"),CHOOSE(MOD(A1959-1,4)+1,"Мягкая мебель","Корпусная","Офисная","Кухонная"))</f>
        <v>Спортивная</v>
      </c>
      <c r="K1959" s="12" t="n">
        <f aca="false">1000+MOD(A1959*317+A1959*A1959*7,49001)</f>
        <v>17474</v>
      </c>
      <c r="L1959" s="12" t="n">
        <f aca="false">1+MOD(A1959*131,100)</f>
        <v>99</v>
      </c>
      <c r="M1959" s="12" t="n">
        <f aca="false">INT(K1959*(0.6+MOD(A1959*43,21)/100))</f>
        <v>11358</v>
      </c>
      <c r="N1959" s="12" t="n">
        <f aca="false">K1959-M1959</f>
        <v>6116</v>
      </c>
    </row>
    <row r="1960" customFormat="false" ht="12.8" hidden="false" customHeight="false" outlineLevel="0" collapsed="false">
      <c r="A1960" s="10" t="n">
        <f aca="false">A1959+1</f>
        <v>1959</v>
      </c>
      <c r="B1960" s="11" t="n">
        <f aca="false">B1959+1</f>
        <v>46885</v>
      </c>
      <c r="C1960" s="10" t="n">
        <f aca="false">YEAR(B1960)</f>
        <v>2028</v>
      </c>
      <c r="D1960" s="10" t="n">
        <f aca="false">INT((MONTH(B1960)-1)/3)+1</f>
        <v>2</v>
      </c>
      <c r="E1960" s="10" t="n">
        <f aca="false">MONTH(B1960)</f>
        <v>5</v>
      </c>
      <c r="F1960" s="10" t="str">
        <f aca="false">CHOOSE(MOD(A1960-1,5)+1,"Центр","Юг","Север","Запад","Восток")</f>
        <v>Запад</v>
      </c>
      <c r="G1960" s="10" t="str">
        <f aca="false">"Округ_"&amp;(MOD(A1960-1,5)+1)&amp;"_"&amp;(MOD(INT((A1960-1)/5),5)+1)</f>
        <v>Округ_4_2</v>
      </c>
      <c r="H1960" s="10" t="str">
        <f aca="false">"Город_"&amp;(MOD(A1960-1,5)+1)&amp;"_"&amp;(MOD(INT((A1960-1)/5),5)+1)&amp;"_"&amp;(MOD(INT((A1960-1)/25),10)+1)</f>
        <v>Город_4_2_9</v>
      </c>
      <c r="I1960" s="10" t="str">
        <f aca="false">CHOOSE(MOD(A1960-1,4)+1,"Электроника","Одежда","Продукты","Мебель")</f>
        <v>Продукты</v>
      </c>
      <c r="J1960" s="10" t="str">
        <f aca="false">CHOOSE(MOD(INT((A1960-1)/4),4)+1,CHOOSE(MOD(A1960-1,4)+1,"Смартфоны","Ноутбуки","Аксессуары","Аудио"),CHOOSE(MOD(A1960-1,4)+1,"Верхняя одежда","Спортивная","Повседневная","Обувь"),CHOOSE(MOD(A1960-1,4)+1,"Молочные","Мясные","Бакалея","Напитки"),CHOOSE(MOD(A1960-1,4)+1,"Мягкая мебель","Корпусная","Офисная","Кухонная"))</f>
        <v>Повседневная</v>
      </c>
      <c r="K1960" s="12" t="n">
        <f aca="false">1000+MOD(A1960*317+A1960*A1960*7,49001)</f>
        <v>45210</v>
      </c>
      <c r="L1960" s="12" t="n">
        <f aca="false">1+MOD(A1960*131,100)</f>
        <v>30</v>
      </c>
      <c r="M1960" s="12" t="n">
        <f aca="false">INT(K1960*(0.6+MOD(A1960*43,21)/100))</f>
        <v>29838</v>
      </c>
      <c r="N1960" s="12" t="n">
        <f aca="false">K1960-M1960</f>
        <v>15372</v>
      </c>
    </row>
    <row r="1961" customFormat="false" ht="12.8" hidden="false" customHeight="false" outlineLevel="0" collapsed="false">
      <c r="A1961" s="10" t="n">
        <f aca="false">A1960+1</f>
        <v>1960</v>
      </c>
      <c r="B1961" s="11" t="n">
        <f aca="false">B1960+1</f>
        <v>46886</v>
      </c>
      <c r="C1961" s="10" t="n">
        <f aca="false">YEAR(B1961)</f>
        <v>2028</v>
      </c>
      <c r="D1961" s="10" t="n">
        <f aca="false">INT((MONTH(B1961)-1)/3)+1</f>
        <v>2</v>
      </c>
      <c r="E1961" s="10" t="n">
        <f aca="false">MONTH(B1961)</f>
        <v>5</v>
      </c>
      <c r="F1961" s="10" t="str">
        <f aca="false">CHOOSE(MOD(A1961-1,5)+1,"Центр","Юг","Север","Запад","Восток")</f>
        <v>Восток</v>
      </c>
      <c r="G1961" s="10" t="str">
        <f aca="false">"Округ_"&amp;(MOD(A1961-1,5)+1)&amp;"_"&amp;(MOD(INT((A1961-1)/5),5)+1)</f>
        <v>Округ_5_2</v>
      </c>
      <c r="H1961" s="10" t="str">
        <f aca="false">"Город_"&amp;(MOD(A1961-1,5)+1)&amp;"_"&amp;(MOD(INT((A1961-1)/5),5)+1)&amp;"_"&amp;(MOD(INT((A1961-1)/25),10)+1)</f>
        <v>Город_5_2_9</v>
      </c>
      <c r="I1961" s="10" t="str">
        <f aca="false">CHOOSE(MOD(A1961-1,4)+1,"Электроника","Одежда","Продукты","Мебель")</f>
        <v>Мебель</v>
      </c>
      <c r="J1961" s="10" t="str">
        <f aca="false">CHOOSE(MOD(INT((A1961-1)/4),4)+1,CHOOSE(MOD(A1961-1,4)+1,"Смартфоны","Ноутбуки","Аксессуары","Аудио"),CHOOSE(MOD(A1961-1,4)+1,"Верхняя одежда","Спортивная","Повседневная","Обувь"),CHOOSE(MOD(A1961-1,4)+1,"Молочные","Мясные","Бакалея","Напитки"),CHOOSE(MOD(A1961-1,4)+1,"Мягкая мебель","Корпусная","Офисная","Кухонная"))</f>
        <v>Обувь</v>
      </c>
      <c r="K1961" s="12" t="n">
        <f aca="false">1000+MOD(A1961*317+A1961*A1961*7,49001)</f>
        <v>23959</v>
      </c>
      <c r="L1961" s="12" t="n">
        <f aca="false">1+MOD(A1961*131,100)</f>
        <v>61</v>
      </c>
      <c r="M1961" s="12" t="n">
        <f aca="false">INT(K1961*(0.6+MOD(A1961*43,21)/100))</f>
        <v>16052</v>
      </c>
      <c r="N1961" s="12" t="n">
        <f aca="false">K1961-M1961</f>
        <v>7907</v>
      </c>
    </row>
    <row r="1962" customFormat="false" ht="12.8" hidden="false" customHeight="false" outlineLevel="0" collapsed="false">
      <c r="A1962" s="10" t="n">
        <f aca="false">A1961+1</f>
        <v>1961</v>
      </c>
      <c r="B1962" s="11" t="n">
        <f aca="false">B1961+1</f>
        <v>46887</v>
      </c>
      <c r="C1962" s="10" t="n">
        <f aca="false">YEAR(B1962)</f>
        <v>2028</v>
      </c>
      <c r="D1962" s="10" t="n">
        <f aca="false">INT((MONTH(B1962)-1)/3)+1</f>
        <v>2</v>
      </c>
      <c r="E1962" s="10" t="n">
        <f aca="false">MONTH(B1962)</f>
        <v>5</v>
      </c>
      <c r="F1962" s="10" t="str">
        <f aca="false">CHOOSE(MOD(A1962-1,5)+1,"Центр","Юг","Север","Запад","Восток")</f>
        <v>Центр</v>
      </c>
      <c r="G1962" s="10" t="str">
        <f aca="false">"Округ_"&amp;(MOD(A1962-1,5)+1)&amp;"_"&amp;(MOD(INT((A1962-1)/5),5)+1)</f>
        <v>Округ_1_3</v>
      </c>
      <c r="H1962" s="10" t="str">
        <f aca="false">"Город_"&amp;(MOD(A1962-1,5)+1)&amp;"_"&amp;(MOD(INT((A1962-1)/5),5)+1)&amp;"_"&amp;(MOD(INT((A1962-1)/25),10)+1)</f>
        <v>Город_1_3_9</v>
      </c>
      <c r="I1962" s="10" t="str">
        <f aca="false">CHOOSE(MOD(A1962-1,4)+1,"Электроника","Одежда","Продукты","Мебель")</f>
        <v>Электроника</v>
      </c>
      <c r="J1962" s="10" t="str">
        <f aca="false">CHOOSE(MOD(INT((A1962-1)/4),4)+1,CHOOSE(MOD(A1962-1,4)+1,"Смартфоны","Ноутбуки","Аксессуары","Аудио"),CHOOSE(MOD(A1962-1,4)+1,"Верхняя одежда","Спортивная","Повседневная","Обувь"),CHOOSE(MOD(A1962-1,4)+1,"Молочные","Мясные","Бакалея","Напитки"),CHOOSE(MOD(A1962-1,4)+1,"Мягкая мебель","Корпусная","Офисная","Кухонная"))</f>
        <v>Молочные</v>
      </c>
      <c r="K1962" s="12" t="n">
        <f aca="false">1000+MOD(A1962*317+A1962*A1962*7,49001)</f>
        <v>2722</v>
      </c>
      <c r="L1962" s="12" t="n">
        <f aca="false">1+MOD(A1962*131,100)</f>
        <v>92</v>
      </c>
      <c r="M1962" s="12" t="n">
        <f aca="false">INT(K1962*(0.6+MOD(A1962*43,21)/100))</f>
        <v>1850</v>
      </c>
      <c r="N1962" s="12" t="n">
        <f aca="false">K1962-M1962</f>
        <v>872</v>
      </c>
    </row>
    <row r="1963" customFormat="false" ht="12.8" hidden="false" customHeight="false" outlineLevel="0" collapsed="false">
      <c r="A1963" s="10" t="n">
        <f aca="false">A1962+1</f>
        <v>1962</v>
      </c>
      <c r="B1963" s="11" t="n">
        <f aca="false">B1962+1</f>
        <v>46888</v>
      </c>
      <c r="C1963" s="10" t="n">
        <f aca="false">YEAR(B1963)</f>
        <v>2028</v>
      </c>
      <c r="D1963" s="10" t="n">
        <f aca="false">INT((MONTH(B1963)-1)/3)+1</f>
        <v>2</v>
      </c>
      <c r="E1963" s="10" t="n">
        <f aca="false">MONTH(B1963)</f>
        <v>5</v>
      </c>
      <c r="F1963" s="10" t="str">
        <f aca="false">CHOOSE(MOD(A1963-1,5)+1,"Центр","Юг","Север","Запад","Восток")</f>
        <v>Юг</v>
      </c>
      <c r="G1963" s="10" t="str">
        <f aca="false">"Округ_"&amp;(MOD(A1963-1,5)+1)&amp;"_"&amp;(MOD(INT((A1963-1)/5),5)+1)</f>
        <v>Округ_2_3</v>
      </c>
      <c r="H1963" s="10" t="str">
        <f aca="false">"Город_"&amp;(MOD(A1963-1,5)+1)&amp;"_"&amp;(MOD(INT((A1963-1)/5),5)+1)&amp;"_"&amp;(MOD(INT((A1963-1)/25),10)+1)</f>
        <v>Город_2_3_9</v>
      </c>
      <c r="I1963" s="10" t="str">
        <f aca="false">CHOOSE(MOD(A1963-1,4)+1,"Электроника","Одежда","Продукты","Мебель")</f>
        <v>Одежда</v>
      </c>
      <c r="J1963" s="10" t="str">
        <f aca="false">CHOOSE(MOD(INT((A1963-1)/4),4)+1,CHOOSE(MOD(A1963-1,4)+1,"Смартфоны","Ноутбуки","Аксессуары","Аудио"),CHOOSE(MOD(A1963-1,4)+1,"Верхняя одежда","Спортивная","Повседневная","Обувь"),CHOOSE(MOD(A1963-1,4)+1,"Молочные","Мясные","Бакалея","Напитки"),CHOOSE(MOD(A1963-1,4)+1,"Мягкая мебель","Корпусная","Офисная","Кухонная"))</f>
        <v>Мясные</v>
      </c>
      <c r="K1963" s="12" t="n">
        <f aca="false">1000+MOD(A1963*317+A1963*A1963*7,49001)</f>
        <v>30500</v>
      </c>
      <c r="L1963" s="12" t="n">
        <f aca="false">1+MOD(A1963*131,100)</f>
        <v>23</v>
      </c>
      <c r="M1963" s="12" t="n">
        <f aca="false">INT(K1963*(0.6+MOD(A1963*43,21)/100))</f>
        <v>21045</v>
      </c>
      <c r="N1963" s="12" t="n">
        <f aca="false">K1963-M1963</f>
        <v>9455</v>
      </c>
    </row>
    <row r="1964" customFormat="false" ht="12.8" hidden="false" customHeight="false" outlineLevel="0" collapsed="false">
      <c r="A1964" s="10" t="n">
        <f aca="false">A1963+1</f>
        <v>1963</v>
      </c>
      <c r="B1964" s="11" t="n">
        <f aca="false">B1963+1</f>
        <v>46889</v>
      </c>
      <c r="C1964" s="10" t="n">
        <f aca="false">YEAR(B1964)</f>
        <v>2028</v>
      </c>
      <c r="D1964" s="10" t="n">
        <f aca="false">INT((MONTH(B1964)-1)/3)+1</f>
        <v>2</v>
      </c>
      <c r="E1964" s="10" t="n">
        <f aca="false">MONTH(B1964)</f>
        <v>5</v>
      </c>
      <c r="F1964" s="10" t="str">
        <f aca="false">CHOOSE(MOD(A1964-1,5)+1,"Центр","Юг","Север","Запад","Восток")</f>
        <v>Север</v>
      </c>
      <c r="G1964" s="10" t="str">
        <f aca="false">"Округ_"&amp;(MOD(A1964-1,5)+1)&amp;"_"&amp;(MOD(INT((A1964-1)/5),5)+1)</f>
        <v>Округ_3_3</v>
      </c>
      <c r="H1964" s="10" t="str">
        <f aca="false">"Город_"&amp;(MOD(A1964-1,5)+1)&amp;"_"&amp;(MOD(INT((A1964-1)/5),5)+1)&amp;"_"&amp;(MOD(INT((A1964-1)/25),10)+1)</f>
        <v>Город_3_3_9</v>
      </c>
      <c r="I1964" s="10" t="str">
        <f aca="false">CHOOSE(MOD(A1964-1,4)+1,"Электроника","Одежда","Продукты","Мебель")</f>
        <v>Продукты</v>
      </c>
      <c r="J1964" s="10" t="str">
        <f aca="false">CHOOSE(MOD(INT((A1964-1)/4),4)+1,CHOOSE(MOD(A1964-1,4)+1,"Смартфоны","Ноутбуки","Аксессуары","Аудио"),CHOOSE(MOD(A1964-1,4)+1,"Верхняя одежда","Спортивная","Повседневная","Обувь"),CHOOSE(MOD(A1964-1,4)+1,"Молочные","Мясные","Бакалея","Напитки"),CHOOSE(MOD(A1964-1,4)+1,"Мягкая мебель","Корпусная","Офисная","Кухонная"))</f>
        <v>Бакалея</v>
      </c>
      <c r="K1964" s="12" t="n">
        <f aca="false">1000+MOD(A1964*317+A1964*A1964*7,49001)</f>
        <v>9291</v>
      </c>
      <c r="L1964" s="12" t="n">
        <f aca="false">1+MOD(A1964*131,100)</f>
        <v>54</v>
      </c>
      <c r="M1964" s="12" t="n">
        <f aca="false">INT(K1964*(0.6+MOD(A1964*43,21)/100))</f>
        <v>6503</v>
      </c>
      <c r="N1964" s="12" t="n">
        <f aca="false">K1964-M1964</f>
        <v>2788</v>
      </c>
    </row>
    <row r="1965" customFormat="false" ht="12.8" hidden="false" customHeight="false" outlineLevel="0" collapsed="false">
      <c r="A1965" s="10" t="n">
        <f aca="false">A1964+1</f>
        <v>1964</v>
      </c>
      <c r="B1965" s="11" t="n">
        <f aca="false">B1964+1</f>
        <v>46890</v>
      </c>
      <c r="C1965" s="10" t="n">
        <f aca="false">YEAR(B1965)</f>
        <v>2028</v>
      </c>
      <c r="D1965" s="10" t="n">
        <f aca="false">INT((MONTH(B1965)-1)/3)+1</f>
        <v>2</v>
      </c>
      <c r="E1965" s="10" t="n">
        <f aca="false">MONTH(B1965)</f>
        <v>5</v>
      </c>
      <c r="F1965" s="10" t="str">
        <f aca="false">CHOOSE(MOD(A1965-1,5)+1,"Центр","Юг","Север","Запад","Восток")</f>
        <v>Запад</v>
      </c>
      <c r="G1965" s="10" t="str">
        <f aca="false">"Округ_"&amp;(MOD(A1965-1,5)+1)&amp;"_"&amp;(MOD(INT((A1965-1)/5),5)+1)</f>
        <v>Округ_4_3</v>
      </c>
      <c r="H1965" s="10" t="str">
        <f aca="false">"Город_"&amp;(MOD(A1965-1,5)+1)&amp;"_"&amp;(MOD(INT((A1965-1)/5),5)+1)&amp;"_"&amp;(MOD(INT((A1965-1)/25),10)+1)</f>
        <v>Город_4_3_9</v>
      </c>
      <c r="I1965" s="10" t="str">
        <f aca="false">CHOOSE(MOD(A1965-1,4)+1,"Электроника","Одежда","Продукты","Мебель")</f>
        <v>Мебель</v>
      </c>
      <c r="J1965" s="10" t="str">
        <f aca="false">CHOOSE(MOD(INT((A1965-1)/4),4)+1,CHOOSE(MOD(A1965-1,4)+1,"Смартфоны","Ноутбуки","Аксессуары","Аудио"),CHOOSE(MOD(A1965-1,4)+1,"Верхняя одежда","Спортивная","Повседневная","Обувь"),CHOOSE(MOD(A1965-1,4)+1,"Молочные","Мясные","Бакалея","Напитки"),CHOOSE(MOD(A1965-1,4)+1,"Мягкая мебель","Корпусная","Офисная","Кухонная"))</f>
        <v>Напитки</v>
      </c>
      <c r="K1965" s="12" t="n">
        <f aca="false">1000+MOD(A1965*317+A1965*A1965*7,49001)</f>
        <v>37097</v>
      </c>
      <c r="L1965" s="12" t="n">
        <f aca="false">1+MOD(A1965*131,100)</f>
        <v>85</v>
      </c>
      <c r="M1965" s="12" t="n">
        <f aca="false">INT(K1965*(0.6+MOD(A1965*43,21)/100))</f>
        <v>26338</v>
      </c>
      <c r="N1965" s="12" t="n">
        <f aca="false">K1965-M1965</f>
        <v>10759</v>
      </c>
    </row>
    <row r="1966" customFormat="false" ht="12.8" hidden="false" customHeight="false" outlineLevel="0" collapsed="false">
      <c r="A1966" s="10" t="n">
        <f aca="false">A1965+1</f>
        <v>1965</v>
      </c>
      <c r="B1966" s="11" t="n">
        <f aca="false">B1965+1</f>
        <v>46891</v>
      </c>
      <c r="C1966" s="10" t="n">
        <f aca="false">YEAR(B1966)</f>
        <v>2028</v>
      </c>
      <c r="D1966" s="10" t="n">
        <f aca="false">INT((MONTH(B1966)-1)/3)+1</f>
        <v>2</v>
      </c>
      <c r="E1966" s="10" t="n">
        <f aca="false">MONTH(B1966)</f>
        <v>5</v>
      </c>
      <c r="F1966" s="10" t="str">
        <f aca="false">CHOOSE(MOD(A1966-1,5)+1,"Центр","Юг","Север","Запад","Восток")</f>
        <v>Восток</v>
      </c>
      <c r="G1966" s="10" t="str">
        <f aca="false">"Округ_"&amp;(MOD(A1966-1,5)+1)&amp;"_"&amp;(MOD(INT((A1966-1)/5),5)+1)</f>
        <v>Округ_5_3</v>
      </c>
      <c r="H1966" s="10" t="str">
        <f aca="false">"Город_"&amp;(MOD(A1966-1,5)+1)&amp;"_"&amp;(MOD(INT((A1966-1)/5),5)+1)&amp;"_"&amp;(MOD(INT((A1966-1)/25),10)+1)</f>
        <v>Город_5_3_9</v>
      </c>
      <c r="I1966" s="10" t="str">
        <f aca="false">CHOOSE(MOD(A1966-1,4)+1,"Электроника","Одежда","Продукты","Мебель")</f>
        <v>Электроника</v>
      </c>
      <c r="J1966" s="10" t="str">
        <f aca="false">CHOOSE(MOD(INT((A1966-1)/4),4)+1,CHOOSE(MOD(A1966-1,4)+1,"Смартфоны","Ноутбуки","Аксессуары","Аудио"),CHOOSE(MOD(A1966-1,4)+1,"Верхняя одежда","Спортивная","Повседневная","Обувь"),CHOOSE(MOD(A1966-1,4)+1,"Молочные","Мясные","Бакалея","Напитки"),CHOOSE(MOD(A1966-1,4)+1,"Мягкая мебель","Корпусная","Офисная","Кухонная"))</f>
        <v>Мягкая мебель</v>
      </c>
      <c r="K1966" s="12" t="n">
        <f aca="false">1000+MOD(A1966*317+A1966*A1966*7,49001)</f>
        <v>15916</v>
      </c>
      <c r="L1966" s="12" t="n">
        <f aca="false">1+MOD(A1966*131,100)</f>
        <v>16</v>
      </c>
      <c r="M1966" s="12" t="n">
        <f aca="false">INT(K1966*(0.6+MOD(A1966*43,21)/100))</f>
        <v>11459</v>
      </c>
      <c r="N1966" s="12" t="n">
        <f aca="false">K1966-M1966</f>
        <v>4457</v>
      </c>
    </row>
    <row r="1967" customFormat="false" ht="12.8" hidden="false" customHeight="false" outlineLevel="0" collapsed="false">
      <c r="A1967" s="10" t="n">
        <f aca="false">A1966+1</f>
        <v>1966</v>
      </c>
      <c r="B1967" s="11" t="n">
        <f aca="false">B1966+1</f>
        <v>46892</v>
      </c>
      <c r="C1967" s="10" t="n">
        <f aca="false">YEAR(B1967)</f>
        <v>2028</v>
      </c>
      <c r="D1967" s="10" t="n">
        <f aca="false">INT((MONTH(B1967)-1)/3)+1</f>
        <v>2</v>
      </c>
      <c r="E1967" s="10" t="n">
        <f aca="false">MONTH(B1967)</f>
        <v>5</v>
      </c>
      <c r="F1967" s="10" t="str">
        <f aca="false">CHOOSE(MOD(A1967-1,5)+1,"Центр","Юг","Север","Запад","Восток")</f>
        <v>Центр</v>
      </c>
      <c r="G1967" s="10" t="str">
        <f aca="false">"Округ_"&amp;(MOD(A1967-1,5)+1)&amp;"_"&amp;(MOD(INT((A1967-1)/5),5)+1)</f>
        <v>Округ_1_4</v>
      </c>
      <c r="H1967" s="10" t="str">
        <f aca="false">"Город_"&amp;(MOD(A1967-1,5)+1)&amp;"_"&amp;(MOD(INT((A1967-1)/5),5)+1)&amp;"_"&amp;(MOD(INT((A1967-1)/25),10)+1)</f>
        <v>Город_1_4_9</v>
      </c>
      <c r="I1967" s="10" t="str">
        <f aca="false">CHOOSE(MOD(A1967-1,4)+1,"Электроника","Одежда","Продукты","Мебель")</f>
        <v>Одежда</v>
      </c>
      <c r="J1967" s="10" t="str">
        <f aca="false">CHOOSE(MOD(INT((A1967-1)/4),4)+1,CHOOSE(MOD(A1967-1,4)+1,"Смартфоны","Ноутбуки","Аксессуары","Аудио"),CHOOSE(MOD(A1967-1,4)+1,"Верхняя одежда","Спортивная","Повседневная","Обувь"),CHOOSE(MOD(A1967-1,4)+1,"Молочные","Мясные","Бакалея","Напитки"),CHOOSE(MOD(A1967-1,4)+1,"Мягкая мебель","Корпусная","Офисная","Кухонная"))</f>
        <v>Корпусная</v>
      </c>
      <c r="K1967" s="12" t="n">
        <f aca="false">1000+MOD(A1967*317+A1967*A1967*7,49001)</f>
        <v>43750</v>
      </c>
      <c r="L1967" s="12" t="n">
        <f aca="false">1+MOD(A1967*131,100)</f>
        <v>47</v>
      </c>
      <c r="M1967" s="12" t="n">
        <f aca="false">INT(K1967*(0.6+MOD(A1967*43,21)/100))</f>
        <v>31937</v>
      </c>
      <c r="N1967" s="12" t="n">
        <f aca="false">K1967-M1967</f>
        <v>11813</v>
      </c>
    </row>
    <row r="1968" customFormat="false" ht="12.8" hidden="false" customHeight="false" outlineLevel="0" collapsed="false">
      <c r="A1968" s="10" t="n">
        <f aca="false">A1967+1</f>
        <v>1967</v>
      </c>
      <c r="B1968" s="11" t="n">
        <f aca="false">B1967+1</f>
        <v>46893</v>
      </c>
      <c r="C1968" s="10" t="n">
        <f aca="false">YEAR(B1968)</f>
        <v>2028</v>
      </c>
      <c r="D1968" s="10" t="n">
        <f aca="false">INT((MONTH(B1968)-1)/3)+1</f>
        <v>2</v>
      </c>
      <c r="E1968" s="10" t="n">
        <f aca="false">MONTH(B1968)</f>
        <v>5</v>
      </c>
      <c r="F1968" s="10" t="str">
        <f aca="false">CHOOSE(MOD(A1968-1,5)+1,"Центр","Юг","Север","Запад","Восток")</f>
        <v>Юг</v>
      </c>
      <c r="G1968" s="10" t="str">
        <f aca="false">"Округ_"&amp;(MOD(A1968-1,5)+1)&amp;"_"&amp;(MOD(INT((A1968-1)/5),5)+1)</f>
        <v>Округ_2_4</v>
      </c>
      <c r="H1968" s="10" t="str">
        <f aca="false">"Город_"&amp;(MOD(A1968-1,5)+1)&amp;"_"&amp;(MOD(INT((A1968-1)/5),5)+1)&amp;"_"&amp;(MOD(INT((A1968-1)/25),10)+1)</f>
        <v>Город_2_4_9</v>
      </c>
      <c r="I1968" s="10" t="str">
        <f aca="false">CHOOSE(MOD(A1968-1,4)+1,"Электроника","Одежда","Продукты","Мебель")</f>
        <v>Продукты</v>
      </c>
      <c r="J1968" s="10" t="str">
        <f aca="false">CHOOSE(MOD(INT((A1968-1)/4),4)+1,CHOOSE(MOD(A1968-1,4)+1,"Смартфоны","Ноутбуки","Аксессуары","Аудио"),CHOOSE(MOD(A1968-1,4)+1,"Верхняя одежда","Спортивная","Повседневная","Обувь"),CHOOSE(MOD(A1968-1,4)+1,"Молочные","Мясные","Бакалея","Напитки"),CHOOSE(MOD(A1968-1,4)+1,"Мягкая мебель","Корпусная","Офисная","Кухонная"))</f>
        <v>Офисная</v>
      </c>
      <c r="K1968" s="12" t="n">
        <f aca="false">1000+MOD(A1968*317+A1968*A1968*7,49001)</f>
        <v>22597</v>
      </c>
      <c r="L1968" s="12" t="n">
        <f aca="false">1+MOD(A1968*131,100)</f>
        <v>78</v>
      </c>
      <c r="M1968" s="12" t="n">
        <f aca="false">INT(K1968*(0.6+MOD(A1968*43,21)/100))</f>
        <v>16721</v>
      </c>
      <c r="N1968" s="12" t="n">
        <f aca="false">K1968-M1968</f>
        <v>5876</v>
      </c>
    </row>
    <row r="1969" customFormat="false" ht="12.8" hidden="false" customHeight="false" outlineLevel="0" collapsed="false">
      <c r="A1969" s="10" t="n">
        <f aca="false">A1968+1</f>
        <v>1968</v>
      </c>
      <c r="B1969" s="11" t="n">
        <f aca="false">B1968+1</f>
        <v>46894</v>
      </c>
      <c r="C1969" s="10" t="n">
        <f aca="false">YEAR(B1969)</f>
        <v>2028</v>
      </c>
      <c r="D1969" s="10" t="n">
        <f aca="false">INT((MONTH(B1969)-1)/3)+1</f>
        <v>2</v>
      </c>
      <c r="E1969" s="10" t="n">
        <f aca="false">MONTH(B1969)</f>
        <v>5</v>
      </c>
      <c r="F1969" s="10" t="str">
        <f aca="false">CHOOSE(MOD(A1969-1,5)+1,"Центр","Юг","Север","Запад","Восток")</f>
        <v>Север</v>
      </c>
      <c r="G1969" s="10" t="str">
        <f aca="false">"Округ_"&amp;(MOD(A1969-1,5)+1)&amp;"_"&amp;(MOD(INT((A1969-1)/5),5)+1)</f>
        <v>Округ_3_4</v>
      </c>
      <c r="H1969" s="10" t="str">
        <f aca="false">"Город_"&amp;(MOD(A1969-1,5)+1)&amp;"_"&amp;(MOD(INT((A1969-1)/5),5)+1)&amp;"_"&amp;(MOD(INT((A1969-1)/25),10)+1)</f>
        <v>Город_3_4_9</v>
      </c>
      <c r="I1969" s="10" t="str">
        <f aca="false">CHOOSE(MOD(A1969-1,4)+1,"Электроника","Одежда","Продукты","Мебель")</f>
        <v>Мебель</v>
      </c>
      <c r="J1969" s="10" t="str">
        <f aca="false">CHOOSE(MOD(INT((A1969-1)/4),4)+1,CHOOSE(MOD(A1969-1,4)+1,"Смартфоны","Ноутбуки","Аксессуары","Аудио"),CHOOSE(MOD(A1969-1,4)+1,"Верхняя одежда","Спортивная","Повседневная","Обувь"),CHOOSE(MOD(A1969-1,4)+1,"Молочные","Мясные","Бакалея","Напитки"),CHOOSE(MOD(A1969-1,4)+1,"Мягкая мебель","Корпусная","Офисная","Кухонная"))</f>
        <v>Кухонная</v>
      </c>
      <c r="K1969" s="12" t="n">
        <f aca="false">1000+MOD(A1969*317+A1969*A1969*7,49001)</f>
        <v>1458</v>
      </c>
      <c r="L1969" s="12" t="n">
        <f aca="false">1+MOD(A1969*131,100)</f>
        <v>9</v>
      </c>
      <c r="M1969" s="12" t="n">
        <f aca="false">INT(K1969*(0.6+MOD(A1969*43,21)/100))</f>
        <v>1093</v>
      </c>
      <c r="N1969" s="12" t="n">
        <f aca="false">K1969-M1969</f>
        <v>365</v>
      </c>
    </row>
    <row r="1970" customFormat="false" ht="12.8" hidden="false" customHeight="false" outlineLevel="0" collapsed="false">
      <c r="A1970" s="10" t="n">
        <f aca="false">A1969+1</f>
        <v>1969</v>
      </c>
      <c r="B1970" s="11" t="n">
        <f aca="false">B1969+1</f>
        <v>46895</v>
      </c>
      <c r="C1970" s="10" t="n">
        <f aca="false">YEAR(B1970)</f>
        <v>2028</v>
      </c>
      <c r="D1970" s="10" t="n">
        <f aca="false">INT((MONTH(B1970)-1)/3)+1</f>
        <v>2</v>
      </c>
      <c r="E1970" s="10" t="n">
        <f aca="false">MONTH(B1970)</f>
        <v>5</v>
      </c>
      <c r="F1970" s="10" t="str">
        <f aca="false">CHOOSE(MOD(A1970-1,5)+1,"Центр","Юг","Север","Запад","Восток")</f>
        <v>Запад</v>
      </c>
      <c r="G1970" s="10" t="str">
        <f aca="false">"Округ_"&amp;(MOD(A1970-1,5)+1)&amp;"_"&amp;(MOD(INT((A1970-1)/5),5)+1)</f>
        <v>Округ_4_4</v>
      </c>
      <c r="H1970" s="10" t="str">
        <f aca="false">"Город_"&amp;(MOD(A1970-1,5)+1)&amp;"_"&amp;(MOD(INT((A1970-1)/5),5)+1)&amp;"_"&amp;(MOD(INT((A1970-1)/25),10)+1)</f>
        <v>Город_4_4_9</v>
      </c>
      <c r="I1970" s="10" t="str">
        <f aca="false">CHOOSE(MOD(A1970-1,4)+1,"Электроника","Одежда","Продукты","Мебель")</f>
        <v>Электроника</v>
      </c>
      <c r="J1970" s="10" t="str">
        <f aca="false">CHOOSE(MOD(INT((A1970-1)/4),4)+1,CHOOSE(MOD(A1970-1,4)+1,"Смартфоны","Ноутбуки","Аксессуары","Аудио"),CHOOSE(MOD(A1970-1,4)+1,"Верхняя одежда","Спортивная","Повседневная","Обувь"),CHOOSE(MOD(A1970-1,4)+1,"Молочные","Мясные","Бакалея","Напитки"),CHOOSE(MOD(A1970-1,4)+1,"Мягкая мебель","Корпусная","Офисная","Кухонная"))</f>
        <v>Смартфоны</v>
      </c>
      <c r="K1970" s="12" t="n">
        <f aca="false">1000+MOD(A1970*317+A1970*A1970*7,49001)</f>
        <v>29334</v>
      </c>
      <c r="L1970" s="12" t="n">
        <f aca="false">1+MOD(A1970*131,100)</f>
        <v>40</v>
      </c>
      <c r="M1970" s="12" t="n">
        <f aca="false">INT(K1970*(0.6+MOD(A1970*43,21)/100))</f>
        <v>22293</v>
      </c>
      <c r="N1970" s="12" t="n">
        <f aca="false">K1970-M1970</f>
        <v>7041</v>
      </c>
    </row>
    <row r="1971" customFormat="false" ht="12.8" hidden="false" customHeight="false" outlineLevel="0" collapsed="false">
      <c r="A1971" s="10" t="n">
        <f aca="false">A1970+1</f>
        <v>1970</v>
      </c>
      <c r="B1971" s="11" t="n">
        <f aca="false">B1970+1</f>
        <v>46896</v>
      </c>
      <c r="C1971" s="10" t="n">
        <f aca="false">YEAR(B1971)</f>
        <v>2028</v>
      </c>
      <c r="D1971" s="10" t="n">
        <f aca="false">INT((MONTH(B1971)-1)/3)+1</f>
        <v>2</v>
      </c>
      <c r="E1971" s="10" t="n">
        <f aca="false">MONTH(B1971)</f>
        <v>5</v>
      </c>
      <c r="F1971" s="10" t="str">
        <f aca="false">CHOOSE(MOD(A1971-1,5)+1,"Центр","Юг","Север","Запад","Восток")</f>
        <v>Восток</v>
      </c>
      <c r="G1971" s="10" t="str">
        <f aca="false">"Округ_"&amp;(MOD(A1971-1,5)+1)&amp;"_"&amp;(MOD(INT((A1971-1)/5),5)+1)</f>
        <v>Округ_5_4</v>
      </c>
      <c r="H1971" s="10" t="str">
        <f aca="false">"Город_"&amp;(MOD(A1971-1,5)+1)&amp;"_"&amp;(MOD(INT((A1971-1)/5),5)+1)&amp;"_"&amp;(MOD(INT((A1971-1)/25),10)+1)</f>
        <v>Город_5_4_9</v>
      </c>
      <c r="I1971" s="10" t="str">
        <f aca="false">CHOOSE(MOD(A1971-1,4)+1,"Электроника","Одежда","Продукты","Мебель")</f>
        <v>Одежда</v>
      </c>
      <c r="J1971" s="10" t="str">
        <f aca="false">CHOOSE(MOD(INT((A1971-1)/4),4)+1,CHOOSE(MOD(A1971-1,4)+1,"Смартфоны","Ноутбуки","Аксессуары","Аудио"),CHOOSE(MOD(A1971-1,4)+1,"Верхняя одежда","Спортивная","Повседневная","Обувь"),CHOOSE(MOD(A1971-1,4)+1,"Молочные","Мясные","Бакалея","Напитки"),CHOOSE(MOD(A1971-1,4)+1,"Мягкая мебель","Корпусная","Офисная","Кухонная"))</f>
        <v>Ноутбуки</v>
      </c>
      <c r="K1971" s="12" t="n">
        <f aca="false">1000+MOD(A1971*317+A1971*A1971*7,49001)</f>
        <v>8223</v>
      </c>
      <c r="L1971" s="12" t="n">
        <f aca="false">1+MOD(A1971*131,100)</f>
        <v>71</v>
      </c>
      <c r="M1971" s="12" t="n">
        <f aca="false">INT(K1971*(0.6+MOD(A1971*43,21)/100))</f>
        <v>6331</v>
      </c>
      <c r="N1971" s="12" t="n">
        <f aca="false">K1971-M1971</f>
        <v>1892</v>
      </c>
    </row>
    <row r="1972" customFormat="false" ht="12.8" hidden="false" customHeight="false" outlineLevel="0" collapsed="false">
      <c r="A1972" s="10" t="n">
        <f aca="false">A1971+1</f>
        <v>1971</v>
      </c>
      <c r="B1972" s="11" t="n">
        <f aca="false">B1971+1</f>
        <v>46897</v>
      </c>
      <c r="C1972" s="10" t="n">
        <f aca="false">YEAR(B1972)</f>
        <v>2028</v>
      </c>
      <c r="D1972" s="10" t="n">
        <f aca="false">INT((MONTH(B1972)-1)/3)+1</f>
        <v>2</v>
      </c>
      <c r="E1972" s="10" t="n">
        <f aca="false">MONTH(B1972)</f>
        <v>5</v>
      </c>
      <c r="F1972" s="10" t="str">
        <f aca="false">CHOOSE(MOD(A1972-1,5)+1,"Центр","Юг","Север","Запад","Восток")</f>
        <v>Центр</v>
      </c>
      <c r="G1972" s="10" t="str">
        <f aca="false">"Округ_"&amp;(MOD(A1972-1,5)+1)&amp;"_"&amp;(MOD(INT((A1972-1)/5),5)+1)</f>
        <v>Округ_1_5</v>
      </c>
      <c r="H1972" s="10" t="str">
        <f aca="false">"Город_"&amp;(MOD(A1972-1,5)+1)&amp;"_"&amp;(MOD(INT((A1972-1)/5),5)+1)&amp;"_"&amp;(MOD(INT((A1972-1)/25),10)+1)</f>
        <v>Город_1_5_9</v>
      </c>
      <c r="I1972" s="10" t="str">
        <f aca="false">CHOOSE(MOD(A1972-1,4)+1,"Электроника","Одежда","Продукты","Мебель")</f>
        <v>Продукты</v>
      </c>
      <c r="J1972" s="10" t="str">
        <f aca="false">CHOOSE(MOD(INT((A1972-1)/4),4)+1,CHOOSE(MOD(A1972-1,4)+1,"Смартфоны","Ноутбуки","Аксессуары","Аудио"),CHOOSE(MOD(A1972-1,4)+1,"Верхняя одежда","Спортивная","Повседневная","Обувь"),CHOOSE(MOD(A1972-1,4)+1,"Молочные","Мясные","Бакалея","Напитки"),CHOOSE(MOD(A1972-1,4)+1,"Мягкая мебель","Корпусная","Офисная","Кухонная"))</f>
        <v>Аксессуары</v>
      </c>
      <c r="K1972" s="12" t="n">
        <f aca="false">1000+MOD(A1972*317+A1972*A1972*7,49001)</f>
        <v>36127</v>
      </c>
      <c r="L1972" s="12" t="n">
        <f aca="false">1+MOD(A1972*131,100)</f>
        <v>2</v>
      </c>
      <c r="M1972" s="12" t="n">
        <f aca="false">INT(K1972*(0.6+MOD(A1972*43,21)/100))</f>
        <v>28179</v>
      </c>
      <c r="N1972" s="12" t="n">
        <f aca="false">K1972-M1972</f>
        <v>7948</v>
      </c>
    </row>
    <row r="1973" customFormat="false" ht="12.8" hidden="false" customHeight="false" outlineLevel="0" collapsed="false">
      <c r="A1973" s="10" t="n">
        <f aca="false">A1972+1</f>
        <v>1972</v>
      </c>
      <c r="B1973" s="11" t="n">
        <f aca="false">B1972+1</f>
        <v>46898</v>
      </c>
      <c r="C1973" s="10" t="n">
        <f aca="false">YEAR(B1973)</f>
        <v>2028</v>
      </c>
      <c r="D1973" s="10" t="n">
        <f aca="false">INT((MONTH(B1973)-1)/3)+1</f>
        <v>2</v>
      </c>
      <c r="E1973" s="10" t="n">
        <f aca="false">MONTH(B1973)</f>
        <v>5</v>
      </c>
      <c r="F1973" s="10" t="str">
        <f aca="false">CHOOSE(MOD(A1973-1,5)+1,"Центр","Юг","Север","Запад","Восток")</f>
        <v>Юг</v>
      </c>
      <c r="G1973" s="10" t="str">
        <f aca="false">"Округ_"&amp;(MOD(A1973-1,5)+1)&amp;"_"&amp;(MOD(INT((A1973-1)/5),5)+1)</f>
        <v>Округ_2_5</v>
      </c>
      <c r="H1973" s="10" t="str">
        <f aca="false">"Город_"&amp;(MOD(A1973-1,5)+1)&amp;"_"&amp;(MOD(INT((A1973-1)/5),5)+1)&amp;"_"&amp;(MOD(INT((A1973-1)/25),10)+1)</f>
        <v>Город_2_5_9</v>
      </c>
      <c r="I1973" s="10" t="str">
        <f aca="false">CHOOSE(MOD(A1973-1,4)+1,"Электроника","Одежда","Продукты","Мебель")</f>
        <v>Мебель</v>
      </c>
      <c r="J1973" s="10" t="str">
        <f aca="false">CHOOSE(MOD(INT((A1973-1)/4),4)+1,CHOOSE(MOD(A1973-1,4)+1,"Смартфоны","Ноутбуки","Аксессуары","Аудио"),CHOOSE(MOD(A1973-1,4)+1,"Верхняя одежда","Спортивная","Повседневная","Обувь"),CHOOSE(MOD(A1973-1,4)+1,"Молочные","Мясные","Бакалея","Напитки"),CHOOSE(MOD(A1973-1,4)+1,"Мягкая мебель","Корпусная","Офисная","Кухонная"))</f>
        <v>Аудио</v>
      </c>
      <c r="K1973" s="12" t="n">
        <f aca="false">1000+MOD(A1973*317+A1973*A1973*7,49001)</f>
        <v>15044</v>
      </c>
      <c r="L1973" s="12" t="n">
        <f aca="false">1+MOD(A1973*131,100)</f>
        <v>33</v>
      </c>
      <c r="M1973" s="12" t="n">
        <f aca="false">INT(K1973*(0.6+MOD(A1973*43,21)/100))</f>
        <v>11884</v>
      </c>
      <c r="N1973" s="12" t="n">
        <f aca="false">K1973-M1973</f>
        <v>3160</v>
      </c>
    </row>
    <row r="1974" customFormat="false" ht="12.8" hidden="false" customHeight="false" outlineLevel="0" collapsed="false">
      <c r="A1974" s="10" t="n">
        <f aca="false">A1973+1</f>
        <v>1973</v>
      </c>
      <c r="B1974" s="11" t="n">
        <f aca="false">B1973+1</f>
        <v>46899</v>
      </c>
      <c r="C1974" s="10" t="n">
        <f aca="false">YEAR(B1974)</f>
        <v>2028</v>
      </c>
      <c r="D1974" s="10" t="n">
        <f aca="false">INT((MONTH(B1974)-1)/3)+1</f>
        <v>2</v>
      </c>
      <c r="E1974" s="10" t="n">
        <f aca="false">MONTH(B1974)</f>
        <v>5</v>
      </c>
      <c r="F1974" s="10" t="str">
        <f aca="false">CHOOSE(MOD(A1974-1,5)+1,"Центр","Юг","Север","Запад","Восток")</f>
        <v>Север</v>
      </c>
      <c r="G1974" s="10" t="str">
        <f aca="false">"Округ_"&amp;(MOD(A1974-1,5)+1)&amp;"_"&amp;(MOD(INT((A1974-1)/5),5)+1)</f>
        <v>Округ_3_5</v>
      </c>
      <c r="H1974" s="10" t="str">
        <f aca="false">"Город_"&amp;(MOD(A1974-1,5)+1)&amp;"_"&amp;(MOD(INT((A1974-1)/5),5)+1)&amp;"_"&amp;(MOD(INT((A1974-1)/25),10)+1)</f>
        <v>Город_3_5_9</v>
      </c>
      <c r="I1974" s="10" t="str">
        <f aca="false">CHOOSE(MOD(A1974-1,4)+1,"Электроника","Одежда","Продукты","Мебель")</f>
        <v>Электроника</v>
      </c>
      <c r="J1974" s="10" t="str">
        <f aca="false">CHOOSE(MOD(INT((A1974-1)/4),4)+1,CHOOSE(MOD(A1974-1,4)+1,"Смартфоны","Ноутбуки","Аксессуары","Аудио"),CHOOSE(MOD(A1974-1,4)+1,"Верхняя одежда","Спортивная","Повседневная","Обувь"),CHOOSE(MOD(A1974-1,4)+1,"Молочные","Мясные","Бакалея","Напитки"),CHOOSE(MOD(A1974-1,4)+1,"Мягкая мебель","Корпусная","Офисная","Кухонная"))</f>
        <v>Верхняя одежда</v>
      </c>
      <c r="K1974" s="12" t="n">
        <f aca="false">1000+MOD(A1974*317+A1974*A1974*7,49001)</f>
        <v>42976</v>
      </c>
      <c r="L1974" s="12" t="n">
        <f aca="false">1+MOD(A1974*131,100)</f>
        <v>64</v>
      </c>
      <c r="M1974" s="12" t="n">
        <f aca="false">INT(K1974*(0.6+MOD(A1974*43,21)/100))</f>
        <v>34380</v>
      </c>
      <c r="N1974" s="12" t="n">
        <f aca="false">K1974-M1974</f>
        <v>8596</v>
      </c>
    </row>
    <row r="1975" customFormat="false" ht="12.8" hidden="false" customHeight="false" outlineLevel="0" collapsed="false">
      <c r="A1975" s="10" t="n">
        <f aca="false">A1974+1</f>
        <v>1974</v>
      </c>
      <c r="B1975" s="11" t="n">
        <f aca="false">B1974+1</f>
        <v>46900</v>
      </c>
      <c r="C1975" s="10" t="n">
        <f aca="false">YEAR(B1975)</f>
        <v>2028</v>
      </c>
      <c r="D1975" s="10" t="n">
        <f aca="false">INT((MONTH(B1975)-1)/3)+1</f>
        <v>2</v>
      </c>
      <c r="E1975" s="10" t="n">
        <f aca="false">MONTH(B1975)</f>
        <v>5</v>
      </c>
      <c r="F1975" s="10" t="str">
        <f aca="false">CHOOSE(MOD(A1975-1,5)+1,"Центр","Юг","Север","Запад","Восток")</f>
        <v>Запад</v>
      </c>
      <c r="G1975" s="10" t="str">
        <f aca="false">"Округ_"&amp;(MOD(A1975-1,5)+1)&amp;"_"&amp;(MOD(INT((A1975-1)/5),5)+1)</f>
        <v>Округ_4_5</v>
      </c>
      <c r="H1975" s="10" t="str">
        <f aca="false">"Город_"&amp;(MOD(A1975-1,5)+1)&amp;"_"&amp;(MOD(INT((A1975-1)/5),5)+1)&amp;"_"&amp;(MOD(INT((A1975-1)/25),10)+1)</f>
        <v>Город_4_5_9</v>
      </c>
      <c r="I1975" s="10" t="str">
        <f aca="false">CHOOSE(MOD(A1975-1,4)+1,"Электроника","Одежда","Продукты","Мебель")</f>
        <v>Одежда</v>
      </c>
      <c r="J1975" s="10" t="str">
        <f aca="false">CHOOSE(MOD(INT((A1975-1)/4),4)+1,CHOOSE(MOD(A1975-1,4)+1,"Смартфоны","Ноутбуки","Аксессуары","Аудио"),CHOOSE(MOD(A1975-1,4)+1,"Верхняя одежда","Спортивная","Повседневная","Обувь"),CHOOSE(MOD(A1975-1,4)+1,"Молочные","Мясные","Бакалея","Напитки"),CHOOSE(MOD(A1975-1,4)+1,"Мягкая мебель","Корпусная","Офисная","Кухонная"))</f>
        <v>Спортивная</v>
      </c>
      <c r="K1975" s="12" t="n">
        <f aca="false">1000+MOD(A1975*317+A1975*A1975*7,49001)</f>
        <v>21921</v>
      </c>
      <c r="L1975" s="12" t="n">
        <f aca="false">1+MOD(A1975*131,100)</f>
        <v>95</v>
      </c>
      <c r="M1975" s="12" t="n">
        <f aca="false">INT(K1975*(0.6+MOD(A1975*43,21)/100))</f>
        <v>13152</v>
      </c>
      <c r="N1975" s="12" t="n">
        <f aca="false">K1975-M1975</f>
        <v>8769</v>
      </c>
    </row>
    <row r="1976" customFormat="false" ht="12.8" hidden="false" customHeight="false" outlineLevel="0" collapsed="false">
      <c r="A1976" s="10" t="n">
        <f aca="false">A1975+1</f>
        <v>1975</v>
      </c>
      <c r="B1976" s="11" t="n">
        <f aca="false">B1975+1</f>
        <v>46901</v>
      </c>
      <c r="C1976" s="10" t="n">
        <f aca="false">YEAR(B1976)</f>
        <v>2028</v>
      </c>
      <c r="D1976" s="10" t="n">
        <f aca="false">INT((MONTH(B1976)-1)/3)+1</f>
        <v>2</v>
      </c>
      <c r="E1976" s="10" t="n">
        <f aca="false">MONTH(B1976)</f>
        <v>5</v>
      </c>
      <c r="F1976" s="10" t="str">
        <f aca="false">CHOOSE(MOD(A1976-1,5)+1,"Центр","Юг","Север","Запад","Восток")</f>
        <v>Восток</v>
      </c>
      <c r="G1976" s="10" t="str">
        <f aca="false">"Округ_"&amp;(MOD(A1976-1,5)+1)&amp;"_"&amp;(MOD(INT((A1976-1)/5),5)+1)</f>
        <v>Округ_5_5</v>
      </c>
      <c r="H1976" s="10" t="str">
        <f aca="false">"Город_"&amp;(MOD(A1976-1,5)+1)&amp;"_"&amp;(MOD(INT((A1976-1)/5),5)+1)&amp;"_"&amp;(MOD(INT((A1976-1)/25),10)+1)</f>
        <v>Город_5_5_9</v>
      </c>
      <c r="I1976" s="10" t="str">
        <f aca="false">CHOOSE(MOD(A1976-1,4)+1,"Электроника","Одежда","Продукты","Мебель")</f>
        <v>Продукты</v>
      </c>
      <c r="J1976" s="10" t="str">
        <f aca="false">CHOOSE(MOD(INT((A1976-1)/4),4)+1,CHOOSE(MOD(A1976-1,4)+1,"Смартфоны","Ноутбуки","Аксессуары","Аудио"),CHOOSE(MOD(A1976-1,4)+1,"Верхняя одежда","Спортивная","Повседневная","Обувь"),CHOOSE(MOD(A1976-1,4)+1,"Молочные","Мясные","Бакалея","Напитки"),CHOOSE(MOD(A1976-1,4)+1,"Мягкая мебель","Корпусная","Офисная","Кухонная"))</f>
        <v>Повседневная</v>
      </c>
      <c r="K1976" s="12" t="n">
        <f aca="false">1000+MOD(A1976*317+A1976*A1976*7,49001)</f>
        <v>49881</v>
      </c>
      <c r="L1976" s="12" t="n">
        <f aca="false">1+MOD(A1976*131,100)</f>
        <v>26</v>
      </c>
      <c r="M1976" s="12" t="n">
        <f aca="false">INT(K1976*(0.6+MOD(A1976*43,21)/100))</f>
        <v>30427</v>
      </c>
      <c r="N1976" s="12" t="n">
        <f aca="false">K1976-M1976</f>
        <v>19454</v>
      </c>
    </row>
    <row r="1977" customFormat="false" ht="12.8" hidden="false" customHeight="false" outlineLevel="0" collapsed="false">
      <c r="A1977" s="10" t="n">
        <f aca="false">A1976+1</f>
        <v>1976</v>
      </c>
      <c r="B1977" s="11" t="n">
        <f aca="false">B1976+1</f>
        <v>46902</v>
      </c>
      <c r="C1977" s="10" t="n">
        <f aca="false">YEAR(B1977)</f>
        <v>2028</v>
      </c>
      <c r="D1977" s="10" t="n">
        <f aca="false">INT((MONTH(B1977)-1)/3)+1</f>
        <v>2</v>
      </c>
      <c r="E1977" s="10" t="n">
        <f aca="false">MONTH(B1977)</f>
        <v>5</v>
      </c>
      <c r="F1977" s="10" t="str">
        <f aca="false">CHOOSE(MOD(A1977-1,5)+1,"Центр","Юг","Север","Запад","Восток")</f>
        <v>Центр</v>
      </c>
      <c r="G1977" s="10" t="str">
        <f aca="false">"Округ_"&amp;(MOD(A1977-1,5)+1)&amp;"_"&amp;(MOD(INT((A1977-1)/5),5)+1)</f>
        <v>Округ_1_1</v>
      </c>
      <c r="H1977" s="10" t="str">
        <f aca="false">"Город_"&amp;(MOD(A1977-1,5)+1)&amp;"_"&amp;(MOD(INT((A1977-1)/5),5)+1)&amp;"_"&amp;(MOD(INT((A1977-1)/25),10)+1)</f>
        <v>Город_1_1_10</v>
      </c>
      <c r="I1977" s="10" t="str">
        <f aca="false">CHOOSE(MOD(A1977-1,4)+1,"Электроника","Одежда","Продукты","Мебель")</f>
        <v>Мебель</v>
      </c>
      <c r="J1977" s="10" t="str">
        <f aca="false">CHOOSE(MOD(INT((A1977-1)/4),4)+1,CHOOSE(MOD(A1977-1,4)+1,"Смартфоны","Ноутбуки","Аксессуары","Аудио"),CHOOSE(MOD(A1977-1,4)+1,"Верхняя одежда","Спортивная","Повседневная","Обувь"),CHOOSE(MOD(A1977-1,4)+1,"Молочные","Мясные","Бакалея","Напитки"),CHOOSE(MOD(A1977-1,4)+1,"Мягкая мебель","Корпусная","Офисная","Кухонная"))</f>
        <v>Обувь</v>
      </c>
      <c r="K1977" s="12" t="n">
        <f aca="false">1000+MOD(A1977*317+A1977*A1977*7,49001)</f>
        <v>28854</v>
      </c>
      <c r="L1977" s="12" t="n">
        <f aca="false">1+MOD(A1977*131,100)</f>
        <v>57</v>
      </c>
      <c r="M1977" s="12" t="n">
        <f aca="false">INT(K1977*(0.6+MOD(A1977*43,21)/100))</f>
        <v>17889</v>
      </c>
      <c r="N1977" s="12" t="n">
        <f aca="false">K1977-M1977</f>
        <v>10965</v>
      </c>
    </row>
    <row r="1978" customFormat="false" ht="12.8" hidden="false" customHeight="false" outlineLevel="0" collapsed="false">
      <c r="A1978" s="10" t="n">
        <f aca="false">A1977+1</f>
        <v>1977</v>
      </c>
      <c r="B1978" s="11" t="n">
        <f aca="false">B1977+1</f>
        <v>46903</v>
      </c>
      <c r="C1978" s="10" t="n">
        <f aca="false">YEAR(B1978)</f>
        <v>2028</v>
      </c>
      <c r="D1978" s="10" t="n">
        <f aca="false">INT((MONTH(B1978)-1)/3)+1</f>
        <v>2</v>
      </c>
      <c r="E1978" s="10" t="n">
        <f aca="false">MONTH(B1978)</f>
        <v>5</v>
      </c>
      <c r="F1978" s="10" t="str">
        <f aca="false">CHOOSE(MOD(A1978-1,5)+1,"Центр","Юг","Север","Запад","Восток")</f>
        <v>Юг</v>
      </c>
      <c r="G1978" s="10" t="str">
        <f aca="false">"Округ_"&amp;(MOD(A1978-1,5)+1)&amp;"_"&amp;(MOD(INT((A1978-1)/5),5)+1)</f>
        <v>Округ_2_1</v>
      </c>
      <c r="H1978" s="10" t="str">
        <f aca="false">"Город_"&amp;(MOD(A1978-1,5)+1)&amp;"_"&amp;(MOD(INT((A1978-1)/5),5)+1)&amp;"_"&amp;(MOD(INT((A1978-1)/25),10)+1)</f>
        <v>Город_2_1_10</v>
      </c>
      <c r="I1978" s="10" t="str">
        <f aca="false">CHOOSE(MOD(A1978-1,4)+1,"Электроника","Одежда","Продукты","Мебель")</f>
        <v>Электроника</v>
      </c>
      <c r="J1978" s="10" t="str">
        <f aca="false">CHOOSE(MOD(INT((A1978-1)/4),4)+1,CHOOSE(MOD(A1978-1,4)+1,"Смартфоны","Ноутбуки","Аксессуары","Аудио"),CHOOSE(MOD(A1978-1,4)+1,"Верхняя одежда","Спортивная","Повседневная","Обувь"),CHOOSE(MOD(A1978-1,4)+1,"Молочные","Мясные","Бакалея","Напитки"),CHOOSE(MOD(A1978-1,4)+1,"Мягкая мебель","Корпусная","Офисная","Кухонная"))</f>
        <v>Молочные</v>
      </c>
      <c r="K1978" s="12" t="n">
        <f aca="false">1000+MOD(A1978*317+A1978*A1978*7,49001)</f>
        <v>7841</v>
      </c>
      <c r="L1978" s="12" t="n">
        <f aca="false">1+MOD(A1978*131,100)</f>
        <v>88</v>
      </c>
      <c r="M1978" s="12" t="n">
        <f aca="false">INT(K1978*(0.6+MOD(A1978*43,21)/100))</f>
        <v>4939</v>
      </c>
      <c r="N1978" s="12" t="n">
        <f aca="false">K1978-M1978</f>
        <v>2902</v>
      </c>
    </row>
    <row r="1979" customFormat="false" ht="12.8" hidden="false" customHeight="false" outlineLevel="0" collapsed="false">
      <c r="A1979" s="10" t="n">
        <f aca="false">A1978+1</f>
        <v>1978</v>
      </c>
      <c r="B1979" s="11" t="n">
        <f aca="false">B1978+1</f>
        <v>46904</v>
      </c>
      <c r="C1979" s="10" t="n">
        <f aca="false">YEAR(B1979)</f>
        <v>2028</v>
      </c>
      <c r="D1979" s="10" t="n">
        <f aca="false">INT((MONTH(B1979)-1)/3)+1</f>
        <v>2</v>
      </c>
      <c r="E1979" s="10" t="n">
        <f aca="false">MONTH(B1979)</f>
        <v>5</v>
      </c>
      <c r="F1979" s="10" t="str">
        <f aca="false">CHOOSE(MOD(A1979-1,5)+1,"Центр","Юг","Север","Запад","Восток")</f>
        <v>Север</v>
      </c>
      <c r="G1979" s="10" t="str">
        <f aca="false">"Округ_"&amp;(MOD(A1979-1,5)+1)&amp;"_"&amp;(MOD(INT((A1979-1)/5),5)+1)</f>
        <v>Округ_3_1</v>
      </c>
      <c r="H1979" s="10" t="str">
        <f aca="false">"Город_"&amp;(MOD(A1979-1,5)+1)&amp;"_"&amp;(MOD(INT((A1979-1)/5),5)+1)&amp;"_"&amp;(MOD(INT((A1979-1)/25),10)+1)</f>
        <v>Город_3_1_10</v>
      </c>
      <c r="I1979" s="10" t="str">
        <f aca="false">CHOOSE(MOD(A1979-1,4)+1,"Электроника","Одежда","Продукты","Мебель")</f>
        <v>Одежда</v>
      </c>
      <c r="J1979" s="10" t="str">
        <f aca="false">CHOOSE(MOD(INT((A1979-1)/4),4)+1,CHOOSE(MOD(A1979-1,4)+1,"Смартфоны","Ноутбуки","Аксессуары","Аудио"),CHOOSE(MOD(A1979-1,4)+1,"Верхняя одежда","Спортивная","Повседневная","Обувь"),CHOOSE(MOD(A1979-1,4)+1,"Молочные","Мясные","Бакалея","Напитки"),CHOOSE(MOD(A1979-1,4)+1,"Мягкая мебель","Корпусная","Офисная","Кухонная"))</f>
        <v>Мясные</v>
      </c>
      <c r="K1979" s="12" t="n">
        <f aca="false">1000+MOD(A1979*317+A1979*A1979*7,49001)</f>
        <v>35843</v>
      </c>
      <c r="L1979" s="12" t="n">
        <f aca="false">1+MOD(A1979*131,100)</f>
        <v>19</v>
      </c>
      <c r="M1979" s="12" t="n">
        <f aca="false">INT(K1979*(0.6+MOD(A1979*43,21)/100))</f>
        <v>22939</v>
      </c>
      <c r="N1979" s="12" t="n">
        <f aca="false">K1979-M1979</f>
        <v>12904</v>
      </c>
    </row>
    <row r="1980" customFormat="false" ht="12.8" hidden="false" customHeight="false" outlineLevel="0" collapsed="false">
      <c r="A1980" s="10" t="n">
        <f aca="false">A1979+1</f>
        <v>1979</v>
      </c>
      <c r="B1980" s="11" t="n">
        <f aca="false">B1979+1</f>
        <v>46905</v>
      </c>
      <c r="C1980" s="10" t="n">
        <f aca="false">YEAR(B1980)</f>
        <v>2028</v>
      </c>
      <c r="D1980" s="10" t="n">
        <f aca="false">INT((MONTH(B1980)-1)/3)+1</f>
        <v>2</v>
      </c>
      <c r="E1980" s="10" t="n">
        <f aca="false">MONTH(B1980)</f>
        <v>6</v>
      </c>
      <c r="F1980" s="10" t="str">
        <f aca="false">CHOOSE(MOD(A1980-1,5)+1,"Центр","Юг","Север","Запад","Восток")</f>
        <v>Запад</v>
      </c>
      <c r="G1980" s="10" t="str">
        <f aca="false">"Округ_"&amp;(MOD(A1980-1,5)+1)&amp;"_"&amp;(MOD(INT((A1980-1)/5),5)+1)</f>
        <v>Округ_4_1</v>
      </c>
      <c r="H1980" s="10" t="str">
        <f aca="false">"Город_"&amp;(MOD(A1980-1,5)+1)&amp;"_"&amp;(MOD(INT((A1980-1)/5),5)+1)&amp;"_"&amp;(MOD(INT((A1980-1)/25),10)+1)</f>
        <v>Город_4_1_10</v>
      </c>
      <c r="I1980" s="10" t="str">
        <f aca="false">CHOOSE(MOD(A1980-1,4)+1,"Электроника","Одежда","Продукты","Мебель")</f>
        <v>Продукты</v>
      </c>
      <c r="J1980" s="10" t="str">
        <f aca="false">CHOOSE(MOD(INT((A1980-1)/4),4)+1,CHOOSE(MOD(A1980-1,4)+1,"Смартфоны","Ноутбуки","Аксессуары","Аудио"),CHOOSE(MOD(A1980-1,4)+1,"Верхняя одежда","Спортивная","Повседневная","Обувь"),CHOOSE(MOD(A1980-1,4)+1,"Молочные","Мясные","Бакалея","Напитки"),CHOOSE(MOD(A1980-1,4)+1,"Мягкая мебель","Корпусная","Офисная","Кухонная"))</f>
        <v>Бакалея</v>
      </c>
      <c r="K1980" s="12" t="n">
        <f aca="false">1000+MOD(A1980*317+A1980*A1980*7,49001)</f>
        <v>14858</v>
      </c>
      <c r="L1980" s="12" t="n">
        <f aca="false">1+MOD(A1980*131,100)</f>
        <v>50</v>
      </c>
      <c r="M1980" s="12" t="n">
        <f aca="false">INT(K1980*(0.6+MOD(A1980*43,21)/100))</f>
        <v>9657</v>
      </c>
      <c r="N1980" s="12" t="n">
        <f aca="false">K1980-M1980</f>
        <v>5201</v>
      </c>
    </row>
    <row r="1981" customFormat="false" ht="12.8" hidden="false" customHeight="false" outlineLevel="0" collapsed="false">
      <c r="A1981" s="10" t="n">
        <f aca="false">A1980+1</f>
        <v>1980</v>
      </c>
      <c r="B1981" s="11" t="n">
        <f aca="false">B1980+1</f>
        <v>46906</v>
      </c>
      <c r="C1981" s="10" t="n">
        <f aca="false">YEAR(B1981)</f>
        <v>2028</v>
      </c>
      <c r="D1981" s="10" t="n">
        <f aca="false">INT((MONTH(B1981)-1)/3)+1</f>
        <v>2</v>
      </c>
      <c r="E1981" s="10" t="n">
        <f aca="false">MONTH(B1981)</f>
        <v>6</v>
      </c>
      <c r="F1981" s="10" t="str">
        <f aca="false">CHOOSE(MOD(A1981-1,5)+1,"Центр","Юг","Север","Запад","Восток")</f>
        <v>Восток</v>
      </c>
      <c r="G1981" s="10" t="str">
        <f aca="false">"Округ_"&amp;(MOD(A1981-1,5)+1)&amp;"_"&amp;(MOD(INT((A1981-1)/5),5)+1)</f>
        <v>Округ_5_1</v>
      </c>
      <c r="H1981" s="10" t="str">
        <f aca="false">"Город_"&amp;(MOD(A1981-1,5)+1)&amp;"_"&amp;(MOD(INT((A1981-1)/5),5)+1)&amp;"_"&amp;(MOD(INT((A1981-1)/25),10)+1)</f>
        <v>Город_5_1_10</v>
      </c>
      <c r="I1981" s="10" t="str">
        <f aca="false">CHOOSE(MOD(A1981-1,4)+1,"Электроника","Одежда","Продукты","Мебель")</f>
        <v>Мебель</v>
      </c>
      <c r="J1981" s="10" t="str">
        <f aca="false">CHOOSE(MOD(INT((A1981-1)/4),4)+1,CHOOSE(MOD(A1981-1,4)+1,"Смартфоны","Ноутбуки","Аксессуары","Аудио"),CHOOSE(MOD(A1981-1,4)+1,"Верхняя одежда","Спортивная","Повседневная","Обувь"),CHOOSE(MOD(A1981-1,4)+1,"Молочные","Мясные","Бакалея","Напитки"),CHOOSE(MOD(A1981-1,4)+1,"Мягкая мебель","Корпусная","Офисная","Кухонная"))</f>
        <v>Напитки</v>
      </c>
      <c r="K1981" s="12" t="n">
        <f aca="false">1000+MOD(A1981*317+A1981*A1981*7,49001)</f>
        <v>42888</v>
      </c>
      <c r="L1981" s="12" t="n">
        <f aca="false">1+MOD(A1981*131,100)</f>
        <v>81</v>
      </c>
      <c r="M1981" s="12" t="n">
        <f aca="false">INT(K1981*(0.6+MOD(A1981*43,21)/100))</f>
        <v>28306</v>
      </c>
      <c r="N1981" s="12" t="n">
        <f aca="false">K1981-M1981</f>
        <v>14582</v>
      </c>
    </row>
    <row r="1982" customFormat="false" ht="12.8" hidden="false" customHeight="false" outlineLevel="0" collapsed="false">
      <c r="A1982" s="10" t="n">
        <f aca="false">A1981+1</f>
        <v>1981</v>
      </c>
      <c r="B1982" s="11" t="n">
        <f aca="false">B1981+1</f>
        <v>46907</v>
      </c>
      <c r="C1982" s="10" t="n">
        <f aca="false">YEAR(B1982)</f>
        <v>2028</v>
      </c>
      <c r="D1982" s="10" t="n">
        <f aca="false">INT((MONTH(B1982)-1)/3)+1</f>
        <v>2</v>
      </c>
      <c r="E1982" s="10" t="n">
        <f aca="false">MONTH(B1982)</f>
        <v>6</v>
      </c>
      <c r="F1982" s="10" t="str">
        <f aca="false">CHOOSE(MOD(A1982-1,5)+1,"Центр","Юг","Север","Запад","Восток")</f>
        <v>Центр</v>
      </c>
      <c r="G1982" s="10" t="str">
        <f aca="false">"Округ_"&amp;(MOD(A1982-1,5)+1)&amp;"_"&amp;(MOD(INT((A1982-1)/5),5)+1)</f>
        <v>Округ_1_2</v>
      </c>
      <c r="H1982" s="10" t="str">
        <f aca="false">"Город_"&amp;(MOD(A1982-1,5)+1)&amp;"_"&amp;(MOD(INT((A1982-1)/5),5)+1)&amp;"_"&amp;(MOD(INT((A1982-1)/25),10)+1)</f>
        <v>Город_1_2_10</v>
      </c>
      <c r="I1982" s="10" t="str">
        <f aca="false">CHOOSE(MOD(A1982-1,4)+1,"Электроника","Одежда","Продукты","Мебель")</f>
        <v>Электроника</v>
      </c>
      <c r="J1982" s="10" t="str">
        <f aca="false">CHOOSE(MOD(INT((A1982-1)/4),4)+1,CHOOSE(MOD(A1982-1,4)+1,"Смартфоны","Ноутбуки","Аксессуары","Аудио"),CHOOSE(MOD(A1982-1,4)+1,"Верхняя одежда","Спортивная","Повседневная","Обувь"),CHOOSE(MOD(A1982-1,4)+1,"Молочные","Мясные","Бакалея","Напитки"),CHOOSE(MOD(A1982-1,4)+1,"Мягкая мебель","Корпусная","Офисная","Кухонная"))</f>
        <v>Мягкая мебель</v>
      </c>
      <c r="K1982" s="12" t="n">
        <f aca="false">1000+MOD(A1982*317+A1982*A1982*7,49001)</f>
        <v>21931</v>
      </c>
      <c r="L1982" s="12" t="n">
        <f aca="false">1+MOD(A1982*131,100)</f>
        <v>12</v>
      </c>
      <c r="M1982" s="12" t="n">
        <f aca="false">INT(K1982*(0.6+MOD(A1982*43,21)/100))</f>
        <v>14693</v>
      </c>
      <c r="N1982" s="12" t="n">
        <f aca="false">K1982-M1982</f>
        <v>7238</v>
      </c>
    </row>
    <row r="1983" customFormat="false" ht="12.8" hidden="false" customHeight="false" outlineLevel="0" collapsed="false">
      <c r="A1983" s="10" t="n">
        <f aca="false">A1982+1</f>
        <v>1982</v>
      </c>
      <c r="B1983" s="11" t="n">
        <f aca="false">B1982+1</f>
        <v>46908</v>
      </c>
      <c r="C1983" s="10" t="n">
        <f aca="false">YEAR(B1983)</f>
        <v>2028</v>
      </c>
      <c r="D1983" s="10" t="n">
        <f aca="false">INT((MONTH(B1983)-1)/3)+1</f>
        <v>2</v>
      </c>
      <c r="E1983" s="10" t="n">
        <f aca="false">MONTH(B1983)</f>
        <v>6</v>
      </c>
      <c r="F1983" s="10" t="str">
        <f aca="false">CHOOSE(MOD(A1983-1,5)+1,"Центр","Юг","Север","Запад","Восток")</f>
        <v>Юг</v>
      </c>
      <c r="G1983" s="10" t="str">
        <f aca="false">"Округ_"&amp;(MOD(A1983-1,5)+1)&amp;"_"&amp;(MOD(INT((A1983-1)/5),5)+1)</f>
        <v>Округ_2_2</v>
      </c>
      <c r="H1983" s="10" t="str">
        <f aca="false">"Город_"&amp;(MOD(A1983-1,5)+1)&amp;"_"&amp;(MOD(INT((A1983-1)/5),5)+1)&amp;"_"&amp;(MOD(INT((A1983-1)/25),10)+1)</f>
        <v>Город_2_2_10</v>
      </c>
      <c r="I1983" s="10" t="str">
        <f aca="false">CHOOSE(MOD(A1983-1,4)+1,"Электроника","Одежда","Продукты","Мебель")</f>
        <v>Одежда</v>
      </c>
      <c r="J1983" s="10" t="str">
        <f aca="false">CHOOSE(MOD(INT((A1983-1)/4),4)+1,CHOOSE(MOD(A1983-1,4)+1,"Смартфоны","Ноутбуки","Аксессуары","Аудио"),CHOOSE(MOD(A1983-1,4)+1,"Верхняя одежда","Спортивная","Повседневная","Обувь"),CHOOSE(MOD(A1983-1,4)+1,"Молочные","Мясные","Бакалея","Напитки"),CHOOSE(MOD(A1983-1,4)+1,"Мягкая мебель","Корпусная","Офисная","Кухонная"))</f>
        <v>Корпусная</v>
      </c>
      <c r="K1983" s="12" t="n">
        <f aca="false">1000+MOD(A1983*317+A1983*A1983*7,49001)</f>
        <v>49989</v>
      </c>
      <c r="L1983" s="12" t="n">
        <f aca="false">1+MOD(A1983*131,100)</f>
        <v>43</v>
      </c>
      <c r="M1983" s="12" t="n">
        <f aca="false">INT(K1983*(0.6+MOD(A1983*43,21)/100))</f>
        <v>33992</v>
      </c>
      <c r="N1983" s="12" t="n">
        <f aca="false">K1983-M1983</f>
        <v>15997</v>
      </c>
    </row>
    <row r="1984" customFormat="false" ht="12.8" hidden="false" customHeight="false" outlineLevel="0" collapsed="false">
      <c r="A1984" s="10" t="n">
        <f aca="false">A1983+1</f>
        <v>1983</v>
      </c>
      <c r="B1984" s="11" t="n">
        <f aca="false">B1983+1</f>
        <v>46909</v>
      </c>
      <c r="C1984" s="10" t="n">
        <f aca="false">YEAR(B1984)</f>
        <v>2028</v>
      </c>
      <c r="D1984" s="10" t="n">
        <f aca="false">INT((MONTH(B1984)-1)/3)+1</f>
        <v>2</v>
      </c>
      <c r="E1984" s="10" t="n">
        <f aca="false">MONTH(B1984)</f>
        <v>6</v>
      </c>
      <c r="F1984" s="10" t="str">
        <f aca="false">CHOOSE(MOD(A1984-1,5)+1,"Центр","Юг","Север","Запад","Восток")</f>
        <v>Север</v>
      </c>
      <c r="G1984" s="10" t="str">
        <f aca="false">"Округ_"&amp;(MOD(A1984-1,5)+1)&amp;"_"&amp;(MOD(INT((A1984-1)/5),5)+1)</f>
        <v>Округ_3_2</v>
      </c>
      <c r="H1984" s="10" t="str">
        <f aca="false">"Город_"&amp;(MOD(A1984-1,5)+1)&amp;"_"&amp;(MOD(INT((A1984-1)/5),5)+1)&amp;"_"&amp;(MOD(INT((A1984-1)/25),10)+1)</f>
        <v>Город_3_2_10</v>
      </c>
      <c r="I1984" s="10" t="str">
        <f aca="false">CHOOSE(MOD(A1984-1,4)+1,"Электроника","Одежда","Продукты","Мебель")</f>
        <v>Продукты</v>
      </c>
      <c r="J1984" s="10" t="str">
        <f aca="false">CHOOSE(MOD(INT((A1984-1)/4),4)+1,CHOOSE(MOD(A1984-1,4)+1,"Смартфоны","Ноутбуки","Аксессуары","Аудио"),CHOOSE(MOD(A1984-1,4)+1,"Верхняя одежда","Спортивная","Повседневная","Обувь"),CHOOSE(MOD(A1984-1,4)+1,"Молочные","Мясные","Бакалея","Напитки"),CHOOSE(MOD(A1984-1,4)+1,"Мягкая мебель","Корпусная","Офисная","Кухонная"))</f>
        <v>Офисная</v>
      </c>
      <c r="K1984" s="12" t="n">
        <f aca="false">1000+MOD(A1984*317+A1984*A1984*7,49001)</f>
        <v>29060</v>
      </c>
      <c r="L1984" s="12" t="n">
        <f aca="false">1+MOD(A1984*131,100)</f>
        <v>74</v>
      </c>
      <c r="M1984" s="12" t="n">
        <f aca="false">INT(K1984*(0.6+MOD(A1984*43,21)/100))</f>
        <v>20051</v>
      </c>
      <c r="N1984" s="12" t="n">
        <f aca="false">K1984-M1984</f>
        <v>9009</v>
      </c>
    </row>
    <row r="1985" customFormat="false" ht="12.8" hidden="false" customHeight="false" outlineLevel="0" collapsed="false">
      <c r="A1985" s="10" t="n">
        <f aca="false">A1984+1</f>
        <v>1984</v>
      </c>
      <c r="B1985" s="11" t="n">
        <f aca="false">B1984+1</f>
        <v>46910</v>
      </c>
      <c r="C1985" s="10" t="n">
        <f aca="false">YEAR(B1985)</f>
        <v>2028</v>
      </c>
      <c r="D1985" s="10" t="n">
        <f aca="false">INT((MONTH(B1985)-1)/3)+1</f>
        <v>2</v>
      </c>
      <c r="E1985" s="10" t="n">
        <f aca="false">MONTH(B1985)</f>
        <v>6</v>
      </c>
      <c r="F1985" s="10" t="str">
        <f aca="false">CHOOSE(MOD(A1985-1,5)+1,"Центр","Юг","Север","Запад","Восток")</f>
        <v>Запад</v>
      </c>
      <c r="G1985" s="10" t="str">
        <f aca="false">"Округ_"&amp;(MOD(A1985-1,5)+1)&amp;"_"&amp;(MOD(INT((A1985-1)/5),5)+1)</f>
        <v>Округ_4_2</v>
      </c>
      <c r="H1985" s="10" t="str">
        <f aca="false">"Город_"&amp;(MOD(A1985-1,5)+1)&amp;"_"&amp;(MOD(INT((A1985-1)/5),5)+1)&amp;"_"&amp;(MOD(INT((A1985-1)/25),10)+1)</f>
        <v>Город_4_2_10</v>
      </c>
      <c r="I1985" s="10" t="str">
        <f aca="false">CHOOSE(MOD(A1985-1,4)+1,"Электроника","Одежда","Продукты","Мебель")</f>
        <v>Мебель</v>
      </c>
      <c r="J1985" s="10" t="str">
        <f aca="false">CHOOSE(MOD(INT((A1985-1)/4),4)+1,CHOOSE(MOD(A1985-1,4)+1,"Смартфоны","Ноутбуки","Аксессуары","Аудио"),CHOOSE(MOD(A1985-1,4)+1,"Верхняя одежда","Спортивная","Повседневная","Обувь"),CHOOSE(MOD(A1985-1,4)+1,"Молочные","Мясные","Бакалея","Напитки"),CHOOSE(MOD(A1985-1,4)+1,"Мягкая мебель","Корпусная","Офисная","Кухонная"))</f>
        <v>Кухонная</v>
      </c>
      <c r="K1985" s="12" t="n">
        <f aca="false">1000+MOD(A1985*317+A1985*A1985*7,49001)</f>
        <v>8145</v>
      </c>
      <c r="L1985" s="12" t="n">
        <f aca="false">1+MOD(A1985*131,100)</f>
        <v>5</v>
      </c>
      <c r="M1985" s="12" t="n">
        <f aca="false">INT(K1985*(0.6+MOD(A1985*43,21)/100))</f>
        <v>5701</v>
      </c>
      <c r="N1985" s="12" t="n">
        <f aca="false">K1985-M1985</f>
        <v>2444</v>
      </c>
    </row>
    <row r="1986" customFormat="false" ht="12.8" hidden="false" customHeight="false" outlineLevel="0" collapsed="false">
      <c r="A1986" s="10" t="n">
        <f aca="false">A1985+1</f>
        <v>1985</v>
      </c>
      <c r="B1986" s="11" t="n">
        <f aca="false">B1985+1</f>
        <v>46911</v>
      </c>
      <c r="C1986" s="10" t="n">
        <f aca="false">YEAR(B1986)</f>
        <v>2028</v>
      </c>
      <c r="D1986" s="10" t="n">
        <f aca="false">INT((MONTH(B1986)-1)/3)+1</f>
        <v>2</v>
      </c>
      <c r="E1986" s="10" t="n">
        <f aca="false">MONTH(B1986)</f>
        <v>6</v>
      </c>
      <c r="F1986" s="10" t="str">
        <f aca="false">CHOOSE(MOD(A1986-1,5)+1,"Центр","Юг","Север","Запад","Восток")</f>
        <v>Восток</v>
      </c>
      <c r="G1986" s="10" t="str">
        <f aca="false">"Округ_"&amp;(MOD(A1986-1,5)+1)&amp;"_"&amp;(MOD(INT((A1986-1)/5),5)+1)</f>
        <v>Округ_5_2</v>
      </c>
      <c r="H1986" s="10" t="str">
        <f aca="false">"Город_"&amp;(MOD(A1986-1,5)+1)&amp;"_"&amp;(MOD(INT((A1986-1)/5),5)+1)&amp;"_"&amp;(MOD(INT((A1986-1)/25),10)+1)</f>
        <v>Город_5_2_10</v>
      </c>
      <c r="I1986" s="10" t="str">
        <f aca="false">CHOOSE(MOD(A1986-1,4)+1,"Электроника","Одежда","Продукты","Мебель")</f>
        <v>Электроника</v>
      </c>
      <c r="J1986" s="10" t="str">
        <f aca="false">CHOOSE(MOD(INT((A1986-1)/4),4)+1,CHOOSE(MOD(A1986-1,4)+1,"Смартфоны","Ноутбуки","Аксессуары","Аудио"),CHOOSE(MOD(A1986-1,4)+1,"Верхняя одежда","Спортивная","Повседневная","Обувь"),CHOOSE(MOD(A1986-1,4)+1,"Молочные","Мясные","Бакалея","Напитки"),CHOOSE(MOD(A1986-1,4)+1,"Мягкая мебель","Корпусная","Офисная","Кухонная"))</f>
        <v>Смартфоны</v>
      </c>
      <c r="K1986" s="12" t="n">
        <f aca="false">1000+MOD(A1986*317+A1986*A1986*7,49001)</f>
        <v>36245</v>
      </c>
      <c r="L1986" s="12" t="n">
        <f aca="false">1+MOD(A1986*131,100)</f>
        <v>36</v>
      </c>
      <c r="M1986" s="12" t="n">
        <f aca="false">INT(K1986*(0.6+MOD(A1986*43,21)/100))</f>
        <v>25733</v>
      </c>
      <c r="N1986" s="12" t="n">
        <f aca="false">K1986-M1986</f>
        <v>10512</v>
      </c>
    </row>
    <row r="1987" customFormat="false" ht="12.8" hidden="false" customHeight="false" outlineLevel="0" collapsed="false">
      <c r="A1987" s="10" t="n">
        <f aca="false">A1986+1</f>
        <v>1986</v>
      </c>
      <c r="B1987" s="11" t="n">
        <f aca="false">B1986+1</f>
        <v>46912</v>
      </c>
      <c r="C1987" s="10" t="n">
        <f aca="false">YEAR(B1987)</f>
        <v>2028</v>
      </c>
      <c r="D1987" s="10" t="n">
        <f aca="false">INT((MONTH(B1987)-1)/3)+1</f>
        <v>2</v>
      </c>
      <c r="E1987" s="10" t="n">
        <f aca="false">MONTH(B1987)</f>
        <v>6</v>
      </c>
      <c r="F1987" s="10" t="str">
        <f aca="false">CHOOSE(MOD(A1987-1,5)+1,"Центр","Юг","Север","Запад","Восток")</f>
        <v>Центр</v>
      </c>
      <c r="G1987" s="10" t="str">
        <f aca="false">"Округ_"&amp;(MOD(A1987-1,5)+1)&amp;"_"&amp;(MOD(INT((A1987-1)/5),5)+1)</f>
        <v>Округ_1_3</v>
      </c>
      <c r="H1987" s="10" t="str">
        <f aca="false">"Город_"&amp;(MOD(A1987-1,5)+1)&amp;"_"&amp;(MOD(INT((A1987-1)/5),5)+1)&amp;"_"&amp;(MOD(INT((A1987-1)/25),10)+1)</f>
        <v>Город_1_3_10</v>
      </c>
      <c r="I1987" s="10" t="str">
        <f aca="false">CHOOSE(MOD(A1987-1,4)+1,"Электроника","Одежда","Продукты","Мебель")</f>
        <v>Одежда</v>
      </c>
      <c r="J1987" s="10" t="str">
        <f aca="false">CHOOSE(MOD(INT((A1987-1)/4),4)+1,CHOOSE(MOD(A1987-1,4)+1,"Смартфоны","Ноутбуки","Аксессуары","Аудио"),CHOOSE(MOD(A1987-1,4)+1,"Верхняя одежда","Спортивная","Повседневная","Обувь"),CHOOSE(MOD(A1987-1,4)+1,"Молочные","Мясные","Бакалея","Напитки"),CHOOSE(MOD(A1987-1,4)+1,"Мягкая мебель","Корпусная","Офисная","Кухонная"))</f>
        <v>Ноутбуки</v>
      </c>
      <c r="K1987" s="12" t="n">
        <f aca="false">1000+MOD(A1987*317+A1987*A1987*7,49001)</f>
        <v>15358</v>
      </c>
      <c r="L1987" s="12" t="n">
        <f aca="false">1+MOD(A1987*131,100)</f>
        <v>67</v>
      </c>
      <c r="M1987" s="12" t="n">
        <f aca="false">INT(K1987*(0.6+MOD(A1987*43,21)/100))</f>
        <v>11057</v>
      </c>
      <c r="N1987" s="12" t="n">
        <f aca="false">K1987-M1987</f>
        <v>4301</v>
      </c>
    </row>
    <row r="1988" customFormat="false" ht="12.8" hidden="false" customHeight="false" outlineLevel="0" collapsed="false">
      <c r="A1988" s="10" t="n">
        <f aca="false">A1987+1</f>
        <v>1987</v>
      </c>
      <c r="B1988" s="11" t="n">
        <f aca="false">B1987+1</f>
        <v>46913</v>
      </c>
      <c r="C1988" s="10" t="n">
        <f aca="false">YEAR(B1988)</f>
        <v>2028</v>
      </c>
      <c r="D1988" s="10" t="n">
        <f aca="false">INT((MONTH(B1988)-1)/3)+1</f>
        <v>2</v>
      </c>
      <c r="E1988" s="10" t="n">
        <f aca="false">MONTH(B1988)</f>
        <v>6</v>
      </c>
      <c r="F1988" s="10" t="str">
        <f aca="false">CHOOSE(MOD(A1988-1,5)+1,"Центр","Юг","Север","Запад","Восток")</f>
        <v>Юг</v>
      </c>
      <c r="G1988" s="10" t="str">
        <f aca="false">"Округ_"&amp;(MOD(A1988-1,5)+1)&amp;"_"&amp;(MOD(INT((A1988-1)/5),5)+1)</f>
        <v>Округ_2_3</v>
      </c>
      <c r="H1988" s="10" t="str">
        <f aca="false">"Город_"&amp;(MOD(A1988-1,5)+1)&amp;"_"&amp;(MOD(INT((A1988-1)/5),5)+1)&amp;"_"&amp;(MOD(INT((A1988-1)/25),10)+1)</f>
        <v>Город_2_3_10</v>
      </c>
      <c r="I1988" s="10" t="str">
        <f aca="false">CHOOSE(MOD(A1988-1,4)+1,"Электроника","Одежда","Продукты","Мебель")</f>
        <v>Продукты</v>
      </c>
      <c r="J1988" s="10" t="str">
        <f aca="false">CHOOSE(MOD(INT((A1988-1)/4),4)+1,CHOOSE(MOD(A1988-1,4)+1,"Смартфоны","Ноутбуки","Аксессуары","Аудио"),CHOOSE(MOD(A1988-1,4)+1,"Верхняя одежда","Спортивная","Повседневная","Обувь"),CHOOSE(MOD(A1988-1,4)+1,"Молочные","Мясные","Бакалея","Напитки"),CHOOSE(MOD(A1988-1,4)+1,"Мягкая мебель","Корпусная","Офисная","Кухонная"))</f>
        <v>Аксессуары</v>
      </c>
      <c r="K1988" s="12" t="n">
        <f aca="false">1000+MOD(A1988*317+A1988*A1988*7,49001)</f>
        <v>43486</v>
      </c>
      <c r="L1988" s="12" t="n">
        <f aca="false">1+MOD(A1988*131,100)</f>
        <v>98</v>
      </c>
      <c r="M1988" s="12" t="n">
        <f aca="false">INT(K1988*(0.6+MOD(A1988*43,21)/100))</f>
        <v>31744</v>
      </c>
      <c r="N1988" s="12" t="n">
        <f aca="false">K1988-M1988</f>
        <v>11742</v>
      </c>
    </row>
    <row r="1989" customFormat="false" ht="12.8" hidden="false" customHeight="false" outlineLevel="0" collapsed="false">
      <c r="A1989" s="10" t="n">
        <f aca="false">A1988+1</f>
        <v>1988</v>
      </c>
      <c r="B1989" s="11" t="n">
        <f aca="false">B1988+1</f>
        <v>46914</v>
      </c>
      <c r="C1989" s="10" t="n">
        <f aca="false">YEAR(B1989)</f>
        <v>2028</v>
      </c>
      <c r="D1989" s="10" t="n">
        <f aca="false">INT((MONTH(B1989)-1)/3)+1</f>
        <v>2</v>
      </c>
      <c r="E1989" s="10" t="n">
        <f aca="false">MONTH(B1989)</f>
        <v>6</v>
      </c>
      <c r="F1989" s="10" t="str">
        <f aca="false">CHOOSE(MOD(A1989-1,5)+1,"Центр","Юг","Север","Запад","Восток")</f>
        <v>Север</v>
      </c>
      <c r="G1989" s="10" t="str">
        <f aca="false">"Округ_"&amp;(MOD(A1989-1,5)+1)&amp;"_"&amp;(MOD(INT((A1989-1)/5),5)+1)</f>
        <v>Округ_3_3</v>
      </c>
      <c r="H1989" s="10" t="str">
        <f aca="false">"Город_"&amp;(MOD(A1989-1,5)+1)&amp;"_"&amp;(MOD(INT((A1989-1)/5),5)+1)&amp;"_"&amp;(MOD(INT((A1989-1)/25),10)+1)</f>
        <v>Город_3_3_10</v>
      </c>
      <c r="I1989" s="10" t="str">
        <f aca="false">CHOOSE(MOD(A1989-1,4)+1,"Электроника","Одежда","Продукты","Мебель")</f>
        <v>Мебель</v>
      </c>
      <c r="J1989" s="10" t="str">
        <f aca="false">CHOOSE(MOD(INT((A1989-1)/4),4)+1,CHOOSE(MOD(A1989-1,4)+1,"Смартфоны","Ноутбуки","Аксессуары","Аудио"),CHOOSE(MOD(A1989-1,4)+1,"Верхняя одежда","Спортивная","Повседневная","Обувь"),CHOOSE(MOD(A1989-1,4)+1,"Молочные","Мясные","Бакалея","Напитки"),CHOOSE(MOD(A1989-1,4)+1,"Мягкая мебель","Корпусная","Офисная","Кухонная"))</f>
        <v>Аудио</v>
      </c>
      <c r="K1989" s="12" t="n">
        <f aca="false">1000+MOD(A1989*317+A1989*A1989*7,49001)</f>
        <v>22627</v>
      </c>
      <c r="L1989" s="12" t="n">
        <f aca="false">1+MOD(A1989*131,100)</f>
        <v>29</v>
      </c>
      <c r="M1989" s="12" t="n">
        <f aca="false">INT(K1989*(0.6+MOD(A1989*43,21)/100))</f>
        <v>16743</v>
      </c>
      <c r="N1989" s="12" t="n">
        <f aca="false">K1989-M1989</f>
        <v>5884</v>
      </c>
    </row>
    <row r="1990" customFormat="false" ht="12.8" hidden="false" customHeight="false" outlineLevel="0" collapsed="false">
      <c r="A1990" s="10" t="n">
        <f aca="false">A1989+1</f>
        <v>1989</v>
      </c>
      <c r="B1990" s="11" t="n">
        <f aca="false">B1989+1</f>
        <v>46915</v>
      </c>
      <c r="C1990" s="10" t="n">
        <f aca="false">YEAR(B1990)</f>
        <v>2028</v>
      </c>
      <c r="D1990" s="10" t="n">
        <f aca="false">INT((MONTH(B1990)-1)/3)+1</f>
        <v>2</v>
      </c>
      <c r="E1990" s="10" t="n">
        <f aca="false">MONTH(B1990)</f>
        <v>6</v>
      </c>
      <c r="F1990" s="10" t="str">
        <f aca="false">CHOOSE(MOD(A1990-1,5)+1,"Центр","Юг","Север","Запад","Восток")</f>
        <v>Запад</v>
      </c>
      <c r="G1990" s="10" t="str">
        <f aca="false">"Округ_"&amp;(MOD(A1990-1,5)+1)&amp;"_"&amp;(MOD(INT((A1990-1)/5),5)+1)</f>
        <v>Округ_4_3</v>
      </c>
      <c r="H1990" s="10" t="str">
        <f aca="false">"Город_"&amp;(MOD(A1990-1,5)+1)&amp;"_"&amp;(MOD(INT((A1990-1)/5),5)+1)&amp;"_"&amp;(MOD(INT((A1990-1)/25),10)+1)</f>
        <v>Город_4_3_10</v>
      </c>
      <c r="I1990" s="10" t="str">
        <f aca="false">CHOOSE(MOD(A1990-1,4)+1,"Электроника","Одежда","Продукты","Мебель")</f>
        <v>Электроника</v>
      </c>
      <c r="J1990" s="10" t="str">
        <f aca="false">CHOOSE(MOD(INT((A1990-1)/4),4)+1,CHOOSE(MOD(A1990-1,4)+1,"Смартфоны","Ноутбуки","Аксессуары","Аудио"),CHOOSE(MOD(A1990-1,4)+1,"Верхняя одежда","Спортивная","Повседневная","Обувь"),CHOOSE(MOD(A1990-1,4)+1,"Молочные","Мясные","Бакалея","Напитки"),CHOOSE(MOD(A1990-1,4)+1,"Мягкая мебель","Корпусная","Офисная","Кухонная"))</f>
        <v>Верхняя одежда</v>
      </c>
      <c r="K1990" s="12" t="n">
        <f aca="false">1000+MOD(A1990*317+A1990*A1990*7,49001)</f>
        <v>1782</v>
      </c>
      <c r="L1990" s="12" t="n">
        <f aca="false">1+MOD(A1990*131,100)</f>
        <v>60</v>
      </c>
      <c r="M1990" s="12" t="n">
        <f aca="false">INT(K1990*(0.6+MOD(A1990*43,21)/100))</f>
        <v>1336</v>
      </c>
      <c r="N1990" s="12" t="n">
        <f aca="false">K1990-M1990</f>
        <v>446</v>
      </c>
    </row>
    <row r="1991" customFormat="false" ht="12.8" hidden="false" customHeight="false" outlineLevel="0" collapsed="false">
      <c r="A1991" s="10" t="n">
        <f aca="false">A1990+1</f>
        <v>1990</v>
      </c>
      <c r="B1991" s="11" t="n">
        <f aca="false">B1990+1</f>
        <v>46916</v>
      </c>
      <c r="C1991" s="10" t="n">
        <f aca="false">YEAR(B1991)</f>
        <v>2028</v>
      </c>
      <c r="D1991" s="10" t="n">
        <f aca="false">INT((MONTH(B1991)-1)/3)+1</f>
        <v>2</v>
      </c>
      <c r="E1991" s="10" t="n">
        <f aca="false">MONTH(B1991)</f>
        <v>6</v>
      </c>
      <c r="F1991" s="10" t="str">
        <f aca="false">CHOOSE(MOD(A1991-1,5)+1,"Центр","Юг","Север","Запад","Восток")</f>
        <v>Восток</v>
      </c>
      <c r="G1991" s="10" t="str">
        <f aca="false">"Округ_"&amp;(MOD(A1991-1,5)+1)&amp;"_"&amp;(MOD(INT((A1991-1)/5),5)+1)</f>
        <v>Округ_5_3</v>
      </c>
      <c r="H1991" s="10" t="str">
        <f aca="false">"Город_"&amp;(MOD(A1991-1,5)+1)&amp;"_"&amp;(MOD(INT((A1991-1)/5),5)+1)&amp;"_"&amp;(MOD(INT((A1991-1)/25),10)+1)</f>
        <v>Город_5_3_10</v>
      </c>
      <c r="I1991" s="10" t="str">
        <f aca="false">CHOOSE(MOD(A1991-1,4)+1,"Электроника","Одежда","Продукты","Мебель")</f>
        <v>Одежда</v>
      </c>
      <c r="J1991" s="10" t="str">
        <f aca="false">CHOOSE(MOD(INT((A1991-1)/4),4)+1,CHOOSE(MOD(A1991-1,4)+1,"Смартфоны","Ноутбуки","Аксессуары","Аудио"),CHOOSE(MOD(A1991-1,4)+1,"Верхняя одежда","Спортивная","Повседневная","Обувь"),CHOOSE(MOD(A1991-1,4)+1,"Молочные","Мясные","Бакалея","Напитки"),CHOOSE(MOD(A1991-1,4)+1,"Мягкая мебель","Корпусная","Офисная","Кухонная"))</f>
        <v>Спортивная</v>
      </c>
      <c r="K1991" s="12" t="n">
        <f aca="false">1000+MOD(A1991*317+A1991*A1991*7,49001)</f>
        <v>29952</v>
      </c>
      <c r="L1991" s="12" t="n">
        <f aca="false">1+MOD(A1991*131,100)</f>
        <v>91</v>
      </c>
      <c r="M1991" s="12" t="n">
        <f aca="false">INT(K1991*(0.6+MOD(A1991*43,21)/100))</f>
        <v>22763</v>
      </c>
      <c r="N1991" s="12" t="n">
        <f aca="false">K1991-M1991</f>
        <v>7189</v>
      </c>
    </row>
    <row r="1992" customFormat="false" ht="12.8" hidden="false" customHeight="false" outlineLevel="0" collapsed="false">
      <c r="A1992" s="10" t="n">
        <f aca="false">A1991+1</f>
        <v>1991</v>
      </c>
      <c r="B1992" s="11" t="n">
        <f aca="false">B1991+1</f>
        <v>46917</v>
      </c>
      <c r="C1992" s="10" t="n">
        <f aca="false">YEAR(B1992)</f>
        <v>2028</v>
      </c>
      <c r="D1992" s="10" t="n">
        <f aca="false">INT((MONTH(B1992)-1)/3)+1</f>
        <v>2</v>
      </c>
      <c r="E1992" s="10" t="n">
        <f aca="false">MONTH(B1992)</f>
        <v>6</v>
      </c>
      <c r="F1992" s="10" t="str">
        <f aca="false">CHOOSE(MOD(A1992-1,5)+1,"Центр","Юг","Север","Запад","Восток")</f>
        <v>Центр</v>
      </c>
      <c r="G1992" s="10" t="str">
        <f aca="false">"Округ_"&amp;(MOD(A1992-1,5)+1)&amp;"_"&amp;(MOD(INT((A1992-1)/5),5)+1)</f>
        <v>Округ_1_4</v>
      </c>
      <c r="H1992" s="10" t="str">
        <f aca="false">"Город_"&amp;(MOD(A1992-1,5)+1)&amp;"_"&amp;(MOD(INT((A1992-1)/5),5)+1)&amp;"_"&amp;(MOD(INT((A1992-1)/25),10)+1)</f>
        <v>Город_1_4_10</v>
      </c>
      <c r="I1992" s="10" t="str">
        <f aca="false">CHOOSE(MOD(A1992-1,4)+1,"Электроника","Одежда","Продукты","Мебель")</f>
        <v>Продукты</v>
      </c>
      <c r="J1992" s="10" t="str">
        <f aca="false">CHOOSE(MOD(INT((A1992-1)/4),4)+1,CHOOSE(MOD(A1992-1,4)+1,"Смартфоны","Ноутбуки","Аксессуары","Аудио"),CHOOSE(MOD(A1992-1,4)+1,"Верхняя одежда","Спортивная","Повседневная","Обувь"),CHOOSE(MOD(A1992-1,4)+1,"Молочные","Мясные","Бакалея","Напитки"),CHOOSE(MOD(A1992-1,4)+1,"Мягкая мебель","Корпусная","Офисная","Кухонная"))</f>
        <v>Повседневная</v>
      </c>
      <c r="K1992" s="12" t="n">
        <f aca="false">1000+MOD(A1992*317+A1992*A1992*7,49001)</f>
        <v>9135</v>
      </c>
      <c r="L1992" s="12" t="n">
        <f aca="false">1+MOD(A1992*131,100)</f>
        <v>22</v>
      </c>
      <c r="M1992" s="12" t="n">
        <f aca="false">INT(K1992*(0.6+MOD(A1992*43,21)/100))</f>
        <v>7033</v>
      </c>
      <c r="N1992" s="12" t="n">
        <f aca="false">K1992-M1992</f>
        <v>2102</v>
      </c>
    </row>
    <row r="1993" customFormat="false" ht="12.8" hidden="false" customHeight="false" outlineLevel="0" collapsed="false">
      <c r="A1993" s="10" t="n">
        <f aca="false">A1992+1</f>
        <v>1992</v>
      </c>
      <c r="B1993" s="11" t="n">
        <f aca="false">B1992+1</f>
        <v>46918</v>
      </c>
      <c r="C1993" s="10" t="n">
        <f aca="false">YEAR(B1993)</f>
        <v>2028</v>
      </c>
      <c r="D1993" s="10" t="n">
        <f aca="false">INT((MONTH(B1993)-1)/3)+1</f>
        <v>2</v>
      </c>
      <c r="E1993" s="10" t="n">
        <f aca="false">MONTH(B1993)</f>
        <v>6</v>
      </c>
      <c r="F1993" s="10" t="str">
        <f aca="false">CHOOSE(MOD(A1993-1,5)+1,"Центр","Юг","Север","Запад","Восток")</f>
        <v>Юг</v>
      </c>
      <c r="G1993" s="10" t="str">
        <f aca="false">"Округ_"&amp;(MOD(A1993-1,5)+1)&amp;"_"&amp;(MOD(INT((A1993-1)/5),5)+1)</f>
        <v>Округ_2_4</v>
      </c>
      <c r="H1993" s="10" t="str">
        <f aca="false">"Город_"&amp;(MOD(A1993-1,5)+1)&amp;"_"&amp;(MOD(INT((A1993-1)/5),5)+1)&amp;"_"&amp;(MOD(INT((A1993-1)/25),10)+1)</f>
        <v>Город_2_4_10</v>
      </c>
      <c r="I1993" s="10" t="str">
        <f aca="false">CHOOSE(MOD(A1993-1,4)+1,"Электроника","Одежда","Продукты","Мебель")</f>
        <v>Мебель</v>
      </c>
      <c r="J1993" s="10" t="str">
        <f aca="false">CHOOSE(MOD(INT((A1993-1)/4),4)+1,CHOOSE(MOD(A1993-1,4)+1,"Смартфоны","Ноутбуки","Аксессуары","Аудио"),CHOOSE(MOD(A1993-1,4)+1,"Верхняя одежда","Спортивная","Повседневная","Обувь"),CHOOSE(MOD(A1993-1,4)+1,"Молочные","Мясные","Бакалея","Напитки"),CHOOSE(MOD(A1993-1,4)+1,"Мягкая мебель","Корпусная","Офисная","Кухонная"))</f>
        <v>Обувь</v>
      </c>
      <c r="K1993" s="12" t="n">
        <f aca="false">1000+MOD(A1993*317+A1993*A1993*7,49001)</f>
        <v>37333</v>
      </c>
      <c r="L1993" s="12" t="n">
        <f aca="false">1+MOD(A1993*131,100)</f>
        <v>53</v>
      </c>
      <c r="M1993" s="12" t="n">
        <f aca="false">INT(K1993*(0.6+MOD(A1993*43,21)/100))</f>
        <v>29119</v>
      </c>
      <c r="N1993" s="12" t="n">
        <f aca="false">K1993-M1993</f>
        <v>8214</v>
      </c>
    </row>
    <row r="1994" customFormat="false" ht="12.8" hidden="false" customHeight="false" outlineLevel="0" collapsed="false">
      <c r="A1994" s="10" t="n">
        <f aca="false">A1993+1</f>
        <v>1993</v>
      </c>
      <c r="B1994" s="11" t="n">
        <f aca="false">B1993+1</f>
        <v>46919</v>
      </c>
      <c r="C1994" s="10" t="n">
        <f aca="false">YEAR(B1994)</f>
        <v>2028</v>
      </c>
      <c r="D1994" s="10" t="n">
        <f aca="false">INT((MONTH(B1994)-1)/3)+1</f>
        <v>2</v>
      </c>
      <c r="E1994" s="10" t="n">
        <f aca="false">MONTH(B1994)</f>
        <v>6</v>
      </c>
      <c r="F1994" s="10" t="str">
        <f aca="false">CHOOSE(MOD(A1994-1,5)+1,"Центр","Юг","Север","Запад","Восток")</f>
        <v>Север</v>
      </c>
      <c r="G1994" s="10" t="str">
        <f aca="false">"Округ_"&amp;(MOD(A1994-1,5)+1)&amp;"_"&amp;(MOD(INT((A1994-1)/5),5)+1)</f>
        <v>Округ_3_4</v>
      </c>
      <c r="H1994" s="10" t="str">
        <f aca="false">"Город_"&amp;(MOD(A1994-1,5)+1)&amp;"_"&amp;(MOD(INT((A1994-1)/5),5)+1)&amp;"_"&amp;(MOD(INT((A1994-1)/25),10)+1)</f>
        <v>Город_3_4_10</v>
      </c>
      <c r="I1994" s="10" t="str">
        <f aca="false">CHOOSE(MOD(A1994-1,4)+1,"Электроника","Одежда","Продукты","Мебель")</f>
        <v>Электроника</v>
      </c>
      <c r="J1994" s="10" t="str">
        <f aca="false">CHOOSE(MOD(INT((A1994-1)/4),4)+1,CHOOSE(MOD(A1994-1,4)+1,"Смартфоны","Ноутбуки","Аксессуары","Аудио"),CHOOSE(MOD(A1994-1,4)+1,"Верхняя одежда","Спортивная","Повседневная","Обувь"),CHOOSE(MOD(A1994-1,4)+1,"Молочные","Мясные","Бакалея","Напитки"),CHOOSE(MOD(A1994-1,4)+1,"Мягкая мебель","Корпусная","Офисная","Кухонная"))</f>
        <v>Молочные</v>
      </c>
      <c r="K1994" s="12" t="n">
        <f aca="false">1000+MOD(A1994*317+A1994*A1994*7,49001)</f>
        <v>16544</v>
      </c>
      <c r="L1994" s="12" t="n">
        <f aca="false">1+MOD(A1994*131,100)</f>
        <v>84</v>
      </c>
      <c r="M1994" s="12" t="n">
        <f aca="false">INT(K1994*(0.6+MOD(A1994*43,21)/100))</f>
        <v>13069</v>
      </c>
      <c r="N1994" s="12" t="n">
        <f aca="false">K1994-M1994</f>
        <v>3475</v>
      </c>
    </row>
    <row r="1995" customFormat="false" ht="12.8" hidden="false" customHeight="false" outlineLevel="0" collapsed="false">
      <c r="A1995" s="10" t="n">
        <f aca="false">A1994+1</f>
        <v>1994</v>
      </c>
      <c r="B1995" s="11" t="n">
        <f aca="false">B1994+1</f>
        <v>46920</v>
      </c>
      <c r="C1995" s="10" t="n">
        <f aca="false">YEAR(B1995)</f>
        <v>2028</v>
      </c>
      <c r="D1995" s="10" t="n">
        <f aca="false">INT((MONTH(B1995)-1)/3)+1</f>
        <v>2</v>
      </c>
      <c r="E1995" s="10" t="n">
        <f aca="false">MONTH(B1995)</f>
        <v>6</v>
      </c>
      <c r="F1995" s="10" t="str">
        <f aca="false">CHOOSE(MOD(A1995-1,5)+1,"Центр","Юг","Север","Запад","Восток")</f>
        <v>Запад</v>
      </c>
      <c r="G1995" s="10" t="str">
        <f aca="false">"Округ_"&amp;(MOD(A1995-1,5)+1)&amp;"_"&amp;(MOD(INT((A1995-1)/5),5)+1)</f>
        <v>Округ_4_4</v>
      </c>
      <c r="H1995" s="10" t="str">
        <f aca="false">"Город_"&amp;(MOD(A1995-1,5)+1)&amp;"_"&amp;(MOD(INT((A1995-1)/5),5)+1)&amp;"_"&amp;(MOD(INT((A1995-1)/25),10)+1)</f>
        <v>Город_4_4_10</v>
      </c>
      <c r="I1995" s="10" t="str">
        <f aca="false">CHOOSE(MOD(A1995-1,4)+1,"Электроника","Одежда","Продукты","Мебель")</f>
        <v>Одежда</v>
      </c>
      <c r="J1995" s="10" t="str">
        <f aca="false">CHOOSE(MOD(INT((A1995-1)/4),4)+1,CHOOSE(MOD(A1995-1,4)+1,"Смартфоны","Ноутбуки","Аксессуары","Аудио"),CHOOSE(MOD(A1995-1,4)+1,"Верхняя одежда","Спортивная","Повседневная","Обувь"),CHOOSE(MOD(A1995-1,4)+1,"Молочные","Мясные","Бакалея","Напитки"),CHOOSE(MOD(A1995-1,4)+1,"Мягкая мебель","Корпусная","Офисная","Кухонная"))</f>
        <v>Мясные</v>
      </c>
      <c r="K1995" s="12" t="n">
        <f aca="false">1000+MOD(A1995*317+A1995*A1995*7,49001)</f>
        <v>44770</v>
      </c>
      <c r="L1995" s="12" t="n">
        <f aca="false">1+MOD(A1995*131,100)</f>
        <v>15</v>
      </c>
      <c r="M1995" s="12" t="n">
        <f aca="false">INT(K1995*(0.6+MOD(A1995*43,21)/100))</f>
        <v>35816</v>
      </c>
      <c r="N1995" s="12" t="n">
        <f aca="false">K1995-M1995</f>
        <v>8954</v>
      </c>
    </row>
    <row r="1996" customFormat="false" ht="12.8" hidden="false" customHeight="false" outlineLevel="0" collapsed="false">
      <c r="A1996" s="10" t="n">
        <f aca="false">A1995+1</f>
        <v>1995</v>
      </c>
      <c r="B1996" s="11" t="n">
        <f aca="false">B1995+1</f>
        <v>46921</v>
      </c>
      <c r="C1996" s="10" t="n">
        <f aca="false">YEAR(B1996)</f>
        <v>2028</v>
      </c>
      <c r="D1996" s="10" t="n">
        <f aca="false">INT((MONTH(B1996)-1)/3)+1</f>
        <v>2</v>
      </c>
      <c r="E1996" s="10" t="n">
        <f aca="false">MONTH(B1996)</f>
        <v>6</v>
      </c>
      <c r="F1996" s="10" t="str">
        <f aca="false">CHOOSE(MOD(A1996-1,5)+1,"Центр","Юг","Север","Запад","Восток")</f>
        <v>Восток</v>
      </c>
      <c r="G1996" s="10" t="str">
        <f aca="false">"Округ_"&amp;(MOD(A1996-1,5)+1)&amp;"_"&amp;(MOD(INT((A1996-1)/5),5)+1)</f>
        <v>Округ_5_4</v>
      </c>
      <c r="H1996" s="10" t="str">
        <f aca="false">"Город_"&amp;(MOD(A1996-1,5)+1)&amp;"_"&amp;(MOD(INT((A1996-1)/5),5)+1)&amp;"_"&amp;(MOD(INT((A1996-1)/25),10)+1)</f>
        <v>Город_5_4_10</v>
      </c>
      <c r="I1996" s="10" t="str">
        <f aca="false">CHOOSE(MOD(A1996-1,4)+1,"Электроника","Одежда","Продукты","Мебель")</f>
        <v>Продукты</v>
      </c>
      <c r="J1996" s="10" t="str">
        <f aca="false">CHOOSE(MOD(INT((A1996-1)/4),4)+1,CHOOSE(MOD(A1996-1,4)+1,"Смартфоны","Ноутбуки","Аксессуары","Аудио"),CHOOSE(MOD(A1996-1,4)+1,"Верхняя одежда","Спортивная","Повседневная","Обувь"),CHOOSE(MOD(A1996-1,4)+1,"Молочные","Мясные","Бакалея","Напитки"),CHOOSE(MOD(A1996-1,4)+1,"Мягкая мебель","Корпусная","Офисная","Кухонная"))</f>
        <v>Бакалея</v>
      </c>
      <c r="K1996" s="12" t="n">
        <f aca="false">1000+MOD(A1996*317+A1996*A1996*7,49001)</f>
        <v>24009</v>
      </c>
      <c r="L1996" s="12" t="n">
        <f aca="false">1+MOD(A1996*131,100)</f>
        <v>46</v>
      </c>
      <c r="M1996" s="12" t="n">
        <f aca="false">INT(K1996*(0.6+MOD(A1996*43,21)/100))</f>
        <v>14405</v>
      </c>
      <c r="N1996" s="12" t="n">
        <f aca="false">K1996-M1996</f>
        <v>9604</v>
      </c>
    </row>
    <row r="1997" customFormat="false" ht="12.8" hidden="false" customHeight="false" outlineLevel="0" collapsed="false">
      <c r="A1997" s="10" t="n">
        <f aca="false">A1996+1</f>
        <v>1996</v>
      </c>
      <c r="B1997" s="11" t="n">
        <f aca="false">B1996+1</f>
        <v>46922</v>
      </c>
      <c r="C1997" s="10" t="n">
        <f aca="false">YEAR(B1997)</f>
        <v>2028</v>
      </c>
      <c r="D1997" s="10" t="n">
        <f aca="false">INT((MONTH(B1997)-1)/3)+1</f>
        <v>2</v>
      </c>
      <c r="E1997" s="10" t="n">
        <f aca="false">MONTH(B1997)</f>
        <v>6</v>
      </c>
      <c r="F1997" s="10" t="str">
        <f aca="false">CHOOSE(MOD(A1997-1,5)+1,"Центр","Юг","Север","Запад","Восток")</f>
        <v>Центр</v>
      </c>
      <c r="G1997" s="10" t="str">
        <f aca="false">"Округ_"&amp;(MOD(A1997-1,5)+1)&amp;"_"&amp;(MOD(INT((A1997-1)/5),5)+1)</f>
        <v>Округ_1_5</v>
      </c>
      <c r="H1997" s="10" t="str">
        <f aca="false">"Город_"&amp;(MOD(A1997-1,5)+1)&amp;"_"&amp;(MOD(INT((A1997-1)/5),5)+1)&amp;"_"&amp;(MOD(INT((A1997-1)/25),10)+1)</f>
        <v>Город_1_5_10</v>
      </c>
      <c r="I1997" s="10" t="str">
        <f aca="false">CHOOSE(MOD(A1997-1,4)+1,"Электроника","Одежда","Продукты","Мебель")</f>
        <v>Мебель</v>
      </c>
      <c r="J1997" s="10" t="str">
        <f aca="false">CHOOSE(MOD(INT((A1997-1)/4),4)+1,CHOOSE(MOD(A1997-1,4)+1,"Смартфоны","Ноутбуки","Аксессуары","Аудио"),CHOOSE(MOD(A1997-1,4)+1,"Верхняя одежда","Спортивная","Повседневная","Обувь"),CHOOSE(MOD(A1997-1,4)+1,"Молочные","Мясные","Бакалея","Напитки"),CHOOSE(MOD(A1997-1,4)+1,"Мягкая мебель","Корпусная","Офисная","Кухонная"))</f>
        <v>Напитки</v>
      </c>
      <c r="K1997" s="12" t="n">
        <f aca="false">1000+MOD(A1997*317+A1997*A1997*7,49001)</f>
        <v>3262</v>
      </c>
      <c r="L1997" s="12" t="n">
        <f aca="false">1+MOD(A1997*131,100)</f>
        <v>77</v>
      </c>
      <c r="M1997" s="12" t="n">
        <f aca="false">INT(K1997*(0.6+MOD(A1997*43,21)/100))</f>
        <v>1989</v>
      </c>
      <c r="N1997" s="12" t="n">
        <f aca="false">K1997-M1997</f>
        <v>1273</v>
      </c>
    </row>
    <row r="1998" customFormat="false" ht="12.8" hidden="false" customHeight="false" outlineLevel="0" collapsed="false">
      <c r="A1998" s="10" t="n">
        <f aca="false">A1997+1</f>
        <v>1997</v>
      </c>
      <c r="B1998" s="11" t="n">
        <f aca="false">B1997+1</f>
        <v>46923</v>
      </c>
      <c r="C1998" s="10" t="n">
        <f aca="false">YEAR(B1998)</f>
        <v>2028</v>
      </c>
      <c r="D1998" s="10" t="n">
        <f aca="false">INT((MONTH(B1998)-1)/3)+1</f>
        <v>2</v>
      </c>
      <c r="E1998" s="10" t="n">
        <f aca="false">MONTH(B1998)</f>
        <v>6</v>
      </c>
      <c r="F1998" s="10" t="str">
        <f aca="false">CHOOSE(MOD(A1998-1,5)+1,"Центр","Юг","Север","Запад","Восток")</f>
        <v>Юг</v>
      </c>
      <c r="G1998" s="10" t="str">
        <f aca="false">"Округ_"&amp;(MOD(A1998-1,5)+1)&amp;"_"&amp;(MOD(INT((A1998-1)/5),5)+1)</f>
        <v>Округ_2_5</v>
      </c>
      <c r="H1998" s="10" t="str">
        <f aca="false">"Город_"&amp;(MOD(A1998-1,5)+1)&amp;"_"&amp;(MOD(INT((A1998-1)/5),5)+1)&amp;"_"&amp;(MOD(INT((A1998-1)/25),10)+1)</f>
        <v>Город_2_5_10</v>
      </c>
      <c r="I1998" s="10" t="str">
        <f aca="false">CHOOSE(MOD(A1998-1,4)+1,"Электроника","Одежда","Продукты","Мебель")</f>
        <v>Электроника</v>
      </c>
      <c r="J1998" s="10" t="str">
        <f aca="false">CHOOSE(MOD(INT((A1998-1)/4),4)+1,CHOOSE(MOD(A1998-1,4)+1,"Смартфоны","Ноутбуки","Аксессуары","Аудио"),CHOOSE(MOD(A1998-1,4)+1,"Верхняя одежда","Спортивная","Повседневная","Обувь"),CHOOSE(MOD(A1998-1,4)+1,"Молочные","Мясные","Бакалея","Напитки"),CHOOSE(MOD(A1998-1,4)+1,"Мягкая мебель","Корпусная","Офисная","Кухонная"))</f>
        <v>Мягкая мебель</v>
      </c>
      <c r="K1998" s="12" t="n">
        <f aca="false">1000+MOD(A1998*317+A1998*A1998*7,49001)</f>
        <v>31530</v>
      </c>
      <c r="L1998" s="12" t="n">
        <f aca="false">1+MOD(A1998*131,100)</f>
        <v>8</v>
      </c>
      <c r="M1998" s="12" t="n">
        <f aca="false">INT(K1998*(0.6+MOD(A1998*43,21)/100))</f>
        <v>19548</v>
      </c>
      <c r="N1998" s="12" t="n">
        <f aca="false">K1998-M1998</f>
        <v>11982</v>
      </c>
    </row>
    <row r="1999" customFormat="false" ht="12.8" hidden="false" customHeight="false" outlineLevel="0" collapsed="false">
      <c r="A1999" s="10" t="n">
        <f aca="false">A1998+1</f>
        <v>1998</v>
      </c>
      <c r="B1999" s="11" t="n">
        <f aca="false">B1998+1</f>
        <v>46924</v>
      </c>
      <c r="C1999" s="10" t="n">
        <f aca="false">YEAR(B1999)</f>
        <v>2028</v>
      </c>
      <c r="D1999" s="10" t="n">
        <f aca="false">INT((MONTH(B1999)-1)/3)+1</f>
        <v>2</v>
      </c>
      <c r="E1999" s="10" t="n">
        <f aca="false">MONTH(B1999)</f>
        <v>6</v>
      </c>
      <c r="F1999" s="10" t="str">
        <f aca="false">CHOOSE(MOD(A1999-1,5)+1,"Центр","Юг","Север","Запад","Восток")</f>
        <v>Север</v>
      </c>
      <c r="G1999" s="10" t="str">
        <f aca="false">"Округ_"&amp;(MOD(A1999-1,5)+1)&amp;"_"&amp;(MOD(INT((A1999-1)/5),5)+1)</f>
        <v>Округ_3_5</v>
      </c>
      <c r="H1999" s="10" t="str">
        <f aca="false">"Город_"&amp;(MOD(A1999-1,5)+1)&amp;"_"&amp;(MOD(INT((A1999-1)/5),5)+1)&amp;"_"&amp;(MOD(INT((A1999-1)/25),10)+1)</f>
        <v>Город_3_5_10</v>
      </c>
      <c r="I1999" s="10" t="str">
        <f aca="false">CHOOSE(MOD(A1999-1,4)+1,"Электроника","Одежда","Продукты","Мебель")</f>
        <v>Одежда</v>
      </c>
      <c r="J1999" s="10" t="str">
        <f aca="false">CHOOSE(MOD(INT((A1999-1)/4),4)+1,CHOOSE(MOD(A1999-1,4)+1,"Смартфоны","Ноутбуки","Аксессуары","Аудио"),CHOOSE(MOD(A1999-1,4)+1,"Верхняя одежда","Спортивная","Повседневная","Обувь"),CHOOSE(MOD(A1999-1,4)+1,"Молочные","Мясные","Бакалея","Напитки"),CHOOSE(MOD(A1999-1,4)+1,"Мягкая мебель","Корпусная","Офисная","Кухонная"))</f>
        <v>Корпусная</v>
      </c>
      <c r="K1999" s="12" t="n">
        <f aca="false">1000+MOD(A1999*317+A1999*A1999*7,49001)</f>
        <v>10811</v>
      </c>
      <c r="L1999" s="12" t="n">
        <f aca="false">1+MOD(A1999*131,100)</f>
        <v>39</v>
      </c>
      <c r="M1999" s="12" t="n">
        <f aca="false">INT(K1999*(0.6+MOD(A1999*43,21)/100))</f>
        <v>6810</v>
      </c>
      <c r="N1999" s="12" t="n">
        <f aca="false">K1999-M1999</f>
        <v>4001</v>
      </c>
    </row>
    <row r="2000" customFormat="false" ht="12.8" hidden="false" customHeight="false" outlineLevel="0" collapsed="false">
      <c r="A2000" s="10" t="n">
        <f aca="false">A1999+1</f>
        <v>1999</v>
      </c>
      <c r="B2000" s="11" t="n">
        <f aca="false">B1999+1</f>
        <v>46925</v>
      </c>
      <c r="C2000" s="10" t="n">
        <f aca="false">YEAR(B2000)</f>
        <v>2028</v>
      </c>
      <c r="D2000" s="10" t="n">
        <f aca="false">INT((MONTH(B2000)-1)/3)+1</f>
        <v>2</v>
      </c>
      <c r="E2000" s="10" t="n">
        <f aca="false">MONTH(B2000)</f>
        <v>6</v>
      </c>
      <c r="F2000" s="10" t="str">
        <f aca="false">CHOOSE(MOD(A2000-1,5)+1,"Центр","Юг","Север","Запад","Восток")</f>
        <v>Запад</v>
      </c>
      <c r="G2000" s="10" t="str">
        <f aca="false">"Округ_"&amp;(MOD(A2000-1,5)+1)&amp;"_"&amp;(MOD(INT((A2000-1)/5),5)+1)</f>
        <v>Округ_4_5</v>
      </c>
      <c r="H2000" s="10" t="str">
        <f aca="false">"Город_"&amp;(MOD(A2000-1,5)+1)&amp;"_"&amp;(MOD(INT((A2000-1)/5),5)+1)&amp;"_"&amp;(MOD(INT((A2000-1)/25),10)+1)</f>
        <v>Город_4_5_10</v>
      </c>
      <c r="I2000" s="10" t="str">
        <f aca="false">CHOOSE(MOD(A2000-1,4)+1,"Электроника","Одежда","Продукты","Мебель")</f>
        <v>Продукты</v>
      </c>
      <c r="J2000" s="10" t="str">
        <f aca="false">CHOOSE(MOD(INT((A2000-1)/4),4)+1,CHOOSE(MOD(A2000-1,4)+1,"Смартфоны","Ноутбуки","Аксессуары","Аудио"),CHOOSE(MOD(A2000-1,4)+1,"Верхняя одежда","Спортивная","Повседневная","Обувь"),CHOOSE(MOD(A2000-1,4)+1,"Молочные","Мясные","Бакалея","Напитки"),CHOOSE(MOD(A2000-1,4)+1,"Мягкая мебель","Корпусная","Офисная","Кухонная"))</f>
        <v>Офисная</v>
      </c>
      <c r="K2000" s="12" t="n">
        <f aca="false">1000+MOD(A2000*317+A2000*A2000*7,49001)</f>
        <v>39107</v>
      </c>
      <c r="L2000" s="12" t="n">
        <f aca="false">1+MOD(A2000*131,100)</f>
        <v>70</v>
      </c>
      <c r="M2000" s="12" t="n">
        <f aca="false">INT(K2000*(0.6+MOD(A2000*43,21)/100))</f>
        <v>25028</v>
      </c>
      <c r="N2000" s="12" t="n">
        <f aca="false">K2000-M2000</f>
        <v>14079</v>
      </c>
    </row>
    <row r="2001" customFormat="false" ht="12.8" hidden="false" customHeight="false" outlineLevel="0" collapsed="false">
      <c r="A2001" s="10" t="n">
        <f aca="false">A2000+1</f>
        <v>2000</v>
      </c>
      <c r="B2001" s="11" t="n">
        <f aca="false">B2000+1</f>
        <v>46926</v>
      </c>
      <c r="C2001" s="10" t="n">
        <f aca="false">YEAR(B2001)</f>
        <v>2028</v>
      </c>
      <c r="D2001" s="10" t="n">
        <f aca="false">INT((MONTH(B2001)-1)/3)+1</f>
        <v>2</v>
      </c>
      <c r="E2001" s="10" t="n">
        <f aca="false">MONTH(B2001)</f>
        <v>6</v>
      </c>
      <c r="F2001" s="10" t="str">
        <f aca="false">CHOOSE(MOD(A2001-1,5)+1,"Центр","Юг","Север","Запад","Восток")</f>
        <v>Восток</v>
      </c>
      <c r="G2001" s="10" t="str">
        <f aca="false">"Округ_"&amp;(MOD(A2001-1,5)+1)&amp;"_"&amp;(MOD(INT((A2001-1)/5),5)+1)</f>
        <v>Округ_5_5</v>
      </c>
      <c r="H2001" s="10" t="str">
        <f aca="false">"Город_"&amp;(MOD(A2001-1,5)+1)&amp;"_"&amp;(MOD(INT((A2001-1)/5),5)+1)&amp;"_"&amp;(MOD(INT((A2001-1)/25),10)+1)</f>
        <v>Город_5_5_10</v>
      </c>
      <c r="I2001" s="10" t="str">
        <f aca="false">CHOOSE(MOD(A2001-1,4)+1,"Электроника","Одежда","Продукты","Мебель")</f>
        <v>Мебель</v>
      </c>
      <c r="J2001" s="10" t="str">
        <f aca="false">CHOOSE(MOD(INT((A2001-1)/4),4)+1,CHOOSE(MOD(A2001-1,4)+1,"Смартфоны","Ноутбуки","Аксессуары","Аудио"),CHOOSE(MOD(A2001-1,4)+1,"Верхняя одежда","Спортивная","Повседневная","Обувь"),CHOOSE(MOD(A2001-1,4)+1,"Молочные","Мясные","Бакалея","Напитки"),CHOOSE(MOD(A2001-1,4)+1,"Мягкая мебель","Корпусная","Офисная","Кухонная"))</f>
        <v>Кухонная</v>
      </c>
      <c r="K2001" s="12" t="n">
        <f aca="false">1000+MOD(A2001*317+A2001*A2001*7,49001)</f>
        <v>18416</v>
      </c>
      <c r="L2001" s="12" t="n">
        <f aca="false">1+MOD(A2001*131,100)</f>
        <v>1</v>
      </c>
      <c r="M2001" s="12" t="n">
        <f aca="false">INT(K2001*(0.6+MOD(A2001*43,21)/100))</f>
        <v>11970</v>
      </c>
      <c r="N2001" s="12" t="n">
        <f aca="false">K2001-M2001</f>
        <v>6446</v>
      </c>
    </row>
    <row r="2002" customFormat="false" ht="12.8" hidden="false" customHeight="false" outlineLevel="0" collapsed="false">
      <c r="A2002" s="10" t="n">
        <f aca="false">A2001+1</f>
        <v>2001</v>
      </c>
      <c r="B2002" s="11" t="n">
        <f aca="false">B2001+1</f>
        <v>46927</v>
      </c>
      <c r="C2002" s="10" t="n">
        <f aca="false">YEAR(B2002)</f>
        <v>2028</v>
      </c>
      <c r="D2002" s="10" t="n">
        <f aca="false">INT((MONTH(B2002)-1)/3)+1</f>
        <v>2</v>
      </c>
      <c r="E2002" s="10" t="n">
        <f aca="false">MONTH(B2002)</f>
        <v>6</v>
      </c>
      <c r="F2002" s="10" t="str">
        <f aca="false">CHOOSE(MOD(A2002-1,5)+1,"Центр","Юг","Север","Запад","Восток")</f>
        <v>Центр</v>
      </c>
      <c r="G2002" s="10" t="str">
        <f aca="false">"Округ_"&amp;(MOD(A2002-1,5)+1)&amp;"_"&amp;(MOD(INT((A2002-1)/5),5)+1)</f>
        <v>Округ_1_1</v>
      </c>
      <c r="H2002" s="10" t="str">
        <f aca="false">"Город_"&amp;(MOD(A2002-1,5)+1)&amp;"_"&amp;(MOD(INT((A2002-1)/5),5)+1)&amp;"_"&amp;(MOD(INT((A2002-1)/25),10)+1)</f>
        <v>Город_1_1_1</v>
      </c>
      <c r="I2002" s="10" t="str">
        <f aca="false">CHOOSE(MOD(A2002-1,4)+1,"Электроника","Одежда","Продукты","Мебель")</f>
        <v>Электроника</v>
      </c>
      <c r="J2002" s="10" t="str">
        <f aca="false">CHOOSE(MOD(INT((A2002-1)/4),4)+1,CHOOSE(MOD(A2002-1,4)+1,"Смартфоны","Ноутбуки","Аксессуары","Аудио"),CHOOSE(MOD(A2002-1,4)+1,"Верхняя одежда","Спортивная","Повседневная","Обувь"),CHOOSE(MOD(A2002-1,4)+1,"Молочные","Мясные","Бакалея","Напитки"),CHOOSE(MOD(A2002-1,4)+1,"Мягкая мебель","Корпусная","Офисная","Кухонная"))</f>
        <v>Смартфоны</v>
      </c>
      <c r="K2002" s="12" t="n">
        <f aca="false">1000+MOD(A2002*317+A2002*A2002*7,49001)</f>
        <v>46740</v>
      </c>
      <c r="L2002" s="12" t="n">
        <f aca="false">1+MOD(A2002*131,100)</f>
        <v>32</v>
      </c>
      <c r="M2002" s="12" t="n">
        <f aca="false">INT(K2002*(0.6+MOD(A2002*43,21)/100))</f>
        <v>30848</v>
      </c>
      <c r="N2002" s="12" t="n">
        <f aca="false">K2002-M2002</f>
        <v>15892</v>
      </c>
    </row>
    <row r="2003" customFormat="false" ht="12.8" hidden="false" customHeight="false" outlineLevel="0" collapsed="false">
      <c r="A2003" s="10" t="n">
        <f aca="false">A2002+1</f>
        <v>2002</v>
      </c>
      <c r="B2003" s="11" t="n">
        <f aca="false">B2002+1</f>
        <v>46928</v>
      </c>
      <c r="C2003" s="10" t="n">
        <f aca="false">YEAR(B2003)</f>
        <v>2028</v>
      </c>
      <c r="D2003" s="10" t="n">
        <f aca="false">INT((MONTH(B2003)-1)/3)+1</f>
        <v>2</v>
      </c>
      <c r="E2003" s="10" t="n">
        <f aca="false">MONTH(B2003)</f>
        <v>6</v>
      </c>
      <c r="F2003" s="10" t="str">
        <f aca="false">CHOOSE(MOD(A2003-1,5)+1,"Центр","Юг","Север","Запад","Восток")</f>
        <v>Юг</v>
      </c>
      <c r="G2003" s="10" t="str">
        <f aca="false">"Округ_"&amp;(MOD(A2003-1,5)+1)&amp;"_"&amp;(MOD(INT((A2003-1)/5),5)+1)</f>
        <v>Округ_2_1</v>
      </c>
      <c r="H2003" s="10" t="str">
        <f aca="false">"Город_"&amp;(MOD(A2003-1,5)+1)&amp;"_"&amp;(MOD(INT((A2003-1)/5),5)+1)&amp;"_"&amp;(MOD(INT((A2003-1)/25),10)+1)</f>
        <v>Город_2_1_1</v>
      </c>
      <c r="I2003" s="10" t="str">
        <f aca="false">CHOOSE(MOD(A2003-1,4)+1,"Электроника","Одежда","Продукты","Мебель")</f>
        <v>Одежда</v>
      </c>
      <c r="J2003" s="10" t="str">
        <f aca="false">CHOOSE(MOD(INT((A2003-1)/4),4)+1,CHOOSE(MOD(A2003-1,4)+1,"Смартфоны","Ноутбуки","Аксессуары","Аудио"),CHOOSE(MOD(A2003-1,4)+1,"Верхняя одежда","Спортивная","Повседневная","Обувь"),CHOOSE(MOD(A2003-1,4)+1,"Молочные","Мясные","Бакалея","Напитки"),CHOOSE(MOD(A2003-1,4)+1,"Мягкая мебель","Корпусная","Офисная","Кухонная"))</f>
        <v>Ноутбуки</v>
      </c>
      <c r="K2003" s="12" t="n">
        <f aca="false">1000+MOD(A2003*317+A2003*A2003*7,49001)</f>
        <v>26077</v>
      </c>
      <c r="L2003" s="12" t="n">
        <f aca="false">1+MOD(A2003*131,100)</f>
        <v>63</v>
      </c>
      <c r="M2003" s="12" t="n">
        <f aca="false">INT(K2003*(0.6+MOD(A2003*43,21)/100))</f>
        <v>17471</v>
      </c>
      <c r="N2003" s="12" t="n">
        <f aca="false">K2003-M2003</f>
        <v>8606</v>
      </c>
    </row>
    <row r="2004" customFormat="false" ht="12.8" hidden="false" customHeight="false" outlineLevel="0" collapsed="false">
      <c r="A2004" s="10" t="n">
        <f aca="false">A2003+1</f>
        <v>2003</v>
      </c>
      <c r="B2004" s="11" t="n">
        <f aca="false">B2003+1</f>
        <v>46929</v>
      </c>
      <c r="C2004" s="10" t="n">
        <f aca="false">YEAR(B2004)</f>
        <v>2028</v>
      </c>
      <c r="D2004" s="10" t="n">
        <f aca="false">INT((MONTH(B2004)-1)/3)+1</f>
        <v>2</v>
      </c>
      <c r="E2004" s="10" t="n">
        <f aca="false">MONTH(B2004)</f>
        <v>6</v>
      </c>
      <c r="F2004" s="10" t="str">
        <f aca="false">CHOOSE(MOD(A2004-1,5)+1,"Центр","Юг","Север","Запад","Восток")</f>
        <v>Север</v>
      </c>
      <c r="G2004" s="10" t="str">
        <f aca="false">"Округ_"&amp;(MOD(A2004-1,5)+1)&amp;"_"&amp;(MOD(INT((A2004-1)/5),5)+1)</f>
        <v>Округ_3_1</v>
      </c>
      <c r="H2004" s="10" t="str">
        <f aca="false">"Город_"&amp;(MOD(A2004-1,5)+1)&amp;"_"&amp;(MOD(INT((A2004-1)/5),5)+1)&amp;"_"&amp;(MOD(INT((A2004-1)/25),10)+1)</f>
        <v>Город_3_1_1</v>
      </c>
      <c r="I2004" s="10" t="str">
        <f aca="false">CHOOSE(MOD(A2004-1,4)+1,"Электроника","Одежда","Продукты","Мебель")</f>
        <v>Продукты</v>
      </c>
      <c r="J2004" s="10" t="str">
        <f aca="false">CHOOSE(MOD(INT((A2004-1)/4),4)+1,CHOOSE(MOD(A2004-1,4)+1,"Смартфоны","Ноутбуки","Аксессуары","Аудио"),CHOOSE(MOD(A2004-1,4)+1,"Верхняя одежда","Спортивная","Повседневная","Обувь"),CHOOSE(MOD(A2004-1,4)+1,"Молочные","Мясные","Бакалея","Напитки"),CHOOSE(MOD(A2004-1,4)+1,"Мягкая мебель","Корпусная","Офисная","Кухонная"))</f>
        <v>Аксессуары</v>
      </c>
      <c r="K2004" s="12" t="n">
        <f aca="false">1000+MOD(A2004*317+A2004*A2004*7,49001)</f>
        <v>5428</v>
      </c>
      <c r="L2004" s="12" t="n">
        <f aca="false">1+MOD(A2004*131,100)</f>
        <v>94</v>
      </c>
      <c r="M2004" s="12" t="n">
        <f aca="false">INT(K2004*(0.6+MOD(A2004*43,21)/100))</f>
        <v>3691</v>
      </c>
      <c r="N2004" s="12" t="n">
        <f aca="false">K2004-M2004</f>
        <v>1737</v>
      </c>
    </row>
    <row r="2005" customFormat="false" ht="12.8" hidden="false" customHeight="false" outlineLevel="0" collapsed="false">
      <c r="A2005" s="10" t="n">
        <f aca="false">A2004+1</f>
        <v>2004</v>
      </c>
      <c r="B2005" s="11" t="n">
        <f aca="false">B2004+1</f>
        <v>46930</v>
      </c>
      <c r="C2005" s="10" t="n">
        <f aca="false">YEAR(B2005)</f>
        <v>2028</v>
      </c>
      <c r="D2005" s="10" t="n">
        <f aca="false">INT((MONTH(B2005)-1)/3)+1</f>
        <v>2</v>
      </c>
      <c r="E2005" s="10" t="n">
        <f aca="false">MONTH(B2005)</f>
        <v>6</v>
      </c>
      <c r="F2005" s="10" t="str">
        <f aca="false">CHOOSE(MOD(A2005-1,5)+1,"Центр","Юг","Север","Запад","Восток")</f>
        <v>Запад</v>
      </c>
      <c r="G2005" s="10" t="str">
        <f aca="false">"Округ_"&amp;(MOD(A2005-1,5)+1)&amp;"_"&amp;(MOD(INT((A2005-1)/5),5)+1)</f>
        <v>Округ_4_1</v>
      </c>
      <c r="H2005" s="10" t="str">
        <f aca="false">"Город_"&amp;(MOD(A2005-1,5)+1)&amp;"_"&amp;(MOD(INT((A2005-1)/5),5)+1)&amp;"_"&amp;(MOD(INT((A2005-1)/25),10)+1)</f>
        <v>Город_4_1_1</v>
      </c>
      <c r="I2005" s="10" t="str">
        <f aca="false">CHOOSE(MOD(A2005-1,4)+1,"Электроника","Одежда","Продукты","Мебель")</f>
        <v>Мебель</v>
      </c>
      <c r="J2005" s="10" t="str">
        <f aca="false">CHOOSE(MOD(INT((A2005-1)/4),4)+1,CHOOSE(MOD(A2005-1,4)+1,"Смартфоны","Ноутбуки","Аксессуары","Аудио"),CHOOSE(MOD(A2005-1,4)+1,"Верхняя одежда","Спортивная","Повседневная","Обувь"),CHOOSE(MOD(A2005-1,4)+1,"Молочные","Мясные","Бакалея","Напитки"),CHOOSE(MOD(A2005-1,4)+1,"Мягкая мебель","Корпусная","Офисная","Кухонная"))</f>
        <v>Аудио</v>
      </c>
      <c r="K2005" s="12" t="n">
        <f aca="false">1000+MOD(A2005*317+A2005*A2005*7,49001)</f>
        <v>33794</v>
      </c>
      <c r="L2005" s="12" t="n">
        <f aca="false">1+MOD(A2005*131,100)</f>
        <v>25</v>
      </c>
      <c r="M2005" s="12" t="n">
        <f aca="false">INT(K2005*(0.6+MOD(A2005*43,21)/100))</f>
        <v>23317</v>
      </c>
      <c r="N2005" s="12" t="n">
        <f aca="false">K2005-M2005</f>
        <v>10477</v>
      </c>
    </row>
    <row r="2006" customFormat="false" ht="12.8" hidden="false" customHeight="false" outlineLevel="0" collapsed="false">
      <c r="A2006" s="10" t="n">
        <f aca="false">A2005+1</f>
        <v>2005</v>
      </c>
      <c r="B2006" s="11" t="n">
        <f aca="false">B2005+1</f>
        <v>46931</v>
      </c>
      <c r="C2006" s="10" t="n">
        <f aca="false">YEAR(B2006)</f>
        <v>2028</v>
      </c>
      <c r="D2006" s="10" t="n">
        <f aca="false">INT((MONTH(B2006)-1)/3)+1</f>
        <v>2</v>
      </c>
      <c r="E2006" s="10" t="n">
        <f aca="false">MONTH(B2006)</f>
        <v>6</v>
      </c>
      <c r="F2006" s="10" t="str">
        <f aca="false">CHOOSE(MOD(A2006-1,5)+1,"Центр","Юг","Север","Запад","Восток")</f>
        <v>Восток</v>
      </c>
      <c r="G2006" s="10" t="str">
        <f aca="false">"Округ_"&amp;(MOD(A2006-1,5)+1)&amp;"_"&amp;(MOD(INT((A2006-1)/5),5)+1)</f>
        <v>Округ_5_1</v>
      </c>
      <c r="H2006" s="10" t="str">
        <f aca="false">"Город_"&amp;(MOD(A2006-1,5)+1)&amp;"_"&amp;(MOD(INT((A2006-1)/5),5)+1)&amp;"_"&amp;(MOD(INT((A2006-1)/25),10)+1)</f>
        <v>Город_5_1_1</v>
      </c>
      <c r="I2006" s="10" t="str">
        <f aca="false">CHOOSE(MOD(A2006-1,4)+1,"Электроника","Одежда","Продукты","Мебель")</f>
        <v>Электроника</v>
      </c>
      <c r="J2006" s="10" t="str">
        <f aca="false">CHOOSE(MOD(INT((A2006-1)/4),4)+1,CHOOSE(MOD(A2006-1,4)+1,"Смартфоны","Ноутбуки","Аксессуары","Аудио"),CHOOSE(MOD(A2006-1,4)+1,"Верхняя одежда","Спортивная","Повседневная","Обувь"),CHOOSE(MOD(A2006-1,4)+1,"Молочные","Мясные","Бакалея","Напитки"),CHOOSE(MOD(A2006-1,4)+1,"Мягкая мебель","Корпусная","Офисная","Кухонная"))</f>
        <v>Верхняя одежда</v>
      </c>
      <c r="K2006" s="12" t="n">
        <f aca="false">1000+MOD(A2006*317+A2006*A2006*7,49001)</f>
        <v>13173</v>
      </c>
      <c r="L2006" s="12" t="n">
        <f aca="false">1+MOD(A2006*131,100)</f>
        <v>56</v>
      </c>
      <c r="M2006" s="12" t="n">
        <f aca="false">INT(K2006*(0.6+MOD(A2006*43,21)/100))</f>
        <v>9221</v>
      </c>
      <c r="N2006" s="12" t="n">
        <f aca="false">K2006-M2006</f>
        <v>3952</v>
      </c>
    </row>
    <row r="2007" customFormat="false" ht="12.8" hidden="false" customHeight="false" outlineLevel="0" collapsed="false">
      <c r="A2007" s="10" t="n">
        <f aca="false">A2006+1</f>
        <v>2006</v>
      </c>
      <c r="B2007" s="11" t="n">
        <f aca="false">B2006+1</f>
        <v>46932</v>
      </c>
      <c r="C2007" s="10" t="n">
        <f aca="false">YEAR(B2007)</f>
        <v>2028</v>
      </c>
      <c r="D2007" s="10" t="n">
        <f aca="false">INT((MONTH(B2007)-1)/3)+1</f>
        <v>2</v>
      </c>
      <c r="E2007" s="10" t="n">
        <f aca="false">MONTH(B2007)</f>
        <v>6</v>
      </c>
      <c r="F2007" s="10" t="str">
        <f aca="false">CHOOSE(MOD(A2007-1,5)+1,"Центр","Юг","Север","Запад","Восток")</f>
        <v>Центр</v>
      </c>
      <c r="G2007" s="10" t="str">
        <f aca="false">"Округ_"&amp;(MOD(A2007-1,5)+1)&amp;"_"&amp;(MOD(INT((A2007-1)/5),5)+1)</f>
        <v>Округ_1_2</v>
      </c>
      <c r="H2007" s="10" t="str">
        <f aca="false">"Город_"&amp;(MOD(A2007-1,5)+1)&amp;"_"&amp;(MOD(INT((A2007-1)/5),5)+1)&amp;"_"&amp;(MOD(INT((A2007-1)/25),10)+1)</f>
        <v>Город_1_2_1</v>
      </c>
      <c r="I2007" s="10" t="str">
        <f aca="false">CHOOSE(MOD(A2007-1,4)+1,"Электроника","Одежда","Продукты","Мебель")</f>
        <v>Одежда</v>
      </c>
      <c r="J2007" s="10" t="str">
        <f aca="false">CHOOSE(MOD(INT((A2007-1)/4),4)+1,CHOOSE(MOD(A2007-1,4)+1,"Смартфоны","Ноутбуки","Аксессуары","Аудио"),CHOOSE(MOD(A2007-1,4)+1,"Верхняя одежда","Спортивная","Повседневная","Обувь"),CHOOSE(MOD(A2007-1,4)+1,"Молочные","Мясные","Бакалея","Напитки"),CHOOSE(MOD(A2007-1,4)+1,"Мягкая мебель","Корпусная","Офисная","Кухонная"))</f>
        <v>Спортивная</v>
      </c>
      <c r="K2007" s="12" t="n">
        <f aca="false">1000+MOD(A2007*317+A2007*A2007*7,49001)</f>
        <v>41567</v>
      </c>
      <c r="L2007" s="12" t="n">
        <f aca="false">1+MOD(A2007*131,100)</f>
        <v>87</v>
      </c>
      <c r="M2007" s="12" t="n">
        <f aca="false">INT(K2007*(0.6+MOD(A2007*43,21)/100))</f>
        <v>29512</v>
      </c>
      <c r="N2007" s="12" t="n">
        <f aca="false">K2007-M2007</f>
        <v>12055</v>
      </c>
    </row>
    <row r="2008" customFormat="false" ht="12.8" hidden="false" customHeight="false" outlineLevel="0" collapsed="false">
      <c r="A2008" s="10" t="n">
        <f aca="false">A2007+1</f>
        <v>2007</v>
      </c>
      <c r="B2008" s="11" t="n">
        <f aca="false">B2007+1</f>
        <v>46933</v>
      </c>
      <c r="C2008" s="10" t="n">
        <f aca="false">YEAR(B2008)</f>
        <v>2028</v>
      </c>
      <c r="D2008" s="10" t="n">
        <f aca="false">INT((MONTH(B2008)-1)/3)+1</f>
        <v>2</v>
      </c>
      <c r="E2008" s="10" t="n">
        <f aca="false">MONTH(B2008)</f>
        <v>6</v>
      </c>
      <c r="F2008" s="10" t="str">
        <f aca="false">CHOOSE(MOD(A2008-1,5)+1,"Центр","Юг","Север","Запад","Восток")</f>
        <v>Юг</v>
      </c>
      <c r="G2008" s="10" t="str">
        <f aca="false">"Округ_"&amp;(MOD(A2008-1,5)+1)&amp;"_"&amp;(MOD(INT((A2008-1)/5),5)+1)</f>
        <v>Округ_2_2</v>
      </c>
      <c r="H2008" s="10" t="str">
        <f aca="false">"Город_"&amp;(MOD(A2008-1,5)+1)&amp;"_"&amp;(MOD(INT((A2008-1)/5),5)+1)&amp;"_"&amp;(MOD(INT((A2008-1)/25),10)+1)</f>
        <v>Город_2_2_1</v>
      </c>
      <c r="I2008" s="10" t="str">
        <f aca="false">CHOOSE(MOD(A2008-1,4)+1,"Электроника","Одежда","Продукты","Мебель")</f>
        <v>Продукты</v>
      </c>
      <c r="J2008" s="10" t="str">
        <f aca="false">CHOOSE(MOD(INT((A2008-1)/4),4)+1,CHOOSE(MOD(A2008-1,4)+1,"Смартфоны","Ноутбуки","Аксессуары","Аудио"),CHOOSE(MOD(A2008-1,4)+1,"Верхняя одежда","Спортивная","Повседневная","Обувь"),CHOOSE(MOD(A2008-1,4)+1,"Молочные","Мясные","Бакалея","Напитки"),CHOOSE(MOD(A2008-1,4)+1,"Мягкая мебель","Корпусная","Офисная","Кухонная"))</f>
        <v>Повседневная</v>
      </c>
      <c r="K2008" s="12" t="n">
        <f aca="false">1000+MOD(A2008*317+A2008*A2008*7,49001)</f>
        <v>20974</v>
      </c>
      <c r="L2008" s="12" t="n">
        <f aca="false">1+MOD(A2008*131,100)</f>
        <v>18</v>
      </c>
      <c r="M2008" s="12" t="n">
        <f aca="false">INT(K2008*(0.6+MOD(A2008*43,21)/100))</f>
        <v>15101</v>
      </c>
      <c r="N2008" s="12" t="n">
        <f aca="false">K2008-M2008</f>
        <v>5873</v>
      </c>
    </row>
    <row r="2009" customFormat="false" ht="12.8" hidden="false" customHeight="false" outlineLevel="0" collapsed="false">
      <c r="A2009" s="10" t="n">
        <f aca="false">A2008+1</f>
        <v>2008</v>
      </c>
      <c r="B2009" s="11" t="n">
        <f aca="false">B2008+1</f>
        <v>46934</v>
      </c>
      <c r="C2009" s="10" t="n">
        <f aca="false">YEAR(B2009)</f>
        <v>2028</v>
      </c>
      <c r="D2009" s="10" t="n">
        <f aca="false">INT((MONTH(B2009)-1)/3)+1</f>
        <v>2</v>
      </c>
      <c r="E2009" s="10" t="n">
        <f aca="false">MONTH(B2009)</f>
        <v>6</v>
      </c>
      <c r="F2009" s="10" t="str">
        <f aca="false">CHOOSE(MOD(A2009-1,5)+1,"Центр","Юг","Север","Запад","Восток")</f>
        <v>Север</v>
      </c>
      <c r="G2009" s="10" t="str">
        <f aca="false">"Округ_"&amp;(MOD(A2009-1,5)+1)&amp;"_"&amp;(MOD(INT((A2009-1)/5),5)+1)</f>
        <v>Округ_3_2</v>
      </c>
      <c r="H2009" s="10" t="str">
        <f aca="false">"Город_"&amp;(MOD(A2009-1,5)+1)&amp;"_"&amp;(MOD(INT((A2009-1)/5),5)+1)&amp;"_"&amp;(MOD(INT((A2009-1)/25),10)+1)</f>
        <v>Город_3_2_1</v>
      </c>
      <c r="I2009" s="10" t="str">
        <f aca="false">CHOOSE(MOD(A2009-1,4)+1,"Электроника","Одежда","Продукты","Мебель")</f>
        <v>Мебель</v>
      </c>
      <c r="J2009" s="10" t="str">
        <f aca="false">CHOOSE(MOD(INT((A2009-1)/4),4)+1,CHOOSE(MOD(A2009-1,4)+1,"Смартфоны","Ноутбуки","Аксессуары","Аудио"),CHOOSE(MOD(A2009-1,4)+1,"Верхняя одежда","Спортивная","Повседневная","Обувь"),CHOOSE(MOD(A2009-1,4)+1,"Молочные","Мясные","Бакалея","Напитки"),CHOOSE(MOD(A2009-1,4)+1,"Мягкая мебель","Корпусная","Офисная","Кухонная"))</f>
        <v>Обувь</v>
      </c>
      <c r="K2009" s="12" t="n">
        <f aca="false">1000+MOD(A2009*317+A2009*A2009*7,49001)</f>
        <v>49396</v>
      </c>
      <c r="L2009" s="12" t="n">
        <f aca="false">1+MOD(A2009*131,100)</f>
        <v>49</v>
      </c>
      <c r="M2009" s="12" t="n">
        <f aca="false">INT(K2009*(0.6+MOD(A2009*43,21)/100))</f>
        <v>36059</v>
      </c>
      <c r="N2009" s="12" t="n">
        <f aca="false">K2009-M2009</f>
        <v>13337</v>
      </c>
    </row>
    <row r="2010" customFormat="false" ht="12.8" hidden="false" customHeight="false" outlineLevel="0" collapsed="false">
      <c r="A2010" s="10" t="n">
        <f aca="false">A2009+1</f>
        <v>2009</v>
      </c>
      <c r="B2010" s="11" t="n">
        <f aca="false">B2009+1</f>
        <v>46935</v>
      </c>
      <c r="C2010" s="10" t="n">
        <f aca="false">YEAR(B2010)</f>
        <v>2028</v>
      </c>
      <c r="D2010" s="10" t="n">
        <f aca="false">INT((MONTH(B2010)-1)/3)+1</f>
        <v>3</v>
      </c>
      <c r="E2010" s="10" t="n">
        <f aca="false">MONTH(B2010)</f>
        <v>7</v>
      </c>
      <c r="F2010" s="10" t="str">
        <f aca="false">CHOOSE(MOD(A2010-1,5)+1,"Центр","Юг","Север","Запад","Восток")</f>
        <v>Запад</v>
      </c>
      <c r="G2010" s="10" t="str">
        <f aca="false">"Округ_"&amp;(MOD(A2010-1,5)+1)&amp;"_"&amp;(MOD(INT((A2010-1)/5),5)+1)</f>
        <v>Округ_4_2</v>
      </c>
      <c r="H2010" s="10" t="str">
        <f aca="false">"Город_"&amp;(MOD(A2010-1,5)+1)&amp;"_"&amp;(MOD(INT((A2010-1)/5),5)+1)&amp;"_"&amp;(MOD(INT((A2010-1)/25),10)+1)</f>
        <v>Город_4_2_1</v>
      </c>
      <c r="I2010" s="10" t="str">
        <f aca="false">CHOOSE(MOD(A2010-1,4)+1,"Электроника","Одежда","Продукты","Мебель")</f>
        <v>Электроника</v>
      </c>
      <c r="J2010" s="10" t="str">
        <f aca="false">CHOOSE(MOD(INT((A2010-1)/4),4)+1,CHOOSE(MOD(A2010-1,4)+1,"Смартфоны","Ноутбуки","Аксессуары","Аудио"),CHOOSE(MOD(A2010-1,4)+1,"Верхняя одежда","Спортивная","Повседневная","Обувь"),CHOOSE(MOD(A2010-1,4)+1,"Молочные","Мясные","Бакалея","Напитки"),CHOOSE(MOD(A2010-1,4)+1,"Мягкая мебель","Корпусная","Офисная","Кухонная"))</f>
        <v>Молочные</v>
      </c>
      <c r="K2010" s="12" t="n">
        <f aca="false">1000+MOD(A2010*317+A2010*A2010*7,49001)</f>
        <v>28831</v>
      </c>
      <c r="L2010" s="12" t="n">
        <f aca="false">1+MOD(A2010*131,100)</f>
        <v>80</v>
      </c>
      <c r="M2010" s="12" t="n">
        <f aca="false">INT(K2010*(0.6+MOD(A2010*43,21)/100))</f>
        <v>21334</v>
      </c>
      <c r="N2010" s="12" t="n">
        <f aca="false">K2010-M2010</f>
        <v>7497</v>
      </c>
    </row>
    <row r="2011" customFormat="false" ht="12.8" hidden="false" customHeight="false" outlineLevel="0" collapsed="false">
      <c r="A2011" s="10" t="n">
        <f aca="false">A2010+1</f>
        <v>2010</v>
      </c>
      <c r="B2011" s="11" t="n">
        <f aca="false">B2010+1</f>
        <v>46936</v>
      </c>
      <c r="C2011" s="10" t="n">
        <f aca="false">YEAR(B2011)</f>
        <v>2028</v>
      </c>
      <c r="D2011" s="10" t="n">
        <f aca="false">INT((MONTH(B2011)-1)/3)+1</f>
        <v>3</v>
      </c>
      <c r="E2011" s="10" t="n">
        <f aca="false">MONTH(B2011)</f>
        <v>7</v>
      </c>
      <c r="F2011" s="10" t="str">
        <f aca="false">CHOOSE(MOD(A2011-1,5)+1,"Центр","Юг","Север","Запад","Восток")</f>
        <v>Восток</v>
      </c>
      <c r="G2011" s="10" t="str">
        <f aca="false">"Округ_"&amp;(MOD(A2011-1,5)+1)&amp;"_"&amp;(MOD(INT((A2011-1)/5),5)+1)</f>
        <v>Округ_5_2</v>
      </c>
      <c r="H2011" s="10" t="str">
        <f aca="false">"Город_"&amp;(MOD(A2011-1,5)+1)&amp;"_"&amp;(MOD(INT((A2011-1)/5),5)+1)&amp;"_"&amp;(MOD(INT((A2011-1)/25),10)+1)</f>
        <v>Город_5_2_1</v>
      </c>
      <c r="I2011" s="10" t="str">
        <f aca="false">CHOOSE(MOD(A2011-1,4)+1,"Электроника","Одежда","Продукты","Мебель")</f>
        <v>Одежда</v>
      </c>
      <c r="J2011" s="10" t="str">
        <f aca="false">CHOOSE(MOD(INT((A2011-1)/4),4)+1,CHOOSE(MOD(A2011-1,4)+1,"Смартфоны","Ноутбуки","Аксессуары","Аудио"),CHOOSE(MOD(A2011-1,4)+1,"Верхняя одежда","Спортивная","Повседневная","Обувь"),CHOOSE(MOD(A2011-1,4)+1,"Молочные","Мясные","Бакалея","Напитки"),CHOOSE(MOD(A2011-1,4)+1,"Мягкая мебель","Корпусная","Офисная","Кухонная"))</f>
        <v>Мясные</v>
      </c>
      <c r="K2011" s="12" t="n">
        <f aca="false">1000+MOD(A2011*317+A2011*A2011*7,49001)</f>
        <v>8280</v>
      </c>
      <c r="L2011" s="12" t="n">
        <f aca="false">1+MOD(A2011*131,100)</f>
        <v>11</v>
      </c>
      <c r="M2011" s="12" t="n">
        <f aca="false">INT(K2011*(0.6+MOD(A2011*43,21)/100))</f>
        <v>6210</v>
      </c>
      <c r="N2011" s="12" t="n">
        <f aca="false">K2011-M2011</f>
        <v>2070</v>
      </c>
    </row>
    <row r="2012" customFormat="false" ht="12.8" hidden="false" customHeight="false" outlineLevel="0" collapsed="false">
      <c r="A2012" s="10" t="n">
        <f aca="false">A2011+1</f>
        <v>2011</v>
      </c>
      <c r="B2012" s="11" t="n">
        <f aca="false">B2011+1</f>
        <v>46937</v>
      </c>
      <c r="C2012" s="10" t="n">
        <f aca="false">YEAR(B2012)</f>
        <v>2028</v>
      </c>
      <c r="D2012" s="10" t="n">
        <f aca="false">INT((MONTH(B2012)-1)/3)+1</f>
        <v>3</v>
      </c>
      <c r="E2012" s="10" t="n">
        <f aca="false">MONTH(B2012)</f>
        <v>7</v>
      </c>
      <c r="F2012" s="10" t="str">
        <f aca="false">CHOOSE(MOD(A2012-1,5)+1,"Центр","Юг","Север","Запад","Восток")</f>
        <v>Центр</v>
      </c>
      <c r="G2012" s="10" t="str">
        <f aca="false">"Округ_"&amp;(MOD(A2012-1,5)+1)&amp;"_"&amp;(MOD(INT((A2012-1)/5),5)+1)</f>
        <v>Округ_1_3</v>
      </c>
      <c r="H2012" s="10" t="str">
        <f aca="false">"Город_"&amp;(MOD(A2012-1,5)+1)&amp;"_"&amp;(MOD(INT((A2012-1)/5),5)+1)&amp;"_"&amp;(MOD(INT((A2012-1)/25),10)+1)</f>
        <v>Город_1_3_1</v>
      </c>
      <c r="I2012" s="10" t="str">
        <f aca="false">CHOOSE(MOD(A2012-1,4)+1,"Электроника","Одежда","Продукты","Мебель")</f>
        <v>Продукты</v>
      </c>
      <c r="J2012" s="10" t="str">
        <f aca="false">CHOOSE(MOD(INT((A2012-1)/4),4)+1,CHOOSE(MOD(A2012-1,4)+1,"Смартфоны","Ноутбуки","Аксессуары","Аудио"),CHOOSE(MOD(A2012-1,4)+1,"Верхняя одежда","Спортивная","Повседневная","Обувь"),CHOOSE(MOD(A2012-1,4)+1,"Молочные","Мясные","Бакалея","Напитки"),CHOOSE(MOD(A2012-1,4)+1,"Мягкая мебель","Корпусная","Офисная","Кухонная"))</f>
        <v>Бакалея</v>
      </c>
      <c r="K2012" s="12" t="n">
        <f aca="false">1000+MOD(A2012*317+A2012*A2012*7,49001)</f>
        <v>36744</v>
      </c>
      <c r="L2012" s="12" t="n">
        <f aca="false">1+MOD(A2012*131,100)</f>
        <v>42</v>
      </c>
      <c r="M2012" s="12" t="n">
        <f aca="false">INT(K2012*(0.6+MOD(A2012*43,21)/100))</f>
        <v>27925</v>
      </c>
      <c r="N2012" s="12" t="n">
        <f aca="false">K2012-M2012</f>
        <v>8819</v>
      </c>
    </row>
    <row r="2013" customFormat="false" ht="12.8" hidden="false" customHeight="false" outlineLevel="0" collapsed="false">
      <c r="A2013" s="10" t="n">
        <f aca="false">A2012+1</f>
        <v>2012</v>
      </c>
      <c r="B2013" s="11" t="n">
        <f aca="false">B2012+1</f>
        <v>46938</v>
      </c>
      <c r="C2013" s="10" t="n">
        <f aca="false">YEAR(B2013)</f>
        <v>2028</v>
      </c>
      <c r="D2013" s="10" t="n">
        <f aca="false">INT((MONTH(B2013)-1)/3)+1</f>
        <v>3</v>
      </c>
      <c r="E2013" s="10" t="n">
        <f aca="false">MONTH(B2013)</f>
        <v>7</v>
      </c>
      <c r="F2013" s="10" t="str">
        <f aca="false">CHOOSE(MOD(A2013-1,5)+1,"Центр","Юг","Север","Запад","Восток")</f>
        <v>Юг</v>
      </c>
      <c r="G2013" s="10" t="str">
        <f aca="false">"Округ_"&amp;(MOD(A2013-1,5)+1)&amp;"_"&amp;(MOD(INT((A2013-1)/5),5)+1)</f>
        <v>Округ_2_3</v>
      </c>
      <c r="H2013" s="10" t="str">
        <f aca="false">"Город_"&amp;(MOD(A2013-1,5)+1)&amp;"_"&amp;(MOD(INT((A2013-1)/5),5)+1)&amp;"_"&amp;(MOD(INT((A2013-1)/25),10)+1)</f>
        <v>Город_2_3_1</v>
      </c>
      <c r="I2013" s="10" t="str">
        <f aca="false">CHOOSE(MOD(A2013-1,4)+1,"Электроника","Одежда","Продукты","Мебель")</f>
        <v>Мебель</v>
      </c>
      <c r="J2013" s="10" t="str">
        <f aca="false">CHOOSE(MOD(INT((A2013-1)/4),4)+1,CHOOSE(MOD(A2013-1,4)+1,"Смартфоны","Ноутбуки","Аксессуары","Аудио"),CHOOSE(MOD(A2013-1,4)+1,"Верхняя одежда","Спортивная","Повседневная","Обувь"),CHOOSE(MOD(A2013-1,4)+1,"Молочные","Мясные","Бакалея","Напитки"),CHOOSE(MOD(A2013-1,4)+1,"Мягкая мебель","Корпусная","Офисная","Кухонная"))</f>
        <v>Напитки</v>
      </c>
      <c r="K2013" s="12" t="n">
        <f aca="false">1000+MOD(A2013*317+A2013*A2013*7,49001)</f>
        <v>16221</v>
      </c>
      <c r="L2013" s="12" t="n">
        <f aca="false">1+MOD(A2013*131,100)</f>
        <v>73</v>
      </c>
      <c r="M2013" s="12" t="n">
        <f aca="false">INT(K2013*(0.6+MOD(A2013*43,21)/100))</f>
        <v>12490</v>
      </c>
      <c r="N2013" s="12" t="n">
        <f aca="false">K2013-M2013</f>
        <v>3731</v>
      </c>
    </row>
    <row r="2014" customFormat="false" ht="12.8" hidden="false" customHeight="false" outlineLevel="0" collapsed="false">
      <c r="A2014" s="10" t="n">
        <f aca="false">A2013+1</f>
        <v>2013</v>
      </c>
      <c r="B2014" s="11" t="n">
        <f aca="false">B2013+1</f>
        <v>46939</v>
      </c>
      <c r="C2014" s="10" t="n">
        <f aca="false">YEAR(B2014)</f>
        <v>2028</v>
      </c>
      <c r="D2014" s="10" t="n">
        <f aca="false">INT((MONTH(B2014)-1)/3)+1</f>
        <v>3</v>
      </c>
      <c r="E2014" s="10" t="n">
        <f aca="false">MONTH(B2014)</f>
        <v>7</v>
      </c>
      <c r="F2014" s="10" t="str">
        <f aca="false">CHOOSE(MOD(A2014-1,5)+1,"Центр","Юг","Север","Запад","Восток")</f>
        <v>Север</v>
      </c>
      <c r="G2014" s="10" t="str">
        <f aca="false">"Округ_"&amp;(MOD(A2014-1,5)+1)&amp;"_"&amp;(MOD(INT((A2014-1)/5),5)+1)</f>
        <v>Округ_3_3</v>
      </c>
      <c r="H2014" s="10" t="str">
        <f aca="false">"Город_"&amp;(MOD(A2014-1,5)+1)&amp;"_"&amp;(MOD(INT((A2014-1)/5),5)+1)&amp;"_"&amp;(MOD(INT((A2014-1)/25),10)+1)</f>
        <v>Город_3_3_1</v>
      </c>
      <c r="I2014" s="10" t="str">
        <f aca="false">CHOOSE(MOD(A2014-1,4)+1,"Электроника","Одежда","Продукты","Мебель")</f>
        <v>Электроника</v>
      </c>
      <c r="J2014" s="10" t="str">
        <f aca="false">CHOOSE(MOD(INT((A2014-1)/4),4)+1,CHOOSE(MOD(A2014-1,4)+1,"Смартфоны","Ноутбуки","Аксессуары","Аудио"),CHOOSE(MOD(A2014-1,4)+1,"Верхняя одежда","Спортивная","Повседневная","Обувь"),CHOOSE(MOD(A2014-1,4)+1,"Молочные","Мясные","Бакалея","Напитки"),CHOOSE(MOD(A2014-1,4)+1,"Мягкая мебель","Корпусная","Офисная","Кухонная"))</f>
        <v>Мягкая мебель</v>
      </c>
      <c r="K2014" s="12" t="n">
        <f aca="false">1000+MOD(A2014*317+A2014*A2014*7,49001)</f>
        <v>44713</v>
      </c>
      <c r="L2014" s="12" t="n">
        <f aca="false">1+MOD(A2014*131,100)</f>
        <v>4</v>
      </c>
      <c r="M2014" s="12" t="n">
        <f aca="false">INT(K2014*(0.6+MOD(A2014*43,21)/100))</f>
        <v>34876</v>
      </c>
      <c r="N2014" s="12" t="n">
        <f aca="false">K2014-M2014</f>
        <v>9837</v>
      </c>
    </row>
    <row r="2015" customFormat="false" ht="12.8" hidden="false" customHeight="false" outlineLevel="0" collapsed="false">
      <c r="A2015" s="10" t="n">
        <f aca="false">A2014+1</f>
        <v>2014</v>
      </c>
      <c r="B2015" s="11" t="n">
        <f aca="false">B2014+1</f>
        <v>46940</v>
      </c>
      <c r="C2015" s="10" t="n">
        <f aca="false">YEAR(B2015)</f>
        <v>2028</v>
      </c>
      <c r="D2015" s="10" t="n">
        <f aca="false">INT((MONTH(B2015)-1)/3)+1</f>
        <v>3</v>
      </c>
      <c r="E2015" s="10" t="n">
        <f aca="false">MONTH(B2015)</f>
        <v>7</v>
      </c>
      <c r="F2015" s="10" t="str">
        <f aca="false">CHOOSE(MOD(A2015-1,5)+1,"Центр","Юг","Север","Запад","Восток")</f>
        <v>Запад</v>
      </c>
      <c r="G2015" s="10" t="str">
        <f aca="false">"Округ_"&amp;(MOD(A2015-1,5)+1)&amp;"_"&amp;(MOD(INT((A2015-1)/5),5)+1)</f>
        <v>Округ_4_3</v>
      </c>
      <c r="H2015" s="10" t="str">
        <f aca="false">"Город_"&amp;(MOD(A2015-1,5)+1)&amp;"_"&amp;(MOD(INT((A2015-1)/5),5)+1)&amp;"_"&amp;(MOD(INT((A2015-1)/25),10)+1)</f>
        <v>Город_4_3_1</v>
      </c>
      <c r="I2015" s="10" t="str">
        <f aca="false">CHOOSE(MOD(A2015-1,4)+1,"Электроника","Одежда","Продукты","Мебель")</f>
        <v>Одежда</v>
      </c>
      <c r="J2015" s="10" t="str">
        <f aca="false">CHOOSE(MOD(INT((A2015-1)/4),4)+1,CHOOSE(MOD(A2015-1,4)+1,"Смартфоны","Ноутбуки","Аксессуары","Аудио"),CHOOSE(MOD(A2015-1,4)+1,"Верхняя одежда","Спортивная","Повседневная","Обувь"),CHOOSE(MOD(A2015-1,4)+1,"Молочные","Мясные","Бакалея","Напитки"),CHOOSE(MOD(A2015-1,4)+1,"Мягкая мебель","Корпусная","Офисная","Кухонная"))</f>
        <v>Корпусная</v>
      </c>
      <c r="K2015" s="12" t="n">
        <f aca="false">1000+MOD(A2015*317+A2015*A2015*7,49001)</f>
        <v>24218</v>
      </c>
      <c r="L2015" s="12" t="n">
        <f aca="false">1+MOD(A2015*131,100)</f>
        <v>35</v>
      </c>
      <c r="M2015" s="12" t="n">
        <f aca="false">INT(K2015*(0.6+MOD(A2015*43,21)/100))</f>
        <v>19132</v>
      </c>
      <c r="N2015" s="12" t="n">
        <f aca="false">K2015-M2015</f>
        <v>5086</v>
      </c>
    </row>
    <row r="2016" customFormat="false" ht="12.8" hidden="false" customHeight="false" outlineLevel="0" collapsed="false">
      <c r="A2016" s="10" t="n">
        <f aca="false">A2015+1</f>
        <v>2015</v>
      </c>
      <c r="B2016" s="11" t="n">
        <f aca="false">B2015+1</f>
        <v>46941</v>
      </c>
      <c r="C2016" s="10" t="n">
        <f aca="false">YEAR(B2016)</f>
        <v>2028</v>
      </c>
      <c r="D2016" s="10" t="n">
        <f aca="false">INT((MONTH(B2016)-1)/3)+1</f>
        <v>3</v>
      </c>
      <c r="E2016" s="10" t="n">
        <f aca="false">MONTH(B2016)</f>
        <v>7</v>
      </c>
      <c r="F2016" s="10" t="str">
        <f aca="false">CHOOSE(MOD(A2016-1,5)+1,"Центр","Юг","Север","Запад","Восток")</f>
        <v>Восток</v>
      </c>
      <c r="G2016" s="10" t="str">
        <f aca="false">"Округ_"&amp;(MOD(A2016-1,5)+1)&amp;"_"&amp;(MOD(INT((A2016-1)/5),5)+1)</f>
        <v>Округ_5_3</v>
      </c>
      <c r="H2016" s="10" t="str">
        <f aca="false">"Город_"&amp;(MOD(A2016-1,5)+1)&amp;"_"&amp;(MOD(INT((A2016-1)/5),5)+1)&amp;"_"&amp;(MOD(INT((A2016-1)/25),10)+1)</f>
        <v>Город_5_3_1</v>
      </c>
      <c r="I2016" s="10" t="str">
        <f aca="false">CHOOSE(MOD(A2016-1,4)+1,"Электроника","Одежда","Продукты","Мебель")</f>
        <v>Продукты</v>
      </c>
      <c r="J2016" s="10" t="str">
        <f aca="false">CHOOSE(MOD(INT((A2016-1)/4),4)+1,CHOOSE(MOD(A2016-1,4)+1,"Смартфоны","Ноутбуки","Аксессуары","Аудио"),CHOOSE(MOD(A2016-1,4)+1,"Верхняя одежда","Спортивная","Повседневная","Обувь"),CHOOSE(MOD(A2016-1,4)+1,"Молочные","Мясные","Бакалея","Напитки"),CHOOSE(MOD(A2016-1,4)+1,"Мягкая мебель","Корпусная","Офисная","Кухонная"))</f>
        <v>Офисная</v>
      </c>
      <c r="K2016" s="12" t="n">
        <f aca="false">1000+MOD(A2016*317+A2016*A2016*7,49001)</f>
        <v>3737</v>
      </c>
      <c r="L2016" s="12" t="n">
        <f aca="false">1+MOD(A2016*131,100)</f>
        <v>66</v>
      </c>
      <c r="M2016" s="12" t="n">
        <f aca="false">INT(K2016*(0.6+MOD(A2016*43,21)/100))</f>
        <v>2989</v>
      </c>
      <c r="N2016" s="12" t="n">
        <f aca="false">K2016-M2016</f>
        <v>748</v>
      </c>
    </row>
    <row r="2017" customFormat="false" ht="12.8" hidden="false" customHeight="false" outlineLevel="0" collapsed="false">
      <c r="A2017" s="10" t="n">
        <f aca="false">A2016+1</f>
        <v>2016</v>
      </c>
      <c r="B2017" s="11" t="n">
        <f aca="false">B2016+1</f>
        <v>46942</v>
      </c>
      <c r="C2017" s="10" t="n">
        <f aca="false">YEAR(B2017)</f>
        <v>2028</v>
      </c>
      <c r="D2017" s="10" t="n">
        <f aca="false">INT((MONTH(B2017)-1)/3)+1</f>
        <v>3</v>
      </c>
      <c r="E2017" s="10" t="n">
        <f aca="false">MONTH(B2017)</f>
        <v>7</v>
      </c>
      <c r="F2017" s="10" t="str">
        <f aca="false">CHOOSE(MOD(A2017-1,5)+1,"Центр","Юг","Север","Запад","Восток")</f>
        <v>Центр</v>
      </c>
      <c r="G2017" s="10" t="str">
        <f aca="false">"Округ_"&amp;(MOD(A2017-1,5)+1)&amp;"_"&amp;(MOD(INT((A2017-1)/5),5)+1)</f>
        <v>Округ_1_4</v>
      </c>
      <c r="H2017" s="10" t="str">
        <f aca="false">"Город_"&amp;(MOD(A2017-1,5)+1)&amp;"_"&amp;(MOD(INT((A2017-1)/5),5)+1)&amp;"_"&amp;(MOD(INT((A2017-1)/25),10)+1)</f>
        <v>Город_1_4_1</v>
      </c>
      <c r="I2017" s="10" t="str">
        <f aca="false">CHOOSE(MOD(A2017-1,4)+1,"Электроника","Одежда","Продукты","Мебель")</f>
        <v>Мебель</v>
      </c>
      <c r="J2017" s="10" t="str">
        <f aca="false">CHOOSE(MOD(INT((A2017-1)/4),4)+1,CHOOSE(MOD(A2017-1,4)+1,"Смартфоны","Ноутбуки","Аксессуары","Аудио"),CHOOSE(MOD(A2017-1,4)+1,"Верхняя одежда","Спортивная","Повседневная","Обувь"),CHOOSE(MOD(A2017-1,4)+1,"Молочные","Мясные","Бакалея","Напитки"),CHOOSE(MOD(A2017-1,4)+1,"Мягкая мебель","Корпусная","Офисная","Кухонная"))</f>
        <v>Кухонная</v>
      </c>
      <c r="K2017" s="12" t="n">
        <f aca="false">1000+MOD(A2017*317+A2017*A2017*7,49001)</f>
        <v>32271</v>
      </c>
      <c r="L2017" s="12" t="n">
        <f aca="false">1+MOD(A2017*131,100)</f>
        <v>97</v>
      </c>
      <c r="M2017" s="12" t="n">
        <f aca="false">INT(K2017*(0.6+MOD(A2017*43,21)/100))</f>
        <v>19362</v>
      </c>
      <c r="N2017" s="12" t="n">
        <f aca="false">K2017-M2017</f>
        <v>12909</v>
      </c>
    </row>
    <row r="2018" customFormat="false" ht="12.8" hidden="false" customHeight="false" outlineLevel="0" collapsed="false">
      <c r="A2018" s="10" t="n">
        <f aca="false">A2017+1</f>
        <v>2017</v>
      </c>
      <c r="B2018" s="11" t="n">
        <f aca="false">B2017+1</f>
        <v>46943</v>
      </c>
      <c r="C2018" s="10" t="n">
        <f aca="false">YEAR(B2018)</f>
        <v>2028</v>
      </c>
      <c r="D2018" s="10" t="n">
        <f aca="false">INT((MONTH(B2018)-1)/3)+1</f>
        <v>3</v>
      </c>
      <c r="E2018" s="10" t="n">
        <f aca="false">MONTH(B2018)</f>
        <v>7</v>
      </c>
      <c r="F2018" s="10" t="str">
        <f aca="false">CHOOSE(MOD(A2018-1,5)+1,"Центр","Юг","Север","Запад","Восток")</f>
        <v>Юг</v>
      </c>
      <c r="G2018" s="10" t="str">
        <f aca="false">"Округ_"&amp;(MOD(A2018-1,5)+1)&amp;"_"&amp;(MOD(INT((A2018-1)/5),5)+1)</f>
        <v>Округ_2_4</v>
      </c>
      <c r="H2018" s="10" t="str">
        <f aca="false">"Город_"&amp;(MOD(A2018-1,5)+1)&amp;"_"&amp;(MOD(INT((A2018-1)/5),5)+1)&amp;"_"&amp;(MOD(INT((A2018-1)/25),10)+1)</f>
        <v>Город_2_4_1</v>
      </c>
      <c r="I2018" s="10" t="str">
        <f aca="false">CHOOSE(MOD(A2018-1,4)+1,"Электроника","Одежда","Продукты","Мебель")</f>
        <v>Электроника</v>
      </c>
      <c r="J2018" s="10" t="str">
        <f aca="false">CHOOSE(MOD(INT((A2018-1)/4),4)+1,CHOOSE(MOD(A2018-1,4)+1,"Смартфоны","Ноутбуки","Аксессуары","Аудио"),CHOOSE(MOD(A2018-1,4)+1,"Верхняя одежда","Спортивная","Повседневная","Обувь"),CHOOSE(MOD(A2018-1,4)+1,"Молочные","Мясные","Бакалея","Напитки"),CHOOSE(MOD(A2018-1,4)+1,"Мягкая мебель","Корпусная","Офисная","Кухонная"))</f>
        <v>Смартфоны</v>
      </c>
      <c r="K2018" s="12" t="n">
        <f aca="false">1000+MOD(A2018*317+A2018*A2018*7,49001)</f>
        <v>11818</v>
      </c>
      <c r="L2018" s="12" t="n">
        <f aca="false">1+MOD(A2018*131,100)</f>
        <v>28</v>
      </c>
      <c r="M2018" s="12" t="n">
        <f aca="false">INT(K2018*(0.6+MOD(A2018*43,21)/100))</f>
        <v>7208</v>
      </c>
      <c r="N2018" s="12" t="n">
        <f aca="false">K2018-M2018</f>
        <v>4610</v>
      </c>
    </row>
    <row r="2019" customFormat="false" ht="12.8" hidden="false" customHeight="false" outlineLevel="0" collapsed="false">
      <c r="A2019" s="10" t="n">
        <f aca="false">A2018+1</f>
        <v>2018</v>
      </c>
      <c r="B2019" s="11" t="n">
        <f aca="false">B2018+1</f>
        <v>46944</v>
      </c>
      <c r="C2019" s="10" t="n">
        <f aca="false">YEAR(B2019)</f>
        <v>2028</v>
      </c>
      <c r="D2019" s="10" t="n">
        <f aca="false">INT((MONTH(B2019)-1)/3)+1</f>
        <v>3</v>
      </c>
      <c r="E2019" s="10" t="n">
        <f aca="false">MONTH(B2019)</f>
        <v>7</v>
      </c>
      <c r="F2019" s="10" t="str">
        <f aca="false">CHOOSE(MOD(A2019-1,5)+1,"Центр","Юг","Север","Запад","Восток")</f>
        <v>Север</v>
      </c>
      <c r="G2019" s="10" t="str">
        <f aca="false">"Округ_"&amp;(MOD(A2019-1,5)+1)&amp;"_"&amp;(MOD(INT((A2019-1)/5),5)+1)</f>
        <v>Округ_3_4</v>
      </c>
      <c r="H2019" s="10" t="str">
        <f aca="false">"Город_"&amp;(MOD(A2019-1,5)+1)&amp;"_"&amp;(MOD(INT((A2019-1)/5),5)+1)&amp;"_"&amp;(MOD(INT((A2019-1)/25),10)+1)</f>
        <v>Город_3_4_1</v>
      </c>
      <c r="I2019" s="10" t="str">
        <f aca="false">CHOOSE(MOD(A2019-1,4)+1,"Электроника","Одежда","Продукты","Мебель")</f>
        <v>Одежда</v>
      </c>
      <c r="J2019" s="10" t="str">
        <f aca="false">CHOOSE(MOD(INT((A2019-1)/4),4)+1,CHOOSE(MOD(A2019-1,4)+1,"Смартфоны","Ноутбуки","Аксессуары","Аудио"),CHOOSE(MOD(A2019-1,4)+1,"Верхняя одежда","Спортивная","Повседневная","Обувь"),CHOOSE(MOD(A2019-1,4)+1,"Молочные","Мясные","Бакалея","Напитки"),CHOOSE(MOD(A2019-1,4)+1,"Мягкая мебель","Корпусная","Офисная","Кухонная"))</f>
        <v>Ноутбуки</v>
      </c>
      <c r="K2019" s="12" t="n">
        <f aca="false">1000+MOD(A2019*317+A2019*A2019*7,49001)</f>
        <v>40380</v>
      </c>
      <c r="L2019" s="12" t="n">
        <f aca="false">1+MOD(A2019*131,100)</f>
        <v>59</v>
      </c>
      <c r="M2019" s="12" t="n">
        <f aca="false">INT(K2019*(0.6+MOD(A2019*43,21)/100))</f>
        <v>25035</v>
      </c>
      <c r="N2019" s="12" t="n">
        <f aca="false">K2019-M2019</f>
        <v>15345</v>
      </c>
    </row>
    <row r="2020" customFormat="false" ht="12.8" hidden="false" customHeight="false" outlineLevel="0" collapsed="false">
      <c r="A2020" s="10" t="n">
        <f aca="false">A2019+1</f>
        <v>2019</v>
      </c>
      <c r="B2020" s="11" t="n">
        <f aca="false">B2019+1</f>
        <v>46945</v>
      </c>
      <c r="C2020" s="10" t="n">
        <f aca="false">YEAR(B2020)</f>
        <v>2028</v>
      </c>
      <c r="D2020" s="10" t="n">
        <f aca="false">INT((MONTH(B2020)-1)/3)+1</f>
        <v>3</v>
      </c>
      <c r="E2020" s="10" t="n">
        <f aca="false">MONTH(B2020)</f>
        <v>7</v>
      </c>
      <c r="F2020" s="10" t="str">
        <f aca="false">CHOOSE(MOD(A2020-1,5)+1,"Центр","Юг","Север","Запад","Восток")</f>
        <v>Запад</v>
      </c>
      <c r="G2020" s="10" t="str">
        <f aca="false">"Округ_"&amp;(MOD(A2020-1,5)+1)&amp;"_"&amp;(MOD(INT((A2020-1)/5),5)+1)</f>
        <v>Округ_4_4</v>
      </c>
      <c r="H2020" s="10" t="str">
        <f aca="false">"Город_"&amp;(MOD(A2020-1,5)+1)&amp;"_"&amp;(MOD(INT((A2020-1)/5),5)+1)&amp;"_"&amp;(MOD(INT((A2020-1)/25),10)+1)</f>
        <v>Город_4_4_1</v>
      </c>
      <c r="I2020" s="10" t="str">
        <f aca="false">CHOOSE(MOD(A2020-1,4)+1,"Электроника","Одежда","Продукты","Мебель")</f>
        <v>Продукты</v>
      </c>
      <c r="J2020" s="10" t="str">
        <f aca="false">CHOOSE(MOD(INT((A2020-1)/4),4)+1,CHOOSE(MOD(A2020-1,4)+1,"Смартфоны","Ноутбуки","Аксессуары","Аудио"),CHOOSE(MOD(A2020-1,4)+1,"Верхняя одежда","Спортивная","Повседневная","Обувь"),CHOOSE(MOD(A2020-1,4)+1,"Молочные","Мясные","Бакалея","Напитки"),CHOOSE(MOD(A2020-1,4)+1,"Мягкая мебель","Корпусная","Офисная","Кухонная"))</f>
        <v>Аксессуары</v>
      </c>
      <c r="K2020" s="12" t="n">
        <f aca="false">1000+MOD(A2020*317+A2020*A2020*7,49001)</f>
        <v>19955</v>
      </c>
      <c r="L2020" s="12" t="n">
        <f aca="false">1+MOD(A2020*131,100)</f>
        <v>90</v>
      </c>
      <c r="M2020" s="12" t="n">
        <f aca="false">INT(K2020*(0.6+MOD(A2020*43,21)/100))</f>
        <v>12571</v>
      </c>
      <c r="N2020" s="12" t="n">
        <f aca="false">K2020-M2020</f>
        <v>7384</v>
      </c>
    </row>
    <row r="2021" customFormat="false" ht="12.8" hidden="false" customHeight="false" outlineLevel="0" collapsed="false">
      <c r="A2021" s="10" t="n">
        <f aca="false">A2020+1</f>
        <v>2020</v>
      </c>
      <c r="B2021" s="11" t="n">
        <f aca="false">B2020+1</f>
        <v>46946</v>
      </c>
      <c r="C2021" s="10" t="n">
        <f aca="false">YEAR(B2021)</f>
        <v>2028</v>
      </c>
      <c r="D2021" s="10" t="n">
        <f aca="false">INT((MONTH(B2021)-1)/3)+1</f>
        <v>3</v>
      </c>
      <c r="E2021" s="10" t="n">
        <f aca="false">MONTH(B2021)</f>
        <v>7</v>
      </c>
      <c r="F2021" s="10" t="str">
        <f aca="false">CHOOSE(MOD(A2021-1,5)+1,"Центр","Юг","Север","Запад","Восток")</f>
        <v>Восток</v>
      </c>
      <c r="G2021" s="10" t="str">
        <f aca="false">"Округ_"&amp;(MOD(A2021-1,5)+1)&amp;"_"&amp;(MOD(INT((A2021-1)/5),5)+1)</f>
        <v>Округ_5_4</v>
      </c>
      <c r="H2021" s="10" t="str">
        <f aca="false">"Город_"&amp;(MOD(A2021-1,5)+1)&amp;"_"&amp;(MOD(INT((A2021-1)/5),5)+1)&amp;"_"&amp;(MOD(INT((A2021-1)/25),10)+1)</f>
        <v>Город_5_4_1</v>
      </c>
      <c r="I2021" s="10" t="str">
        <f aca="false">CHOOSE(MOD(A2021-1,4)+1,"Электроника","Одежда","Продукты","Мебель")</f>
        <v>Мебель</v>
      </c>
      <c r="J2021" s="10" t="str">
        <f aca="false">CHOOSE(MOD(INT((A2021-1)/4),4)+1,CHOOSE(MOD(A2021-1,4)+1,"Смартфоны","Ноутбуки","Аксессуары","Аудио"),CHOOSE(MOD(A2021-1,4)+1,"Верхняя одежда","Спортивная","Повседневная","Обувь"),CHOOSE(MOD(A2021-1,4)+1,"Молочные","Мясные","Бакалея","Напитки"),CHOOSE(MOD(A2021-1,4)+1,"Мягкая мебель","Корпусная","Офисная","Кухонная"))</f>
        <v>Аудио</v>
      </c>
      <c r="K2021" s="12" t="n">
        <f aca="false">1000+MOD(A2021*317+A2021*A2021*7,49001)</f>
        <v>48545</v>
      </c>
      <c r="L2021" s="12" t="n">
        <f aca="false">1+MOD(A2021*131,100)</f>
        <v>21</v>
      </c>
      <c r="M2021" s="12" t="n">
        <f aca="false">INT(K2021*(0.6+MOD(A2021*43,21)/100))</f>
        <v>31068</v>
      </c>
      <c r="N2021" s="12" t="n">
        <f aca="false">K2021-M2021</f>
        <v>17477</v>
      </c>
    </row>
    <row r="2022" customFormat="false" ht="12.8" hidden="false" customHeight="false" outlineLevel="0" collapsed="false">
      <c r="A2022" s="10" t="n">
        <f aca="false">A2021+1</f>
        <v>2021</v>
      </c>
      <c r="B2022" s="11" t="n">
        <f aca="false">B2021+1</f>
        <v>46947</v>
      </c>
      <c r="C2022" s="10" t="n">
        <f aca="false">YEAR(B2022)</f>
        <v>2028</v>
      </c>
      <c r="D2022" s="10" t="n">
        <f aca="false">INT((MONTH(B2022)-1)/3)+1</f>
        <v>3</v>
      </c>
      <c r="E2022" s="10" t="n">
        <f aca="false">MONTH(B2022)</f>
        <v>7</v>
      </c>
      <c r="F2022" s="10" t="str">
        <f aca="false">CHOOSE(MOD(A2022-1,5)+1,"Центр","Юг","Север","Запад","Восток")</f>
        <v>Центр</v>
      </c>
      <c r="G2022" s="10" t="str">
        <f aca="false">"Округ_"&amp;(MOD(A2022-1,5)+1)&amp;"_"&amp;(MOD(INT((A2022-1)/5),5)+1)</f>
        <v>Округ_1_5</v>
      </c>
      <c r="H2022" s="10" t="str">
        <f aca="false">"Город_"&amp;(MOD(A2022-1,5)+1)&amp;"_"&amp;(MOD(INT((A2022-1)/5),5)+1)&amp;"_"&amp;(MOD(INT((A2022-1)/25),10)+1)</f>
        <v>Город_1_5_1</v>
      </c>
      <c r="I2022" s="10" t="str">
        <f aca="false">CHOOSE(MOD(A2022-1,4)+1,"Электроника","Одежда","Продукты","Мебель")</f>
        <v>Электроника</v>
      </c>
      <c r="J2022" s="10" t="str">
        <f aca="false">CHOOSE(MOD(INT((A2022-1)/4),4)+1,CHOOSE(MOD(A2022-1,4)+1,"Смартфоны","Ноутбуки","Аксессуары","Аудио"),CHOOSE(MOD(A2022-1,4)+1,"Верхняя одежда","Спортивная","Повседневная","Обувь"),CHOOSE(MOD(A2022-1,4)+1,"Молочные","Мясные","Бакалея","Напитки"),CHOOSE(MOD(A2022-1,4)+1,"Мягкая мебель","Корпусная","Офисная","Кухонная"))</f>
        <v>Верхняя одежда</v>
      </c>
      <c r="K2022" s="12" t="n">
        <f aca="false">1000+MOD(A2022*317+A2022*A2022*7,49001)</f>
        <v>28148</v>
      </c>
      <c r="L2022" s="12" t="n">
        <f aca="false">1+MOD(A2022*131,100)</f>
        <v>52</v>
      </c>
      <c r="M2022" s="12" t="n">
        <f aca="false">INT(K2022*(0.6+MOD(A2022*43,21)/100))</f>
        <v>18296</v>
      </c>
      <c r="N2022" s="12" t="n">
        <f aca="false">K2022-M2022</f>
        <v>9852</v>
      </c>
    </row>
    <row r="2023" customFormat="false" ht="12.8" hidden="false" customHeight="false" outlineLevel="0" collapsed="false">
      <c r="A2023" s="10" t="n">
        <f aca="false">A2022+1</f>
        <v>2022</v>
      </c>
      <c r="B2023" s="11" t="n">
        <f aca="false">B2022+1</f>
        <v>46948</v>
      </c>
      <c r="C2023" s="10" t="n">
        <f aca="false">YEAR(B2023)</f>
        <v>2028</v>
      </c>
      <c r="D2023" s="10" t="n">
        <f aca="false">INT((MONTH(B2023)-1)/3)+1</f>
        <v>3</v>
      </c>
      <c r="E2023" s="10" t="n">
        <f aca="false">MONTH(B2023)</f>
        <v>7</v>
      </c>
      <c r="F2023" s="10" t="str">
        <f aca="false">CHOOSE(MOD(A2023-1,5)+1,"Центр","Юг","Север","Запад","Восток")</f>
        <v>Юг</v>
      </c>
      <c r="G2023" s="10" t="str">
        <f aca="false">"Округ_"&amp;(MOD(A2023-1,5)+1)&amp;"_"&amp;(MOD(INT((A2023-1)/5),5)+1)</f>
        <v>Округ_2_5</v>
      </c>
      <c r="H2023" s="10" t="str">
        <f aca="false">"Город_"&amp;(MOD(A2023-1,5)+1)&amp;"_"&amp;(MOD(INT((A2023-1)/5),5)+1)&amp;"_"&amp;(MOD(INT((A2023-1)/25),10)+1)</f>
        <v>Город_2_5_1</v>
      </c>
      <c r="I2023" s="10" t="str">
        <f aca="false">CHOOSE(MOD(A2023-1,4)+1,"Электроника","Одежда","Продукты","Мебель")</f>
        <v>Одежда</v>
      </c>
      <c r="J2023" s="10" t="str">
        <f aca="false">CHOOSE(MOD(INT((A2023-1)/4),4)+1,CHOOSE(MOD(A2023-1,4)+1,"Смартфоны","Ноутбуки","Аксессуары","Аудио"),CHOOSE(MOD(A2023-1,4)+1,"Верхняя одежда","Спортивная","Повседневная","Обувь"),CHOOSE(MOD(A2023-1,4)+1,"Молочные","Мясные","Бакалея","Напитки"),CHOOSE(MOD(A2023-1,4)+1,"Мягкая мебель","Корпусная","Офисная","Кухонная"))</f>
        <v>Спортивная</v>
      </c>
      <c r="K2023" s="12" t="n">
        <f aca="false">1000+MOD(A2023*317+A2023*A2023*7,49001)</f>
        <v>7765</v>
      </c>
      <c r="L2023" s="12" t="n">
        <f aca="false">1+MOD(A2023*131,100)</f>
        <v>83</v>
      </c>
      <c r="M2023" s="12" t="n">
        <f aca="false">INT(K2023*(0.6+MOD(A2023*43,21)/100))</f>
        <v>5124</v>
      </c>
      <c r="N2023" s="12" t="n">
        <f aca="false">K2023-M2023</f>
        <v>2641</v>
      </c>
    </row>
    <row r="2024" customFormat="false" ht="12.8" hidden="false" customHeight="false" outlineLevel="0" collapsed="false">
      <c r="A2024" s="10" t="n">
        <f aca="false">A2023+1</f>
        <v>2023</v>
      </c>
      <c r="B2024" s="11" t="n">
        <f aca="false">B2023+1</f>
        <v>46949</v>
      </c>
      <c r="C2024" s="10" t="n">
        <f aca="false">YEAR(B2024)</f>
        <v>2028</v>
      </c>
      <c r="D2024" s="10" t="n">
        <f aca="false">INT((MONTH(B2024)-1)/3)+1</f>
        <v>3</v>
      </c>
      <c r="E2024" s="10" t="n">
        <f aca="false">MONTH(B2024)</f>
        <v>7</v>
      </c>
      <c r="F2024" s="10" t="str">
        <f aca="false">CHOOSE(MOD(A2024-1,5)+1,"Центр","Юг","Север","Запад","Восток")</f>
        <v>Север</v>
      </c>
      <c r="G2024" s="10" t="str">
        <f aca="false">"Округ_"&amp;(MOD(A2024-1,5)+1)&amp;"_"&amp;(MOD(INT((A2024-1)/5),5)+1)</f>
        <v>Округ_3_5</v>
      </c>
      <c r="H2024" s="10" t="str">
        <f aca="false">"Город_"&amp;(MOD(A2024-1,5)+1)&amp;"_"&amp;(MOD(INT((A2024-1)/5),5)+1)&amp;"_"&amp;(MOD(INT((A2024-1)/25),10)+1)</f>
        <v>Город_3_5_1</v>
      </c>
      <c r="I2024" s="10" t="str">
        <f aca="false">CHOOSE(MOD(A2024-1,4)+1,"Электроника","Одежда","Продукты","Мебель")</f>
        <v>Продукты</v>
      </c>
      <c r="J2024" s="10" t="str">
        <f aca="false">CHOOSE(MOD(INT((A2024-1)/4),4)+1,CHOOSE(MOD(A2024-1,4)+1,"Смартфоны","Ноутбуки","Аксессуары","Аудио"),CHOOSE(MOD(A2024-1,4)+1,"Верхняя одежда","Спортивная","Повседневная","Обувь"),CHOOSE(MOD(A2024-1,4)+1,"Молочные","Мясные","Бакалея","Напитки"),CHOOSE(MOD(A2024-1,4)+1,"Мягкая мебель","Корпусная","Офисная","Кухонная"))</f>
        <v>Повседневная</v>
      </c>
      <c r="K2024" s="12" t="n">
        <f aca="false">1000+MOD(A2024*317+A2024*A2024*7,49001)</f>
        <v>36397</v>
      </c>
      <c r="L2024" s="12" t="n">
        <f aca="false">1+MOD(A2024*131,100)</f>
        <v>14</v>
      </c>
      <c r="M2024" s="12" t="n">
        <f aca="false">INT(K2024*(0.6+MOD(A2024*43,21)/100))</f>
        <v>24385</v>
      </c>
      <c r="N2024" s="12" t="n">
        <f aca="false">K2024-M2024</f>
        <v>12012</v>
      </c>
    </row>
    <row r="2025" customFormat="false" ht="12.8" hidden="false" customHeight="false" outlineLevel="0" collapsed="false">
      <c r="A2025" s="10" t="n">
        <f aca="false">A2024+1</f>
        <v>2024</v>
      </c>
      <c r="B2025" s="11" t="n">
        <f aca="false">B2024+1</f>
        <v>46950</v>
      </c>
      <c r="C2025" s="10" t="n">
        <f aca="false">YEAR(B2025)</f>
        <v>2028</v>
      </c>
      <c r="D2025" s="10" t="n">
        <f aca="false">INT((MONTH(B2025)-1)/3)+1</f>
        <v>3</v>
      </c>
      <c r="E2025" s="10" t="n">
        <f aca="false">MONTH(B2025)</f>
        <v>7</v>
      </c>
      <c r="F2025" s="10" t="str">
        <f aca="false">CHOOSE(MOD(A2025-1,5)+1,"Центр","Юг","Север","Запад","Восток")</f>
        <v>Запад</v>
      </c>
      <c r="G2025" s="10" t="str">
        <f aca="false">"Округ_"&amp;(MOD(A2025-1,5)+1)&amp;"_"&amp;(MOD(INT((A2025-1)/5),5)+1)</f>
        <v>Округ_4_5</v>
      </c>
      <c r="H2025" s="10" t="str">
        <f aca="false">"Город_"&amp;(MOD(A2025-1,5)+1)&amp;"_"&amp;(MOD(INT((A2025-1)/5),5)+1)&amp;"_"&amp;(MOD(INT((A2025-1)/25),10)+1)</f>
        <v>Город_4_5_1</v>
      </c>
      <c r="I2025" s="10" t="str">
        <f aca="false">CHOOSE(MOD(A2025-1,4)+1,"Электроника","Одежда","Продукты","Мебель")</f>
        <v>Мебель</v>
      </c>
      <c r="J2025" s="10" t="str">
        <f aca="false">CHOOSE(MOD(INT((A2025-1)/4),4)+1,CHOOSE(MOD(A2025-1,4)+1,"Смартфоны","Ноутбуки","Аксессуары","Аудио"),CHOOSE(MOD(A2025-1,4)+1,"Верхняя одежда","Спортивная","Повседневная","Обувь"),CHOOSE(MOD(A2025-1,4)+1,"Молочные","Мясные","Бакалея","Напитки"),CHOOSE(MOD(A2025-1,4)+1,"Мягкая мебель","Корпусная","Офисная","Кухонная"))</f>
        <v>Обувь</v>
      </c>
      <c r="K2025" s="12" t="n">
        <f aca="false">1000+MOD(A2025*317+A2025*A2025*7,49001)</f>
        <v>16042</v>
      </c>
      <c r="L2025" s="12" t="n">
        <f aca="false">1+MOD(A2025*131,100)</f>
        <v>45</v>
      </c>
      <c r="M2025" s="12" t="n">
        <f aca="false">INT(K2025*(0.6+MOD(A2025*43,21)/100))</f>
        <v>10908</v>
      </c>
      <c r="N2025" s="12" t="n">
        <f aca="false">K2025-M2025</f>
        <v>5134</v>
      </c>
    </row>
    <row r="2026" customFormat="false" ht="12.8" hidden="false" customHeight="false" outlineLevel="0" collapsed="false">
      <c r="A2026" s="10" t="n">
        <f aca="false">A2025+1</f>
        <v>2025</v>
      </c>
      <c r="B2026" s="11" t="n">
        <f aca="false">B2025+1</f>
        <v>46951</v>
      </c>
      <c r="C2026" s="10" t="n">
        <f aca="false">YEAR(B2026)</f>
        <v>2028</v>
      </c>
      <c r="D2026" s="10" t="n">
        <f aca="false">INT((MONTH(B2026)-1)/3)+1</f>
        <v>3</v>
      </c>
      <c r="E2026" s="10" t="n">
        <f aca="false">MONTH(B2026)</f>
        <v>7</v>
      </c>
      <c r="F2026" s="10" t="str">
        <f aca="false">CHOOSE(MOD(A2026-1,5)+1,"Центр","Юг","Север","Запад","Восток")</f>
        <v>Восток</v>
      </c>
      <c r="G2026" s="10" t="str">
        <f aca="false">"Округ_"&amp;(MOD(A2026-1,5)+1)&amp;"_"&amp;(MOD(INT((A2026-1)/5),5)+1)</f>
        <v>Округ_5_5</v>
      </c>
      <c r="H2026" s="10" t="str">
        <f aca="false">"Город_"&amp;(MOD(A2026-1,5)+1)&amp;"_"&amp;(MOD(INT((A2026-1)/5),5)+1)&amp;"_"&amp;(MOD(INT((A2026-1)/25),10)+1)</f>
        <v>Город_5_5_1</v>
      </c>
      <c r="I2026" s="10" t="str">
        <f aca="false">CHOOSE(MOD(A2026-1,4)+1,"Электроника","Одежда","Продукты","Мебель")</f>
        <v>Электроника</v>
      </c>
      <c r="J2026" s="10" t="str">
        <f aca="false">CHOOSE(MOD(INT((A2026-1)/4),4)+1,CHOOSE(MOD(A2026-1,4)+1,"Смартфоны","Ноутбуки","Аксессуары","Аудио"),CHOOSE(MOD(A2026-1,4)+1,"Верхняя одежда","Спортивная","Повседневная","Обувь"),CHOOSE(MOD(A2026-1,4)+1,"Молочные","Мясные","Бакалея","Напитки"),CHOOSE(MOD(A2026-1,4)+1,"Мягкая мебель","Корпусная","Офисная","Кухонная"))</f>
        <v>Молочные</v>
      </c>
      <c r="K2026" s="12" t="n">
        <f aca="false">1000+MOD(A2026*317+A2026*A2026*7,49001)</f>
        <v>44702</v>
      </c>
      <c r="L2026" s="12" t="n">
        <f aca="false">1+MOD(A2026*131,100)</f>
        <v>76</v>
      </c>
      <c r="M2026" s="12" t="n">
        <f aca="false">INT(K2026*(0.6+MOD(A2026*43,21)/100))</f>
        <v>30844</v>
      </c>
      <c r="N2026" s="12" t="n">
        <f aca="false">K2026-M2026</f>
        <v>13858</v>
      </c>
    </row>
    <row r="2027" customFormat="false" ht="12.8" hidden="false" customHeight="false" outlineLevel="0" collapsed="false">
      <c r="A2027" s="10" t="n">
        <f aca="false">A2026+1</f>
        <v>2026</v>
      </c>
      <c r="B2027" s="11" t="n">
        <f aca="false">B2026+1</f>
        <v>46952</v>
      </c>
      <c r="C2027" s="10" t="n">
        <f aca="false">YEAR(B2027)</f>
        <v>2028</v>
      </c>
      <c r="D2027" s="10" t="n">
        <f aca="false">INT((MONTH(B2027)-1)/3)+1</f>
        <v>3</v>
      </c>
      <c r="E2027" s="10" t="n">
        <f aca="false">MONTH(B2027)</f>
        <v>7</v>
      </c>
      <c r="F2027" s="10" t="str">
        <f aca="false">CHOOSE(MOD(A2027-1,5)+1,"Центр","Юг","Север","Запад","Восток")</f>
        <v>Центр</v>
      </c>
      <c r="G2027" s="10" t="str">
        <f aca="false">"Округ_"&amp;(MOD(A2027-1,5)+1)&amp;"_"&amp;(MOD(INT((A2027-1)/5),5)+1)</f>
        <v>Округ_1_1</v>
      </c>
      <c r="H2027" s="10" t="str">
        <f aca="false">"Город_"&amp;(MOD(A2027-1,5)+1)&amp;"_"&amp;(MOD(INT((A2027-1)/5),5)+1)&amp;"_"&amp;(MOD(INT((A2027-1)/25),10)+1)</f>
        <v>Город_1_1_2</v>
      </c>
      <c r="I2027" s="10" t="str">
        <f aca="false">CHOOSE(MOD(A2027-1,4)+1,"Электроника","Одежда","Продукты","Мебель")</f>
        <v>Одежда</v>
      </c>
      <c r="J2027" s="10" t="str">
        <f aca="false">CHOOSE(MOD(INT((A2027-1)/4),4)+1,CHOOSE(MOD(A2027-1,4)+1,"Смартфоны","Ноутбуки","Аксессуары","Аудио"),CHOOSE(MOD(A2027-1,4)+1,"Верхняя одежда","Спортивная","Повседневная","Обувь"),CHOOSE(MOD(A2027-1,4)+1,"Молочные","Мясные","Бакалея","Напитки"),CHOOSE(MOD(A2027-1,4)+1,"Мягкая мебель","Корпусная","Офисная","Кухонная"))</f>
        <v>Мясные</v>
      </c>
      <c r="K2027" s="12" t="n">
        <f aca="false">1000+MOD(A2027*317+A2027*A2027*7,49001)</f>
        <v>24375</v>
      </c>
      <c r="L2027" s="12" t="n">
        <f aca="false">1+MOD(A2027*131,100)</f>
        <v>7</v>
      </c>
      <c r="M2027" s="12" t="n">
        <f aca="false">INT(K2027*(0.6+MOD(A2027*43,21)/100))</f>
        <v>17062</v>
      </c>
      <c r="N2027" s="12" t="n">
        <f aca="false">K2027-M2027</f>
        <v>7313</v>
      </c>
    </row>
    <row r="2028" customFormat="false" ht="12.8" hidden="false" customHeight="false" outlineLevel="0" collapsed="false">
      <c r="A2028" s="10" t="n">
        <f aca="false">A2027+1</f>
        <v>2027</v>
      </c>
      <c r="B2028" s="11" t="n">
        <f aca="false">B2027+1</f>
        <v>46953</v>
      </c>
      <c r="C2028" s="10" t="n">
        <f aca="false">YEAR(B2028)</f>
        <v>2028</v>
      </c>
      <c r="D2028" s="10" t="n">
        <f aca="false">INT((MONTH(B2028)-1)/3)+1</f>
        <v>3</v>
      </c>
      <c r="E2028" s="10" t="n">
        <f aca="false">MONTH(B2028)</f>
        <v>7</v>
      </c>
      <c r="F2028" s="10" t="str">
        <f aca="false">CHOOSE(MOD(A2028-1,5)+1,"Центр","Юг","Север","Запад","Восток")</f>
        <v>Юг</v>
      </c>
      <c r="G2028" s="10" t="str">
        <f aca="false">"Округ_"&amp;(MOD(A2028-1,5)+1)&amp;"_"&amp;(MOD(INT((A2028-1)/5),5)+1)</f>
        <v>Округ_2_1</v>
      </c>
      <c r="H2028" s="10" t="str">
        <f aca="false">"Город_"&amp;(MOD(A2028-1,5)+1)&amp;"_"&amp;(MOD(INT((A2028-1)/5),5)+1)&amp;"_"&amp;(MOD(INT((A2028-1)/25),10)+1)</f>
        <v>Город_2_1_2</v>
      </c>
      <c r="I2028" s="10" t="str">
        <f aca="false">CHOOSE(MOD(A2028-1,4)+1,"Электроника","Одежда","Продукты","Мебель")</f>
        <v>Продукты</v>
      </c>
      <c r="J2028" s="10" t="str">
        <f aca="false">CHOOSE(MOD(INT((A2028-1)/4),4)+1,CHOOSE(MOD(A2028-1,4)+1,"Смартфоны","Ноутбуки","Аксессуары","Аудио"),CHOOSE(MOD(A2028-1,4)+1,"Верхняя одежда","Спортивная","Повседневная","Обувь"),CHOOSE(MOD(A2028-1,4)+1,"Молочные","Мясные","Бакалея","Напитки"),CHOOSE(MOD(A2028-1,4)+1,"Мягкая мебель","Корпусная","Офисная","Кухонная"))</f>
        <v>Бакалея</v>
      </c>
      <c r="K2028" s="12" t="n">
        <f aca="false">1000+MOD(A2028*317+A2028*A2028*7,49001)</f>
        <v>4062</v>
      </c>
      <c r="L2028" s="12" t="n">
        <f aca="false">1+MOD(A2028*131,100)</f>
        <v>38</v>
      </c>
      <c r="M2028" s="12" t="n">
        <f aca="false">INT(K2028*(0.6+MOD(A2028*43,21)/100))</f>
        <v>2884</v>
      </c>
      <c r="N2028" s="12" t="n">
        <f aca="false">K2028-M2028</f>
        <v>1178</v>
      </c>
    </row>
    <row r="2029" customFormat="false" ht="12.8" hidden="false" customHeight="false" outlineLevel="0" collapsed="false">
      <c r="A2029" s="10" t="n">
        <f aca="false">A2028+1</f>
        <v>2028</v>
      </c>
      <c r="B2029" s="11" t="n">
        <f aca="false">B2028+1</f>
        <v>46954</v>
      </c>
      <c r="C2029" s="10" t="n">
        <f aca="false">YEAR(B2029)</f>
        <v>2028</v>
      </c>
      <c r="D2029" s="10" t="n">
        <f aca="false">INT((MONTH(B2029)-1)/3)+1</f>
        <v>3</v>
      </c>
      <c r="E2029" s="10" t="n">
        <f aca="false">MONTH(B2029)</f>
        <v>7</v>
      </c>
      <c r="F2029" s="10" t="str">
        <f aca="false">CHOOSE(MOD(A2029-1,5)+1,"Центр","Юг","Север","Запад","Восток")</f>
        <v>Север</v>
      </c>
      <c r="G2029" s="10" t="str">
        <f aca="false">"Округ_"&amp;(MOD(A2029-1,5)+1)&amp;"_"&amp;(MOD(INT((A2029-1)/5),5)+1)</f>
        <v>Округ_3_1</v>
      </c>
      <c r="H2029" s="10" t="str">
        <f aca="false">"Город_"&amp;(MOD(A2029-1,5)+1)&amp;"_"&amp;(MOD(INT((A2029-1)/5),5)+1)&amp;"_"&amp;(MOD(INT((A2029-1)/25),10)+1)</f>
        <v>Город_3_1_2</v>
      </c>
      <c r="I2029" s="10" t="str">
        <f aca="false">CHOOSE(MOD(A2029-1,4)+1,"Электроника","Одежда","Продукты","Мебель")</f>
        <v>Мебель</v>
      </c>
      <c r="J2029" s="10" t="str">
        <f aca="false">CHOOSE(MOD(INT((A2029-1)/4),4)+1,CHOOSE(MOD(A2029-1,4)+1,"Смартфоны","Ноутбуки","Аксессуары","Аудио"),CHOOSE(MOD(A2029-1,4)+1,"Верхняя одежда","Спортивная","Повседневная","Обувь"),CHOOSE(MOD(A2029-1,4)+1,"Молочные","Мясные","Бакалея","Напитки"),CHOOSE(MOD(A2029-1,4)+1,"Мягкая мебель","Корпусная","Офисная","Кухонная"))</f>
        <v>Напитки</v>
      </c>
      <c r="K2029" s="12" t="n">
        <f aca="false">1000+MOD(A2029*317+A2029*A2029*7,49001)</f>
        <v>32764</v>
      </c>
      <c r="L2029" s="12" t="n">
        <f aca="false">1+MOD(A2029*131,100)</f>
        <v>69</v>
      </c>
      <c r="M2029" s="12" t="n">
        <f aca="false">INT(K2029*(0.6+MOD(A2029*43,21)/100))</f>
        <v>23590</v>
      </c>
      <c r="N2029" s="12" t="n">
        <f aca="false">K2029-M2029</f>
        <v>9174</v>
      </c>
    </row>
    <row r="2030" customFormat="false" ht="12.8" hidden="false" customHeight="false" outlineLevel="0" collapsed="false">
      <c r="A2030" s="10" t="n">
        <f aca="false">A2029+1</f>
        <v>2029</v>
      </c>
      <c r="B2030" s="11" t="n">
        <f aca="false">B2029+1</f>
        <v>46955</v>
      </c>
      <c r="C2030" s="10" t="n">
        <f aca="false">YEAR(B2030)</f>
        <v>2028</v>
      </c>
      <c r="D2030" s="10" t="n">
        <f aca="false">INT((MONTH(B2030)-1)/3)+1</f>
        <v>3</v>
      </c>
      <c r="E2030" s="10" t="n">
        <f aca="false">MONTH(B2030)</f>
        <v>7</v>
      </c>
      <c r="F2030" s="10" t="str">
        <f aca="false">CHOOSE(MOD(A2030-1,5)+1,"Центр","Юг","Север","Запад","Восток")</f>
        <v>Запад</v>
      </c>
      <c r="G2030" s="10" t="str">
        <f aca="false">"Округ_"&amp;(MOD(A2030-1,5)+1)&amp;"_"&amp;(MOD(INT((A2030-1)/5),5)+1)</f>
        <v>Округ_4_1</v>
      </c>
      <c r="H2030" s="10" t="str">
        <f aca="false">"Город_"&amp;(MOD(A2030-1,5)+1)&amp;"_"&amp;(MOD(INT((A2030-1)/5),5)+1)&amp;"_"&amp;(MOD(INT((A2030-1)/25),10)+1)</f>
        <v>Город_4_1_2</v>
      </c>
      <c r="I2030" s="10" t="str">
        <f aca="false">CHOOSE(MOD(A2030-1,4)+1,"Электроника","Одежда","Продукты","Мебель")</f>
        <v>Электроника</v>
      </c>
      <c r="J2030" s="10" t="str">
        <f aca="false">CHOOSE(MOD(INT((A2030-1)/4),4)+1,CHOOSE(MOD(A2030-1,4)+1,"Смартфоны","Ноутбуки","Аксессуары","Аудио"),CHOOSE(MOD(A2030-1,4)+1,"Верхняя одежда","Спортивная","Повседневная","Обувь"),CHOOSE(MOD(A2030-1,4)+1,"Молочные","Мясные","Бакалея","Напитки"),CHOOSE(MOD(A2030-1,4)+1,"Мягкая мебель","Корпусная","Офисная","Кухонная"))</f>
        <v>Мягкая мебель</v>
      </c>
      <c r="K2030" s="12" t="n">
        <f aca="false">1000+MOD(A2030*317+A2030*A2030*7,49001)</f>
        <v>12479</v>
      </c>
      <c r="L2030" s="12" t="n">
        <f aca="false">1+MOD(A2030*131,100)</f>
        <v>100</v>
      </c>
      <c r="M2030" s="12" t="n">
        <f aca="false">INT(K2030*(0.6+MOD(A2030*43,21)/100))</f>
        <v>9109</v>
      </c>
      <c r="N2030" s="12" t="n">
        <f aca="false">K2030-M2030</f>
        <v>3370</v>
      </c>
    </row>
    <row r="2031" customFormat="false" ht="12.8" hidden="false" customHeight="false" outlineLevel="0" collapsed="false">
      <c r="A2031" s="10" t="n">
        <f aca="false">A2030+1</f>
        <v>2030</v>
      </c>
      <c r="B2031" s="11" t="n">
        <f aca="false">B2030+1</f>
        <v>46956</v>
      </c>
      <c r="C2031" s="10" t="n">
        <f aca="false">YEAR(B2031)</f>
        <v>2028</v>
      </c>
      <c r="D2031" s="10" t="n">
        <f aca="false">INT((MONTH(B2031)-1)/3)+1</f>
        <v>3</v>
      </c>
      <c r="E2031" s="10" t="n">
        <f aca="false">MONTH(B2031)</f>
        <v>7</v>
      </c>
      <c r="F2031" s="10" t="str">
        <f aca="false">CHOOSE(MOD(A2031-1,5)+1,"Центр","Юг","Север","Запад","Восток")</f>
        <v>Восток</v>
      </c>
      <c r="G2031" s="10" t="str">
        <f aca="false">"Округ_"&amp;(MOD(A2031-1,5)+1)&amp;"_"&amp;(MOD(INT((A2031-1)/5),5)+1)</f>
        <v>Округ_5_1</v>
      </c>
      <c r="H2031" s="10" t="str">
        <f aca="false">"Город_"&amp;(MOD(A2031-1,5)+1)&amp;"_"&amp;(MOD(INT((A2031-1)/5),5)+1)&amp;"_"&amp;(MOD(INT((A2031-1)/25),10)+1)</f>
        <v>Город_5_1_2</v>
      </c>
      <c r="I2031" s="10" t="str">
        <f aca="false">CHOOSE(MOD(A2031-1,4)+1,"Электроника","Одежда","Продукты","Мебель")</f>
        <v>Одежда</v>
      </c>
      <c r="J2031" s="10" t="str">
        <f aca="false">CHOOSE(MOD(INT((A2031-1)/4),4)+1,CHOOSE(MOD(A2031-1,4)+1,"Смартфоны","Ноутбуки","Аксессуары","Аудио"),CHOOSE(MOD(A2031-1,4)+1,"Верхняя одежда","Спортивная","Повседневная","Обувь"),CHOOSE(MOD(A2031-1,4)+1,"Молочные","Мясные","Бакалея","Напитки"),CHOOSE(MOD(A2031-1,4)+1,"Мягкая мебель","Корпусная","Офисная","Кухонная"))</f>
        <v>Корпусная</v>
      </c>
      <c r="K2031" s="12" t="n">
        <f aca="false">1000+MOD(A2031*317+A2031*A2031*7,49001)</f>
        <v>41209</v>
      </c>
      <c r="L2031" s="12" t="n">
        <f aca="false">1+MOD(A2031*131,100)</f>
        <v>31</v>
      </c>
      <c r="M2031" s="12" t="n">
        <f aca="false">INT(K2031*(0.6+MOD(A2031*43,21)/100))</f>
        <v>30494</v>
      </c>
      <c r="N2031" s="12" t="n">
        <f aca="false">K2031-M2031</f>
        <v>10715</v>
      </c>
    </row>
    <row r="2032" customFormat="false" ht="12.8" hidden="false" customHeight="false" outlineLevel="0" collapsed="false">
      <c r="A2032" s="10" t="n">
        <f aca="false">A2031+1</f>
        <v>2031</v>
      </c>
      <c r="B2032" s="11" t="n">
        <f aca="false">B2031+1</f>
        <v>46957</v>
      </c>
      <c r="C2032" s="10" t="n">
        <f aca="false">YEAR(B2032)</f>
        <v>2028</v>
      </c>
      <c r="D2032" s="10" t="n">
        <f aca="false">INT((MONTH(B2032)-1)/3)+1</f>
        <v>3</v>
      </c>
      <c r="E2032" s="10" t="n">
        <f aca="false">MONTH(B2032)</f>
        <v>7</v>
      </c>
      <c r="F2032" s="10" t="str">
        <f aca="false">CHOOSE(MOD(A2032-1,5)+1,"Центр","Юг","Север","Запад","Восток")</f>
        <v>Центр</v>
      </c>
      <c r="G2032" s="10" t="str">
        <f aca="false">"Округ_"&amp;(MOD(A2032-1,5)+1)&amp;"_"&amp;(MOD(INT((A2032-1)/5),5)+1)</f>
        <v>Округ_1_2</v>
      </c>
      <c r="H2032" s="10" t="str">
        <f aca="false">"Город_"&amp;(MOD(A2032-1,5)+1)&amp;"_"&amp;(MOD(INT((A2032-1)/5),5)+1)&amp;"_"&amp;(MOD(INT((A2032-1)/25),10)+1)</f>
        <v>Город_1_2_2</v>
      </c>
      <c r="I2032" s="10" t="str">
        <f aca="false">CHOOSE(MOD(A2032-1,4)+1,"Электроника","Одежда","Продукты","Мебель")</f>
        <v>Продукты</v>
      </c>
      <c r="J2032" s="10" t="str">
        <f aca="false">CHOOSE(MOD(INT((A2032-1)/4),4)+1,CHOOSE(MOD(A2032-1,4)+1,"Смартфоны","Ноутбуки","Аксессуары","Аудио"),CHOOSE(MOD(A2032-1,4)+1,"Верхняя одежда","Спортивная","Повседневная","Обувь"),CHOOSE(MOD(A2032-1,4)+1,"Молочные","Мясные","Бакалея","Напитки"),CHOOSE(MOD(A2032-1,4)+1,"Мягкая мебель","Корпусная","Офисная","Кухонная"))</f>
        <v>Офисная</v>
      </c>
      <c r="K2032" s="12" t="n">
        <f aca="false">1000+MOD(A2032*317+A2032*A2032*7,49001)</f>
        <v>20952</v>
      </c>
      <c r="L2032" s="12" t="n">
        <f aca="false">1+MOD(A2032*131,100)</f>
        <v>62</v>
      </c>
      <c r="M2032" s="12" t="n">
        <f aca="false">INT(K2032*(0.6+MOD(A2032*43,21)/100))</f>
        <v>15714</v>
      </c>
      <c r="N2032" s="12" t="n">
        <f aca="false">K2032-M2032</f>
        <v>5238</v>
      </c>
    </row>
    <row r="2033" customFormat="false" ht="12.8" hidden="false" customHeight="false" outlineLevel="0" collapsed="false">
      <c r="A2033" s="10" t="n">
        <f aca="false">A2032+1</f>
        <v>2032</v>
      </c>
      <c r="B2033" s="11" t="n">
        <f aca="false">B2032+1</f>
        <v>46958</v>
      </c>
      <c r="C2033" s="10" t="n">
        <f aca="false">YEAR(B2033)</f>
        <v>2028</v>
      </c>
      <c r="D2033" s="10" t="n">
        <f aca="false">INT((MONTH(B2033)-1)/3)+1</f>
        <v>3</v>
      </c>
      <c r="E2033" s="10" t="n">
        <f aca="false">MONTH(B2033)</f>
        <v>7</v>
      </c>
      <c r="F2033" s="10" t="str">
        <f aca="false">CHOOSE(MOD(A2033-1,5)+1,"Центр","Юг","Север","Запад","Восток")</f>
        <v>Юг</v>
      </c>
      <c r="G2033" s="10" t="str">
        <f aca="false">"Округ_"&amp;(MOD(A2033-1,5)+1)&amp;"_"&amp;(MOD(INT((A2033-1)/5),5)+1)</f>
        <v>Округ_2_2</v>
      </c>
      <c r="H2033" s="10" t="str">
        <f aca="false">"Город_"&amp;(MOD(A2033-1,5)+1)&amp;"_"&amp;(MOD(INT((A2033-1)/5),5)+1)&amp;"_"&amp;(MOD(INT((A2033-1)/25),10)+1)</f>
        <v>Город_2_2_2</v>
      </c>
      <c r="I2033" s="10" t="str">
        <f aca="false">CHOOSE(MOD(A2033-1,4)+1,"Электроника","Одежда","Продукты","Мебель")</f>
        <v>Мебель</v>
      </c>
      <c r="J2033" s="10" t="str">
        <f aca="false">CHOOSE(MOD(INT((A2033-1)/4),4)+1,CHOOSE(MOD(A2033-1,4)+1,"Смартфоны","Ноутбуки","Аксессуары","Аудио"),CHOOSE(MOD(A2033-1,4)+1,"Верхняя одежда","Спортивная","Повседневная","Обувь"),CHOOSE(MOD(A2033-1,4)+1,"Молочные","Мясные","Бакалея","Напитки"),CHOOSE(MOD(A2033-1,4)+1,"Мягкая мебель","Корпусная","Офисная","Кухонная"))</f>
        <v>Кухонная</v>
      </c>
      <c r="K2033" s="12" t="n">
        <f aca="false">1000+MOD(A2033*317+A2033*A2033*7,49001)</f>
        <v>49710</v>
      </c>
      <c r="L2033" s="12" t="n">
        <f aca="false">1+MOD(A2033*131,100)</f>
        <v>93</v>
      </c>
      <c r="M2033" s="12" t="n">
        <f aca="false">INT(K2033*(0.6+MOD(A2033*43,21)/100))</f>
        <v>37779</v>
      </c>
      <c r="N2033" s="12" t="n">
        <f aca="false">K2033-M2033</f>
        <v>11931</v>
      </c>
    </row>
    <row r="2034" customFormat="false" ht="12.8" hidden="false" customHeight="false" outlineLevel="0" collapsed="false">
      <c r="A2034" s="10" t="n">
        <f aca="false">A2033+1</f>
        <v>2033</v>
      </c>
      <c r="B2034" s="11" t="n">
        <f aca="false">B2033+1</f>
        <v>46959</v>
      </c>
      <c r="C2034" s="10" t="n">
        <f aca="false">YEAR(B2034)</f>
        <v>2028</v>
      </c>
      <c r="D2034" s="10" t="n">
        <f aca="false">INT((MONTH(B2034)-1)/3)+1</f>
        <v>3</v>
      </c>
      <c r="E2034" s="10" t="n">
        <f aca="false">MONTH(B2034)</f>
        <v>7</v>
      </c>
      <c r="F2034" s="10" t="str">
        <f aca="false">CHOOSE(MOD(A2034-1,5)+1,"Центр","Юг","Север","Запад","Восток")</f>
        <v>Север</v>
      </c>
      <c r="G2034" s="10" t="str">
        <f aca="false">"Округ_"&amp;(MOD(A2034-1,5)+1)&amp;"_"&amp;(MOD(INT((A2034-1)/5),5)+1)</f>
        <v>Округ_3_2</v>
      </c>
      <c r="H2034" s="10" t="str">
        <f aca="false">"Город_"&amp;(MOD(A2034-1,5)+1)&amp;"_"&amp;(MOD(INT((A2034-1)/5),5)+1)&amp;"_"&amp;(MOD(INT((A2034-1)/25),10)+1)</f>
        <v>Город_3_2_2</v>
      </c>
      <c r="I2034" s="10" t="str">
        <f aca="false">CHOOSE(MOD(A2034-1,4)+1,"Электроника","Одежда","Продукты","Мебель")</f>
        <v>Электроника</v>
      </c>
      <c r="J2034" s="10" t="str">
        <f aca="false">CHOOSE(MOD(INT((A2034-1)/4),4)+1,CHOOSE(MOD(A2034-1,4)+1,"Смартфоны","Ноутбуки","Аксессуары","Аудио"),CHOOSE(MOD(A2034-1,4)+1,"Верхняя одежда","Спортивная","Повседневная","Обувь"),CHOOSE(MOD(A2034-1,4)+1,"Молочные","Мясные","Бакалея","Напитки"),CHOOSE(MOD(A2034-1,4)+1,"Мягкая мебель","Корпусная","Офисная","Кухонная"))</f>
        <v>Смартфоны</v>
      </c>
      <c r="K2034" s="12" t="n">
        <f aca="false">1000+MOD(A2034*317+A2034*A2034*7,49001)</f>
        <v>29481</v>
      </c>
      <c r="L2034" s="12" t="n">
        <f aca="false">1+MOD(A2034*131,100)</f>
        <v>24</v>
      </c>
      <c r="M2034" s="12" t="n">
        <f aca="false">INT(K2034*(0.6+MOD(A2034*43,21)/100))</f>
        <v>22700</v>
      </c>
      <c r="N2034" s="12" t="n">
        <f aca="false">K2034-M2034</f>
        <v>6781</v>
      </c>
    </row>
    <row r="2035" customFormat="false" ht="12.8" hidden="false" customHeight="false" outlineLevel="0" collapsed="false">
      <c r="A2035" s="10" t="n">
        <f aca="false">A2034+1</f>
        <v>2034</v>
      </c>
      <c r="B2035" s="11" t="n">
        <f aca="false">B2034+1</f>
        <v>46960</v>
      </c>
      <c r="C2035" s="10" t="n">
        <f aca="false">YEAR(B2035)</f>
        <v>2028</v>
      </c>
      <c r="D2035" s="10" t="n">
        <f aca="false">INT((MONTH(B2035)-1)/3)+1</f>
        <v>3</v>
      </c>
      <c r="E2035" s="10" t="n">
        <f aca="false">MONTH(B2035)</f>
        <v>7</v>
      </c>
      <c r="F2035" s="10" t="str">
        <f aca="false">CHOOSE(MOD(A2035-1,5)+1,"Центр","Юг","Север","Запад","Восток")</f>
        <v>Запад</v>
      </c>
      <c r="G2035" s="10" t="str">
        <f aca="false">"Округ_"&amp;(MOD(A2035-1,5)+1)&amp;"_"&amp;(MOD(INT((A2035-1)/5),5)+1)</f>
        <v>Округ_4_2</v>
      </c>
      <c r="H2035" s="10" t="str">
        <f aca="false">"Город_"&amp;(MOD(A2035-1,5)+1)&amp;"_"&amp;(MOD(INT((A2035-1)/5),5)+1)&amp;"_"&amp;(MOD(INT((A2035-1)/25),10)+1)</f>
        <v>Город_4_2_2</v>
      </c>
      <c r="I2035" s="10" t="str">
        <f aca="false">CHOOSE(MOD(A2035-1,4)+1,"Электроника","Одежда","Продукты","Мебель")</f>
        <v>Одежда</v>
      </c>
      <c r="J2035" s="10" t="str">
        <f aca="false">CHOOSE(MOD(INT((A2035-1)/4),4)+1,CHOOSE(MOD(A2035-1,4)+1,"Смартфоны","Ноутбуки","Аксессуары","Аудио"),CHOOSE(MOD(A2035-1,4)+1,"Верхняя одежда","Спортивная","Повседневная","Обувь"),CHOOSE(MOD(A2035-1,4)+1,"Молочные","Мясные","Бакалея","Напитки"),CHOOSE(MOD(A2035-1,4)+1,"Мягкая мебель","Корпусная","Офисная","Кухонная"))</f>
        <v>Ноутбуки</v>
      </c>
      <c r="K2035" s="12" t="n">
        <f aca="false">1000+MOD(A2035*317+A2035*A2035*7,49001)</f>
        <v>9266</v>
      </c>
      <c r="L2035" s="12" t="n">
        <f aca="false">1+MOD(A2035*131,100)</f>
        <v>55</v>
      </c>
      <c r="M2035" s="12" t="n">
        <f aca="false">INT(K2035*(0.6+MOD(A2035*43,21)/100))</f>
        <v>7227</v>
      </c>
      <c r="N2035" s="12" t="n">
        <f aca="false">K2035-M2035</f>
        <v>2039</v>
      </c>
    </row>
    <row r="2036" customFormat="false" ht="12.8" hidden="false" customHeight="false" outlineLevel="0" collapsed="false">
      <c r="A2036" s="10" t="n">
        <f aca="false">A2035+1</f>
        <v>2035</v>
      </c>
      <c r="B2036" s="11" t="n">
        <f aca="false">B2035+1</f>
        <v>46961</v>
      </c>
      <c r="C2036" s="10" t="n">
        <f aca="false">YEAR(B2036)</f>
        <v>2028</v>
      </c>
      <c r="D2036" s="10" t="n">
        <f aca="false">INT((MONTH(B2036)-1)/3)+1</f>
        <v>3</v>
      </c>
      <c r="E2036" s="10" t="n">
        <f aca="false">MONTH(B2036)</f>
        <v>7</v>
      </c>
      <c r="F2036" s="10" t="str">
        <f aca="false">CHOOSE(MOD(A2036-1,5)+1,"Центр","Юг","Север","Запад","Восток")</f>
        <v>Восток</v>
      </c>
      <c r="G2036" s="10" t="str">
        <f aca="false">"Округ_"&amp;(MOD(A2036-1,5)+1)&amp;"_"&amp;(MOD(INT((A2036-1)/5),5)+1)</f>
        <v>Округ_5_2</v>
      </c>
      <c r="H2036" s="10" t="str">
        <f aca="false">"Город_"&amp;(MOD(A2036-1,5)+1)&amp;"_"&amp;(MOD(INT((A2036-1)/5),5)+1)&amp;"_"&amp;(MOD(INT((A2036-1)/25),10)+1)</f>
        <v>Город_5_2_2</v>
      </c>
      <c r="I2036" s="10" t="str">
        <f aca="false">CHOOSE(MOD(A2036-1,4)+1,"Электроника","Одежда","Продукты","Мебель")</f>
        <v>Продукты</v>
      </c>
      <c r="J2036" s="10" t="str">
        <f aca="false">CHOOSE(MOD(INT((A2036-1)/4),4)+1,CHOOSE(MOD(A2036-1,4)+1,"Смартфоны","Ноутбуки","Аксессуары","Аудио"),CHOOSE(MOD(A2036-1,4)+1,"Верхняя одежда","Спортивная","Повседневная","Обувь"),CHOOSE(MOD(A2036-1,4)+1,"Молочные","Мясные","Бакалея","Напитки"),CHOOSE(MOD(A2036-1,4)+1,"Мягкая мебель","Корпусная","Офисная","Кухонная"))</f>
        <v>Аксессуары</v>
      </c>
      <c r="K2036" s="12" t="n">
        <f aca="false">1000+MOD(A2036*317+A2036*A2036*7,49001)</f>
        <v>38066</v>
      </c>
      <c r="L2036" s="12" t="n">
        <f aca="false">1+MOD(A2036*131,100)</f>
        <v>86</v>
      </c>
      <c r="M2036" s="12" t="n">
        <f aca="false">INT(K2036*(0.6+MOD(A2036*43,21)/100))</f>
        <v>30072</v>
      </c>
      <c r="N2036" s="12" t="n">
        <f aca="false">K2036-M2036</f>
        <v>7994</v>
      </c>
    </row>
    <row r="2037" customFormat="false" ht="12.8" hidden="false" customHeight="false" outlineLevel="0" collapsed="false">
      <c r="A2037" s="10" t="n">
        <f aca="false">A2036+1</f>
        <v>2036</v>
      </c>
      <c r="B2037" s="11" t="n">
        <f aca="false">B2036+1</f>
        <v>46962</v>
      </c>
      <c r="C2037" s="10" t="n">
        <f aca="false">YEAR(B2037)</f>
        <v>2028</v>
      </c>
      <c r="D2037" s="10" t="n">
        <f aca="false">INT((MONTH(B2037)-1)/3)+1</f>
        <v>3</v>
      </c>
      <c r="E2037" s="10" t="n">
        <f aca="false">MONTH(B2037)</f>
        <v>7</v>
      </c>
      <c r="F2037" s="10" t="str">
        <f aca="false">CHOOSE(MOD(A2037-1,5)+1,"Центр","Юг","Север","Запад","Восток")</f>
        <v>Центр</v>
      </c>
      <c r="G2037" s="10" t="str">
        <f aca="false">"Округ_"&amp;(MOD(A2037-1,5)+1)&amp;"_"&amp;(MOD(INT((A2037-1)/5),5)+1)</f>
        <v>Округ_1_3</v>
      </c>
      <c r="H2037" s="10" t="str">
        <f aca="false">"Город_"&amp;(MOD(A2037-1,5)+1)&amp;"_"&amp;(MOD(INT((A2037-1)/5),5)+1)&amp;"_"&amp;(MOD(INT((A2037-1)/25),10)+1)</f>
        <v>Город_1_3_2</v>
      </c>
      <c r="I2037" s="10" t="str">
        <f aca="false">CHOOSE(MOD(A2037-1,4)+1,"Электроника","Одежда","Продукты","Мебель")</f>
        <v>Мебель</v>
      </c>
      <c r="J2037" s="10" t="str">
        <f aca="false">CHOOSE(MOD(INT((A2037-1)/4),4)+1,CHOOSE(MOD(A2037-1,4)+1,"Смартфоны","Ноутбуки","Аксессуары","Аудио"),CHOOSE(MOD(A2037-1,4)+1,"Верхняя одежда","Спортивная","Повседневная","Обувь"),CHOOSE(MOD(A2037-1,4)+1,"Молочные","Мясные","Бакалея","Напитки"),CHOOSE(MOD(A2037-1,4)+1,"Мягкая мебель","Корпусная","Офисная","Кухонная"))</f>
        <v>Аудио</v>
      </c>
      <c r="K2037" s="12" t="n">
        <f aca="false">1000+MOD(A2037*317+A2037*A2037*7,49001)</f>
        <v>17879</v>
      </c>
      <c r="L2037" s="12" t="n">
        <f aca="false">1+MOD(A2037*131,100)</f>
        <v>17</v>
      </c>
      <c r="M2037" s="12" t="n">
        <f aca="false">INT(K2037*(0.6+MOD(A2037*43,21)/100))</f>
        <v>14303</v>
      </c>
      <c r="N2037" s="12" t="n">
        <f aca="false">K2037-M2037</f>
        <v>3576</v>
      </c>
    </row>
    <row r="2038" customFormat="false" ht="12.8" hidden="false" customHeight="false" outlineLevel="0" collapsed="false">
      <c r="A2038" s="10" t="n">
        <f aca="false">A2037+1</f>
        <v>2037</v>
      </c>
      <c r="B2038" s="11" t="n">
        <f aca="false">B2037+1</f>
        <v>46963</v>
      </c>
      <c r="C2038" s="10" t="n">
        <f aca="false">YEAR(B2038)</f>
        <v>2028</v>
      </c>
      <c r="D2038" s="10" t="n">
        <f aca="false">INT((MONTH(B2038)-1)/3)+1</f>
        <v>3</v>
      </c>
      <c r="E2038" s="10" t="n">
        <f aca="false">MONTH(B2038)</f>
        <v>7</v>
      </c>
      <c r="F2038" s="10" t="str">
        <f aca="false">CHOOSE(MOD(A2038-1,5)+1,"Центр","Юг","Север","Запад","Восток")</f>
        <v>Юг</v>
      </c>
      <c r="G2038" s="10" t="str">
        <f aca="false">"Округ_"&amp;(MOD(A2038-1,5)+1)&amp;"_"&amp;(MOD(INT((A2038-1)/5),5)+1)</f>
        <v>Округ_2_3</v>
      </c>
      <c r="H2038" s="10" t="str">
        <f aca="false">"Город_"&amp;(MOD(A2038-1,5)+1)&amp;"_"&amp;(MOD(INT((A2038-1)/5),5)+1)&amp;"_"&amp;(MOD(INT((A2038-1)/25),10)+1)</f>
        <v>Город_2_3_2</v>
      </c>
      <c r="I2038" s="10" t="str">
        <f aca="false">CHOOSE(MOD(A2038-1,4)+1,"Электроника","Одежда","Продукты","Мебель")</f>
        <v>Электроника</v>
      </c>
      <c r="J2038" s="10" t="str">
        <f aca="false">CHOOSE(MOD(INT((A2038-1)/4),4)+1,CHOOSE(MOD(A2038-1,4)+1,"Смартфоны","Ноутбуки","Аксессуары","Аудио"),CHOOSE(MOD(A2038-1,4)+1,"Верхняя одежда","Спортивная","Повседневная","Обувь"),CHOOSE(MOD(A2038-1,4)+1,"Молочные","Мясные","Бакалея","Напитки"),CHOOSE(MOD(A2038-1,4)+1,"Мягкая мебель","Корпусная","Офисная","Кухонная"))</f>
        <v>Верхняя одежда</v>
      </c>
      <c r="K2038" s="12" t="n">
        <f aca="false">1000+MOD(A2038*317+A2038*A2038*7,49001)</f>
        <v>46707</v>
      </c>
      <c r="L2038" s="12" t="n">
        <f aca="false">1+MOD(A2038*131,100)</f>
        <v>48</v>
      </c>
      <c r="M2038" s="12" t="n">
        <f aca="false">INT(K2038*(0.6+MOD(A2038*43,21)/100))</f>
        <v>28024</v>
      </c>
      <c r="N2038" s="12" t="n">
        <f aca="false">K2038-M2038</f>
        <v>18683</v>
      </c>
    </row>
    <row r="2039" customFormat="false" ht="12.8" hidden="false" customHeight="false" outlineLevel="0" collapsed="false">
      <c r="A2039" s="10" t="n">
        <f aca="false">A2038+1</f>
        <v>2038</v>
      </c>
      <c r="B2039" s="11" t="n">
        <f aca="false">B2038+1</f>
        <v>46964</v>
      </c>
      <c r="C2039" s="10" t="n">
        <f aca="false">YEAR(B2039)</f>
        <v>2028</v>
      </c>
      <c r="D2039" s="10" t="n">
        <f aca="false">INT((MONTH(B2039)-1)/3)+1</f>
        <v>3</v>
      </c>
      <c r="E2039" s="10" t="n">
        <f aca="false">MONTH(B2039)</f>
        <v>7</v>
      </c>
      <c r="F2039" s="10" t="str">
        <f aca="false">CHOOSE(MOD(A2039-1,5)+1,"Центр","Юг","Север","Запад","Восток")</f>
        <v>Север</v>
      </c>
      <c r="G2039" s="10" t="str">
        <f aca="false">"Округ_"&amp;(MOD(A2039-1,5)+1)&amp;"_"&amp;(MOD(INT((A2039-1)/5),5)+1)</f>
        <v>Округ_3_3</v>
      </c>
      <c r="H2039" s="10" t="str">
        <f aca="false">"Город_"&amp;(MOD(A2039-1,5)+1)&amp;"_"&amp;(MOD(INT((A2039-1)/5),5)+1)&amp;"_"&amp;(MOD(INT((A2039-1)/25),10)+1)</f>
        <v>Город_3_3_2</v>
      </c>
      <c r="I2039" s="10" t="str">
        <f aca="false">CHOOSE(MOD(A2039-1,4)+1,"Электроника","Одежда","Продукты","Мебель")</f>
        <v>Одежда</v>
      </c>
      <c r="J2039" s="10" t="str">
        <f aca="false">CHOOSE(MOD(INT((A2039-1)/4),4)+1,CHOOSE(MOD(A2039-1,4)+1,"Смартфоны","Ноутбуки","Аксессуары","Аудио"),CHOOSE(MOD(A2039-1,4)+1,"Верхняя одежда","Спортивная","Повседневная","Обувь"),CHOOSE(MOD(A2039-1,4)+1,"Молочные","Мясные","Бакалея","Напитки"),CHOOSE(MOD(A2039-1,4)+1,"Мягкая мебель","Корпусная","Офисная","Кухонная"))</f>
        <v>Спортивная</v>
      </c>
      <c r="K2039" s="12" t="n">
        <f aca="false">1000+MOD(A2039*317+A2039*A2039*7,49001)</f>
        <v>26548</v>
      </c>
      <c r="L2039" s="12" t="n">
        <f aca="false">1+MOD(A2039*131,100)</f>
        <v>79</v>
      </c>
      <c r="M2039" s="12" t="n">
        <f aca="false">INT(K2039*(0.6+MOD(A2039*43,21)/100))</f>
        <v>16194</v>
      </c>
      <c r="N2039" s="12" t="n">
        <f aca="false">K2039-M2039</f>
        <v>10354</v>
      </c>
    </row>
    <row r="2040" customFormat="false" ht="12.8" hidden="false" customHeight="false" outlineLevel="0" collapsed="false">
      <c r="A2040" s="10" t="n">
        <f aca="false">A2039+1</f>
        <v>2039</v>
      </c>
      <c r="B2040" s="11" t="n">
        <f aca="false">B2039+1</f>
        <v>46965</v>
      </c>
      <c r="C2040" s="10" t="n">
        <f aca="false">YEAR(B2040)</f>
        <v>2028</v>
      </c>
      <c r="D2040" s="10" t="n">
        <f aca="false">INT((MONTH(B2040)-1)/3)+1</f>
        <v>3</v>
      </c>
      <c r="E2040" s="10" t="n">
        <f aca="false">MONTH(B2040)</f>
        <v>7</v>
      </c>
      <c r="F2040" s="10" t="str">
        <f aca="false">CHOOSE(MOD(A2040-1,5)+1,"Центр","Юг","Север","Запад","Восток")</f>
        <v>Запад</v>
      </c>
      <c r="G2040" s="10" t="str">
        <f aca="false">"Округ_"&amp;(MOD(A2040-1,5)+1)&amp;"_"&amp;(MOD(INT((A2040-1)/5),5)+1)</f>
        <v>Округ_4_3</v>
      </c>
      <c r="H2040" s="10" t="str">
        <f aca="false">"Город_"&amp;(MOD(A2040-1,5)+1)&amp;"_"&amp;(MOD(INT((A2040-1)/5),5)+1)&amp;"_"&amp;(MOD(INT((A2040-1)/25),10)+1)</f>
        <v>Город_4_3_2</v>
      </c>
      <c r="I2040" s="10" t="str">
        <f aca="false">CHOOSE(MOD(A2040-1,4)+1,"Электроника","Одежда","Продукты","Мебель")</f>
        <v>Продукты</v>
      </c>
      <c r="J2040" s="10" t="str">
        <f aca="false">CHOOSE(MOD(INT((A2040-1)/4),4)+1,CHOOSE(MOD(A2040-1,4)+1,"Смартфоны","Ноутбуки","Аксессуары","Аудио"),CHOOSE(MOD(A2040-1,4)+1,"Верхняя одежда","Спортивная","Повседневная","Обувь"),CHOOSE(MOD(A2040-1,4)+1,"Молочные","Мясные","Бакалея","Напитки"),CHOOSE(MOD(A2040-1,4)+1,"Мягкая мебель","Корпусная","Офисная","Кухонная"))</f>
        <v>Повседневная</v>
      </c>
      <c r="K2040" s="12" t="n">
        <f aca="false">1000+MOD(A2040*317+A2040*A2040*7,49001)</f>
        <v>6403</v>
      </c>
      <c r="L2040" s="12" t="n">
        <f aca="false">1+MOD(A2040*131,100)</f>
        <v>10</v>
      </c>
      <c r="M2040" s="12" t="n">
        <f aca="false">INT(K2040*(0.6+MOD(A2040*43,21)/100))</f>
        <v>3969</v>
      </c>
      <c r="N2040" s="12" t="n">
        <f aca="false">K2040-M2040</f>
        <v>2434</v>
      </c>
    </row>
    <row r="2041" customFormat="false" ht="12.8" hidden="false" customHeight="false" outlineLevel="0" collapsed="false">
      <c r="A2041" s="10" t="n">
        <f aca="false">A2040+1</f>
        <v>2040</v>
      </c>
      <c r="B2041" s="11" t="n">
        <f aca="false">B2040+1</f>
        <v>46966</v>
      </c>
      <c r="C2041" s="10" t="n">
        <f aca="false">YEAR(B2041)</f>
        <v>2028</v>
      </c>
      <c r="D2041" s="10" t="n">
        <f aca="false">INT((MONTH(B2041)-1)/3)+1</f>
        <v>3</v>
      </c>
      <c r="E2041" s="10" t="n">
        <f aca="false">MONTH(B2041)</f>
        <v>8</v>
      </c>
      <c r="F2041" s="10" t="str">
        <f aca="false">CHOOSE(MOD(A2041-1,5)+1,"Центр","Юг","Север","Запад","Восток")</f>
        <v>Восток</v>
      </c>
      <c r="G2041" s="10" t="str">
        <f aca="false">"Округ_"&amp;(MOD(A2041-1,5)+1)&amp;"_"&amp;(MOD(INT((A2041-1)/5),5)+1)</f>
        <v>Округ_5_3</v>
      </c>
      <c r="H2041" s="10" t="str">
        <f aca="false">"Город_"&amp;(MOD(A2041-1,5)+1)&amp;"_"&amp;(MOD(INT((A2041-1)/5),5)+1)&amp;"_"&amp;(MOD(INT((A2041-1)/25),10)+1)</f>
        <v>Город_5_3_2</v>
      </c>
      <c r="I2041" s="10" t="str">
        <f aca="false">CHOOSE(MOD(A2041-1,4)+1,"Электроника","Одежда","Продукты","Мебель")</f>
        <v>Мебель</v>
      </c>
      <c r="J2041" s="10" t="str">
        <f aca="false">CHOOSE(MOD(INT((A2041-1)/4),4)+1,CHOOSE(MOD(A2041-1,4)+1,"Смартфоны","Ноутбуки","Аксессуары","Аудио"),CHOOSE(MOD(A2041-1,4)+1,"Верхняя одежда","Спортивная","Повседневная","Обувь"),CHOOSE(MOD(A2041-1,4)+1,"Молочные","Мясные","Бакалея","Напитки"),CHOOSE(MOD(A2041-1,4)+1,"Мягкая мебель","Корпусная","Офисная","Кухонная"))</f>
        <v>Обувь</v>
      </c>
      <c r="K2041" s="12" t="n">
        <f aca="false">1000+MOD(A2041*317+A2041*A2041*7,49001)</f>
        <v>35273</v>
      </c>
      <c r="L2041" s="12" t="n">
        <f aca="false">1+MOD(A2041*131,100)</f>
        <v>41</v>
      </c>
      <c r="M2041" s="12" t="n">
        <f aca="false">INT(K2041*(0.6+MOD(A2041*43,21)/100))</f>
        <v>22221</v>
      </c>
      <c r="N2041" s="12" t="n">
        <f aca="false">K2041-M2041</f>
        <v>13052</v>
      </c>
    </row>
    <row r="2042" customFormat="false" ht="12.8" hidden="false" customHeight="false" outlineLevel="0" collapsed="false">
      <c r="A2042" s="10" t="n">
        <f aca="false">A2041+1</f>
        <v>2041</v>
      </c>
      <c r="B2042" s="11" t="n">
        <f aca="false">B2041+1</f>
        <v>46967</v>
      </c>
      <c r="C2042" s="10" t="n">
        <f aca="false">YEAR(B2042)</f>
        <v>2028</v>
      </c>
      <c r="D2042" s="10" t="n">
        <f aca="false">INT((MONTH(B2042)-1)/3)+1</f>
        <v>3</v>
      </c>
      <c r="E2042" s="10" t="n">
        <f aca="false">MONTH(B2042)</f>
        <v>8</v>
      </c>
      <c r="F2042" s="10" t="str">
        <f aca="false">CHOOSE(MOD(A2042-1,5)+1,"Центр","Юг","Север","Запад","Восток")</f>
        <v>Центр</v>
      </c>
      <c r="G2042" s="10" t="str">
        <f aca="false">"Округ_"&amp;(MOD(A2042-1,5)+1)&amp;"_"&amp;(MOD(INT((A2042-1)/5),5)+1)</f>
        <v>Округ_1_4</v>
      </c>
      <c r="H2042" s="10" t="str">
        <f aca="false">"Город_"&amp;(MOD(A2042-1,5)+1)&amp;"_"&amp;(MOD(INT((A2042-1)/5),5)+1)&amp;"_"&amp;(MOD(INT((A2042-1)/25),10)+1)</f>
        <v>Город_1_4_2</v>
      </c>
      <c r="I2042" s="10" t="str">
        <f aca="false">CHOOSE(MOD(A2042-1,4)+1,"Электроника","Одежда","Продукты","Мебель")</f>
        <v>Электроника</v>
      </c>
      <c r="J2042" s="10" t="str">
        <f aca="false">CHOOSE(MOD(INT((A2042-1)/4),4)+1,CHOOSE(MOD(A2042-1,4)+1,"Смартфоны","Ноутбуки","Аксессуары","Аудио"),CHOOSE(MOD(A2042-1,4)+1,"Верхняя одежда","Спортивная","Повседневная","Обувь"),CHOOSE(MOD(A2042-1,4)+1,"Молочные","Мясные","Бакалея","Напитки"),CHOOSE(MOD(A2042-1,4)+1,"Мягкая мебель","Корпусная","Офисная","Кухонная"))</f>
        <v>Молочные</v>
      </c>
      <c r="K2042" s="12" t="n">
        <f aca="false">1000+MOD(A2042*317+A2042*A2042*7,49001)</f>
        <v>15156</v>
      </c>
      <c r="L2042" s="12" t="n">
        <f aca="false">1+MOD(A2042*131,100)</f>
        <v>72</v>
      </c>
      <c r="M2042" s="12" t="n">
        <f aca="false">INT(K2042*(0.6+MOD(A2042*43,21)/100))</f>
        <v>9699</v>
      </c>
      <c r="N2042" s="12" t="n">
        <f aca="false">K2042-M2042</f>
        <v>5457</v>
      </c>
    </row>
    <row r="2043" customFormat="false" ht="12.8" hidden="false" customHeight="false" outlineLevel="0" collapsed="false">
      <c r="A2043" s="10" t="n">
        <f aca="false">A2042+1</f>
        <v>2042</v>
      </c>
      <c r="B2043" s="11" t="n">
        <f aca="false">B2042+1</f>
        <v>46968</v>
      </c>
      <c r="C2043" s="10" t="n">
        <f aca="false">YEAR(B2043)</f>
        <v>2028</v>
      </c>
      <c r="D2043" s="10" t="n">
        <f aca="false">INT((MONTH(B2043)-1)/3)+1</f>
        <v>3</v>
      </c>
      <c r="E2043" s="10" t="n">
        <f aca="false">MONTH(B2043)</f>
        <v>8</v>
      </c>
      <c r="F2043" s="10" t="str">
        <f aca="false">CHOOSE(MOD(A2043-1,5)+1,"Центр","Юг","Север","Запад","Восток")</f>
        <v>Юг</v>
      </c>
      <c r="G2043" s="10" t="str">
        <f aca="false">"Округ_"&amp;(MOD(A2043-1,5)+1)&amp;"_"&amp;(MOD(INT((A2043-1)/5),5)+1)</f>
        <v>Округ_2_4</v>
      </c>
      <c r="H2043" s="10" t="str">
        <f aca="false">"Город_"&amp;(MOD(A2043-1,5)+1)&amp;"_"&amp;(MOD(INT((A2043-1)/5),5)+1)&amp;"_"&amp;(MOD(INT((A2043-1)/25),10)+1)</f>
        <v>Город_2_4_2</v>
      </c>
      <c r="I2043" s="10" t="str">
        <f aca="false">CHOOSE(MOD(A2043-1,4)+1,"Электроника","Одежда","Продукты","Мебель")</f>
        <v>Одежда</v>
      </c>
      <c r="J2043" s="10" t="str">
        <f aca="false">CHOOSE(MOD(INT((A2043-1)/4),4)+1,CHOOSE(MOD(A2043-1,4)+1,"Смартфоны","Ноутбуки","Аксессуары","Аудио"),CHOOSE(MOD(A2043-1,4)+1,"Верхняя одежда","Спортивная","Повседневная","Обувь"),CHOOSE(MOD(A2043-1,4)+1,"Молочные","Мясные","Бакалея","Напитки"),CHOOSE(MOD(A2043-1,4)+1,"Мягкая мебель","Корпусная","Офисная","Кухонная"))</f>
        <v>Мясные</v>
      </c>
      <c r="K2043" s="12" t="n">
        <f aca="false">1000+MOD(A2043*317+A2043*A2043*7,49001)</f>
        <v>44054</v>
      </c>
      <c r="L2043" s="12" t="n">
        <f aca="false">1+MOD(A2043*131,100)</f>
        <v>3</v>
      </c>
      <c r="M2043" s="12" t="n">
        <f aca="false">INT(K2043*(0.6+MOD(A2043*43,21)/100))</f>
        <v>28635</v>
      </c>
      <c r="N2043" s="12" t="n">
        <f aca="false">K2043-M2043</f>
        <v>15419</v>
      </c>
    </row>
    <row r="2044" customFormat="false" ht="12.8" hidden="false" customHeight="false" outlineLevel="0" collapsed="false">
      <c r="A2044" s="10" t="n">
        <f aca="false">A2043+1</f>
        <v>2043</v>
      </c>
      <c r="B2044" s="11" t="n">
        <f aca="false">B2043+1</f>
        <v>46969</v>
      </c>
      <c r="C2044" s="10" t="n">
        <f aca="false">YEAR(B2044)</f>
        <v>2028</v>
      </c>
      <c r="D2044" s="10" t="n">
        <f aca="false">INT((MONTH(B2044)-1)/3)+1</f>
        <v>3</v>
      </c>
      <c r="E2044" s="10" t="n">
        <f aca="false">MONTH(B2044)</f>
        <v>8</v>
      </c>
      <c r="F2044" s="10" t="str">
        <f aca="false">CHOOSE(MOD(A2044-1,5)+1,"Центр","Юг","Север","Запад","Восток")</f>
        <v>Север</v>
      </c>
      <c r="G2044" s="10" t="str">
        <f aca="false">"Округ_"&amp;(MOD(A2044-1,5)+1)&amp;"_"&amp;(MOD(INT((A2044-1)/5),5)+1)</f>
        <v>Округ_3_4</v>
      </c>
      <c r="H2044" s="10" t="str">
        <f aca="false">"Город_"&amp;(MOD(A2044-1,5)+1)&amp;"_"&amp;(MOD(INT((A2044-1)/5),5)+1)&amp;"_"&amp;(MOD(INT((A2044-1)/25),10)+1)</f>
        <v>Город_3_4_2</v>
      </c>
      <c r="I2044" s="10" t="str">
        <f aca="false">CHOOSE(MOD(A2044-1,4)+1,"Электроника","Одежда","Продукты","Мебель")</f>
        <v>Продукты</v>
      </c>
      <c r="J2044" s="10" t="str">
        <f aca="false">CHOOSE(MOD(INT((A2044-1)/4),4)+1,CHOOSE(MOD(A2044-1,4)+1,"Смартфоны","Ноутбуки","Аксессуары","Аудио"),CHOOSE(MOD(A2044-1,4)+1,"Верхняя одежда","Спортивная","Повседневная","Обувь"),CHOOSE(MOD(A2044-1,4)+1,"Молочные","Мясные","Бакалея","Напитки"),CHOOSE(MOD(A2044-1,4)+1,"Мягкая мебель","Корпусная","Офисная","Кухонная"))</f>
        <v>Бакалея</v>
      </c>
      <c r="K2044" s="12" t="n">
        <f aca="false">1000+MOD(A2044*317+A2044*A2044*7,49001)</f>
        <v>23965</v>
      </c>
      <c r="L2044" s="12" t="n">
        <f aca="false">1+MOD(A2044*131,100)</f>
        <v>34</v>
      </c>
      <c r="M2044" s="12" t="n">
        <f aca="false">INT(K2044*(0.6+MOD(A2044*43,21)/100))</f>
        <v>15816</v>
      </c>
      <c r="N2044" s="12" t="n">
        <f aca="false">K2044-M2044</f>
        <v>8149</v>
      </c>
    </row>
    <row r="2045" customFormat="false" ht="12.8" hidden="false" customHeight="false" outlineLevel="0" collapsed="false">
      <c r="A2045" s="10" t="n">
        <f aca="false">A2044+1</f>
        <v>2044</v>
      </c>
      <c r="B2045" s="11" t="n">
        <f aca="false">B2044+1</f>
        <v>46970</v>
      </c>
      <c r="C2045" s="10" t="n">
        <f aca="false">YEAR(B2045)</f>
        <v>2028</v>
      </c>
      <c r="D2045" s="10" t="n">
        <f aca="false">INT((MONTH(B2045)-1)/3)+1</f>
        <v>3</v>
      </c>
      <c r="E2045" s="10" t="n">
        <f aca="false">MONTH(B2045)</f>
        <v>8</v>
      </c>
      <c r="F2045" s="10" t="str">
        <f aca="false">CHOOSE(MOD(A2045-1,5)+1,"Центр","Юг","Север","Запад","Восток")</f>
        <v>Запад</v>
      </c>
      <c r="G2045" s="10" t="str">
        <f aca="false">"Округ_"&amp;(MOD(A2045-1,5)+1)&amp;"_"&amp;(MOD(INT((A2045-1)/5),5)+1)</f>
        <v>Округ_4_4</v>
      </c>
      <c r="H2045" s="10" t="str">
        <f aca="false">"Город_"&amp;(MOD(A2045-1,5)+1)&amp;"_"&amp;(MOD(INT((A2045-1)/5),5)+1)&amp;"_"&amp;(MOD(INT((A2045-1)/25),10)+1)</f>
        <v>Город_4_4_2</v>
      </c>
      <c r="I2045" s="10" t="str">
        <f aca="false">CHOOSE(MOD(A2045-1,4)+1,"Электроника","Одежда","Продукты","Мебель")</f>
        <v>Мебель</v>
      </c>
      <c r="J2045" s="10" t="str">
        <f aca="false">CHOOSE(MOD(INT((A2045-1)/4),4)+1,CHOOSE(MOD(A2045-1,4)+1,"Смартфоны","Ноутбуки","Аксессуары","Аудио"),CHOOSE(MOD(A2045-1,4)+1,"Верхняя одежда","Спортивная","Повседневная","Обувь"),CHOOSE(MOD(A2045-1,4)+1,"Молочные","Мясные","Бакалея","Напитки"),CHOOSE(MOD(A2045-1,4)+1,"Мягкая мебель","Корпусная","Офисная","Кухонная"))</f>
        <v>Напитки</v>
      </c>
      <c r="K2045" s="12" t="n">
        <f aca="false">1000+MOD(A2045*317+A2045*A2045*7,49001)</f>
        <v>3890</v>
      </c>
      <c r="L2045" s="12" t="n">
        <f aca="false">1+MOD(A2045*131,100)</f>
        <v>65</v>
      </c>
      <c r="M2045" s="12" t="n">
        <f aca="false">INT(K2045*(0.6+MOD(A2045*43,21)/100))</f>
        <v>2606</v>
      </c>
      <c r="N2045" s="12" t="n">
        <f aca="false">K2045-M2045</f>
        <v>1284</v>
      </c>
    </row>
    <row r="2046" customFormat="false" ht="12.8" hidden="false" customHeight="false" outlineLevel="0" collapsed="false">
      <c r="A2046" s="10" t="n">
        <f aca="false">A2045+1</f>
        <v>2045</v>
      </c>
      <c r="B2046" s="11" t="n">
        <f aca="false">B2045+1</f>
        <v>46971</v>
      </c>
      <c r="C2046" s="10" t="n">
        <f aca="false">YEAR(B2046)</f>
        <v>2028</v>
      </c>
      <c r="D2046" s="10" t="n">
        <f aca="false">INT((MONTH(B2046)-1)/3)+1</f>
        <v>3</v>
      </c>
      <c r="E2046" s="10" t="n">
        <f aca="false">MONTH(B2046)</f>
        <v>8</v>
      </c>
      <c r="F2046" s="10" t="str">
        <f aca="false">CHOOSE(MOD(A2046-1,5)+1,"Центр","Юг","Север","Запад","Восток")</f>
        <v>Восток</v>
      </c>
      <c r="G2046" s="10" t="str">
        <f aca="false">"Округ_"&amp;(MOD(A2046-1,5)+1)&amp;"_"&amp;(MOD(INT((A2046-1)/5),5)+1)</f>
        <v>Округ_5_4</v>
      </c>
      <c r="H2046" s="10" t="str">
        <f aca="false">"Город_"&amp;(MOD(A2046-1,5)+1)&amp;"_"&amp;(MOD(INT((A2046-1)/5),5)+1)&amp;"_"&amp;(MOD(INT((A2046-1)/25),10)+1)</f>
        <v>Город_5_4_2</v>
      </c>
      <c r="I2046" s="10" t="str">
        <f aca="false">CHOOSE(MOD(A2046-1,4)+1,"Электроника","Одежда","Продукты","Мебель")</f>
        <v>Электроника</v>
      </c>
      <c r="J2046" s="10" t="str">
        <f aca="false">CHOOSE(MOD(INT((A2046-1)/4),4)+1,CHOOSE(MOD(A2046-1,4)+1,"Смартфоны","Ноутбуки","Аксессуары","Аудио"),CHOOSE(MOD(A2046-1,4)+1,"Верхняя одежда","Спортивная","Повседневная","Обувь"),CHOOSE(MOD(A2046-1,4)+1,"Молочные","Мясные","Бакалея","Напитки"),CHOOSE(MOD(A2046-1,4)+1,"Мягкая мебель","Корпусная","Офисная","Кухонная"))</f>
        <v>Мягкая мебель</v>
      </c>
      <c r="K2046" s="12" t="n">
        <f aca="false">1000+MOD(A2046*317+A2046*A2046*7,49001)</f>
        <v>32830</v>
      </c>
      <c r="L2046" s="12" t="n">
        <f aca="false">1+MOD(A2046*131,100)</f>
        <v>96</v>
      </c>
      <c r="M2046" s="12" t="n">
        <f aca="false">INT(K2046*(0.6+MOD(A2046*43,21)/100))</f>
        <v>22324</v>
      </c>
      <c r="N2046" s="12" t="n">
        <f aca="false">K2046-M2046</f>
        <v>10506</v>
      </c>
    </row>
    <row r="2047" customFormat="false" ht="12.8" hidden="false" customHeight="false" outlineLevel="0" collapsed="false">
      <c r="A2047" s="10" t="n">
        <f aca="false">A2046+1</f>
        <v>2046</v>
      </c>
      <c r="B2047" s="11" t="n">
        <f aca="false">B2046+1</f>
        <v>46972</v>
      </c>
      <c r="C2047" s="10" t="n">
        <f aca="false">YEAR(B2047)</f>
        <v>2028</v>
      </c>
      <c r="D2047" s="10" t="n">
        <f aca="false">INT((MONTH(B2047)-1)/3)+1</f>
        <v>3</v>
      </c>
      <c r="E2047" s="10" t="n">
        <f aca="false">MONTH(B2047)</f>
        <v>8</v>
      </c>
      <c r="F2047" s="10" t="str">
        <f aca="false">CHOOSE(MOD(A2047-1,5)+1,"Центр","Юг","Север","Запад","Восток")</f>
        <v>Центр</v>
      </c>
      <c r="G2047" s="10" t="str">
        <f aca="false">"Округ_"&amp;(MOD(A2047-1,5)+1)&amp;"_"&amp;(MOD(INT((A2047-1)/5),5)+1)</f>
        <v>Округ_1_5</v>
      </c>
      <c r="H2047" s="10" t="str">
        <f aca="false">"Город_"&amp;(MOD(A2047-1,5)+1)&amp;"_"&amp;(MOD(INT((A2047-1)/5),5)+1)&amp;"_"&amp;(MOD(INT((A2047-1)/25),10)+1)</f>
        <v>Город_1_5_2</v>
      </c>
      <c r="I2047" s="10" t="str">
        <f aca="false">CHOOSE(MOD(A2047-1,4)+1,"Электроника","Одежда","Продукты","Мебель")</f>
        <v>Одежда</v>
      </c>
      <c r="J2047" s="10" t="str">
        <f aca="false">CHOOSE(MOD(INT((A2047-1)/4),4)+1,CHOOSE(MOD(A2047-1,4)+1,"Смартфоны","Ноутбуки","Аксессуары","Аудио"),CHOOSE(MOD(A2047-1,4)+1,"Верхняя одежда","Спортивная","Повседневная","Обувь"),CHOOSE(MOD(A2047-1,4)+1,"Молочные","Мясные","Бакалея","Напитки"),CHOOSE(MOD(A2047-1,4)+1,"Мягкая мебель","Корпусная","Офисная","Кухонная"))</f>
        <v>Корпусная</v>
      </c>
      <c r="K2047" s="12" t="n">
        <f aca="false">1000+MOD(A2047*317+A2047*A2047*7,49001)</f>
        <v>12783</v>
      </c>
      <c r="L2047" s="12" t="n">
        <f aca="false">1+MOD(A2047*131,100)</f>
        <v>27</v>
      </c>
      <c r="M2047" s="12" t="n">
        <f aca="false">INT(K2047*(0.6+MOD(A2047*43,21)/100))</f>
        <v>8820</v>
      </c>
      <c r="N2047" s="12" t="n">
        <f aca="false">K2047-M2047</f>
        <v>3963</v>
      </c>
    </row>
    <row r="2048" customFormat="false" ht="12.8" hidden="false" customHeight="false" outlineLevel="0" collapsed="false">
      <c r="A2048" s="10" t="n">
        <f aca="false">A2047+1</f>
        <v>2047</v>
      </c>
      <c r="B2048" s="11" t="n">
        <f aca="false">B2047+1</f>
        <v>46973</v>
      </c>
      <c r="C2048" s="10" t="n">
        <f aca="false">YEAR(B2048)</f>
        <v>2028</v>
      </c>
      <c r="D2048" s="10" t="n">
        <f aca="false">INT((MONTH(B2048)-1)/3)+1</f>
        <v>3</v>
      </c>
      <c r="E2048" s="10" t="n">
        <f aca="false">MONTH(B2048)</f>
        <v>8</v>
      </c>
      <c r="F2048" s="10" t="str">
        <f aca="false">CHOOSE(MOD(A2048-1,5)+1,"Центр","Юг","Север","Запад","Восток")</f>
        <v>Юг</v>
      </c>
      <c r="G2048" s="10" t="str">
        <f aca="false">"Округ_"&amp;(MOD(A2048-1,5)+1)&amp;"_"&amp;(MOD(INT((A2048-1)/5),5)+1)</f>
        <v>Округ_2_5</v>
      </c>
      <c r="H2048" s="10" t="str">
        <f aca="false">"Город_"&amp;(MOD(A2048-1,5)+1)&amp;"_"&amp;(MOD(INT((A2048-1)/5),5)+1)&amp;"_"&amp;(MOD(INT((A2048-1)/25),10)+1)</f>
        <v>Город_2_5_2</v>
      </c>
      <c r="I2048" s="10" t="str">
        <f aca="false">CHOOSE(MOD(A2048-1,4)+1,"Электроника","Одежда","Продукты","Мебель")</f>
        <v>Продукты</v>
      </c>
      <c r="J2048" s="10" t="str">
        <f aca="false">CHOOSE(MOD(INT((A2048-1)/4),4)+1,CHOOSE(MOD(A2048-1,4)+1,"Смартфоны","Ноутбуки","Аксессуары","Аудио"),CHOOSE(MOD(A2048-1,4)+1,"Верхняя одежда","Спортивная","Повседневная","Обувь"),CHOOSE(MOD(A2048-1,4)+1,"Молочные","Мясные","Бакалея","Напитки"),CHOOSE(MOD(A2048-1,4)+1,"Мягкая мебель","Корпусная","Офисная","Кухонная"))</f>
        <v>Офисная</v>
      </c>
      <c r="K2048" s="12" t="n">
        <f aca="false">1000+MOD(A2048*317+A2048*A2048*7,49001)</f>
        <v>41751</v>
      </c>
      <c r="L2048" s="12" t="n">
        <f aca="false">1+MOD(A2048*131,100)</f>
        <v>58</v>
      </c>
      <c r="M2048" s="12" t="n">
        <f aca="false">INT(K2048*(0.6+MOD(A2048*43,21)/100))</f>
        <v>29225</v>
      </c>
      <c r="N2048" s="12" t="n">
        <f aca="false">K2048-M2048</f>
        <v>12526</v>
      </c>
    </row>
    <row r="2049" customFormat="false" ht="12.8" hidden="false" customHeight="false" outlineLevel="0" collapsed="false">
      <c r="A2049" s="10" t="n">
        <f aca="false">A2048+1</f>
        <v>2048</v>
      </c>
      <c r="B2049" s="11" t="n">
        <f aca="false">B2048+1</f>
        <v>46974</v>
      </c>
      <c r="C2049" s="10" t="n">
        <f aca="false">YEAR(B2049)</f>
        <v>2028</v>
      </c>
      <c r="D2049" s="10" t="n">
        <f aca="false">INT((MONTH(B2049)-1)/3)+1</f>
        <v>3</v>
      </c>
      <c r="E2049" s="10" t="n">
        <f aca="false">MONTH(B2049)</f>
        <v>8</v>
      </c>
      <c r="F2049" s="10" t="str">
        <f aca="false">CHOOSE(MOD(A2049-1,5)+1,"Центр","Юг","Север","Запад","Восток")</f>
        <v>Север</v>
      </c>
      <c r="G2049" s="10" t="str">
        <f aca="false">"Округ_"&amp;(MOD(A2049-1,5)+1)&amp;"_"&amp;(MOD(INT((A2049-1)/5),5)+1)</f>
        <v>Округ_3_5</v>
      </c>
      <c r="H2049" s="10" t="str">
        <f aca="false">"Город_"&amp;(MOD(A2049-1,5)+1)&amp;"_"&amp;(MOD(INT((A2049-1)/5),5)+1)&amp;"_"&amp;(MOD(INT((A2049-1)/25),10)+1)</f>
        <v>Город_3_5_2</v>
      </c>
      <c r="I2049" s="10" t="str">
        <f aca="false">CHOOSE(MOD(A2049-1,4)+1,"Электроника","Одежда","Продукты","Мебель")</f>
        <v>Мебель</v>
      </c>
      <c r="J2049" s="10" t="str">
        <f aca="false">CHOOSE(MOD(INT((A2049-1)/4),4)+1,CHOOSE(MOD(A2049-1,4)+1,"Смартфоны","Ноутбуки","Аксессуары","Аудио"),CHOOSE(MOD(A2049-1,4)+1,"Верхняя одежда","Спортивная","Повседневная","Обувь"),CHOOSE(MOD(A2049-1,4)+1,"Молочные","Мясные","Бакалея","Напитки"),CHOOSE(MOD(A2049-1,4)+1,"Мягкая мебель","Корпусная","Офисная","Кухонная"))</f>
        <v>Кухонная</v>
      </c>
      <c r="K2049" s="12" t="n">
        <f aca="false">1000+MOD(A2049*317+A2049*A2049*7,49001)</f>
        <v>21732</v>
      </c>
      <c r="L2049" s="12" t="n">
        <f aca="false">1+MOD(A2049*131,100)</f>
        <v>89</v>
      </c>
      <c r="M2049" s="12" t="n">
        <f aca="false">INT(K2049*(0.6+MOD(A2049*43,21)/100))</f>
        <v>15429</v>
      </c>
      <c r="N2049" s="12" t="n">
        <f aca="false">K2049-M2049</f>
        <v>6303</v>
      </c>
    </row>
    <row r="2050" customFormat="false" ht="12.8" hidden="false" customHeight="false" outlineLevel="0" collapsed="false">
      <c r="A2050" s="10" t="n">
        <f aca="false">A2049+1</f>
        <v>2049</v>
      </c>
      <c r="B2050" s="11" t="n">
        <f aca="false">B2049+1</f>
        <v>46975</v>
      </c>
      <c r="C2050" s="10" t="n">
        <f aca="false">YEAR(B2050)</f>
        <v>2028</v>
      </c>
      <c r="D2050" s="10" t="n">
        <f aca="false">INT((MONTH(B2050)-1)/3)+1</f>
        <v>3</v>
      </c>
      <c r="E2050" s="10" t="n">
        <f aca="false">MONTH(B2050)</f>
        <v>8</v>
      </c>
      <c r="F2050" s="10" t="str">
        <f aca="false">CHOOSE(MOD(A2050-1,5)+1,"Центр","Юг","Север","Запад","Восток")</f>
        <v>Запад</v>
      </c>
      <c r="G2050" s="10" t="str">
        <f aca="false">"Округ_"&amp;(MOD(A2050-1,5)+1)&amp;"_"&amp;(MOD(INT((A2050-1)/5),5)+1)</f>
        <v>Округ_4_5</v>
      </c>
      <c r="H2050" s="10" t="str">
        <f aca="false">"Город_"&amp;(MOD(A2050-1,5)+1)&amp;"_"&amp;(MOD(INT((A2050-1)/5),5)+1)&amp;"_"&amp;(MOD(INT((A2050-1)/25),10)+1)</f>
        <v>Город_4_5_2</v>
      </c>
      <c r="I2050" s="10" t="str">
        <f aca="false">CHOOSE(MOD(A2050-1,4)+1,"Электроника","Одежда","Продукты","Мебель")</f>
        <v>Электроника</v>
      </c>
      <c r="J2050" s="10" t="str">
        <f aca="false">CHOOSE(MOD(INT((A2050-1)/4),4)+1,CHOOSE(MOD(A2050-1,4)+1,"Смартфоны","Ноутбуки","Аксессуары","Аудио"),CHOOSE(MOD(A2050-1,4)+1,"Верхняя одежда","Спортивная","Повседневная","Обувь"),CHOOSE(MOD(A2050-1,4)+1,"Молочные","Мясные","Бакалея","Напитки"),CHOOSE(MOD(A2050-1,4)+1,"Мягкая мебель","Корпусная","Офисная","Кухонная"))</f>
        <v>Смартфоны</v>
      </c>
      <c r="K2050" s="12" t="n">
        <f aca="false">1000+MOD(A2050*317+A2050*A2050*7,49001)</f>
        <v>1727</v>
      </c>
      <c r="L2050" s="12" t="n">
        <f aca="false">1+MOD(A2050*131,100)</f>
        <v>20</v>
      </c>
      <c r="M2050" s="12" t="n">
        <f aca="false">INT(K2050*(0.6+MOD(A2050*43,21)/100))</f>
        <v>1243</v>
      </c>
      <c r="N2050" s="12" t="n">
        <f aca="false">K2050-M2050</f>
        <v>484</v>
      </c>
    </row>
    <row r="2051" customFormat="false" ht="12.8" hidden="false" customHeight="false" outlineLevel="0" collapsed="false">
      <c r="A2051" s="10" t="n">
        <f aca="false">A2050+1</f>
        <v>2050</v>
      </c>
      <c r="B2051" s="11" t="n">
        <f aca="false">B2050+1</f>
        <v>46976</v>
      </c>
      <c r="C2051" s="10" t="n">
        <f aca="false">YEAR(B2051)</f>
        <v>2028</v>
      </c>
      <c r="D2051" s="10" t="n">
        <f aca="false">INT((MONTH(B2051)-1)/3)+1</f>
        <v>3</v>
      </c>
      <c r="E2051" s="10" t="n">
        <f aca="false">MONTH(B2051)</f>
        <v>8</v>
      </c>
      <c r="F2051" s="10" t="str">
        <f aca="false">CHOOSE(MOD(A2051-1,5)+1,"Центр","Юг","Север","Запад","Восток")</f>
        <v>Восток</v>
      </c>
      <c r="G2051" s="10" t="str">
        <f aca="false">"Округ_"&amp;(MOD(A2051-1,5)+1)&amp;"_"&amp;(MOD(INT((A2051-1)/5),5)+1)</f>
        <v>Округ_5_5</v>
      </c>
      <c r="H2051" s="10" t="str">
        <f aca="false">"Город_"&amp;(MOD(A2051-1,5)+1)&amp;"_"&amp;(MOD(INT((A2051-1)/5),5)+1)&amp;"_"&amp;(MOD(INT((A2051-1)/25),10)+1)</f>
        <v>Город_5_5_2</v>
      </c>
      <c r="I2051" s="10" t="str">
        <f aca="false">CHOOSE(MOD(A2051-1,4)+1,"Электроника","Одежда","Продукты","Мебель")</f>
        <v>Одежда</v>
      </c>
      <c r="J2051" s="10" t="str">
        <f aca="false">CHOOSE(MOD(INT((A2051-1)/4),4)+1,CHOOSE(MOD(A2051-1,4)+1,"Смартфоны","Ноутбуки","Аксессуары","Аудио"),CHOOSE(MOD(A2051-1,4)+1,"Верхняя одежда","Спортивная","Повседневная","Обувь"),CHOOSE(MOD(A2051-1,4)+1,"Молочные","Мясные","Бакалея","Напитки"),CHOOSE(MOD(A2051-1,4)+1,"Мягкая мебель","Корпусная","Офисная","Кухонная"))</f>
        <v>Ноутбуки</v>
      </c>
      <c r="K2051" s="12" t="n">
        <f aca="false">1000+MOD(A2051*317+A2051*A2051*7,49001)</f>
        <v>30737</v>
      </c>
      <c r="L2051" s="12" t="n">
        <f aca="false">1+MOD(A2051*131,100)</f>
        <v>51</v>
      </c>
      <c r="M2051" s="12" t="n">
        <f aca="false">INT(K2051*(0.6+MOD(A2051*43,21)/100))</f>
        <v>22438</v>
      </c>
      <c r="N2051" s="12" t="n">
        <f aca="false">K2051-M2051</f>
        <v>8299</v>
      </c>
    </row>
    <row r="2052" customFormat="false" ht="12.8" hidden="false" customHeight="false" outlineLevel="0" collapsed="false">
      <c r="A2052" s="10" t="n">
        <f aca="false">A2051+1</f>
        <v>2051</v>
      </c>
      <c r="B2052" s="11" t="n">
        <f aca="false">B2051+1</f>
        <v>46977</v>
      </c>
      <c r="C2052" s="10" t="n">
        <f aca="false">YEAR(B2052)</f>
        <v>2028</v>
      </c>
      <c r="D2052" s="10" t="n">
        <f aca="false">INT((MONTH(B2052)-1)/3)+1</f>
        <v>3</v>
      </c>
      <c r="E2052" s="10" t="n">
        <f aca="false">MONTH(B2052)</f>
        <v>8</v>
      </c>
      <c r="F2052" s="10" t="str">
        <f aca="false">CHOOSE(MOD(A2052-1,5)+1,"Центр","Юг","Север","Запад","Восток")</f>
        <v>Центр</v>
      </c>
      <c r="G2052" s="10" t="str">
        <f aca="false">"Округ_"&amp;(MOD(A2052-1,5)+1)&amp;"_"&amp;(MOD(INT((A2052-1)/5),5)+1)</f>
        <v>Округ_1_1</v>
      </c>
      <c r="H2052" s="10" t="str">
        <f aca="false">"Город_"&amp;(MOD(A2052-1,5)+1)&amp;"_"&amp;(MOD(INT((A2052-1)/5),5)+1)&amp;"_"&amp;(MOD(INT((A2052-1)/25),10)+1)</f>
        <v>Город_1_1_3</v>
      </c>
      <c r="I2052" s="10" t="str">
        <f aca="false">CHOOSE(MOD(A2052-1,4)+1,"Электроника","Одежда","Продукты","Мебель")</f>
        <v>Продукты</v>
      </c>
      <c r="J2052" s="10" t="str">
        <f aca="false">CHOOSE(MOD(INT((A2052-1)/4),4)+1,CHOOSE(MOD(A2052-1,4)+1,"Смартфоны","Ноутбуки","Аксессуары","Аудио"),CHOOSE(MOD(A2052-1,4)+1,"Верхняя одежда","Спортивная","Повседневная","Обувь"),CHOOSE(MOD(A2052-1,4)+1,"Молочные","Мясные","Бакалея","Напитки"),CHOOSE(MOD(A2052-1,4)+1,"Мягкая мебель","Корпусная","Офисная","Кухонная"))</f>
        <v>Аксессуары</v>
      </c>
      <c r="K2052" s="12" t="n">
        <f aca="false">1000+MOD(A2052*317+A2052*A2052*7,49001)</f>
        <v>10760</v>
      </c>
      <c r="L2052" s="12" t="n">
        <f aca="false">1+MOD(A2052*131,100)</f>
        <v>82</v>
      </c>
      <c r="M2052" s="12" t="n">
        <f aca="false">INT(K2052*(0.6+MOD(A2052*43,21)/100))</f>
        <v>7962</v>
      </c>
      <c r="N2052" s="12" t="n">
        <f aca="false">K2052-M2052</f>
        <v>2798</v>
      </c>
    </row>
    <row r="2053" customFormat="false" ht="12.8" hidden="false" customHeight="false" outlineLevel="0" collapsed="false">
      <c r="A2053" s="10" t="n">
        <f aca="false">A2052+1</f>
        <v>2052</v>
      </c>
      <c r="B2053" s="11" t="n">
        <f aca="false">B2052+1</f>
        <v>46978</v>
      </c>
      <c r="C2053" s="10" t="n">
        <f aca="false">YEAR(B2053)</f>
        <v>2028</v>
      </c>
      <c r="D2053" s="10" t="n">
        <f aca="false">INT((MONTH(B2053)-1)/3)+1</f>
        <v>3</v>
      </c>
      <c r="E2053" s="10" t="n">
        <f aca="false">MONTH(B2053)</f>
        <v>8</v>
      </c>
      <c r="F2053" s="10" t="str">
        <f aca="false">CHOOSE(MOD(A2053-1,5)+1,"Центр","Юг","Север","Запад","Восток")</f>
        <v>Юг</v>
      </c>
      <c r="G2053" s="10" t="str">
        <f aca="false">"Округ_"&amp;(MOD(A2053-1,5)+1)&amp;"_"&amp;(MOD(INT((A2053-1)/5),5)+1)</f>
        <v>Округ_2_1</v>
      </c>
      <c r="H2053" s="10" t="str">
        <f aca="false">"Город_"&amp;(MOD(A2053-1,5)+1)&amp;"_"&amp;(MOD(INT((A2053-1)/5),5)+1)&amp;"_"&amp;(MOD(INT((A2053-1)/25),10)+1)</f>
        <v>Город_2_1_3</v>
      </c>
      <c r="I2053" s="10" t="str">
        <f aca="false">CHOOSE(MOD(A2053-1,4)+1,"Электроника","Одежда","Продукты","Мебель")</f>
        <v>Мебель</v>
      </c>
      <c r="J2053" s="10" t="str">
        <f aca="false">CHOOSE(MOD(INT((A2053-1)/4),4)+1,CHOOSE(MOD(A2053-1,4)+1,"Смартфоны","Ноутбуки","Аксессуары","Аудио"),CHOOSE(MOD(A2053-1,4)+1,"Верхняя одежда","Спортивная","Повседневная","Обувь"),CHOOSE(MOD(A2053-1,4)+1,"Молочные","Мясные","Бакалея","Напитки"),CHOOSE(MOD(A2053-1,4)+1,"Мягкая мебель","Корпусная","Офисная","Кухонная"))</f>
        <v>Аудио</v>
      </c>
      <c r="K2053" s="12" t="n">
        <f aca="false">1000+MOD(A2053*317+A2053*A2053*7,49001)</f>
        <v>39798</v>
      </c>
      <c r="L2053" s="12" t="n">
        <f aca="false">1+MOD(A2053*131,100)</f>
        <v>13</v>
      </c>
      <c r="M2053" s="12" t="n">
        <f aca="false">INT(K2053*(0.6+MOD(A2053*43,21)/100))</f>
        <v>29848</v>
      </c>
      <c r="N2053" s="12" t="n">
        <f aca="false">K2053-M2053</f>
        <v>9950</v>
      </c>
    </row>
    <row r="2054" customFormat="false" ht="12.8" hidden="false" customHeight="false" outlineLevel="0" collapsed="false">
      <c r="A2054" s="10" t="n">
        <f aca="false">A2053+1</f>
        <v>2053</v>
      </c>
      <c r="B2054" s="11" t="n">
        <f aca="false">B2053+1</f>
        <v>46979</v>
      </c>
      <c r="C2054" s="10" t="n">
        <f aca="false">YEAR(B2054)</f>
        <v>2028</v>
      </c>
      <c r="D2054" s="10" t="n">
        <f aca="false">INT((MONTH(B2054)-1)/3)+1</f>
        <v>3</v>
      </c>
      <c r="E2054" s="10" t="n">
        <f aca="false">MONTH(B2054)</f>
        <v>8</v>
      </c>
      <c r="F2054" s="10" t="str">
        <f aca="false">CHOOSE(MOD(A2054-1,5)+1,"Центр","Юг","Север","Запад","Восток")</f>
        <v>Север</v>
      </c>
      <c r="G2054" s="10" t="str">
        <f aca="false">"Округ_"&amp;(MOD(A2054-1,5)+1)&amp;"_"&amp;(MOD(INT((A2054-1)/5),5)+1)</f>
        <v>Округ_3_1</v>
      </c>
      <c r="H2054" s="10" t="str">
        <f aca="false">"Город_"&amp;(MOD(A2054-1,5)+1)&amp;"_"&amp;(MOD(INT((A2054-1)/5),5)+1)&amp;"_"&amp;(MOD(INT((A2054-1)/25),10)+1)</f>
        <v>Город_3_1_3</v>
      </c>
      <c r="I2054" s="10" t="str">
        <f aca="false">CHOOSE(MOD(A2054-1,4)+1,"Электроника","Одежда","Продукты","Мебель")</f>
        <v>Электроника</v>
      </c>
      <c r="J2054" s="10" t="str">
        <f aca="false">CHOOSE(MOD(INT((A2054-1)/4),4)+1,CHOOSE(MOD(A2054-1,4)+1,"Смартфоны","Ноутбуки","Аксессуары","Аудио"),CHOOSE(MOD(A2054-1,4)+1,"Верхняя одежда","Спортивная","Повседневная","Обувь"),CHOOSE(MOD(A2054-1,4)+1,"Молочные","Мясные","Бакалея","Напитки"),CHOOSE(MOD(A2054-1,4)+1,"Мягкая мебель","Корпусная","Офисная","Кухонная"))</f>
        <v>Верхняя одежда</v>
      </c>
      <c r="K2054" s="12" t="n">
        <f aca="false">1000+MOD(A2054*317+A2054*A2054*7,49001)</f>
        <v>19849</v>
      </c>
      <c r="L2054" s="12" t="n">
        <f aca="false">1+MOD(A2054*131,100)</f>
        <v>44</v>
      </c>
      <c r="M2054" s="12" t="n">
        <f aca="false">INT(K2054*(0.6+MOD(A2054*43,21)/100))</f>
        <v>15085</v>
      </c>
      <c r="N2054" s="12" t="n">
        <f aca="false">K2054-M2054</f>
        <v>4764</v>
      </c>
    </row>
    <row r="2055" customFormat="false" ht="12.8" hidden="false" customHeight="false" outlineLevel="0" collapsed="false">
      <c r="A2055" s="10" t="n">
        <f aca="false">A2054+1</f>
        <v>2054</v>
      </c>
      <c r="B2055" s="11" t="n">
        <f aca="false">B2054+1</f>
        <v>46980</v>
      </c>
      <c r="C2055" s="10" t="n">
        <f aca="false">YEAR(B2055)</f>
        <v>2028</v>
      </c>
      <c r="D2055" s="10" t="n">
        <f aca="false">INT((MONTH(B2055)-1)/3)+1</f>
        <v>3</v>
      </c>
      <c r="E2055" s="10" t="n">
        <f aca="false">MONTH(B2055)</f>
        <v>8</v>
      </c>
      <c r="F2055" s="10" t="str">
        <f aca="false">CHOOSE(MOD(A2055-1,5)+1,"Центр","Юг","Север","Запад","Восток")</f>
        <v>Запад</v>
      </c>
      <c r="G2055" s="10" t="str">
        <f aca="false">"Округ_"&amp;(MOD(A2055-1,5)+1)&amp;"_"&amp;(MOD(INT((A2055-1)/5),5)+1)</f>
        <v>Округ_4_1</v>
      </c>
      <c r="H2055" s="10" t="str">
        <f aca="false">"Город_"&amp;(MOD(A2055-1,5)+1)&amp;"_"&amp;(MOD(INT((A2055-1)/5),5)+1)&amp;"_"&amp;(MOD(INT((A2055-1)/25),10)+1)</f>
        <v>Город_4_1_3</v>
      </c>
      <c r="I2055" s="10" t="str">
        <f aca="false">CHOOSE(MOD(A2055-1,4)+1,"Электроника","Одежда","Продукты","Мебель")</f>
        <v>Одежда</v>
      </c>
      <c r="J2055" s="10" t="str">
        <f aca="false">CHOOSE(MOD(INT((A2055-1)/4),4)+1,CHOOSE(MOD(A2055-1,4)+1,"Смартфоны","Ноутбуки","Аксессуары","Аудио"),CHOOSE(MOD(A2055-1,4)+1,"Верхняя одежда","Спортивная","Повседневная","Обувь"),CHOOSE(MOD(A2055-1,4)+1,"Молочные","Мясные","Бакалея","Напитки"),CHOOSE(MOD(A2055-1,4)+1,"Мягкая мебель","Корпусная","Офисная","Кухонная"))</f>
        <v>Спортивная</v>
      </c>
      <c r="K2055" s="12" t="n">
        <f aca="false">1000+MOD(A2055*317+A2055*A2055*7,49001)</f>
        <v>48915</v>
      </c>
      <c r="L2055" s="12" t="n">
        <f aca="false">1+MOD(A2055*131,100)</f>
        <v>75</v>
      </c>
      <c r="M2055" s="12" t="n">
        <f aca="false">INT(K2055*(0.6+MOD(A2055*43,21)/100))</f>
        <v>37664</v>
      </c>
      <c r="N2055" s="12" t="n">
        <f aca="false">K2055-M2055</f>
        <v>11251</v>
      </c>
    </row>
    <row r="2056" customFormat="false" ht="12.8" hidden="false" customHeight="false" outlineLevel="0" collapsed="false">
      <c r="A2056" s="10" t="n">
        <f aca="false">A2055+1</f>
        <v>2055</v>
      </c>
      <c r="B2056" s="11" t="n">
        <f aca="false">B2055+1</f>
        <v>46981</v>
      </c>
      <c r="C2056" s="10" t="n">
        <f aca="false">YEAR(B2056)</f>
        <v>2028</v>
      </c>
      <c r="D2056" s="10" t="n">
        <f aca="false">INT((MONTH(B2056)-1)/3)+1</f>
        <v>3</v>
      </c>
      <c r="E2056" s="10" t="n">
        <f aca="false">MONTH(B2056)</f>
        <v>8</v>
      </c>
      <c r="F2056" s="10" t="str">
        <f aca="false">CHOOSE(MOD(A2056-1,5)+1,"Центр","Юг","Север","Запад","Восток")</f>
        <v>Восток</v>
      </c>
      <c r="G2056" s="10" t="str">
        <f aca="false">"Округ_"&amp;(MOD(A2056-1,5)+1)&amp;"_"&amp;(MOD(INT((A2056-1)/5),5)+1)</f>
        <v>Округ_5_1</v>
      </c>
      <c r="H2056" s="10" t="str">
        <f aca="false">"Город_"&amp;(MOD(A2056-1,5)+1)&amp;"_"&amp;(MOD(INT((A2056-1)/5),5)+1)&amp;"_"&amp;(MOD(INT((A2056-1)/25),10)+1)</f>
        <v>Город_5_1_3</v>
      </c>
      <c r="I2056" s="10" t="str">
        <f aca="false">CHOOSE(MOD(A2056-1,4)+1,"Электроника","Одежда","Продукты","Мебель")</f>
        <v>Продукты</v>
      </c>
      <c r="J2056" s="10" t="str">
        <f aca="false">CHOOSE(MOD(INT((A2056-1)/4),4)+1,CHOOSE(MOD(A2056-1,4)+1,"Смартфоны","Ноутбуки","Аксессуары","Аудио"),CHOOSE(MOD(A2056-1,4)+1,"Верхняя одежда","Спортивная","Повседневная","Обувь"),CHOOSE(MOD(A2056-1,4)+1,"Молочные","Мясные","Бакалея","Напитки"),CHOOSE(MOD(A2056-1,4)+1,"Мягкая мебель","Корпусная","Офисная","Кухонная"))</f>
        <v>Повседневная</v>
      </c>
      <c r="K2056" s="12" t="n">
        <f aca="false">1000+MOD(A2056*317+A2056*A2056*7,49001)</f>
        <v>28994</v>
      </c>
      <c r="L2056" s="12" t="n">
        <f aca="false">1+MOD(A2056*131,100)</f>
        <v>6</v>
      </c>
      <c r="M2056" s="12" t="n">
        <f aca="false">INT(K2056*(0.6+MOD(A2056*43,21)/100))</f>
        <v>22615</v>
      </c>
      <c r="N2056" s="12" t="n">
        <f aca="false">K2056-M2056</f>
        <v>6379</v>
      </c>
    </row>
    <row r="2057" customFormat="false" ht="12.8" hidden="false" customHeight="false" outlineLevel="0" collapsed="false">
      <c r="A2057" s="10" t="n">
        <f aca="false">A2056+1</f>
        <v>2056</v>
      </c>
      <c r="B2057" s="11" t="n">
        <f aca="false">B2056+1</f>
        <v>46982</v>
      </c>
      <c r="C2057" s="10" t="n">
        <f aca="false">YEAR(B2057)</f>
        <v>2028</v>
      </c>
      <c r="D2057" s="10" t="n">
        <f aca="false">INT((MONTH(B2057)-1)/3)+1</f>
        <v>3</v>
      </c>
      <c r="E2057" s="10" t="n">
        <f aca="false">MONTH(B2057)</f>
        <v>8</v>
      </c>
      <c r="F2057" s="10" t="str">
        <f aca="false">CHOOSE(MOD(A2057-1,5)+1,"Центр","Юг","Север","Запад","Восток")</f>
        <v>Центр</v>
      </c>
      <c r="G2057" s="10" t="str">
        <f aca="false">"Округ_"&amp;(MOD(A2057-1,5)+1)&amp;"_"&amp;(MOD(INT((A2057-1)/5),5)+1)</f>
        <v>Округ_1_2</v>
      </c>
      <c r="H2057" s="10" t="str">
        <f aca="false">"Город_"&amp;(MOD(A2057-1,5)+1)&amp;"_"&amp;(MOD(INT((A2057-1)/5),5)+1)&amp;"_"&amp;(MOD(INT((A2057-1)/25),10)+1)</f>
        <v>Город_1_2_3</v>
      </c>
      <c r="I2057" s="10" t="str">
        <f aca="false">CHOOSE(MOD(A2057-1,4)+1,"Электроника","Одежда","Продукты","Мебель")</f>
        <v>Мебель</v>
      </c>
      <c r="J2057" s="10" t="str">
        <f aca="false">CHOOSE(MOD(INT((A2057-1)/4),4)+1,CHOOSE(MOD(A2057-1,4)+1,"Смартфоны","Ноутбуки","Аксессуары","Аудио"),CHOOSE(MOD(A2057-1,4)+1,"Верхняя одежда","Спортивная","Повседневная","Обувь"),CHOOSE(MOD(A2057-1,4)+1,"Молочные","Мясные","Бакалея","Напитки"),CHOOSE(MOD(A2057-1,4)+1,"Мягкая мебель","Корпусная","Офисная","Кухонная"))</f>
        <v>Обувь</v>
      </c>
      <c r="K2057" s="12" t="n">
        <f aca="false">1000+MOD(A2057*317+A2057*A2057*7,49001)</f>
        <v>9087</v>
      </c>
      <c r="L2057" s="12" t="n">
        <f aca="false">1+MOD(A2057*131,100)</f>
        <v>37</v>
      </c>
      <c r="M2057" s="12" t="n">
        <f aca="false">INT(K2057*(0.6+MOD(A2057*43,21)/100))</f>
        <v>7178</v>
      </c>
      <c r="N2057" s="12" t="n">
        <f aca="false">K2057-M2057</f>
        <v>1909</v>
      </c>
    </row>
    <row r="2058" customFormat="false" ht="12.8" hidden="false" customHeight="false" outlineLevel="0" collapsed="false">
      <c r="A2058" s="10" t="n">
        <f aca="false">A2057+1</f>
        <v>2057</v>
      </c>
      <c r="B2058" s="11" t="n">
        <f aca="false">B2057+1</f>
        <v>46983</v>
      </c>
      <c r="C2058" s="10" t="n">
        <f aca="false">YEAR(B2058)</f>
        <v>2028</v>
      </c>
      <c r="D2058" s="10" t="n">
        <f aca="false">INT((MONTH(B2058)-1)/3)+1</f>
        <v>3</v>
      </c>
      <c r="E2058" s="10" t="n">
        <f aca="false">MONTH(B2058)</f>
        <v>8</v>
      </c>
      <c r="F2058" s="10" t="str">
        <f aca="false">CHOOSE(MOD(A2058-1,5)+1,"Центр","Юг","Север","Запад","Восток")</f>
        <v>Юг</v>
      </c>
      <c r="G2058" s="10" t="str">
        <f aca="false">"Округ_"&amp;(MOD(A2058-1,5)+1)&amp;"_"&amp;(MOD(INT((A2058-1)/5),5)+1)</f>
        <v>Округ_2_2</v>
      </c>
      <c r="H2058" s="10" t="str">
        <f aca="false">"Город_"&amp;(MOD(A2058-1,5)+1)&amp;"_"&amp;(MOD(INT((A2058-1)/5),5)+1)&amp;"_"&amp;(MOD(INT((A2058-1)/25),10)+1)</f>
        <v>Город_2_2_3</v>
      </c>
      <c r="I2058" s="10" t="str">
        <f aca="false">CHOOSE(MOD(A2058-1,4)+1,"Электроника","Одежда","Продукты","Мебель")</f>
        <v>Электроника</v>
      </c>
      <c r="J2058" s="10" t="str">
        <f aca="false">CHOOSE(MOD(INT((A2058-1)/4),4)+1,CHOOSE(MOD(A2058-1,4)+1,"Смартфоны","Ноутбуки","Аксессуары","Аудио"),CHOOSE(MOD(A2058-1,4)+1,"Верхняя одежда","Спортивная","Повседневная","Обувь"),CHOOSE(MOD(A2058-1,4)+1,"Молочные","Мясные","Бакалея","Напитки"),CHOOSE(MOD(A2058-1,4)+1,"Мягкая мебель","Корпусная","Офисная","Кухонная"))</f>
        <v>Молочные</v>
      </c>
      <c r="K2058" s="12" t="n">
        <f aca="false">1000+MOD(A2058*317+A2058*A2058*7,49001)</f>
        <v>38195</v>
      </c>
      <c r="L2058" s="12" t="n">
        <f aca="false">1+MOD(A2058*131,100)</f>
        <v>68</v>
      </c>
      <c r="M2058" s="12" t="n">
        <f aca="false">INT(K2058*(0.6+MOD(A2058*43,21)/100))</f>
        <v>30556</v>
      </c>
      <c r="N2058" s="12" t="n">
        <f aca="false">K2058-M2058</f>
        <v>7639</v>
      </c>
    </row>
    <row r="2059" customFormat="false" ht="12.8" hidden="false" customHeight="false" outlineLevel="0" collapsed="false">
      <c r="A2059" s="10" t="n">
        <f aca="false">A2058+1</f>
        <v>2058</v>
      </c>
      <c r="B2059" s="11" t="n">
        <f aca="false">B2058+1</f>
        <v>46984</v>
      </c>
      <c r="C2059" s="10" t="n">
        <f aca="false">YEAR(B2059)</f>
        <v>2028</v>
      </c>
      <c r="D2059" s="10" t="n">
        <f aca="false">INT((MONTH(B2059)-1)/3)+1</f>
        <v>3</v>
      </c>
      <c r="E2059" s="10" t="n">
        <f aca="false">MONTH(B2059)</f>
        <v>8</v>
      </c>
      <c r="F2059" s="10" t="str">
        <f aca="false">CHOOSE(MOD(A2059-1,5)+1,"Центр","Юг","Север","Запад","Восток")</f>
        <v>Север</v>
      </c>
      <c r="G2059" s="10" t="str">
        <f aca="false">"Округ_"&amp;(MOD(A2059-1,5)+1)&amp;"_"&amp;(MOD(INT((A2059-1)/5),5)+1)</f>
        <v>Округ_3_2</v>
      </c>
      <c r="H2059" s="10" t="str">
        <f aca="false">"Город_"&amp;(MOD(A2059-1,5)+1)&amp;"_"&amp;(MOD(INT((A2059-1)/5),5)+1)&amp;"_"&amp;(MOD(INT((A2059-1)/25),10)+1)</f>
        <v>Город_3_2_3</v>
      </c>
      <c r="I2059" s="10" t="str">
        <f aca="false">CHOOSE(MOD(A2059-1,4)+1,"Электроника","Одежда","Продукты","Мебель")</f>
        <v>Одежда</v>
      </c>
      <c r="J2059" s="10" t="str">
        <f aca="false">CHOOSE(MOD(INT((A2059-1)/4),4)+1,CHOOSE(MOD(A2059-1,4)+1,"Смартфоны","Ноутбуки","Аксессуары","Аудио"),CHOOSE(MOD(A2059-1,4)+1,"Верхняя одежда","Спортивная","Повседневная","Обувь"),CHOOSE(MOD(A2059-1,4)+1,"Молочные","Мясные","Бакалея","Напитки"),CHOOSE(MOD(A2059-1,4)+1,"Мягкая мебель","Корпусная","Офисная","Кухонная"))</f>
        <v>Мясные</v>
      </c>
      <c r="K2059" s="12" t="n">
        <f aca="false">1000+MOD(A2059*317+A2059*A2059*7,49001)</f>
        <v>18316</v>
      </c>
      <c r="L2059" s="12" t="n">
        <f aca="false">1+MOD(A2059*131,100)</f>
        <v>99</v>
      </c>
      <c r="M2059" s="12" t="n">
        <f aca="false">INT(K2059*(0.6+MOD(A2059*43,21)/100))</f>
        <v>10989</v>
      </c>
      <c r="N2059" s="12" t="n">
        <f aca="false">K2059-M2059</f>
        <v>7327</v>
      </c>
    </row>
    <row r="2060" customFormat="false" ht="12.8" hidden="false" customHeight="false" outlineLevel="0" collapsed="false">
      <c r="A2060" s="10" t="n">
        <f aca="false">A2059+1</f>
        <v>2059</v>
      </c>
      <c r="B2060" s="11" t="n">
        <f aca="false">B2059+1</f>
        <v>46985</v>
      </c>
      <c r="C2060" s="10" t="n">
        <f aca="false">YEAR(B2060)</f>
        <v>2028</v>
      </c>
      <c r="D2060" s="10" t="n">
        <f aca="false">INT((MONTH(B2060)-1)/3)+1</f>
        <v>3</v>
      </c>
      <c r="E2060" s="10" t="n">
        <f aca="false">MONTH(B2060)</f>
        <v>8</v>
      </c>
      <c r="F2060" s="10" t="str">
        <f aca="false">CHOOSE(MOD(A2060-1,5)+1,"Центр","Юг","Север","Запад","Восток")</f>
        <v>Запад</v>
      </c>
      <c r="G2060" s="10" t="str">
        <f aca="false">"Округ_"&amp;(MOD(A2060-1,5)+1)&amp;"_"&amp;(MOD(INT((A2060-1)/5),5)+1)</f>
        <v>Округ_4_2</v>
      </c>
      <c r="H2060" s="10" t="str">
        <f aca="false">"Город_"&amp;(MOD(A2060-1,5)+1)&amp;"_"&amp;(MOD(INT((A2060-1)/5),5)+1)&amp;"_"&amp;(MOD(INT((A2060-1)/25),10)+1)</f>
        <v>Город_4_2_3</v>
      </c>
      <c r="I2060" s="10" t="str">
        <f aca="false">CHOOSE(MOD(A2060-1,4)+1,"Электроника","Одежда","Продукты","Мебель")</f>
        <v>Продукты</v>
      </c>
      <c r="J2060" s="10" t="str">
        <f aca="false">CHOOSE(MOD(INT((A2060-1)/4),4)+1,CHOOSE(MOD(A2060-1,4)+1,"Смартфоны","Ноутбуки","Аксессуары","Аудио"),CHOOSE(MOD(A2060-1,4)+1,"Верхняя одежда","Спортивная","Повседневная","Обувь"),CHOOSE(MOD(A2060-1,4)+1,"Молочные","Мясные","Бакалея","Напитки"),CHOOSE(MOD(A2060-1,4)+1,"Мягкая мебель","Корпусная","Офисная","Кухонная"))</f>
        <v>Бакалея</v>
      </c>
      <c r="K2060" s="12" t="n">
        <f aca="false">1000+MOD(A2060*317+A2060*A2060*7,49001)</f>
        <v>47452</v>
      </c>
      <c r="L2060" s="12" t="n">
        <f aca="false">1+MOD(A2060*131,100)</f>
        <v>30</v>
      </c>
      <c r="M2060" s="12" t="n">
        <f aca="false">INT(K2060*(0.6+MOD(A2060*43,21)/100))</f>
        <v>28945</v>
      </c>
      <c r="N2060" s="12" t="n">
        <f aca="false">K2060-M2060</f>
        <v>18507</v>
      </c>
    </row>
    <row r="2061" customFormat="false" ht="12.8" hidden="false" customHeight="false" outlineLevel="0" collapsed="false">
      <c r="A2061" s="10" t="n">
        <f aca="false">A2060+1</f>
        <v>2060</v>
      </c>
      <c r="B2061" s="11" t="n">
        <f aca="false">B2060+1</f>
        <v>46986</v>
      </c>
      <c r="C2061" s="10" t="n">
        <f aca="false">YEAR(B2061)</f>
        <v>2028</v>
      </c>
      <c r="D2061" s="10" t="n">
        <f aca="false">INT((MONTH(B2061)-1)/3)+1</f>
        <v>3</v>
      </c>
      <c r="E2061" s="10" t="n">
        <f aca="false">MONTH(B2061)</f>
        <v>8</v>
      </c>
      <c r="F2061" s="10" t="str">
        <f aca="false">CHOOSE(MOD(A2061-1,5)+1,"Центр","Юг","Север","Запад","Восток")</f>
        <v>Восток</v>
      </c>
      <c r="G2061" s="10" t="str">
        <f aca="false">"Округ_"&amp;(MOD(A2061-1,5)+1)&amp;"_"&amp;(MOD(INT((A2061-1)/5),5)+1)</f>
        <v>Округ_5_2</v>
      </c>
      <c r="H2061" s="10" t="str">
        <f aca="false">"Город_"&amp;(MOD(A2061-1,5)+1)&amp;"_"&amp;(MOD(INT((A2061-1)/5),5)+1)&amp;"_"&amp;(MOD(INT((A2061-1)/25),10)+1)</f>
        <v>Город_5_2_3</v>
      </c>
      <c r="I2061" s="10" t="str">
        <f aca="false">CHOOSE(MOD(A2061-1,4)+1,"Электроника","Одежда","Продукты","Мебель")</f>
        <v>Мебель</v>
      </c>
      <c r="J2061" s="10" t="str">
        <f aca="false">CHOOSE(MOD(INT((A2061-1)/4),4)+1,CHOOSE(MOD(A2061-1,4)+1,"Смартфоны","Ноутбуки","Аксессуары","Аудио"),CHOOSE(MOD(A2061-1,4)+1,"Верхняя одежда","Спортивная","Повседневная","Обувь"),CHOOSE(MOD(A2061-1,4)+1,"Молочные","Мясные","Бакалея","Напитки"),CHOOSE(MOD(A2061-1,4)+1,"Мягкая мебель","Корпусная","Офисная","Кухонная"))</f>
        <v>Напитки</v>
      </c>
      <c r="K2061" s="12" t="n">
        <f aca="false">1000+MOD(A2061*317+A2061*A2061*7,49001)</f>
        <v>27601</v>
      </c>
      <c r="L2061" s="12" t="n">
        <f aca="false">1+MOD(A2061*131,100)</f>
        <v>61</v>
      </c>
      <c r="M2061" s="12" t="n">
        <f aca="false">INT(K2061*(0.6+MOD(A2061*43,21)/100))</f>
        <v>17112</v>
      </c>
      <c r="N2061" s="12" t="n">
        <f aca="false">K2061-M2061</f>
        <v>10489</v>
      </c>
    </row>
    <row r="2062" customFormat="false" ht="12.8" hidden="false" customHeight="false" outlineLevel="0" collapsed="false">
      <c r="A2062" s="10" t="n">
        <f aca="false">A2061+1</f>
        <v>2061</v>
      </c>
      <c r="B2062" s="11" t="n">
        <f aca="false">B2061+1</f>
        <v>46987</v>
      </c>
      <c r="C2062" s="10" t="n">
        <f aca="false">YEAR(B2062)</f>
        <v>2028</v>
      </c>
      <c r="D2062" s="10" t="n">
        <f aca="false">INT((MONTH(B2062)-1)/3)+1</f>
        <v>3</v>
      </c>
      <c r="E2062" s="10" t="n">
        <f aca="false">MONTH(B2062)</f>
        <v>8</v>
      </c>
      <c r="F2062" s="10" t="str">
        <f aca="false">CHOOSE(MOD(A2062-1,5)+1,"Центр","Юг","Север","Запад","Восток")</f>
        <v>Центр</v>
      </c>
      <c r="G2062" s="10" t="str">
        <f aca="false">"Округ_"&amp;(MOD(A2062-1,5)+1)&amp;"_"&amp;(MOD(INT((A2062-1)/5),5)+1)</f>
        <v>Округ_1_3</v>
      </c>
      <c r="H2062" s="10" t="str">
        <f aca="false">"Город_"&amp;(MOD(A2062-1,5)+1)&amp;"_"&amp;(MOD(INT((A2062-1)/5),5)+1)&amp;"_"&amp;(MOD(INT((A2062-1)/25),10)+1)</f>
        <v>Город_1_3_3</v>
      </c>
      <c r="I2062" s="10" t="str">
        <f aca="false">CHOOSE(MOD(A2062-1,4)+1,"Электроника","Одежда","Продукты","Мебель")</f>
        <v>Электроника</v>
      </c>
      <c r="J2062" s="10" t="str">
        <f aca="false">CHOOSE(MOD(INT((A2062-1)/4),4)+1,CHOOSE(MOD(A2062-1,4)+1,"Смартфоны","Ноутбуки","Аксессуары","Аудио"),CHOOSE(MOD(A2062-1,4)+1,"Верхняя одежда","Спортивная","Повседневная","Обувь"),CHOOSE(MOD(A2062-1,4)+1,"Молочные","Мясные","Бакалея","Напитки"),CHOOSE(MOD(A2062-1,4)+1,"Мягкая мебель","Корпусная","Офисная","Кухонная"))</f>
        <v>Мягкая мебель</v>
      </c>
      <c r="K2062" s="12" t="n">
        <f aca="false">1000+MOD(A2062*317+A2062*A2062*7,49001)</f>
        <v>7764</v>
      </c>
      <c r="L2062" s="12" t="n">
        <f aca="false">1+MOD(A2062*131,100)</f>
        <v>92</v>
      </c>
      <c r="M2062" s="12" t="n">
        <f aca="false">INT(K2062*(0.6+MOD(A2062*43,21)/100))</f>
        <v>4891</v>
      </c>
      <c r="N2062" s="12" t="n">
        <f aca="false">K2062-M2062</f>
        <v>2873</v>
      </c>
    </row>
    <row r="2063" customFormat="false" ht="12.8" hidden="false" customHeight="false" outlineLevel="0" collapsed="false">
      <c r="A2063" s="10" t="n">
        <f aca="false">A2062+1</f>
        <v>2062</v>
      </c>
      <c r="B2063" s="11" t="n">
        <f aca="false">B2062+1</f>
        <v>46988</v>
      </c>
      <c r="C2063" s="10" t="n">
        <f aca="false">YEAR(B2063)</f>
        <v>2028</v>
      </c>
      <c r="D2063" s="10" t="n">
        <f aca="false">INT((MONTH(B2063)-1)/3)+1</f>
        <v>3</v>
      </c>
      <c r="E2063" s="10" t="n">
        <f aca="false">MONTH(B2063)</f>
        <v>8</v>
      </c>
      <c r="F2063" s="10" t="str">
        <f aca="false">CHOOSE(MOD(A2063-1,5)+1,"Центр","Юг","Север","Запад","Восток")</f>
        <v>Юг</v>
      </c>
      <c r="G2063" s="10" t="str">
        <f aca="false">"Округ_"&amp;(MOD(A2063-1,5)+1)&amp;"_"&amp;(MOD(INT((A2063-1)/5),5)+1)</f>
        <v>Округ_2_3</v>
      </c>
      <c r="H2063" s="10" t="str">
        <f aca="false">"Город_"&amp;(MOD(A2063-1,5)+1)&amp;"_"&amp;(MOD(INT((A2063-1)/5),5)+1)&amp;"_"&amp;(MOD(INT((A2063-1)/25),10)+1)</f>
        <v>Город_2_3_3</v>
      </c>
      <c r="I2063" s="10" t="str">
        <f aca="false">CHOOSE(MOD(A2063-1,4)+1,"Электроника","Одежда","Продукты","Мебель")</f>
        <v>Одежда</v>
      </c>
      <c r="J2063" s="10" t="str">
        <f aca="false">CHOOSE(MOD(INT((A2063-1)/4),4)+1,CHOOSE(MOD(A2063-1,4)+1,"Смартфоны","Ноутбуки","Аксессуары","Аудио"),CHOOSE(MOD(A2063-1,4)+1,"Верхняя одежда","Спортивная","Повседневная","Обувь"),CHOOSE(MOD(A2063-1,4)+1,"Молочные","Мясные","Бакалея","Напитки"),CHOOSE(MOD(A2063-1,4)+1,"Мягкая мебель","Корпусная","Офисная","Кухонная"))</f>
        <v>Корпусная</v>
      </c>
      <c r="K2063" s="12" t="n">
        <f aca="false">1000+MOD(A2063*317+A2063*A2063*7,49001)</f>
        <v>36942</v>
      </c>
      <c r="L2063" s="12" t="n">
        <f aca="false">1+MOD(A2063*131,100)</f>
        <v>23</v>
      </c>
      <c r="M2063" s="12" t="n">
        <f aca="false">INT(K2063*(0.6+MOD(A2063*43,21)/100))</f>
        <v>23642</v>
      </c>
      <c r="N2063" s="12" t="n">
        <f aca="false">K2063-M2063</f>
        <v>13300</v>
      </c>
    </row>
    <row r="2064" customFormat="false" ht="12.8" hidden="false" customHeight="false" outlineLevel="0" collapsed="false">
      <c r="A2064" s="10" t="n">
        <f aca="false">A2063+1</f>
        <v>2063</v>
      </c>
      <c r="B2064" s="11" t="n">
        <f aca="false">B2063+1</f>
        <v>46989</v>
      </c>
      <c r="C2064" s="10" t="n">
        <f aca="false">YEAR(B2064)</f>
        <v>2028</v>
      </c>
      <c r="D2064" s="10" t="n">
        <f aca="false">INT((MONTH(B2064)-1)/3)+1</f>
        <v>3</v>
      </c>
      <c r="E2064" s="10" t="n">
        <f aca="false">MONTH(B2064)</f>
        <v>8</v>
      </c>
      <c r="F2064" s="10" t="str">
        <f aca="false">CHOOSE(MOD(A2064-1,5)+1,"Центр","Юг","Север","Запад","Восток")</f>
        <v>Север</v>
      </c>
      <c r="G2064" s="10" t="str">
        <f aca="false">"Округ_"&amp;(MOD(A2064-1,5)+1)&amp;"_"&amp;(MOD(INT((A2064-1)/5),5)+1)</f>
        <v>Округ_3_3</v>
      </c>
      <c r="H2064" s="10" t="str">
        <f aca="false">"Город_"&amp;(MOD(A2064-1,5)+1)&amp;"_"&amp;(MOD(INT((A2064-1)/5),5)+1)&amp;"_"&amp;(MOD(INT((A2064-1)/25),10)+1)</f>
        <v>Город_3_3_3</v>
      </c>
      <c r="I2064" s="10" t="str">
        <f aca="false">CHOOSE(MOD(A2064-1,4)+1,"Электроника","Одежда","Продукты","Мебель")</f>
        <v>Продукты</v>
      </c>
      <c r="J2064" s="10" t="str">
        <f aca="false">CHOOSE(MOD(INT((A2064-1)/4),4)+1,CHOOSE(MOD(A2064-1,4)+1,"Смартфоны","Ноутбуки","Аксессуары","Аудио"),CHOOSE(MOD(A2064-1,4)+1,"Верхняя одежда","Спортивная","Повседневная","Обувь"),CHOOSE(MOD(A2064-1,4)+1,"Молочные","Мясные","Бакалея","Напитки"),CHOOSE(MOD(A2064-1,4)+1,"Мягкая мебель","Корпусная","Офисная","Кухонная"))</f>
        <v>Офисная</v>
      </c>
      <c r="K2064" s="12" t="n">
        <f aca="false">1000+MOD(A2064*317+A2064*A2064*7,49001)</f>
        <v>17133</v>
      </c>
      <c r="L2064" s="12" t="n">
        <f aca="false">1+MOD(A2064*131,100)</f>
        <v>54</v>
      </c>
      <c r="M2064" s="12" t="n">
        <f aca="false">INT(K2064*(0.6+MOD(A2064*43,21)/100))</f>
        <v>11136</v>
      </c>
      <c r="N2064" s="12" t="n">
        <f aca="false">K2064-M2064</f>
        <v>5997</v>
      </c>
    </row>
    <row r="2065" customFormat="false" ht="12.8" hidden="false" customHeight="false" outlineLevel="0" collapsed="false">
      <c r="A2065" s="10" t="n">
        <f aca="false">A2064+1</f>
        <v>2064</v>
      </c>
      <c r="B2065" s="11" t="n">
        <f aca="false">B2064+1</f>
        <v>46990</v>
      </c>
      <c r="C2065" s="10" t="n">
        <f aca="false">YEAR(B2065)</f>
        <v>2028</v>
      </c>
      <c r="D2065" s="10" t="n">
        <f aca="false">INT((MONTH(B2065)-1)/3)+1</f>
        <v>3</v>
      </c>
      <c r="E2065" s="10" t="n">
        <f aca="false">MONTH(B2065)</f>
        <v>8</v>
      </c>
      <c r="F2065" s="10" t="str">
        <f aca="false">CHOOSE(MOD(A2065-1,5)+1,"Центр","Юг","Север","Запад","Восток")</f>
        <v>Запад</v>
      </c>
      <c r="G2065" s="10" t="str">
        <f aca="false">"Округ_"&amp;(MOD(A2065-1,5)+1)&amp;"_"&amp;(MOD(INT((A2065-1)/5),5)+1)</f>
        <v>Округ_4_3</v>
      </c>
      <c r="H2065" s="10" t="str">
        <f aca="false">"Город_"&amp;(MOD(A2065-1,5)+1)&amp;"_"&amp;(MOD(INT((A2065-1)/5),5)+1)&amp;"_"&amp;(MOD(INT((A2065-1)/25),10)+1)</f>
        <v>Город_4_3_3</v>
      </c>
      <c r="I2065" s="10" t="str">
        <f aca="false">CHOOSE(MOD(A2065-1,4)+1,"Электроника","Одежда","Продукты","Мебель")</f>
        <v>Мебель</v>
      </c>
      <c r="J2065" s="10" t="str">
        <f aca="false">CHOOSE(MOD(INT((A2065-1)/4),4)+1,CHOOSE(MOD(A2065-1,4)+1,"Смартфоны","Ноутбуки","Аксессуары","Аудио"),CHOOSE(MOD(A2065-1,4)+1,"Верхняя одежда","Спортивная","Повседневная","Обувь"),CHOOSE(MOD(A2065-1,4)+1,"Молочные","Мясные","Бакалея","Напитки"),CHOOSE(MOD(A2065-1,4)+1,"Мягкая мебель","Корпусная","Офисная","Кухонная"))</f>
        <v>Кухонная</v>
      </c>
      <c r="K2065" s="12" t="n">
        <f aca="false">1000+MOD(A2065*317+A2065*A2065*7,49001)</f>
        <v>46339</v>
      </c>
      <c r="L2065" s="12" t="n">
        <f aca="false">1+MOD(A2065*131,100)</f>
        <v>85</v>
      </c>
      <c r="M2065" s="12" t="n">
        <f aca="false">INT(K2065*(0.6+MOD(A2065*43,21)/100))</f>
        <v>30583</v>
      </c>
      <c r="N2065" s="12" t="n">
        <f aca="false">K2065-M2065</f>
        <v>15756</v>
      </c>
    </row>
    <row r="2066" customFormat="false" ht="12.8" hidden="false" customHeight="false" outlineLevel="0" collapsed="false">
      <c r="A2066" s="10" t="n">
        <f aca="false">A2065+1</f>
        <v>2065</v>
      </c>
      <c r="B2066" s="11" t="n">
        <f aca="false">B2065+1</f>
        <v>46991</v>
      </c>
      <c r="C2066" s="10" t="n">
        <f aca="false">YEAR(B2066)</f>
        <v>2028</v>
      </c>
      <c r="D2066" s="10" t="n">
        <f aca="false">INT((MONTH(B2066)-1)/3)+1</f>
        <v>3</v>
      </c>
      <c r="E2066" s="10" t="n">
        <f aca="false">MONTH(B2066)</f>
        <v>8</v>
      </c>
      <c r="F2066" s="10" t="str">
        <f aca="false">CHOOSE(MOD(A2066-1,5)+1,"Центр","Юг","Север","Запад","Восток")</f>
        <v>Восток</v>
      </c>
      <c r="G2066" s="10" t="str">
        <f aca="false">"Округ_"&amp;(MOD(A2066-1,5)+1)&amp;"_"&amp;(MOD(INT((A2066-1)/5),5)+1)</f>
        <v>Округ_5_3</v>
      </c>
      <c r="H2066" s="10" t="str">
        <f aca="false">"Город_"&amp;(MOD(A2066-1,5)+1)&amp;"_"&amp;(MOD(INT((A2066-1)/5),5)+1)&amp;"_"&amp;(MOD(INT((A2066-1)/25),10)+1)</f>
        <v>Город_5_3_3</v>
      </c>
      <c r="I2066" s="10" t="str">
        <f aca="false">CHOOSE(MOD(A2066-1,4)+1,"Электроника","Одежда","Продукты","Мебель")</f>
        <v>Электроника</v>
      </c>
      <c r="J2066" s="10" t="str">
        <f aca="false">CHOOSE(MOD(INT((A2066-1)/4),4)+1,CHOOSE(MOD(A2066-1,4)+1,"Смартфоны","Ноутбуки","Аксессуары","Аудио"),CHOOSE(MOD(A2066-1,4)+1,"Верхняя одежда","Спортивная","Повседневная","Обувь"),CHOOSE(MOD(A2066-1,4)+1,"Молочные","Мясные","Бакалея","Напитки"),CHOOSE(MOD(A2066-1,4)+1,"Мягкая мебель","Корпусная","Офисная","Кухонная"))</f>
        <v>Смартфоны</v>
      </c>
      <c r="K2066" s="12" t="n">
        <f aca="false">1000+MOD(A2066*317+A2066*A2066*7,49001)</f>
        <v>26558</v>
      </c>
      <c r="L2066" s="12" t="n">
        <f aca="false">1+MOD(A2066*131,100)</f>
        <v>16</v>
      </c>
      <c r="M2066" s="12" t="n">
        <f aca="false">INT(K2066*(0.6+MOD(A2066*43,21)/100))</f>
        <v>17793</v>
      </c>
      <c r="N2066" s="12" t="n">
        <f aca="false">K2066-M2066</f>
        <v>8765</v>
      </c>
    </row>
    <row r="2067" customFormat="false" ht="12.8" hidden="false" customHeight="false" outlineLevel="0" collapsed="false">
      <c r="A2067" s="10" t="n">
        <f aca="false">A2066+1</f>
        <v>2066</v>
      </c>
      <c r="B2067" s="11" t="n">
        <f aca="false">B2066+1</f>
        <v>46992</v>
      </c>
      <c r="C2067" s="10" t="n">
        <f aca="false">YEAR(B2067)</f>
        <v>2028</v>
      </c>
      <c r="D2067" s="10" t="n">
        <f aca="false">INT((MONTH(B2067)-1)/3)+1</f>
        <v>3</v>
      </c>
      <c r="E2067" s="10" t="n">
        <f aca="false">MONTH(B2067)</f>
        <v>8</v>
      </c>
      <c r="F2067" s="10" t="str">
        <f aca="false">CHOOSE(MOD(A2067-1,5)+1,"Центр","Юг","Север","Запад","Восток")</f>
        <v>Центр</v>
      </c>
      <c r="G2067" s="10" t="str">
        <f aca="false">"Округ_"&amp;(MOD(A2067-1,5)+1)&amp;"_"&amp;(MOD(INT((A2067-1)/5),5)+1)</f>
        <v>Округ_1_4</v>
      </c>
      <c r="H2067" s="10" t="str">
        <f aca="false">"Город_"&amp;(MOD(A2067-1,5)+1)&amp;"_"&amp;(MOD(INT((A2067-1)/5),5)+1)&amp;"_"&amp;(MOD(INT((A2067-1)/25),10)+1)</f>
        <v>Город_1_4_3</v>
      </c>
      <c r="I2067" s="10" t="str">
        <f aca="false">CHOOSE(MOD(A2067-1,4)+1,"Электроника","Одежда","Продукты","Мебель")</f>
        <v>Одежда</v>
      </c>
      <c r="J2067" s="10" t="str">
        <f aca="false">CHOOSE(MOD(INT((A2067-1)/4),4)+1,CHOOSE(MOD(A2067-1,4)+1,"Смартфоны","Ноутбуки","Аксессуары","Аудио"),CHOOSE(MOD(A2067-1,4)+1,"Верхняя одежда","Спортивная","Повседневная","Обувь"),CHOOSE(MOD(A2067-1,4)+1,"Молочные","Мясные","Бакалея","Напитки"),CHOOSE(MOD(A2067-1,4)+1,"Мягкая мебель","Корпусная","Офисная","Кухонная"))</f>
        <v>Ноутбуки</v>
      </c>
      <c r="K2067" s="12" t="n">
        <f aca="false">1000+MOD(A2067*317+A2067*A2067*7,49001)</f>
        <v>6791</v>
      </c>
      <c r="L2067" s="12" t="n">
        <f aca="false">1+MOD(A2067*131,100)</f>
        <v>47</v>
      </c>
      <c r="M2067" s="12" t="n">
        <f aca="false">INT(K2067*(0.6+MOD(A2067*43,21)/100))</f>
        <v>4617</v>
      </c>
      <c r="N2067" s="12" t="n">
        <f aca="false">K2067-M2067</f>
        <v>2174</v>
      </c>
    </row>
    <row r="2068" customFormat="false" ht="12.8" hidden="false" customHeight="false" outlineLevel="0" collapsed="false">
      <c r="A2068" s="10" t="n">
        <f aca="false">A2067+1</f>
        <v>2067</v>
      </c>
      <c r="B2068" s="11" t="n">
        <f aca="false">B2067+1</f>
        <v>46993</v>
      </c>
      <c r="C2068" s="10" t="n">
        <f aca="false">YEAR(B2068)</f>
        <v>2028</v>
      </c>
      <c r="D2068" s="10" t="n">
        <f aca="false">INT((MONTH(B2068)-1)/3)+1</f>
        <v>3</v>
      </c>
      <c r="E2068" s="10" t="n">
        <f aca="false">MONTH(B2068)</f>
        <v>8</v>
      </c>
      <c r="F2068" s="10" t="str">
        <f aca="false">CHOOSE(MOD(A2068-1,5)+1,"Центр","Юг","Север","Запад","Восток")</f>
        <v>Юг</v>
      </c>
      <c r="G2068" s="10" t="str">
        <f aca="false">"Округ_"&amp;(MOD(A2068-1,5)+1)&amp;"_"&amp;(MOD(INT((A2068-1)/5),5)+1)</f>
        <v>Округ_2_4</v>
      </c>
      <c r="H2068" s="10" t="str">
        <f aca="false">"Город_"&amp;(MOD(A2068-1,5)+1)&amp;"_"&amp;(MOD(INT((A2068-1)/5),5)+1)&amp;"_"&amp;(MOD(INT((A2068-1)/25),10)+1)</f>
        <v>Город_2_4_3</v>
      </c>
      <c r="I2068" s="10" t="str">
        <f aca="false">CHOOSE(MOD(A2068-1,4)+1,"Электроника","Одежда","Продукты","Мебель")</f>
        <v>Продукты</v>
      </c>
      <c r="J2068" s="10" t="str">
        <f aca="false">CHOOSE(MOD(INT((A2068-1)/4),4)+1,CHOOSE(MOD(A2068-1,4)+1,"Смартфоны","Ноутбуки","Аксессуары","Аудио"),CHOOSE(MOD(A2068-1,4)+1,"Верхняя одежда","Спортивная","Повседневная","Обувь"),CHOOSE(MOD(A2068-1,4)+1,"Молочные","Мясные","Бакалея","Напитки"),CHOOSE(MOD(A2068-1,4)+1,"Мягкая мебель","Корпусная","Офисная","Кухонная"))</f>
        <v>Аксессуары</v>
      </c>
      <c r="K2068" s="12" t="n">
        <f aca="false">1000+MOD(A2068*317+A2068*A2068*7,49001)</f>
        <v>36039</v>
      </c>
      <c r="L2068" s="12" t="n">
        <f aca="false">1+MOD(A2068*131,100)</f>
        <v>78</v>
      </c>
      <c r="M2068" s="12" t="n">
        <f aca="false">INT(K2068*(0.6+MOD(A2068*43,21)/100))</f>
        <v>24866</v>
      </c>
      <c r="N2068" s="12" t="n">
        <f aca="false">K2068-M2068</f>
        <v>11173</v>
      </c>
    </row>
    <row r="2069" customFormat="false" ht="12.8" hidden="false" customHeight="false" outlineLevel="0" collapsed="false">
      <c r="A2069" s="10" t="n">
        <f aca="false">A2068+1</f>
        <v>2068</v>
      </c>
      <c r="B2069" s="11" t="n">
        <f aca="false">B2068+1</f>
        <v>46994</v>
      </c>
      <c r="C2069" s="10" t="n">
        <f aca="false">YEAR(B2069)</f>
        <v>2028</v>
      </c>
      <c r="D2069" s="10" t="n">
        <f aca="false">INT((MONTH(B2069)-1)/3)+1</f>
        <v>3</v>
      </c>
      <c r="E2069" s="10" t="n">
        <f aca="false">MONTH(B2069)</f>
        <v>8</v>
      </c>
      <c r="F2069" s="10" t="str">
        <f aca="false">CHOOSE(MOD(A2069-1,5)+1,"Центр","Юг","Север","Запад","Восток")</f>
        <v>Север</v>
      </c>
      <c r="G2069" s="10" t="str">
        <f aca="false">"Округ_"&amp;(MOD(A2069-1,5)+1)&amp;"_"&amp;(MOD(INT((A2069-1)/5),5)+1)</f>
        <v>Округ_3_4</v>
      </c>
      <c r="H2069" s="10" t="str">
        <f aca="false">"Город_"&amp;(MOD(A2069-1,5)+1)&amp;"_"&amp;(MOD(INT((A2069-1)/5),5)+1)&amp;"_"&amp;(MOD(INT((A2069-1)/25),10)+1)</f>
        <v>Город_3_4_3</v>
      </c>
      <c r="I2069" s="10" t="str">
        <f aca="false">CHOOSE(MOD(A2069-1,4)+1,"Электроника","Одежда","Продукты","Мебель")</f>
        <v>Мебель</v>
      </c>
      <c r="J2069" s="10" t="str">
        <f aca="false">CHOOSE(MOD(INT((A2069-1)/4),4)+1,CHOOSE(MOD(A2069-1,4)+1,"Смартфоны","Ноутбуки","Аксессуары","Аудио"),CHOOSE(MOD(A2069-1,4)+1,"Верхняя одежда","Спортивная","Повседневная","Обувь"),CHOOSE(MOD(A2069-1,4)+1,"Молочные","Мясные","Бакалея","Напитки"),CHOOSE(MOD(A2069-1,4)+1,"Мягкая мебель","Корпусная","Офисная","Кухонная"))</f>
        <v>Аудио</v>
      </c>
      <c r="K2069" s="12" t="n">
        <f aca="false">1000+MOD(A2069*317+A2069*A2069*7,49001)</f>
        <v>16300</v>
      </c>
      <c r="L2069" s="12" t="n">
        <f aca="false">1+MOD(A2069*131,100)</f>
        <v>9</v>
      </c>
      <c r="M2069" s="12" t="n">
        <f aca="false">INT(K2069*(0.6+MOD(A2069*43,21)/100))</f>
        <v>11410</v>
      </c>
      <c r="N2069" s="12" t="n">
        <f aca="false">K2069-M2069</f>
        <v>4890</v>
      </c>
    </row>
    <row r="2070" customFormat="false" ht="12.8" hidden="false" customHeight="false" outlineLevel="0" collapsed="false">
      <c r="A2070" s="10" t="n">
        <f aca="false">A2069+1</f>
        <v>2069</v>
      </c>
      <c r="B2070" s="11" t="n">
        <f aca="false">B2069+1</f>
        <v>46995</v>
      </c>
      <c r="C2070" s="10" t="n">
        <f aca="false">YEAR(B2070)</f>
        <v>2028</v>
      </c>
      <c r="D2070" s="10" t="n">
        <f aca="false">INT((MONTH(B2070)-1)/3)+1</f>
        <v>3</v>
      </c>
      <c r="E2070" s="10" t="n">
        <f aca="false">MONTH(B2070)</f>
        <v>8</v>
      </c>
      <c r="F2070" s="10" t="str">
        <f aca="false">CHOOSE(MOD(A2070-1,5)+1,"Центр","Юг","Север","Запад","Восток")</f>
        <v>Запад</v>
      </c>
      <c r="G2070" s="10" t="str">
        <f aca="false">"Округ_"&amp;(MOD(A2070-1,5)+1)&amp;"_"&amp;(MOD(INT((A2070-1)/5),5)+1)</f>
        <v>Округ_4_4</v>
      </c>
      <c r="H2070" s="10" t="str">
        <f aca="false">"Город_"&amp;(MOD(A2070-1,5)+1)&amp;"_"&amp;(MOD(INT((A2070-1)/5),5)+1)&amp;"_"&amp;(MOD(INT((A2070-1)/25),10)+1)</f>
        <v>Город_4_4_3</v>
      </c>
      <c r="I2070" s="10" t="str">
        <f aca="false">CHOOSE(MOD(A2070-1,4)+1,"Электроника","Одежда","Продукты","Мебель")</f>
        <v>Электроника</v>
      </c>
      <c r="J2070" s="10" t="str">
        <f aca="false">CHOOSE(MOD(INT((A2070-1)/4),4)+1,CHOOSE(MOD(A2070-1,4)+1,"Смартфоны","Ноутбуки","Аксессуары","Аудио"),CHOOSE(MOD(A2070-1,4)+1,"Верхняя одежда","Спортивная","Повседневная","Обувь"),CHOOSE(MOD(A2070-1,4)+1,"Молочные","Мясные","Бакалея","Напитки"),CHOOSE(MOD(A2070-1,4)+1,"Мягкая мебель","Корпусная","Офисная","Кухонная"))</f>
        <v>Верхняя одежда</v>
      </c>
      <c r="K2070" s="12" t="n">
        <f aca="false">1000+MOD(A2070*317+A2070*A2070*7,49001)</f>
        <v>45576</v>
      </c>
      <c r="L2070" s="12" t="n">
        <f aca="false">1+MOD(A2070*131,100)</f>
        <v>40</v>
      </c>
      <c r="M2070" s="12" t="n">
        <f aca="false">INT(K2070*(0.6+MOD(A2070*43,21)/100))</f>
        <v>32358</v>
      </c>
      <c r="N2070" s="12" t="n">
        <f aca="false">K2070-M2070</f>
        <v>13218</v>
      </c>
    </row>
    <row r="2071" customFormat="false" ht="12.8" hidden="false" customHeight="false" outlineLevel="0" collapsed="false">
      <c r="A2071" s="10" t="n">
        <f aca="false">A2070+1</f>
        <v>2070</v>
      </c>
      <c r="B2071" s="11" t="n">
        <f aca="false">B2070+1</f>
        <v>46996</v>
      </c>
      <c r="C2071" s="10" t="n">
        <f aca="false">YEAR(B2071)</f>
        <v>2028</v>
      </c>
      <c r="D2071" s="10" t="n">
        <f aca="false">INT((MONTH(B2071)-1)/3)+1</f>
        <v>3</v>
      </c>
      <c r="E2071" s="10" t="n">
        <f aca="false">MONTH(B2071)</f>
        <v>8</v>
      </c>
      <c r="F2071" s="10" t="str">
        <f aca="false">CHOOSE(MOD(A2071-1,5)+1,"Центр","Юг","Север","Запад","Восток")</f>
        <v>Восток</v>
      </c>
      <c r="G2071" s="10" t="str">
        <f aca="false">"Округ_"&amp;(MOD(A2071-1,5)+1)&amp;"_"&amp;(MOD(INT((A2071-1)/5),5)+1)</f>
        <v>Округ_5_4</v>
      </c>
      <c r="H2071" s="10" t="str">
        <f aca="false">"Город_"&amp;(MOD(A2071-1,5)+1)&amp;"_"&amp;(MOD(INT((A2071-1)/5),5)+1)&amp;"_"&amp;(MOD(INT((A2071-1)/25),10)+1)</f>
        <v>Город_5_4_3</v>
      </c>
      <c r="I2071" s="10" t="str">
        <f aca="false">CHOOSE(MOD(A2071-1,4)+1,"Электроника","Одежда","Продукты","Мебель")</f>
        <v>Одежда</v>
      </c>
      <c r="J2071" s="10" t="str">
        <f aca="false">CHOOSE(MOD(INT((A2071-1)/4),4)+1,CHOOSE(MOD(A2071-1,4)+1,"Смартфоны","Ноутбуки","Аксессуары","Аудио"),CHOOSE(MOD(A2071-1,4)+1,"Верхняя одежда","Спортивная","Повседневная","Обувь"),CHOOSE(MOD(A2071-1,4)+1,"Молочные","Мясные","Бакалея","Напитки"),CHOOSE(MOD(A2071-1,4)+1,"Мягкая мебель","Корпусная","Офисная","Кухонная"))</f>
        <v>Спортивная</v>
      </c>
      <c r="K2071" s="12" t="n">
        <f aca="false">1000+MOD(A2071*317+A2071*A2071*7,49001)</f>
        <v>25865</v>
      </c>
      <c r="L2071" s="12" t="n">
        <f aca="false">1+MOD(A2071*131,100)</f>
        <v>71</v>
      </c>
      <c r="M2071" s="12" t="n">
        <f aca="false">INT(K2071*(0.6+MOD(A2071*43,21)/100))</f>
        <v>18622</v>
      </c>
      <c r="N2071" s="12" t="n">
        <f aca="false">K2071-M2071</f>
        <v>7243</v>
      </c>
    </row>
    <row r="2072" customFormat="false" ht="12.8" hidden="false" customHeight="false" outlineLevel="0" collapsed="false">
      <c r="A2072" s="10" t="n">
        <f aca="false">A2071+1</f>
        <v>2071</v>
      </c>
      <c r="B2072" s="11" t="n">
        <f aca="false">B2071+1</f>
        <v>46997</v>
      </c>
      <c r="C2072" s="10" t="n">
        <f aca="false">YEAR(B2072)</f>
        <v>2028</v>
      </c>
      <c r="D2072" s="10" t="n">
        <f aca="false">INT((MONTH(B2072)-1)/3)+1</f>
        <v>3</v>
      </c>
      <c r="E2072" s="10" t="n">
        <f aca="false">MONTH(B2072)</f>
        <v>9</v>
      </c>
      <c r="F2072" s="10" t="str">
        <f aca="false">CHOOSE(MOD(A2072-1,5)+1,"Центр","Юг","Север","Запад","Восток")</f>
        <v>Центр</v>
      </c>
      <c r="G2072" s="10" t="str">
        <f aca="false">"Округ_"&amp;(MOD(A2072-1,5)+1)&amp;"_"&amp;(MOD(INT((A2072-1)/5),5)+1)</f>
        <v>Округ_1_5</v>
      </c>
      <c r="H2072" s="10" t="str">
        <f aca="false">"Город_"&amp;(MOD(A2072-1,5)+1)&amp;"_"&amp;(MOD(INT((A2072-1)/5),5)+1)&amp;"_"&amp;(MOD(INT((A2072-1)/25),10)+1)</f>
        <v>Город_1_5_3</v>
      </c>
      <c r="I2072" s="10" t="str">
        <f aca="false">CHOOSE(MOD(A2072-1,4)+1,"Электроника","Одежда","Продукты","Мебель")</f>
        <v>Продукты</v>
      </c>
      <c r="J2072" s="10" t="str">
        <f aca="false">CHOOSE(MOD(INT((A2072-1)/4),4)+1,CHOOSE(MOD(A2072-1,4)+1,"Смартфоны","Ноутбуки","Аксессуары","Аудио"),CHOOSE(MOD(A2072-1,4)+1,"Верхняя одежда","Спортивная","Повседневная","Обувь"),CHOOSE(MOD(A2072-1,4)+1,"Молочные","Мясные","Бакалея","Напитки"),CHOOSE(MOD(A2072-1,4)+1,"Мягкая мебель","Корпусная","Офисная","Кухонная"))</f>
        <v>Повседневная</v>
      </c>
      <c r="K2072" s="12" t="n">
        <f aca="false">1000+MOD(A2072*317+A2072*A2072*7,49001)</f>
        <v>6168</v>
      </c>
      <c r="L2072" s="12" t="n">
        <f aca="false">1+MOD(A2072*131,100)</f>
        <v>2</v>
      </c>
      <c r="M2072" s="12" t="n">
        <f aca="false">INT(K2072*(0.6+MOD(A2072*43,21)/100))</f>
        <v>4502</v>
      </c>
      <c r="N2072" s="12" t="n">
        <f aca="false">K2072-M2072</f>
        <v>1666</v>
      </c>
    </row>
    <row r="2073" customFormat="false" ht="12.8" hidden="false" customHeight="false" outlineLevel="0" collapsed="false">
      <c r="A2073" s="10" t="n">
        <f aca="false">A2072+1</f>
        <v>2072</v>
      </c>
      <c r="B2073" s="11" t="n">
        <f aca="false">B2072+1</f>
        <v>46998</v>
      </c>
      <c r="C2073" s="10" t="n">
        <f aca="false">YEAR(B2073)</f>
        <v>2028</v>
      </c>
      <c r="D2073" s="10" t="n">
        <f aca="false">INT((MONTH(B2073)-1)/3)+1</f>
        <v>3</v>
      </c>
      <c r="E2073" s="10" t="n">
        <f aca="false">MONTH(B2073)</f>
        <v>9</v>
      </c>
      <c r="F2073" s="10" t="str">
        <f aca="false">CHOOSE(MOD(A2073-1,5)+1,"Центр","Юг","Север","Запад","Восток")</f>
        <v>Юг</v>
      </c>
      <c r="G2073" s="10" t="str">
        <f aca="false">"Округ_"&amp;(MOD(A2073-1,5)+1)&amp;"_"&amp;(MOD(INT((A2073-1)/5),5)+1)</f>
        <v>Округ_2_5</v>
      </c>
      <c r="H2073" s="10" t="str">
        <f aca="false">"Город_"&amp;(MOD(A2073-1,5)+1)&amp;"_"&amp;(MOD(INT((A2073-1)/5),5)+1)&amp;"_"&amp;(MOD(INT((A2073-1)/25),10)+1)</f>
        <v>Город_2_5_3</v>
      </c>
      <c r="I2073" s="10" t="str">
        <f aca="false">CHOOSE(MOD(A2073-1,4)+1,"Электроника","Одежда","Продукты","Мебель")</f>
        <v>Мебель</v>
      </c>
      <c r="J2073" s="10" t="str">
        <f aca="false">CHOOSE(MOD(INT((A2073-1)/4),4)+1,CHOOSE(MOD(A2073-1,4)+1,"Смартфоны","Ноутбуки","Аксессуары","Аудио"),CHOOSE(MOD(A2073-1,4)+1,"Верхняя одежда","Спортивная","Повседневная","Обувь"),CHOOSE(MOD(A2073-1,4)+1,"Молочные","Мясные","Бакалея","Напитки"),CHOOSE(MOD(A2073-1,4)+1,"Мягкая мебель","Корпусная","Офисная","Кухонная"))</f>
        <v>Обувь</v>
      </c>
      <c r="K2073" s="12" t="n">
        <f aca="false">1000+MOD(A2073*317+A2073*A2073*7,49001)</f>
        <v>35486</v>
      </c>
      <c r="L2073" s="12" t="n">
        <f aca="false">1+MOD(A2073*131,100)</f>
        <v>33</v>
      </c>
      <c r="M2073" s="12" t="n">
        <f aca="false">INT(K2073*(0.6+MOD(A2073*43,21)/100))</f>
        <v>26259</v>
      </c>
      <c r="N2073" s="12" t="n">
        <f aca="false">K2073-M2073</f>
        <v>9227</v>
      </c>
    </row>
    <row r="2074" customFormat="false" ht="12.8" hidden="false" customHeight="false" outlineLevel="0" collapsed="false">
      <c r="A2074" s="10" t="n">
        <f aca="false">A2073+1</f>
        <v>2073</v>
      </c>
      <c r="B2074" s="11" t="n">
        <f aca="false">B2073+1</f>
        <v>46999</v>
      </c>
      <c r="C2074" s="10" t="n">
        <f aca="false">YEAR(B2074)</f>
        <v>2028</v>
      </c>
      <c r="D2074" s="10" t="n">
        <f aca="false">INT((MONTH(B2074)-1)/3)+1</f>
        <v>3</v>
      </c>
      <c r="E2074" s="10" t="n">
        <f aca="false">MONTH(B2074)</f>
        <v>9</v>
      </c>
      <c r="F2074" s="10" t="str">
        <f aca="false">CHOOSE(MOD(A2074-1,5)+1,"Центр","Юг","Север","Запад","Восток")</f>
        <v>Север</v>
      </c>
      <c r="G2074" s="10" t="str">
        <f aca="false">"Округ_"&amp;(MOD(A2074-1,5)+1)&amp;"_"&amp;(MOD(INT((A2074-1)/5),5)+1)</f>
        <v>Округ_3_5</v>
      </c>
      <c r="H2074" s="10" t="str">
        <f aca="false">"Город_"&amp;(MOD(A2074-1,5)+1)&amp;"_"&amp;(MOD(INT((A2074-1)/5),5)+1)&amp;"_"&amp;(MOD(INT((A2074-1)/25),10)+1)</f>
        <v>Город_3_5_3</v>
      </c>
      <c r="I2074" s="10" t="str">
        <f aca="false">CHOOSE(MOD(A2074-1,4)+1,"Электроника","Одежда","Продукты","Мебель")</f>
        <v>Электроника</v>
      </c>
      <c r="J2074" s="10" t="str">
        <f aca="false">CHOOSE(MOD(INT((A2074-1)/4),4)+1,CHOOSE(MOD(A2074-1,4)+1,"Смартфоны","Ноутбуки","Аксессуары","Аудио"),CHOOSE(MOD(A2074-1,4)+1,"Верхняя одежда","Спортивная","Повседневная","Обувь"),CHOOSE(MOD(A2074-1,4)+1,"Молочные","Мясные","Бакалея","Напитки"),CHOOSE(MOD(A2074-1,4)+1,"Мягкая мебель","Корпусная","Офисная","Кухонная"))</f>
        <v>Молочные</v>
      </c>
      <c r="K2074" s="12" t="n">
        <f aca="false">1000+MOD(A2074*317+A2074*A2074*7,49001)</f>
        <v>15817</v>
      </c>
      <c r="L2074" s="12" t="n">
        <f aca="false">1+MOD(A2074*131,100)</f>
        <v>64</v>
      </c>
      <c r="M2074" s="12" t="n">
        <f aca="false">INT(K2074*(0.6+MOD(A2074*43,21)/100))</f>
        <v>11862</v>
      </c>
      <c r="N2074" s="12" t="n">
        <f aca="false">K2074-M2074</f>
        <v>3955</v>
      </c>
    </row>
    <row r="2075" customFormat="false" ht="12.8" hidden="false" customHeight="false" outlineLevel="0" collapsed="false">
      <c r="A2075" s="10" t="n">
        <f aca="false">A2074+1</f>
        <v>2074</v>
      </c>
      <c r="B2075" s="11" t="n">
        <f aca="false">B2074+1</f>
        <v>47000</v>
      </c>
      <c r="C2075" s="10" t="n">
        <f aca="false">YEAR(B2075)</f>
        <v>2028</v>
      </c>
      <c r="D2075" s="10" t="n">
        <f aca="false">INT((MONTH(B2075)-1)/3)+1</f>
        <v>3</v>
      </c>
      <c r="E2075" s="10" t="n">
        <f aca="false">MONTH(B2075)</f>
        <v>9</v>
      </c>
      <c r="F2075" s="10" t="str">
        <f aca="false">CHOOSE(MOD(A2075-1,5)+1,"Центр","Юг","Север","Запад","Восток")</f>
        <v>Запад</v>
      </c>
      <c r="G2075" s="10" t="str">
        <f aca="false">"Округ_"&amp;(MOD(A2075-1,5)+1)&amp;"_"&amp;(MOD(INT((A2075-1)/5),5)+1)</f>
        <v>Округ_4_5</v>
      </c>
      <c r="H2075" s="10" t="str">
        <f aca="false">"Город_"&amp;(MOD(A2075-1,5)+1)&amp;"_"&amp;(MOD(INT((A2075-1)/5),5)+1)&amp;"_"&amp;(MOD(INT((A2075-1)/25),10)+1)</f>
        <v>Город_4_5_3</v>
      </c>
      <c r="I2075" s="10" t="str">
        <f aca="false">CHOOSE(MOD(A2075-1,4)+1,"Электроника","Одежда","Продукты","Мебель")</f>
        <v>Одежда</v>
      </c>
      <c r="J2075" s="10" t="str">
        <f aca="false">CHOOSE(MOD(INT((A2075-1)/4),4)+1,CHOOSE(MOD(A2075-1,4)+1,"Смартфоны","Ноутбуки","Аксессуары","Аудио"),CHOOSE(MOD(A2075-1,4)+1,"Верхняя одежда","Спортивная","Повседневная","Обувь"),CHOOSE(MOD(A2075-1,4)+1,"Молочные","Мясные","Бакалея","Напитки"),CHOOSE(MOD(A2075-1,4)+1,"Мягкая мебель","Корпусная","Офисная","Кухонная"))</f>
        <v>Мясные</v>
      </c>
      <c r="K2075" s="12" t="n">
        <f aca="false">1000+MOD(A2075*317+A2075*A2075*7,49001)</f>
        <v>45163</v>
      </c>
      <c r="L2075" s="12" t="n">
        <f aca="false">1+MOD(A2075*131,100)</f>
        <v>95</v>
      </c>
      <c r="M2075" s="12" t="n">
        <f aca="false">INT(K2075*(0.6+MOD(A2075*43,21)/100))</f>
        <v>34323</v>
      </c>
      <c r="N2075" s="12" t="n">
        <f aca="false">K2075-M2075</f>
        <v>10840</v>
      </c>
    </row>
    <row r="2076" customFormat="false" ht="12.8" hidden="false" customHeight="false" outlineLevel="0" collapsed="false">
      <c r="A2076" s="10" t="n">
        <f aca="false">A2075+1</f>
        <v>2075</v>
      </c>
      <c r="B2076" s="11" t="n">
        <f aca="false">B2075+1</f>
        <v>47001</v>
      </c>
      <c r="C2076" s="10" t="n">
        <f aca="false">YEAR(B2076)</f>
        <v>2028</v>
      </c>
      <c r="D2076" s="10" t="n">
        <f aca="false">INT((MONTH(B2076)-1)/3)+1</f>
        <v>3</v>
      </c>
      <c r="E2076" s="10" t="n">
        <f aca="false">MONTH(B2076)</f>
        <v>9</v>
      </c>
      <c r="F2076" s="10" t="str">
        <f aca="false">CHOOSE(MOD(A2076-1,5)+1,"Центр","Юг","Север","Запад","Восток")</f>
        <v>Восток</v>
      </c>
      <c r="G2076" s="10" t="str">
        <f aca="false">"Округ_"&amp;(MOD(A2076-1,5)+1)&amp;"_"&amp;(MOD(INT((A2076-1)/5),5)+1)</f>
        <v>Округ_5_5</v>
      </c>
      <c r="H2076" s="10" t="str">
        <f aca="false">"Город_"&amp;(MOD(A2076-1,5)+1)&amp;"_"&amp;(MOD(INT((A2076-1)/5),5)+1)&amp;"_"&amp;(MOD(INT((A2076-1)/25),10)+1)</f>
        <v>Город_5_5_3</v>
      </c>
      <c r="I2076" s="10" t="str">
        <f aca="false">CHOOSE(MOD(A2076-1,4)+1,"Электроника","Одежда","Продукты","Мебель")</f>
        <v>Продукты</v>
      </c>
      <c r="J2076" s="10" t="str">
        <f aca="false">CHOOSE(MOD(INT((A2076-1)/4),4)+1,CHOOSE(MOD(A2076-1,4)+1,"Смартфоны","Ноутбуки","Аксессуары","Аудио"),CHOOSE(MOD(A2076-1,4)+1,"Верхняя одежда","Спортивная","Повседневная","Обувь"),CHOOSE(MOD(A2076-1,4)+1,"Молочные","Мясные","Бакалея","Напитки"),CHOOSE(MOD(A2076-1,4)+1,"Мягкая мебель","Корпусная","Офисная","Кухонная"))</f>
        <v>Бакалея</v>
      </c>
      <c r="K2076" s="12" t="n">
        <f aca="false">1000+MOD(A2076*317+A2076*A2076*7,49001)</f>
        <v>25522</v>
      </c>
      <c r="L2076" s="12" t="n">
        <f aca="false">1+MOD(A2076*131,100)</f>
        <v>26</v>
      </c>
      <c r="M2076" s="12" t="n">
        <f aca="false">INT(K2076*(0.6+MOD(A2076*43,21)/100))</f>
        <v>19651</v>
      </c>
      <c r="N2076" s="12" t="n">
        <f aca="false">K2076-M2076</f>
        <v>5871</v>
      </c>
    </row>
    <row r="2077" customFormat="false" ht="12.8" hidden="false" customHeight="false" outlineLevel="0" collapsed="false">
      <c r="A2077" s="10" t="n">
        <f aca="false">A2076+1</f>
        <v>2076</v>
      </c>
      <c r="B2077" s="11" t="n">
        <f aca="false">B2076+1</f>
        <v>47002</v>
      </c>
      <c r="C2077" s="10" t="n">
        <f aca="false">YEAR(B2077)</f>
        <v>2028</v>
      </c>
      <c r="D2077" s="10" t="n">
        <f aca="false">INT((MONTH(B2077)-1)/3)+1</f>
        <v>3</v>
      </c>
      <c r="E2077" s="10" t="n">
        <f aca="false">MONTH(B2077)</f>
        <v>9</v>
      </c>
      <c r="F2077" s="10" t="str">
        <f aca="false">CHOOSE(MOD(A2077-1,5)+1,"Центр","Юг","Север","Запад","Восток")</f>
        <v>Центр</v>
      </c>
      <c r="G2077" s="10" t="str">
        <f aca="false">"Округ_"&amp;(MOD(A2077-1,5)+1)&amp;"_"&amp;(MOD(INT((A2077-1)/5),5)+1)</f>
        <v>Округ_1_1</v>
      </c>
      <c r="H2077" s="10" t="str">
        <f aca="false">"Город_"&amp;(MOD(A2077-1,5)+1)&amp;"_"&amp;(MOD(INT((A2077-1)/5),5)+1)&amp;"_"&amp;(MOD(INT((A2077-1)/25),10)+1)</f>
        <v>Город_1_1_4</v>
      </c>
      <c r="I2077" s="10" t="str">
        <f aca="false">CHOOSE(MOD(A2077-1,4)+1,"Электроника","Одежда","Продукты","Мебель")</f>
        <v>Мебель</v>
      </c>
      <c r="J2077" s="10" t="str">
        <f aca="false">CHOOSE(MOD(INT((A2077-1)/4),4)+1,CHOOSE(MOD(A2077-1,4)+1,"Смартфоны","Ноутбуки","Аксессуары","Аудио"),CHOOSE(MOD(A2077-1,4)+1,"Верхняя одежда","Спортивная","Повседневная","Обувь"),CHOOSE(MOD(A2077-1,4)+1,"Молочные","Мясные","Бакалея","Напитки"),CHOOSE(MOD(A2077-1,4)+1,"Мягкая мебель","Корпусная","Офисная","Кухонная"))</f>
        <v>Напитки</v>
      </c>
      <c r="K2077" s="12" t="n">
        <f aca="false">1000+MOD(A2077*317+A2077*A2077*7,49001)</f>
        <v>5895</v>
      </c>
      <c r="L2077" s="12" t="n">
        <f aca="false">1+MOD(A2077*131,100)</f>
        <v>57</v>
      </c>
      <c r="M2077" s="12" t="n">
        <f aca="false">INT(K2077*(0.6+MOD(A2077*43,21)/100))</f>
        <v>4598</v>
      </c>
      <c r="N2077" s="12" t="n">
        <f aca="false">K2077-M2077</f>
        <v>1297</v>
      </c>
    </row>
    <row r="2078" customFormat="false" ht="12.8" hidden="false" customHeight="false" outlineLevel="0" collapsed="false">
      <c r="A2078" s="10" t="n">
        <f aca="false">A2077+1</f>
        <v>2077</v>
      </c>
      <c r="B2078" s="11" t="n">
        <f aca="false">B2077+1</f>
        <v>47003</v>
      </c>
      <c r="C2078" s="10" t="n">
        <f aca="false">YEAR(B2078)</f>
        <v>2028</v>
      </c>
      <c r="D2078" s="10" t="n">
        <f aca="false">INT((MONTH(B2078)-1)/3)+1</f>
        <v>3</v>
      </c>
      <c r="E2078" s="10" t="n">
        <f aca="false">MONTH(B2078)</f>
        <v>9</v>
      </c>
      <c r="F2078" s="10" t="str">
        <f aca="false">CHOOSE(MOD(A2078-1,5)+1,"Центр","Юг","Север","Запад","Восток")</f>
        <v>Юг</v>
      </c>
      <c r="G2078" s="10" t="str">
        <f aca="false">"Округ_"&amp;(MOD(A2078-1,5)+1)&amp;"_"&amp;(MOD(INT((A2078-1)/5),5)+1)</f>
        <v>Округ_2_1</v>
      </c>
      <c r="H2078" s="10" t="str">
        <f aca="false">"Город_"&amp;(MOD(A2078-1,5)+1)&amp;"_"&amp;(MOD(INT((A2078-1)/5),5)+1)&amp;"_"&amp;(MOD(INT((A2078-1)/25),10)+1)</f>
        <v>Город_2_1_4</v>
      </c>
      <c r="I2078" s="10" t="str">
        <f aca="false">CHOOSE(MOD(A2078-1,4)+1,"Электроника","Одежда","Продукты","Мебель")</f>
        <v>Электроника</v>
      </c>
      <c r="J2078" s="10" t="str">
        <f aca="false">CHOOSE(MOD(INT((A2078-1)/4),4)+1,CHOOSE(MOD(A2078-1,4)+1,"Смартфоны","Ноутбуки","Аксессуары","Аудио"),CHOOSE(MOD(A2078-1,4)+1,"Верхняя одежда","Спортивная","Повседневная","Обувь"),CHOOSE(MOD(A2078-1,4)+1,"Молочные","Мясные","Бакалея","Напитки"),CHOOSE(MOD(A2078-1,4)+1,"Мягкая мебель","Корпусная","Офисная","Кухонная"))</f>
        <v>Мягкая мебель</v>
      </c>
      <c r="K2078" s="12" t="n">
        <f aca="false">1000+MOD(A2078*317+A2078*A2078*7,49001)</f>
        <v>35283</v>
      </c>
      <c r="L2078" s="12" t="n">
        <f aca="false">1+MOD(A2078*131,100)</f>
        <v>88</v>
      </c>
      <c r="M2078" s="12" t="n">
        <f aca="false">INT(K2078*(0.6+MOD(A2078*43,21)/100))</f>
        <v>27873</v>
      </c>
      <c r="N2078" s="12" t="n">
        <f aca="false">K2078-M2078</f>
        <v>7410</v>
      </c>
    </row>
    <row r="2079" customFormat="false" ht="12.8" hidden="false" customHeight="false" outlineLevel="0" collapsed="false">
      <c r="A2079" s="10" t="n">
        <f aca="false">A2078+1</f>
        <v>2078</v>
      </c>
      <c r="B2079" s="11" t="n">
        <f aca="false">B2078+1</f>
        <v>47004</v>
      </c>
      <c r="C2079" s="10" t="n">
        <f aca="false">YEAR(B2079)</f>
        <v>2028</v>
      </c>
      <c r="D2079" s="10" t="n">
        <f aca="false">INT((MONTH(B2079)-1)/3)+1</f>
        <v>3</v>
      </c>
      <c r="E2079" s="10" t="n">
        <f aca="false">MONTH(B2079)</f>
        <v>9</v>
      </c>
      <c r="F2079" s="10" t="str">
        <f aca="false">CHOOSE(MOD(A2079-1,5)+1,"Центр","Юг","Север","Запад","Восток")</f>
        <v>Север</v>
      </c>
      <c r="G2079" s="10" t="str">
        <f aca="false">"Округ_"&amp;(MOD(A2079-1,5)+1)&amp;"_"&amp;(MOD(INT((A2079-1)/5),5)+1)</f>
        <v>Округ_3_1</v>
      </c>
      <c r="H2079" s="10" t="str">
        <f aca="false">"Город_"&amp;(MOD(A2079-1,5)+1)&amp;"_"&amp;(MOD(INT((A2079-1)/5),5)+1)&amp;"_"&amp;(MOD(INT((A2079-1)/25),10)+1)</f>
        <v>Город_3_1_4</v>
      </c>
      <c r="I2079" s="10" t="str">
        <f aca="false">CHOOSE(MOD(A2079-1,4)+1,"Электроника","Одежда","Продукты","Мебель")</f>
        <v>Одежда</v>
      </c>
      <c r="J2079" s="10" t="str">
        <f aca="false">CHOOSE(MOD(INT((A2079-1)/4),4)+1,CHOOSE(MOD(A2079-1,4)+1,"Смартфоны","Ноутбуки","Аксессуары","Аудио"),CHOOSE(MOD(A2079-1,4)+1,"Верхняя одежда","Спортивная","Повседневная","Обувь"),CHOOSE(MOD(A2079-1,4)+1,"Молочные","Мясные","Бакалея","Напитки"),CHOOSE(MOD(A2079-1,4)+1,"Мягкая мебель","Корпусная","Офисная","Кухонная"))</f>
        <v>Корпусная</v>
      </c>
      <c r="K2079" s="12" t="n">
        <f aca="false">1000+MOD(A2079*317+A2079*A2079*7,49001)</f>
        <v>15684</v>
      </c>
      <c r="L2079" s="12" t="n">
        <f aca="false">1+MOD(A2079*131,100)</f>
        <v>19</v>
      </c>
      <c r="M2079" s="12" t="n">
        <f aca="false">INT(K2079*(0.6+MOD(A2079*43,21)/100))</f>
        <v>12547</v>
      </c>
      <c r="N2079" s="12" t="n">
        <f aca="false">K2079-M2079</f>
        <v>3137</v>
      </c>
    </row>
    <row r="2080" customFormat="false" ht="12.8" hidden="false" customHeight="false" outlineLevel="0" collapsed="false">
      <c r="A2080" s="10" t="n">
        <f aca="false">A2079+1</f>
        <v>2079</v>
      </c>
      <c r="B2080" s="11" t="n">
        <f aca="false">B2079+1</f>
        <v>47005</v>
      </c>
      <c r="C2080" s="10" t="n">
        <f aca="false">YEAR(B2080)</f>
        <v>2028</v>
      </c>
      <c r="D2080" s="10" t="n">
        <f aca="false">INT((MONTH(B2080)-1)/3)+1</f>
        <v>3</v>
      </c>
      <c r="E2080" s="10" t="n">
        <f aca="false">MONTH(B2080)</f>
        <v>9</v>
      </c>
      <c r="F2080" s="10" t="str">
        <f aca="false">CHOOSE(MOD(A2080-1,5)+1,"Центр","Юг","Север","Запад","Восток")</f>
        <v>Запад</v>
      </c>
      <c r="G2080" s="10" t="str">
        <f aca="false">"Округ_"&amp;(MOD(A2080-1,5)+1)&amp;"_"&amp;(MOD(INT((A2080-1)/5),5)+1)</f>
        <v>Округ_4_1</v>
      </c>
      <c r="H2080" s="10" t="str">
        <f aca="false">"Город_"&amp;(MOD(A2080-1,5)+1)&amp;"_"&amp;(MOD(INT((A2080-1)/5),5)+1)&amp;"_"&amp;(MOD(INT((A2080-1)/25),10)+1)</f>
        <v>Город_4_1_4</v>
      </c>
      <c r="I2080" s="10" t="str">
        <f aca="false">CHOOSE(MOD(A2080-1,4)+1,"Электроника","Одежда","Продукты","Мебель")</f>
        <v>Продукты</v>
      </c>
      <c r="J2080" s="10" t="str">
        <f aca="false">CHOOSE(MOD(INT((A2080-1)/4),4)+1,CHOOSE(MOD(A2080-1,4)+1,"Смартфоны","Ноутбуки","Аксессуары","Аудио"),CHOOSE(MOD(A2080-1,4)+1,"Верхняя одежда","Спортивная","Повседневная","Обувь"),CHOOSE(MOD(A2080-1,4)+1,"Молочные","Мясные","Бакалея","Напитки"),CHOOSE(MOD(A2080-1,4)+1,"Мягкая мебель","Корпусная","Офисная","Кухонная"))</f>
        <v>Офисная</v>
      </c>
      <c r="K2080" s="12" t="n">
        <f aca="false">1000+MOD(A2080*317+A2080*A2080*7,49001)</f>
        <v>45100</v>
      </c>
      <c r="L2080" s="12" t="n">
        <f aca="false">1+MOD(A2080*131,100)</f>
        <v>50</v>
      </c>
      <c r="M2080" s="12" t="n">
        <f aca="false">INT(K2080*(0.6+MOD(A2080*43,21)/100))</f>
        <v>27060</v>
      </c>
      <c r="N2080" s="12" t="n">
        <f aca="false">K2080-M2080</f>
        <v>18040</v>
      </c>
    </row>
    <row r="2081" customFormat="false" ht="12.8" hidden="false" customHeight="false" outlineLevel="0" collapsed="false">
      <c r="A2081" s="10" t="n">
        <f aca="false">A2080+1</f>
        <v>2080</v>
      </c>
      <c r="B2081" s="11" t="n">
        <f aca="false">B2080+1</f>
        <v>47006</v>
      </c>
      <c r="C2081" s="10" t="n">
        <f aca="false">YEAR(B2081)</f>
        <v>2028</v>
      </c>
      <c r="D2081" s="10" t="n">
        <f aca="false">INT((MONTH(B2081)-1)/3)+1</f>
        <v>3</v>
      </c>
      <c r="E2081" s="10" t="n">
        <f aca="false">MONTH(B2081)</f>
        <v>9</v>
      </c>
      <c r="F2081" s="10" t="str">
        <f aca="false">CHOOSE(MOD(A2081-1,5)+1,"Центр","Юг","Север","Запад","Восток")</f>
        <v>Восток</v>
      </c>
      <c r="G2081" s="10" t="str">
        <f aca="false">"Округ_"&amp;(MOD(A2081-1,5)+1)&amp;"_"&amp;(MOD(INT((A2081-1)/5),5)+1)</f>
        <v>Округ_5_1</v>
      </c>
      <c r="H2081" s="10" t="str">
        <f aca="false">"Город_"&amp;(MOD(A2081-1,5)+1)&amp;"_"&amp;(MOD(INT((A2081-1)/5),5)+1)&amp;"_"&amp;(MOD(INT((A2081-1)/25),10)+1)</f>
        <v>Город_5_1_4</v>
      </c>
      <c r="I2081" s="10" t="str">
        <f aca="false">CHOOSE(MOD(A2081-1,4)+1,"Электроника","Одежда","Продукты","Мебель")</f>
        <v>Мебель</v>
      </c>
      <c r="J2081" s="10" t="str">
        <f aca="false">CHOOSE(MOD(INT((A2081-1)/4),4)+1,CHOOSE(MOD(A2081-1,4)+1,"Смартфоны","Ноутбуки","Аксессуары","Аудио"),CHOOSE(MOD(A2081-1,4)+1,"Верхняя одежда","Спортивная","Повседневная","Обувь"),CHOOSE(MOD(A2081-1,4)+1,"Молочные","Мясные","Бакалея","Напитки"),CHOOSE(MOD(A2081-1,4)+1,"Мягкая мебель","Корпусная","Офисная","Кухонная"))</f>
        <v>Кухонная</v>
      </c>
      <c r="K2081" s="12" t="n">
        <f aca="false">1000+MOD(A2081*317+A2081*A2081*7,49001)</f>
        <v>25529</v>
      </c>
      <c r="L2081" s="12" t="n">
        <f aca="false">1+MOD(A2081*131,100)</f>
        <v>81</v>
      </c>
      <c r="M2081" s="12" t="n">
        <f aca="false">INT(K2081*(0.6+MOD(A2081*43,21)/100))</f>
        <v>15572</v>
      </c>
      <c r="N2081" s="12" t="n">
        <f aca="false">K2081-M2081</f>
        <v>9957</v>
      </c>
    </row>
    <row r="2082" customFormat="false" ht="12.8" hidden="false" customHeight="false" outlineLevel="0" collapsed="false">
      <c r="A2082" s="10" t="n">
        <f aca="false">A2081+1</f>
        <v>2081</v>
      </c>
      <c r="B2082" s="11" t="n">
        <f aca="false">B2081+1</f>
        <v>47007</v>
      </c>
      <c r="C2082" s="10" t="n">
        <f aca="false">YEAR(B2082)</f>
        <v>2028</v>
      </c>
      <c r="D2082" s="10" t="n">
        <f aca="false">INT((MONTH(B2082)-1)/3)+1</f>
        <v>3</v>
      </c>
      <c r="E2082" s="10" t="n">
        <f aca="false">MONTH(B2082)</f>
        <v>9</v>
      </c>
      <c r="F2082" s="10" t="str">
        <f aca="false">CHOOSE(MOD(A2082-1,5)+1,"Центр","Юг","Север","Запад","Восток")</f>
        <v>Центр</v>
      </c>
      <c r="G2082" s="10" t="str">
        <f aca="false">"Округ_"&amp;(MOD(A2082-1,5)+1)&amp;"_"&amp;(MOD(INT((A2082-1)/5),5)+1)</f>
        <v>Округ_1_2</v>
      </c>
      <c r="H2082" s="10" t="str">
        <f aca="false">"Город_"&amp;(MOD(A2082-1,5)+1)&amp;"_"&amp;(MOD(INT((A2082-1)/5),5)+1)&amp;"_"&amp;(MOD(INT((A2082-1)/25),10)+1)</f>
        <v>Город_1_2_4</v>
      </c>
      <c r="I2082" s="10" t="str">
        <f aca="false">CHOOSE(MOD(A2082-1,4)+1,"Электроника","Одежда","Продукты","Мебель")</f>
        <v>Электроника</v>
      </c>
      <c r="J2082" s="10" t="str">
        <f aca="false">CHOOSE(MOD(INT((A2082-1)/4),4)+1,CHOOSE(MOD(A2082-1,4)+1,"Смартфоны","Ноутбуки","Аксессуары","Аудио"),CHOOSE(MOD(A2082-1,4)+1,"Верхняя одежда","Спортивная","Повседневная","Обувь"),CHOOSE(MOD(A2082-1,4)+1,"Молочные","Мясные","Бакалея","Напитки"),CHOOSE(MOD(A2082-1,4)+1,"Мягкая мебель","Корпусная","Офисная","Кухонная"))</f>
        <v>Смартфоны</v>
      </c>
      <c r="K2082" s="12" t="n">
        <f aca="false">1000+MOD(A2082*317+A2082*A2082*7,49001)</f>
        <v>5972</v>
      </c>
      <c r="L2082" s="12" t="n">
        <f aca="false">1+MOD(A2082*131,100)</f>
        <v>12</v>
      </c>
      <c r="M2082" s="12" t="n">
        <f aca="false">INT(K2082*(0.6+MOD(A2082*43,21)/100))</f>
        <v>3702</v>
      </c>
      <c r="N2082" s="12" t="n">
        <f aca="false">K2082-M2082</f>
        <v>2270</v>
      </c>
    </row>
    <row r="2083" customFormat="false" ht="12.8" hidden="false" customHeight="false" outlineLevel="0" collapsed="false">
      <c r="A2083" s="10" t="n">
        <f aca="false">A2082+1</f>
        <v>2082</v>
      </c>
      <c r="B2083" s="11" t="n">
        <f aca="false">B2082+1</f>
        <v>47008</v>
      </c>
      <c r="C2083" s="10" t="n">
        <f aca="false">YEAR(B2083)</f>
        <v>2028</v>
      </c>
      <c r="D2083" s="10" t="n">
        <f aca="false">INT((MONTH(B2083)-1)/3)+1</f>
        <v>3</v>
      </c>
      <c r="E2083" s="10" t="n">
        <f aca="false">MONTH(B2083)</f>
        <v>9</v>
      </c>
      <c r="F2083" s="10" t="str">
        <f aca="false">CHOOSE(MOD(A2083-1,5)+1,"Центр","Юг","Север","Запад","Восток")</f>
        <v>Юг</v>
      </c>
      <c r="G2083" s="10" t="str">
        <f aca="false">"Округ_"&amp;(MOD(A2083-1,5)+1)&amp;"_"&amp;(MOD(INT((A2083-1)/5),5)+1)</f>
        <v>Округ_2_2</v>
      </c>
      <c r="H2083" s="10" t="str">
        <f aca="false">"Город_"&amp;(MOD(A2083-1,5)+1)&amp;"_"&amp;(MOD(INT((A2083-1)/5),5)+1)&amp;"_"&amp;(MOD(INT((A2083-1)/25),10)+1)</f>
        <v>Город_2_2_4</v>
      </c>
      <c r="I2083" s="10" t="str">
        <f aca="false">CHOOSE(MOD(A2083-1,4)+1,"Электроника","Одежда","Продукты","Мебель")</f>
        <v>Одежда</v>
      </c>
      <c r="J2083" s="10" t="str">
        <f aca="false">CHOOSE(MOD(INT((A2083-1)/4),4)+1,CHOOSE(MOD(A2083-1,4)+1,"Смартфоны","Ноутбуки","Аксессуары","Аудио"),CHOOSE(MOD(A2083-1,4)+1,"Верхняя одежда","Спортивная","Повседневная","Обувь"),CHOOSE(MOD(A2083-1,4)+1,"Молочные","Мясные","Бакалея","Напитки"),CHOOSE(MOD(A2083-1,4)+1,"Мягкая мебель","Корпусная","Офисная","Кухонная"))</f>
        <v>Ноутбуки</v>
      </c>
      <c r="K2083" s="12" t="n">
        <f aca="false">1000+MOD(A2083*317+A2083*A2083*7,49001)</f>
        <v>35430</v>
      </c>
      <c r="L2083" s="12" t="n">
        <f aca="false">1+MOD(A2083*131,100)</f>
        <v>43</v>
      </c>
      <c r="M2083" s="12" t="n">
        <f aca="false">INT(K2083*(0.6+MOD(A2083*43,21)/100))</f>
        <v>22320</v>
      </c>
      <c r="N2083" s="12" t="n">
        <f aca="false">K2083-M2083</f>
        <v>13110</v>
      </c>
    </row>
    <row r="2084" customFormat="false" ht="12.8" hidden="false" customHeight="false" outlineLevel="0" collapsed="false">
      <c r="A2084" s="10" t="n">
        <f aca="false">A2083+1</f>
        <v>2083</v>
      </c>
      <c r="B2084" s="11" t="n">
        <f aca="false">B2083+1</f>
        <v>47009</v>
      </c>
      <c r="C2084" s="10" t="n">
        <f aca="false">YEAR(B2084)</f>
        <v>2028</v>
      </c>
      <c r="D2084" s="10" t="n">
        <f aca="false">INT((MONTH(B2084)-1)/3)+1</f>
        <v>3</v>
      </c>
      <c r="E2084" s="10" t="n">
        <f aca="false">MONTH(B2084)</f>
        <v>9</v>
      </c>
      <c r="F2084" s="10" t="str">
        <f aca="false">CHOOSE(MOD(A2084-1,5)+1,"Центр","Юг","Север","Запад","Восток")</f>
        <v>Север</v>
      </c>
      <c r="G2084" s="10" t="str">
        <f aca="false">"Округ_"&amp;(MOD(A2084-1,5)+1)&amp;"_"&amp;(MOD(INT((A2084-1)/5),5)+1)</f>
        <v>Округ_3_2</v>
      </c>
      <c r="H2084" s="10" t="str">
        <f aca="false">"Город_"&amp;(MOD(A2084-1,5)+1)&amp;"_"&amp;(MOD(INT((A2084-1)/5),5)+1)&amp;"_"&amp;(MOD(INT((A2084-1)/25),10)+1)</f>
        <v>Город_3_2_4</v>
      </c>
      <c r="I2084" s="10" t="str">
        <f aca="false">CHOOSE(MOD(A2084-1,4)+1,"Электроника","Одежда","Продукты","Мебель")</f>
        <v>Продукты</v>
      </c>
      <c r="J2084" s="10" t="str">
        <f aca="false">CHOOSE(MOD(INT((A2084-1)/4),4)+1,CHOOSE(MOD(A2084-1,4)+1,"Смартфоны","Ноутбуки","Аксессуары","Аудио"),CHOOSE(MOD(A2084-1,4)+1,"Верхняя одежда","Спортивная","Повседневная","Обувь"),CHOOSE(MOD(A2084-1,4)+1,"Молочные","Мясные","Бакалея","Напитки"),CHOOSE(MOD(A2084-1,4)+1,"Мягкая мебель","Корпусная","Офисная","Кухонная"))</f>
        <v>Аксессуары</v>
      </c>
      <c r="K2084" s="12" t="n">
        <f aca="false">1000+MOD(A2084*317+A2084*A2084*7,49001)</f>
        <v>15901</v>
      </c>
      <c r="L2084" s="12" t="n">
        <f aca="false">1+MOD(A2084*131,100)</f>
        <v>74</v>
      </c>
      <c r="M2084" s="12" t="n">
        <f aca="false">INT(K2084*(0.6+MOD(A2084*43,21)/100))</f>
        <v>10176</v>
      </c>
      <c r="N2084" s="12" t="n">
        <f aca="false">K2084-M2084</f>
        <v>5725</v>
      </c>
    </row>
    <row r="2085" customFormat="false" ht="12.8" hidden="false" customHeight="false" outlineLevel="0" collapsed="false">
      <c r="A2085" s="10" t="n">
        <f aca="false">A2084+1</f>
        <v>2084</v>
      </c>
      <c r="B2085" s="11" t="n">
        <f aca="false">B2084+1</f>
        <v>47010</v>
      </c>
      <c r="C2085" s="10" t="n">
        <f aca="false">YEAR(B2085)</f>
        <v>2028</v>
      </c>
      <c r="D2085" s="10" t="n">
        <f aca="false">INT((MONTH(B2085)-1)/3)+1</f>
        <v>3</v>
      </c>
      <c r="E2085" s="10" t="n">
        <f aca="false">MONTH(B2085)</f>
        <v>9</v>
      </c>
      <c r="F2085" s="10" t="str">
        <f aca="false">CHOOSE(MOD(A2085-1,5)+1,"Центр","Юг","Север","Запад","Восток")</f>
        <v>Запад</v>
      </c>
      <c r="G2085" s="10" t="str">
        <f aca="false">"Округ_"&amp;(MOD(A2085-1,5)+1)&amp;"_"&amp;(MOD(INT((A2085-1)/5),5)+1)</f>
        <v>Округ_4_2</v>
      </c>
      <c r="H2085" s="10" t="str">
        <f aca="false">"Город_"&amp;(MOD(A2085-1,5)+1)&amp;"_"&amp;(MOD(INT((A2085-1)/5),5)+1)&amp;"_"&amp;(MOD(INT((A2085-1)/25),10)+1)</f>
        <v>Город_4_2_4</v>
      </c>
      <c r="I2085" s="10" t="str">
        <f aca="false">CHOOSE(MOD(A2085-1,4)+1,"Электроника","Одежда","Продукты","Мебель")</f>
        <v>Мебель</v>
      </c>
      <c r="J2085" s="10" t="str">
        <f aca="false">CHOOSE(MOD(INT((A2085-1)/4),4)+1,CHOOSE(MOD(A2085-1,4)+1,"Смартфоны","Ноутбуки","Аксессуары","Аудио"),CHOOSE(MOD(A2085-1,4)+1,"Верхняя одежда","Спортивная","Повседневная","Обувь"),CHOOSE(MOD(A2085-1,4)+1,"Молочные","Мясные","Бакалея","Напитки"),CHOOSE(MOD(A2085-1,4)+1,"Мягкая мебель","Корпусная","Офисная","Кухонная"))</f>
        <v>Аудио</v>
      </c>
      <c r="K2085" s="12" t="n">
        <f aca="false">1000+MOD(A2085*317+A2085*A2085*7,49001)</f>
        <v>45387</v>
      </c>
      <c r="L2085" s="12" t="n">
        <f aca="false">1+MOD(A2085*131,100)</f>
        <v>5</v>
      </c>
      <c r="M2085" s="12" t="n">
        <f aca="false">INT(K2085*(0.6+MOD(A2085*43,21)/100))</f>
        <v>29501</v>
      </c>
      <c r="N2085" s="12" t="n">
        <f aca="false">K2085-M2085</f>
        <v>15886</v>
      </c>
    </row>
    <row r="2086" customFormat="false" ht="12.8" hidden="false" customHeight="false" outlineLevel="0" collapsed="false">
      <c r="A2086" s="10" t="n">
        <f aca="false">A2085+1</f>
        <v>2085</v>
      </c>
      <c r="B2086" s="11" t="n">
        <f aca="false">B2085+1</f>
        <v>47011</v>
      </c>
      <c r="C2086" s="10" t="n">
        <f aca="false">YEAR(B2086)</f>
        <v>2028</v>
      </c>
      <c r="D2086" s="10" t="n">
        <f aca="false">INT((MONTH(B2086)-1)/3)+1</f>
        <v>3</v>
      </c>
      <c r="E2086" s="10" t="n">
        <f aca="false">MONTH(B2086)</f>
        <v>9</v>
      </c>
      <c r="F2086" s="10" t="str">
        <f aca="false">CHOOSE(MOD(A2086-1,5)+1,"Центр","Юг","Север","Запад","Восток")</f>
        <v>Восток</v>
      </c>
      <c r="G2086" s="10" t="str">
        <f aca="false">"Округ_"&amp;(MOD(A2086-1,5)+1)&amp;"_"&amp;(MOD(INT((A2086-1)/5),5)+1)</f>
        <v>Округ_5_2</v>
      </c>
      <c r="H2086" s="10" t="str">
        <f aca="false">"Город_"&amp;(MOD(A2086-1,5)+1)&amp;"_"&amp;(MOD(INT((A2086-1)/5),5)+1)&amp;"_"&amp;(MOD(INT((A2086-1)/25),10)+1)</f>
        <v>Город_5_2_4</v>
      </c>
      <c r="I2086" s="10" t="str">
        <f aca="false">CHOOSE(MOD(A2086-1,4)+1,"Электроника","Одежда","Продукты","Мебель")</f>
        <v>Электроника</v>
      </c>
      <c r="J2086" s="10" t="str">
        <f aca="false">CHOOSE(MOD(INT((A2086-1)/4),4)+1,CHOOSE(MOD(A2086-1,4)+1,"Смартфоны","Ноутбуки","Аксессуары","Аудио"),CHOOSE(MOD(A2086-1,4)+1,"Верхняя одежда","Спортивная","Повседневная","Обувь"),CHOOSE(MOD(A2086-1,4)+1,"Молочные","Мясные","Бакалея","Напитки"),CHOOSE(MOD(A2086-1,4)+1,"Мягкая мебель","Корпусная","Офисная","Кухонная"))</f>
        <v>Верхняя одежда</v>
      </c>
      <c r="K2086" s="12" t="n">
        <f aca="false">1000+MOD(A2086*317+A2086*A2086*7,49001)</f>
        <v>25886</v>
      </c>
      <c r="L2086" s="12" t="n">
        <f aca="false">1+MOD(A2086*131,100)</f>
        <v>36</v>
      </c>
      <c r="M2086" s="12" t="n">
        <f aca="false">INT(K2086*(0.6+MOD(A2086*43,21)/100))</f>
        <v>17084</v>
      </c>
      <c r="N2086" s="12" t="n">
        <f aca="false">K2086-M2086</f>
        <v>8802</v>
      </c>
    </row>
    <row r="2087" customFormat="false" ht="12.8" hidden="false" customHeight="false" outlineLevel="0" collapsed="false">
      <c r="A2087" s="10" t="n">
        <f aca="false">A2086+1</f>
        <v>2086</v>
      </c>
      <c r="B2087" s="11" t="n">
        <f aca="false">B2086+1</f>
        <v>47012</v>
      </c>
      <c r="C2087" s="10" t="n">
        <f aca="false">YEAR(B2087)</f>
        <v>2028</v>
      </c>
      <c r="D2087" s="10" t="n">
        <f aca="false">INT((MONTH(B2087)-1)/3)+1</f>
        <v>3</v>
      </c>
      <c r="E2087" s="10" t="n">
        <f aca="false">MONTH(B2087)</f>
        <v>9</v>
      </c>
      <c r="F2087" s="10" t="str">
        <f aca="false">CHOOSE(MOD(A2087-1,5)+1,"Центр","Юг","Север","Запад","Восток")</f>
        <v>Центр</v>
      </c>
      <c r="G2087" s="10" t="str">
        <f aca="false">"Округ_"&amp;(MOD(A2087-1,5)+1)&amp;"_"&amp;(MOD(INT((A2087-1)/5),5)+1)</f>
        <v>Округ_1_3</v>
      </c>
      <c r="H2087" s="10" t="str">
        <f aca="false">"Город_"&amp;(MOD(A2087-1,5)+1)&amp;"_"&amp;(MOD(INT((A2087-1)/5),5)+1)&amp;"_"&amp;(MOD(INT((A2087-1)/25),10)+1)</f>
        <v>Город_1_3_4</v>
      </c>
      <c r="I2087" s="10" t="str">
        <f aca="false">CHOOSE(MOD(A2087-1,4)+1,"Электроника","Одежда","Продукты","Мебель")</f>
        <v>Одежда</v>
      </c>
      <c r="J2087" s="10" t="str">
        <f aca="false">CHOOSE(MOD(INT((A2087-1)/4),4)+1,CHOOSE(MOD(A2087-1,4)+1,"Смартфоны","Ноутбуки","Аксессуары","Аудио"),CHOOSE(MOD(A2087-1,4)+1,"Верхняя одежда","Спортивная","Повседневная","Обувь"),CHOOSE(MOD(A2087-1,4)+1,"Молочные","Мясные","Бакалея","Напитки"),CHOOSE(MOD(A2087-1,4)+1,"Мягкая мебель","Корпусная","Офисная","Кухонная"))</f>
        <v>Спортивная</v>
      </c>
      <c r="K2087" s="12" t="n">
        <f aca="false">1000+MOD(A2087*317+A2087*A2087*7,49001)</f>
        <v>6399</v>
      </c>
      <c r="L2087" s="12" t="n">
        <f aca="false">1+MOD(A2087*131,100)</f>
        <v>67</v>
      </c>
      <c r="M2087" s="12" t="n">
        <f aca="false">INT(K2087*(0.6+MOD(A2087*43,21)/100))</f>
        <v>4287</v>
      </c>
      <c r="N2087" s="12" t="n">
        <f aca="false">K2087-M2087</f>
        <v>2112</v>
      </c>
    </row>
    <row r="2088" customFormat="false" ht="12.8" hidden="false" customHeight="false" outlineLevel="0" collapsed="false">
      <c r="A2088" s="10" t="n">
        <f aca="false">A2087+1</f>
        <v>2087</v>
      </c>
      <c r="B2088" s="11" t="n">
        <f aca="false">B2087+1</f>
        <v>47013</v>
      </c>
      <c r="C2088" s="10" t="n">
        <f aca="false">YEAR(B2088)</f>
        <v>2028</v>
      </c>
      <c r="D2088" s="10" t="n">
        <f aca="false">INT((MONTH(B2088)-1)/3)+1</f>
        <v>3</v>
      </c>
      <c r="E2088" s="10" t="n">
        <f aca="false">MONTH(B2088)</f>
        <v>9</v>
      </c>
      <c r="F2088" s="10" t="str">
        <f aca="false">CHOOSE(MOD(A2088-1,5)+1,"Центр","Юг","Север","Запад","Восток")</f>
        <v>Юг</v>
      </c>
      <c r="G2088" s="10" t="str">
        <f aca="false">"Округ_"&amp;(MOD(A2088-1,5)+1)&amp;"_"&amp;(MOD(INT((A2088-1)/5),5)+1)</f>
        <v>Округ_2_3</v>
      </c>
      <c r="H2088" s="10" t="str">
        <f aca="false">"Город_"&amp;(MOD(A2088-1,5)+1)&amp;"_"&amp;(MOD(INT((A2088-1)/5),5)+1)&amp;"_"&amp;(MOD(INT((A2088-1)/25),10)+1)</f>
        <v>Город_2_3_4</v>
      </c>
      <c r="I2088" s="10" t="str">
        <f aca="false">CHOOSE(MOD(A2088-1,4)+1,"Электроника","Одежда","Продукты","Мебель")</f>
        <v>Продукты</v>
      </c>
      <c r="J2088" s="10" t="str">
        <f aca="false">CHOOSE(MOD(INT((A2088-1)/4),4)+1,CHOOSE(MOD(A2088-1,4)+1,"Смартфоны","Ноутбуки","Аксессуары","Аудио"),CHOOSE(MOD(A2088-1,4)+1,"Верхняя одежда","Спортивная","Повседневная","Обувь"),CHOOSE(MOD(A2088-1,4)+1,"Молочные","Мясные","Бакалея","Напитки"),CHOOSE(MOD(A2088-1,4)+1,"Мягкая мебель","Корпусная","Офисная","Кухонная"))</f>
        <v>Повседневная</v>
      </c>
      <c r="K2088" s="12" t="n">
        <f aca="false">1000+MOD(A2088*317+A2088*A2088*7,49001)</f>
        <v>35927</v>
      </c>
      <c r="L2088" s="12" t="n">
        <f aca="false">1+MOD(A2088*131,100)</f>
        <v>98</v>
      </c>
      <c r="M2088" s="12" t="n">
        <f aca="false">INT(K2088*(0.6+MOD(A2088*43,21)/100))</f>
        <v>24430</v>
      </c>
      <c r="N2088" s="12" t="n">
        <f aca="false">K2088-M2088</f>
        <v>11497</v>
      </c>
    </row>
    <row r="2089" customFormat="false" ht="12.8" hidden="false" customHeight="false" outlineLevel="0" collapsed="false">
      <c r="A2089" s="10" t="n">
        <f aca="false">A2088+1</f>
        <v>2088</v>
      </c>
      <c r="B2089" s="11" t="n">
        <f aca="false">B2088+1</f>
        <v>47014</v>
      </c>
      <c r="C2089" s="10" t="n">
        <f aca="false">YEAR(B2089)</f>
        <v>2028</v>
      </c>
      <c r="D2089" s="10" t="n">
        <f aca="false">INT((MONTH(B2089)-1)/3)+1</f>
        <v>3</v>
      </c>
      <c r="E2089" s="10" t="n">
        <f aca="false">MONTH(B2089)</f>
        <v>9</v>
      </c>
      <c r="F2089" s="10" t="str">
        <f aca="false">CHOOSE(MOD(A2089-1,5)+1,"Центр","Юг","Север","Запад","Восток")</f>
        <v>Север</v>
      </c>
      <c r="G2089" s="10" t="str">
        <f aca="false">"Округ_"&amp;(MOD(A2089-1,5)+1)&amp;"_"&amp;(MOD(INT((A2089-1)/5),5)+1)</f>
        <v>Округ_3_3</v>
      </c>
      <c r="H2089" s="10" t="str">
        <f aca="false">"Город_"&amp;(MOD(A2089-1,5)+1)&amp;"_"&amp;(MOD(INT((A2089-1)/5),5)+1)&amp;"_"&amp;(MOD(INT((A2089-1)/25),10)+1)</f>
        <v>Город_3_3_4</v>
      </c>
      <c r="I2089" s="10" t="str">
        <f aca="false">CHOOSE(MOD(A2089-1,4)+1,"Электроника","Одежда","Продукты","Мебель")</f>
        <v>Мебель</v>
      </c>
      <c r="J2089" s="10" t="str">
        <f aca="false">CHOOSE(MOD(INT((A2089-1)/4),4)+1,CHOOSE(MOD(A2089-1,4)+1,"Смартфоны","Ноутбуки","Аксессуары","Аудио"),CHOOSE(MOD(A2089-1,4)+1,"Верхняя одежда","Спортивная","Повседневная","Обувь"),CHOOSE(MOD(A2089-1,4)+1,"Молочные","Мясные","Бакалея","Напитки"),CHOOSE(MOD(A2089-1,4)+1,"Мягкая мебель","Корпусная","Офисная","Кухонная"))</f>
        <v>Обувь</v>
      </c>
      <c r="K2089" s="12" t="n">
        <f aca="false">1000+MOD(A2089*317+A2089*A2089*7,49001)</f>
        <v>16468</v>
      </c>
      <c r="L2089" s="12" t="n">
        <f aca="false">1+MOD(A2089*131,100)</f>
        <v>29</v>
      </c>
      <c r="M2089" s="12" t="n">
        <f aca="false">INT(K2089*(0.6+MOD(A2089*43,21)/100))</f>
        <v>11362</v>
      </c>
      <c r="N2089" s="12" t="n">
        <f aca="false">K2089-M2089</f>
        <v>5106</v>
      </c>
    </row>
    <row r="2090" customFormat="false" ht="12.8" hidden="false" customHeight="false" outlineLevel="0" collapsed="false">
      <c r="A2090" s="10" t="n">
        <f aca="false">A2089+1</f>
        <v>2089</v>
      </c>
      <c r="B2090" s="11" t="n">
        <f aca="false">B2089+1</f>
        <v>47015</v>
      </c>
      <c r="C2090" s="10" t="n">
        <f aca="false">YEAR(B2090)</f>
        <v>2028</v>
      </c>
      <c r="D2090" s="10" t="n">
        <f aca="false">INT((MONTH(B2090)-1)/3)+1</f>
        <v>3</v>
      </c>
      <c r="E2090" s="10" t="n">
        <f aca="false">MONTH(B2090)</f>
        <v>9</v>
      </c>
      <c r="F2090" s="10" t="str">
        <f aca="false">CHOOSE(MOD(A2090-1,5)+1,"Центр","Юг","Север","Запад","Восток")</f>
        <v>Запад</v>
      </c>
      <c r="G2090" s="10" t="str">
        <f aca="false">"Округ_"&amp;(MOD(A2090-1,5)+1)&amp;"_"&amp;(MOD(INT((A2090-1)/5),5)+1)</f>
        <v>Округ_4_3</v>
      </c>
      <c r="H2090" s="10" t="str">
        <f aca="false">"Город_"&amp;(MOD(A2090-1,5)+1)&amp;"_"&amp;(MOD(INT((A2090-1)/5),5)+1)&amp;"_"&amp;(MOD(INT((A2090-1)/25),10)+1)</f>
        <v>Город_4_3_4</v>
      </c>
      <c r="I2090" s="10" t="str">
        <f aca="false">CHOOSE(MOD(A2090-1,4)+1,"Электроника","Одежда","Продукты","Мебель")</f>
        <v>Электроника</v>
      </c>
      <c r="J2090" s="10" t="str">
        <f aca="false">CHOOSE(MOD(INT((A2090-1)/4),4)+1,CHOOSE(MOD(A2090-1,4)+1,"Смартфоны","Ноутбуки","Аксессуары","Аудио"),CHOOSE(MOD(A2090-1,4)+1,"Верхняя одежда","Спортивная","Повседневная","Обувь"),CHOOSE(MOD(A2090-1,4)+1,"Молочные","Мясные","Бакалея","Напитки"),CHOOSE(MOD(A2090-1,4)+1,"Мягкая мебель","Корпусная","Офисная","Кухонная"))</f>
        <v>Молочные</v>
      </c>
      <c r="K2090" s="12" t="n">
        <f aca="false">1000+MOD(A2090*317+A2090*A2090*7,49001)</f>
        <v>46024</v>
      </c>
      <c r="L2090" s="12" t="n">
        <f aca="false">1+MOD(A2090*131,100)</f>
        <v>60</v>
      </c>
      <c r="M2090" s="12" t="n">
        <f aca="false">INT(K2090*(0.6+MOD(A2090*43,21)/100))</f>
        <v>32216</v>
      </c>
      <c r="N2090" s="12" t="n">
        <f aca="false">K2090-M2090</f>
        <v>13808</v>
      </c>
    </row>
    <row r="2091" customFormat="false" ht="12.8" hidden="false" customHeight="false" outlineLevel="0" collapsed="false">
      <c r="A2091" s="10" t="n">
        <f aca="false">A2090+1</f>
        <v>2090</v>
      </c>
      <c r="B2091" s="11" t="n">
        <f aca="false">B2090+1</f>
        <v>47016</v>
      </c>
      <c r="C2091" s="10" t="n">
        <f aca="false">YEAR(B2091)</f>
        <v>2028</v>
      </c>
      <c r="D2091" s="10" t="n">
        <f aca="false">INT((MONTH(B2091)-1)/3)+1</f>
        <v>3</v>
      </c>
      <c r="E2091" s="10" t="n">
        <f aca="false">MONTH(B2091)</f>
        <v>9</v>
      </c>
      <c r="F2091" s="10" t="str">
        <f aca="false">CHOOSE(MOD(A2091-1,5)+1,"Центр","Юг","Север","Запад","Восток")</f>
        <v>Восток</v>
      </c>
      <c r="G2091" s="10" t="str">
        <f aca="false">"Округ_"&amp;(MOD(A2091-1,5)+1)&amp;"_"&amp;(MOD(INT((A2091-1)/5),5)+1)</f>
        <v>Округ_5_3</v>
      </c>
      <c r="H2091" s="10" t="str">
        <f aca="false">"Город_"&amp;(MOD(A2091-1,5)+1)&amp;"_"&amp;(MOD(INT((A2091-1)/5),5)+1)&amp;"_"&amp;(MOD(INT((A2091-1)/25),10)+1)</f>
        <v>Город_5_3_4</v>
      </c>
      <c r="I2091" s="10" t="str">
        <f aca="false">CHOOSE(MOD(A2091-1,4)+1,"Электроника","Одежда","Продукты","Мебель")</f>
        <v>Одежда</v>
      </c>
      <c r="J2091" s="10" t="str">
        <f aca="false">CHOOSE(MOD(INT((A2091-1)/4),4)+1,CHOOSE(MOD(A2091-1,4)+1,"Смартфоны","Ноутбуки","Аксессуары","Аудио"),CHOOSE(MOD(A2091-1,4)+1,"Верхняя одежда","Спортивная","Повседневная","Обувь"),CHOOSE(MOD(A2091-1,4)+1,"Молочные","Мясные","Бакалея","Напитки"),CHOOSE(MOD(A2091-1,4)+1,"Мягкая мебель","Корпусная","Офисная","Кухонная"))</f>
        <v>Мясные</v>
      </c>
      <c r="K2091" s="12" t="n">
        <f aca="false">1000+MOD(A2091*317+A2091*A2091*7,49001)</f>
        <v>26593</v>
      </c>
      <c r="L2091" s="12" t="n">
        <f aca="false">1+MOD(A2091*131,100)</f>
        <v>91</v>
      </c>
      <c r="M2091" s="12" t="n">
        <f aca="false">INT(K2091*(0.6+MOD(A2091*43,21)/100))</f>
        <v>18881</v>
      </c>
      <c r="N2091" s="12" t="n">
        <f aca="false">K2091-M2091</f>
        <v>7712</v>
      </c>
    </row>
    <row r="2092" customFormat="false" ht="12.8" hidden="false" customHeight="false" outlineLevel="0" collapsed="false">
      <c r="A2092" s="10" t="n">
        <f aca="false">A2091+1</f>
        <v>2091</v>
      </c>
      <c r="B2092" s="11" t="n">
        <f aca="false">B2091+1</f>
        <v>47017</v>
      </c>
      <c r="C2092" s="10" t="n">
        <f aca="false">YEAR(B2092)</f>
        <v>2028</v>
      </c>
      <c r="D2092" s="10" t="n">
        <f aca="false">INT((MONTH(B2092)-1)/3)+1</f>
        <v>3</v>
      </c>
      <c r="E2092" s="10" t="n">
        <f aca="false">MONTH(B2092)</f>
        <v>9</v>
      </c>
      <c r="F2092" s="10" t="str">
        <f aca="false">CHOOSE(MOD(A2092-1,5)+1,"Центр","Юг","Север","Запад","Восток")</f>
        <v>Центр</v>
      </c>
      <c r="G2092" s="10" t="str">
        <f aca="false">"Округ_"&amp;(MOD(A2092-1,5)+1)&amp;"_"&amp;(MOD(INT((A2092-1)/5),5)+1)</f>
        <v>Округ_1_4</v>
      </c>
      <c r="H2092" s="10" t="str">
        <f aca="false">"Город_"&amp;(MOD(A2092-1,5)+1)&amp;"_"&amp;(MOD(INT((A2092-1)/5),5)+1)&amp;"_"&amp;(MOD(INT((A2092-1)/25),10)+1)</f>
        <v>Город_1_4_4</v>
      </c>
      <c r="I2092" s="10" t="str">
        <f aca="false">CHOOSE(MOD(A2092-1,4)+1,"Электроника","Одежда","Продукты","Мебель")</f>
        <v>Продукты</v>
      </c>
      <c r="J2092" s="10" t="str">
        <f aca="false">CHOOSE(MOD(INT((A2092-1)/4),4)+1,CHOOSE(MOD(A2092-1,4)+1,"Смартфоны","Ноутбуки","Аксессуары","Аудио"),CHOOSE(MOD(A2092-1,4)+1,"Верхняя одежда","Спортивная","Повседневная","Обувь"),CHOOSE(MOD(A2092-1,4)+1,"Молочные","Мясные","Бакалея","Напитки"),CHOOSE(MOD(A2092-1,4)+1,"Мягкая мебель","Корпусная","Офисная","Кухонная"))</f>
        <v>Бакалея</v>
      </c>
      <c r="K2092" s="12" t="n">
        <f aca="false">1000+MOD(A2092*317+A2092*A2092*7,49001)</f>
        <v>7176</v>
      </c>
      <c r="L2092" s="12" t="n">
        <f aca="false">1+MOD(A2092*131,100)</f>
        <v>22</v>
      </c>
      <c r="M2092" s="12" t="n">
        <f aca="false">INT(K2092*(0.6+MOD(A2092*43,21)/100))</f>
        <v>5166</v>
      </c>
      <c r="N2092" s="12" t="n">
        <f aca="false">K2092-M2092</f>
        <v>2010</v>
      </c>
    </row>
    <row r="2093" customFormat="false" ht="12.8" hidden="false" customHeight="false" outlineLevel="0" collapsed="false">
      <c r="A2093" s="10" t="n">
        <f aca="false">A2092+1</f>
        <v>2092</v>
      </c>
      <c r="B2093" s="11" t="n">
        <f aca="false">B2092+1</f>
        <v>47018</v>
      </c>
      <c r="C2093" s="10" t="n">
        <f aca="false">YEAR(B2093)</f>
        <v>2028</v>
      </c>
      <c r="D2093" s="10" t="n">
        <f aca="false">INT((MONTH(B2093)-1)/3)+1</f>
        <v>3</v>
      </c>
      <c r="E2093" s="10" t="n">
        <f aca="false">MONTH(B2093)</f>
        <v>9</v>
      </c>
      <c r="F2093" s="10" t="str">
        <f aca="false">CHOOSE(MOD(A2093-1,5)+1,"Центр","Юг","Север","Запад","Восток")</f>
        <v>Юг</v>
      </c>
      <c r="G2093" s="10" t="str">
        <f aca="false">"Округ_"&amp;(MOD(A2093-1,5)+1)&amp;"_"&amp;(MOD(INT((A2093-1)/5),5)+1)</f>
        <v>Округ_2_4</v>
      </c>
      <c r="H2093" s="10" t="str">
        <f aca="false">"Город_"&amp;(MOD(A2093-1,5)+1)&amp;"_"&amp;(MOD(INT((A2093-1)/5),5)+1)&amp;"_"&amp;(MOD(INT((A2093-1)/25),10)+1)</f>
        <v>Город_2_4_4</v>
      </c>
      <c r="I2093" s="10" t="str">
        <f aca="false">CHOOSE(MOD(A2093-1,4)+1,"Электроника","Одежда","Продукты","Мебель")</f>
        <v>Мебель</v>
      </c>
      <c r="J2093" s="10" t="str">
        <f aca="false">CHOOSE(MOD(INT((A2093-1)/4),4)+1,CHOOSE(MOD(A2093-1,4)+1,"Смартфоны","Ноутбуки","Аксессуары","Аудио"),CHOOSE(MOD(A2093-1,4)+1,"Верхняя одежда","Спортивная","Повседневная","Обувь"),CHOOSE(MOD(A2093-1,4)+1,"Молочные","Мясные","Бакалея","Напитки"),CHOOSE(MOD(A2093-1,4)+1,"Мягкая мебель","Корпусная","Офисная","Кухонная"))</f>
        <v>Напитки</v>
      </c>
      <c r="K2093" s="12" t="n">
        <f aca="false">1000+MOD(A2093*317+A2093*A2093*7,49001)</f>
        <v>36774</v>
      </c>
      <c r="L2093" s="12" t="n">
        <f aca="false">1+MOD(A2093*131,100)</f>
        <v>53</v>
      </c>
      <c r="M2093" s="12" t="n">
        <f aca="false">INT(K2093*(0.6+MOD(A2093*43,21)/100))</f>
        <v>26845</v>
      </c>
      <c r="N2093" s="12" t="n">
        <f aca="false">K2093-M2093</f>
        <v>9929</v>
      </c>
    </row>
    <row r="2094" customFormat="false" ht="12.8" hidden="false" customHeight="false" outlineLevel="0" collapsed="false">
      <c r="A2094" s="10" t="n">
        <f aca="false">A2093+1</f>
        <v>2093</v>
      </c>
      <c r="B2094" s="11" t="n">
        <f aca="false">B2093+1</f>
        <v>47019</v>
      </c>
      <c r="C2094" s="10" t="n">
        <f aca="false">YEAR(B2094)</f>
        <v>2028</v>
      </c>
      <c r="D2094" s="10" t="n">
        <f aca="false">INT((MONTH(B2094)-1)/3)+1</f>
        <v>3</v>
      </c>
      <c r="E2094" s="10" t="n">
        <f aca="false">MONTH(B2094)</f>
        <v>9</v>
      </c>
      <c r="F2094" s="10" t="str">
        <f aca="false">CHOOSE(MOD(A2094-1,5)+1,"Центр","Юг","Север","Запад","Восток")</f>
        <v>Север</v>
      </c>
      <c r="G2094" s="10" t="str">
        <f aca="false">"Округ_"&amp;(MOD(A2094-1,5)+1)&amp;"_"&amp;(MOD(INT((A2094-1)/5),5)+1)</f>
        <v>Округ_3_4</v>
      </c>
      <c r="H2094" s="10" t="str">
        <f aca="false">"Город_"&amp;(MOD(A2094-1,5)+1)&amp;"_"&amp;(MOD(INT((A2094-1)/5),5)+1)&amp;"_"&amp;(MOD(INT((A2094-1)/25),10)+1)</f>
        <v>Город_3_4_4</v>
      </c>
      <c r="I2094" s="10" t="str">
        <f aca="false">CHOOSE(MOD(A2094-1,4)+1,"Электроника","Одежда","Продукты","Мебель")</f>
        <v>Электроника</v>
      </c>
      <c r="J2094" s="10" t="str">
        <f aca="false">CHOOSE(MOD(INT((A2094-1)/4),4)+1,CHOOSE(MOD(A2094-1,4)+1,"Смартфоны","Ноутбуки","Аксессуары","Аудио"),CHOOSE(MOD(A2094-1,4)+1,"Верхняя одежда","Спортивная","Повседневная","Обувь"),CHOOSE(MOD(A2094-1,4)+1,"Молочные","Мясные","Бакалея","Напитки"),CHOOSE(MOD(A2094-1,4)+1,"Мягкая мебель","Корпусная","Офисная","Кухонная"))</f>
        <v>Мягкая мебель</v>
      </c>
      <c r="K2094" s="12" t="n">
        <f aca="false">1000+MOD(A2094*317+A2094*A2094*7,49001)</f>
        <v>17385</v>
      </c>
      <c r="L2094" s="12" t="n">
        <f aca="false">1+MOD(A2094*131,100)</f>
        <v>84</v>
      </c>
      <c r="M2094" s="12" t="n">
        <f aca="false">INT(K2094*(0.6+MOD(A2094*43,21)/100))</f>
        <v>12864</v>
      </c>
      <c r="N2094" s="12" t="n">
        <f aca="false">K2094-M2094</f>
        <v>4521</v>
      </c>
    </row>
    <row r="2095" customFormat="false" ht="12.8" hidden="false" customHeight="false" outlineLevel="0" collapsed="false">
      <c r="A2095" s="10" t="n">
        <f aca="false">A2094+1</f>
        <v>2094</v>
      </c>
      <c r="B2095" s="11" t="n">
        <f aca="false">B2094+1</f>
        <v>47020</v>
      </c>
      <c r="C2095" s="10" t="n">
        <f aca="false">YEAR(B2095)</f>
        <v>2028</v>
      </c>
      <c r="D2095" s="10" t="n">
        <f aca="false">INT((MONTH(B2095)-1)/3)+1</f>
        <v>3</v>
      </c>
      <c r="E2095" s="10" t="n">
        <f aca="false">MONTH(B2095)</f>
        <v>9</v>
      </c>
      <c r="F2095" s="10" t="str">
        <f aca="false">CHOOSE(MOD(A2095-1,5)+1,"Центр","Юг","Север","Запад","Восток")</f>
        <v>Запад</v>
      </c>
      <c r="G2095" s="10" t="str">
        <f aca="false">"Округ_"&amp;(MOD(A2095-1,5)+1)&amp;"_"&amp;(MOD(INT((A2095-1)/5),5)+1)</f>
        <v>Округ_4_4</v>
      </c>
      <c r="H2095" s="10" t="str">
        <f aca="false">"Город_"&amp;(MOD(A2095-1,5)+1)&amp;"_"&amp;(MOD(INT((A2095-1)/5),5)+1)&amp;"_"&amp;(MOD(INT((A2095-1)/25),10)+1)</f>
        <v>Город_4_4_4</v>
      </c>
      <c r="I2095" s="10" t="str">
        <f aca="false">CHOOSE(MOD(A2095-1,4)+1,"Электроника","Одежда","Продукты","Мебель")</f>
        <v>Одежда</v>
      </c>
      <c r="J2095" s="10" t="str">
        <f aca="false">CHOOSE(MOD(INT((A2095-1)/4),4)+1,CHOOSE(MOD(A2095-1,4)+1,"Смартфоны","Ноутбуки","Аксессуары","Аудио"),CHOOSE(MOD(A2095-1,4)+1,"Верхняя одежда","Спортивная","Повседневная","Обувь"),CHOOSE(MOD(A2095-1,4)+1,"Молочные","Мясные","Бакалея","Напитки"),CHOOSE(MOD(A2095-1,4)+1,"Мягкая мебель","Корпусная","Офисная","Кухонная"))</f>
        <v>Корпусная</v>
      </c>
      <c r="K2095" s="12" t="n">
        <f aca="false">1000+MOD(A2095*317+A2095*A2095*7,49001)</f>
        <v>47011</v>
      </c>
      <c r="L2095" s="12" t="n">
        <f aca="false">1+MOD(A2095*131,100)</f>
        <v>15</v>
      </c>
      <c r="M2095" s="12" t="n">
        <f aca="false">INT(K2095*(0.6+MOD(A2095*43,21)/100))</f>
        <v>35258</v>
      </c>
      <c r="N2095" s="12" t="n">
        <f aca="false">K2095-M2095</f>
        <v>11753</v>
      </c>
    </row>
    <row r="2096" customFormat="false" ht="12.8" hidden="false" customHeight="false" outlineLevel="0" collapsed="false">
      <c r="A2096" s="10" t="n">
        <f aca="false">A2095+1</f>
        <v>2095</v>
      </c>
      <c r="B2096" s="11" t="n">
        <f aca="false">B2095+1</f>
        <v>47021</v>
      </c>
      <c r="C2096" s="10" t="n">
        <f aca="false">YEAR(B2096)</f>
        <v>2028</v>
      </c>
      <c r="D2096" s="10" t="n">
        <f aca="false">INT((MONTH(B2096)-1)/3)+1</f>
        <v>3</v>
      </c>
      <c r="E2096" s="10" t="n">
        <f aca="false">MONTH(B2096)</f>
        <v>9</v>
      </c>
      <c r="F2096" s="10" t="str">
        <f aca="false">CHOOSE(MOD(A2096-1,5)+1,"Центр","Юг","Север","Запад","Восток")</f>
        <v>Восток</v>
      </c>
      <c r="G2096" s="10" t="str">
        <f aca="false">"Округ_"&amp;(MOD(A2096-1,5)+1)&amp;"_"&amp;(MOD(INT((A2096-1)/5),5)+1)</f>
        <v>Округ_5_4</v>
      </c>
      <c r="H2096" s="10" t="str">
        <f aca="false">"Город_"&amp;(MOD(A2096-1,5)+1)&amp;"_"&amp;(MOD(INT((A2096-1)/5),5)+1)&amp;"_"&amp;(MOD(INT((A2096-1)/25),10)+1)</f>
        <v>Город_5_4_4</v>
      </c>
      <c r="I2096" s="10" t="str">
        <f aca="false">CHOOSE(MOD(A2096-1,4)+1,"Электроника","Одежда","Продукты","Мебель")</f>
        <v>Продукты</v>
      </c>
      <c r="J2096" s="10" t="str">
        <f aca="false">CHOOSE(MOD(INT((A2096-1)/4),4)+1,CHOOSE(MOD(A2096-1,4)+1,"Смартфоны","Ноутбуки","Аксессуары","Аудио"),CHOOSE(MOD(A2096-1,4)+1,"Верхняя одежда","Спортивная","Повседневная","Обувь"),CHOOSE(MOD(A2096-1,4)+1,"Молочные","Мясные","Бакалея","Напитки"),CHOOSE(MOD(A2096-1,4)+1,"Мягкая мебель","Корпусная","Офисная","Кухонная"))</f>
        <v>Офисная</v>
      </c>
      <c r="K2096" s="12" t="n">
        <f aca="false">1000+MOD(A2096*317+A2096*A2096*7,49001)</f>
        <v>27650</v>
      </c>
      <c r="L2096" s="12" t="n">
        <f aca="false">1+MOD(A2096*131,100)</f>
        <v>46</v>
      </c>
      <c r="M2096" s="12" t="n">
        <f aca="false">INT(K2096*(0.6+MOD(A2096*43,21)/100))</f>
        <v>21014</v>
      </c>
      <c r="N2096" s="12" t="n">
        <f aca="false">K2096-M2096</f>
        <v>6636</v>
      </c>
    </row>
    <row r="2097" customFormat="false" ht="12.8" hidden="false" customHeight="false" outlineLevel="0" collapsed="false">
      <c r="A2097" s="10" t="n">
        <f aca="false">A2096+1</f>
        <v>2096</v>
      </c>
      <c r="B2097" s="11" t="n">
        <f aca="false">B2096+1</f>
        <v>47022</v>
      </c>
      <c r="C2097" s="10" t="n">
        <f aca="false">YEAR(B2097)</f>
        <v>2028</v>
      </c>
      <c r="D2097" s="10" t="n">
        <f aca="false">INT((MONTH(B2097)-1)/3)+1</f>
        <v>3</v>
      </c>
      <c r="E2097" s="10" t="n">
        <f aca="false">MONTH(B2097)</f>
        <v>9</v>
      </c>
      <c r="F2097" s="10" t="str">
        <f aca="false">CHOOSE(MOD(A2097-1,5)+1,"Центр","Юг","Север","Запад","Восток")</f>
        <v>Центр</v>
      </c>
      <c r="G2097" s="10" t="str">
        <f aca="false">"Округ_"&amp;(MOD(A2097-1,5)+1)&amp;"_"&amp;(MOD(INT((A2097-1)/5),5)+1)</f>
        <v>Округ_1_5</v>
      </c>
      <c r="H2097" s="10" t="str">
        <f aca="false">"Город_"&amp;(MOD(A2097-1,5)+1)&amp;"_"&amp;(MOD(INT((A2097-1)/5),5)+1)&amp;"_"&amp;(MOD(INT((A2097-1)/25),10)+1)</f>
        <v>Город_1_5_4</v>
      </c>
      <c r="I2097" s="10" t="str">
        <f aca="false">CHOOSE(MOD(A2097-1,4)+1,"Электроника","Одежда","Продукты","Мебель")</f>
        <v>Мебель</v>
      </c>
      <c r="J2097" s="10" t="str">
        <f aca="false">CHOOSE(MOD(INT((A2097-1)/4),4)+1,CHOOSE(MOD(A2097-1,4)+1,"Смартфоны","Ноутбуки","Аксессуары","Аудио"),CHOOSE(MOD(A2097-1,4)+1,"Верхняя одежда","Спортивная","Повседневная","Обувь"),CHOOSE(MOD(A2097-1,4)+1,"Молочные","Мясные","Бакалея","Напитки"),CHOOSE(MOD(A2097-1,4)+1,"Мягкая мебель","Корпусная","Офисная","Кухонная"))</f>
        <v>Кухонная</v>
      </c>
      <c r="K2097" s="12" t="n">
        <f aca="false">1000+MOD(A2097*317+A2097*A2097*7,49001)</f>
        <v>8303</v>
      </c>
      <c r="L2097" s="12" t="n">
        <f aca="false">1+MOD(A2097*131,100)</f>
        <v>77</v>
      </c>
      <c r="M2097" s="12" t="n">
        <f aca="false">INT(K2097*(0.6+MOD(A2097*43,21)/100))</f>
        <v>6393</v>
      </c>
      <c r="N2097" s="12" t="n">
        <f aca="false">K2097-M2097</f>
        <v>1910</v>
      </c>
    </row>
    <row r="2098" customFormat="false" ht="12.8" hidden="false" customHeight="false" outlineLevel="0" collapsed="false">
      <c r="A2098" s="10" t="n">
        <f aca="false">A2097+1</f>
        <v>2097</v>
      </c>
      <c r="B2098" s="11" t="n">
        <f aca="false">B2097+1</f>
        <v>47023</v>
      </c>
      <c r="C2098" s="10" t="n">
        <f aca="false">YEAR(B2098)</f>
        <v>2028</v>
      </c>
      <c r="D2098" s="10" t="n">
        <f aca="false">INT((MONTH(B2098)-1)/3)+1</f>
        <v>3</v>
      </c>
      <c r="E2098" s="10" t="n">
        <f aca="false">MONTH(B2098)</f>
        <v>9</v>
      </c>
      <c r="F2098" s="10" t="str">
        <f aca="false">CHOOSE(MOD(A2098-1,5)+1,"Центр","Юг","Север","Запад","Восток")</f>
        <v>Юг</v>
      </c>
      <c r="G2098" s="10" t="str">
        <f aca="false">"Округ_"&amp;(MOD(A2098-1,5)+1)&amp;"_"&amp;(MOD(INT((A2098-1)/5),5)+1)</f>
        <v>Округ_2_5</v>
      </c>
      <c r="H2098" s="10" t="str">
        <f aca="false">"Город_"&amp;(MOD(A2098-1,5)+1)&amp;"_"&amp;(MOD(INT((A2098-1)/5),5)+1)&amp;"_"&amp;(MOD(INT((A2098-1)/25),10)+1)</f>
        <v>Город_2_5_4</v>
      </c>
      <c r="I2098" s="10" t="str">
        <f aca="false">CHOOSE(MOD(A2098-1,4)+1,"Электроника","Одежда","Продукты","Мебель")</f>
        <v>Электроника</v>
      </c>
      <c r="J2098" s="10" t="str">
        <f aca="false">CHOOSE(MOD(INT((A2098-1)/4),4)+1,CHOOSE(MOD(A2098-1,4)+1,"Смартфоны","Ноутбуки","Аксессуары","Аудио"),CHOOSE(MOD(A2098-1,4)+1,"Верхняя одежда","Спортивная","Повседневная","Обувь"),CHOOSE(MOD(A2098-1,4)+1,"Молочные","Мясные","Бакалея","Напитки"),CHOOSE(MOD(A2098-1,4)+1,"Мягкая мебель","Корпусная","Офисная","Кухонная"))</f>
        <v>Смартфоны</v>
      </c>
      <c r="K2098" s="12" t="n">
        <f aca="false">1000+MOD(A2098*317+A2098*A2098*7,49001)</f>
        <v>37971</v>
      </c>
      <c r="L2098" s="12" t="n">
        <f aca="false">1+MOD(A2098*131,100)</f>
        <v>8</v>
      </c>
      <c r="M2098" s="12" t="n">
        <f aca="false">INT(K2098*(0.6+MOD(A2098*43,21)/100))</f>
        <v>29617</v>
      </c>
      <c r="N2098" s="12" t="n">
        <f aca="false">K2098-M2098</f>
        <v>8354</v>
      </c>
    </row>
    <row r="2099" customFormat="false" ht="12.8" hidden="false" customHeight="false" outlineLevel="0" collapsed="false">
      <c r="A2099" s="10" t="n">
        <f aca="false">A2098+1</f>
        <v>2098</v>
      </c>
      <c r="B2099" s="11" t="n">
        <f aca="false">B2098+1</f>
        <v>47024</v>
      </c>
      <c r="C2099" s="10" t="n">
        <f aca="false">YEAR(B2099)</f>
        <v>2028</v>
      </c>
      <c r="D2099" s="10" t="n">
        <f aca="false">INT((MONTH(B2099)-1)/3)+1</f>
        <v>3</v>
      </c>
      <c r="E2099" s="10" t="n">
        <f aca="false">MONTH(B2099)</f>
        <v>9</v>
      </c>
      <c r="F2099" s="10" t="str">
        <f aca="false">CHOOSE(MOD(A2099-1,5)+1,"Центр","Юг","Север","Запад","Восток")</f>
        <v>Север</v>
      </c>
      <c r="G2099" s="10" t="str">
        <f aca="false">"Округ_"&amp;(MOD(A2099-1,5)+1)&amp;"_"&amp;(MOD(INT((A2099-1)/5),5)+1)</f>
        <v>Округ_3_5</v>
      </c>
      <c r="H2099" s="10" t="str">
        <f aca="false">"Город_"&amp;(MOD(A2099-1,5)+1)&amp;"_"&amp;(MOD(INT((A2099-1)/5),5)+1)&amp;"_"&amp;(MOD(INT((A2099-1)/25),10)+1)</f>
        <v>Город_3_5_4</v>
      </c>
      <c r="I2099" s="10" t="str">
        <f aca="false">CHOOSE(MOD(A2099-1,4)+1,"Электроника","Одежда","Продукты","Мебель")</f>
        <v>Одежда</v>
      </c>
      <c r="J2099" s="10" t="str">
        <f aca="false">CHOOSE(MOD(INT((A2099-1)/4),4)+1,CHOOSE(MOD(A2099-1,4)+1,"Смартфоны","Ноутбуки","Аксессуары","Аудио"),CHOOSE(MOD(A2099-1,4)+1,"Верхняя одежда","Спортивная","Повседневная","Обувь"),CHOOSE(MOD(A2099-1,4)+1,"Молочные","Мясные","Бакалея","Напитки"),CHOOSE(MOD(A2099-1,4)+1,"Мягкая мебель","Корпусная","Офисная","Кухонная"))</f>
        <v>Ноутбуки</v>
      </c>
      <c r="K2099" s="12" t="n">
        <f aca="false">1000+MOD(A2099*317+A2099*A2099*7,49001)</f>
        <v>18652</v>
      </c>
      <c r="L2099" s="12" t="n">
        <f aca="false">1+MOD(A2099*131,100)</f>
        <v>39</v>
      </c>
      <c r="M2099" s="12" t="n">
        <f aca="false">INT(K2099*(0.6+MOD(A2099*43,21)/100))</f>
        <v>14735</v>
      </c>
      <c r="N2099" s="12" t="n">
        <f aca="false">K2099-M2099</f>
        <v>3917</v>
      </c>
    </row>
    <row r="2100" customFormat="false" ht="12.8" hidden="false" customHeight="false" outlineLevel="0" collapsed="false">
      <c r="A2100" s="10" t="n">
        <f aca="false">A2099+1</f>
        <v>2099</v>
      </c>
      <c r="B2100" s="11" t="n">
        <f aca="false">B2099+1</f>
        <v>47025</v>
      </c>
      <c r="C2100" s="10" t="n">
        <f aca="false">YEAR(B2100)</f>
        <v>2028</v>
      </c>
      <c r="D2100" s="10" t="n">
        <f aca="false">INT((MONTH(B2100)-1)/3)+1</f>
        <v>3</v>
      </c>
      <c r="E2100" s="10" t="n">
        <f aca="false">MONTH(B2100)</f>
        <v>9</v>
      </c>
      <c r="F2100" s="10" t="str">
        <f aca="false">CHOOSE(MOD(A2100-1,5)+1,"Центр","Юг","Север","Запад","Восток")</f>
        <v>Запад</v>
      </c>
      <c r="G2100" s="10" t="str">
        <f aca="false">"Округ_"&amp;(MOD(A2100-1,5)+1)&amp;"_"&amp;(MOD(INT((A2100-1)/5),5)+1)</f>
        <v>Округ_4_5</v>
      </c>
      <c r="H2100" s="10" t="str">
        <f aca="false">"Город_"&amp;(MOD(A2100-1,5)+1)&amp;"_"&amp;(MOD(INT((A2100-1)/5),5)+1)&amp;"_"&amp;(MOD(INT((A2100-1)/25),10)+1)</f>
        <v>Город_4_5_4</v>
      </c>
      <c r="I2100" s="10" t="str">
        <f aca="false">CHOOSE(MOD(A2100-1,4)+1,"Электроника","Одежда","Продукты","Мебель")</f>
        <v>Продукты</v>
      </c>
      <c r="J2100" s="10" t="str">
        <f aca="false">CHOOSE(MOD(INT((A2100-1)/4),4)+1,CHOOSE(MOD(A2100-1,4)+1,"Смартфоны","Ноутбуки","Аксессуары","Аудио"),CHOOSE(MOD(A2100-1,4)+1,"Верхняя одежда","Спортивная","Повседневная","Обувь"),CHOOSE(MOD(A2100-1,4)+1,"Молочные","Мясные","Бакалея","Напитки"),CHOOSE(MOD(A2100-1,4)+1,"Мягкая мебель","Корпусная","Офисная","Кухонная"))</f>
        <v>Аксессуары</v>
      </c>
      <c r="K2100" s="12" t="n">
        <f aca="false">1000+MOD(A2100*317+A2100*A2100*7,49001)</f>
        <v>48348</v>
      </c>
      <c r="L2100" s="12" t="n">
        <f aca="false">1+MOD(A2100*131,100)</f>
        <v>70</v>
      </c>
      <c r="M2100" s="12" t="n">
        <f aca="false">INT(K2100*(0.6+MOD(A2100*43,21)/100))</f>
        <v>38678</v>
      </c>
      <c r="N2100" s="12" t="n">
        <f aca="false">K2100-M2100</f>
        <v>9670</v>
      </c>
    </row>
    <row r="2101" customFormat="false" ht="12.8" hidden="false" customHeight="false" outlineLevel="0" collapsed="false">
      <c r="A2101" s="10" t="n">
        <f aca="false">A2100+1</f>
        <v>2100</v>
      </c>
      <c r="B2101" s="11" t="n">
        <f aca="false">B2100+1</f>
        <v>47026</v>
      </c>
      <c r="C2101" s="10" t="n">
        <f aca="false">YEAR(B2101)</f>
        <v>2028</v>
      </c>
      <c r="D2101" s="10" t="n">
        <f aca="false">INT((MONTH(B2101)-1)/3)+1</f>
        <v>3</v>
      </c>
      <c r="E2101" s="10" t="n">
        <f aca="false">MONTH(B2101)</f>
        <v>9</v>
      </c>
      <c r="F2101" s="10" t="str">
        <f aca="false">CHOOSE(MOD(A2101-1,5)+1,"Центр","Юг","Север","Запад","Восток")</f>
        <v>Восток</v>
      </c>
      <c r="G2101" s="10" t="str">
        <f aca="false">"Округ_"&amp;(MOD(A2101-1,5)+1)&amp;"_"&amp;(MOD(INT((A2101-1)/5),5)+1)</f>
        <v>Округ_5_5</v>
      </c>
      <c r="H2101" s="10" t="str">
        <f aca="false">"Город_"&amp;(MOD(A2101-1,5)+1)&amp;"_"&amp;(MOD(INT((A2101-1)/5),5)+1)&amp;"_"&amp;(MOD(INT((A2101-1)/25),10)+1)</f>
        <v>Город_5_5_4</v>
      </c>
      <c r="I2101" s="10" t="str">
        <f aca="false">CHOOSE(MOD(A2101-1,4)+1,"Электроника","Одежда","Продукты","Мебель")</f>
        <v>Мебель</v>
      </c>
      <c r="J2101" s="10" t="str">
        <f aca="false">CHOOSE(MOD(INT((A2101-1)/4),4)+1,CHOOSE(MOD(A2101-1,4)+1,"Смартфоны","Ноутбуки","Аксессуары","Аудио"),CHOOSE(MOD(A2101-1,4)+1,"Верхняя одежда","Спортивная","Повседневная","Обувь"),CHOOSE(MOD(A2101-1,4)+1,"Молочные","Мясные","Бакалея","Напитки"),CHOOSE(MOD(A2101-1,4)+1,"Мягкая мебель","Корпусная","Офисная","Кухонная"))</f>
        <v>Аудио</v>
      </c>
      <c r="K2101" s="12" t="n">
        <f aca="false">1000+MOD(A2101*317+A2101*A2101*7,49001)</f>
        <v>29057</v>
      </c>
      <c r="L2101" s="12" t="n">
        <f aca="false">1+MOD(A2101*131,100)</f>
        <v>1</v>
      </c>
      <c r="M2101" s="12" t="n">
        <f aca="false">INT(K2101*(0.6+MOD(A2101*43,21)/100))</f>
        <v>17434</v>
      </c>
      <c r="N2101" s="12" t="n">
        <f aca="false">K2101-M2101</f>
        <v>11623</v>
      </c>
    </row>
    <row r="2102" customFormat="false" ht="12.8" hidden="false" customHeight="false" outlineLevel="0" collapsed="false">
      <c r="A2102" s="10" t="n">
        <f aca="false">A2101+1</f>
        <v>2101</v>
      </c>
      <c r="B2102" s="11" t="n">
        <f aca="false">B2101+1</f>
        <v>47027</v>
      </c>
      <c r="C2102" s="10" t="n">
        <f aca="false">YEAR(B2102)</f>
        <v>2028</v>
      </c>
      <c r="D2102" s="10" t="n">
        <f aca="false">INT((MONTH(B2102)-1)/3)+1</f>
        <v>4</v>
      </c>
      <c r="E2102" s="10" t="n">
        <f aca="false">MONTH(B2102)</f>
        <v>10</v>
      </c>
      <c r="F2102" s="10" t="str">
        <f aca="false">CHOOSE(MOD(A2102-1,5)+1,"Центр","Юг","Север","Запад","Восток")</f>
        <v>Центр</v>
      </c>
      <c r="G2102" s="10" t="str">
        <f aca="false">"Округ_"&amp;(MOD(A2102-1,5)+1)&amp;"_"&amp;(MOD(INT((A2102-1)/5),5)+1)</f>
        <v>Округ_1_1</v>
      </c>
      <c r="H2102" s="10" t="str">
        <f aca="false">"Город_"&amp;(MOD(A2102-1,5)+1)&amp;"_"&amp;(MOD(INT((A2102-1)/5),5)+1)&amp;"_"&amp;(MOD(INT((A2102-1)/25),10)+1)</f>
        <v>Город_1_1_5</v>
      </c>
      <c r="I2102" s="10" t="str">
        <f aca="false">CHOOSE(MOD(A2102-1,4)+1,"Электроника","Одежда","Продукты","Мебель")</f>
        <v>Электроника</v>
      </c>
      <c r="J2102" s="10" t="str">
        <f aca="false">CHOOSE(MOD(INT((A2102-1)/4),4)+1,CHOOSE(MOD(A2102-1,4)+1,"Смартфоны","Ноутбуки","Аксессуары","Аудио"),CHOOSE(MOD(A2102-1,4)+1,"Верхняя одежда","Спортивная","Повседневная","Обувь"),CHOOSE(MOD(A2102-1,4)+1,"Молочные","Мясные","Бакалея","Напитки"),CHOOSE(MOD(A2102-1,4)+1,"Мягкая мебель","Корпусная","Офисная","Кухонная"))</f>
        <v>Верхняя одежда</v>
      </c>
      <c r="K2102" s="12" t="n">
        <f aca="false">1000+MOD(A2102*317+A2102*A2102*7,49001)</f>
        <v>9780</v>
      </c>
      <c r="L2102" s="12" t="n">
        <f aca="false">1+MOD(A2102*131,100)</f>
        <v>32</v>
      </c>
      <c r="M2102" s="12" t="n">
        <f aca="false">INT(K2102*(0.6+MOD(A2102*43,21)/100))</f>
        <v>5965</v>
      </c>
      <c r="N2102" s="12" t="n">
        <f aca="false">K2102-M2102</f>
        <v>3815</v>
      </c>
    </row>
    <row r="2103" customFormat="false" ht="12.8" hidden="false" customHeight="false" outlineLevel="0" collapsed="false">
      <c r="A2103" s="10" t="n">
        <f aca="false">A2102+1</f>
        <v>2102</v>
      </c>
      <c r="B2103" s="11" t="n">
        <f aca="false">B2102+1</f>
        <v>47028</v>
      </c>
      <c r="C2103" s="10" t="n">
        <f aca="false">YEAR(B2103)</f>
        <v>2028</v>
      </c>
      <c r="D2103" s="10" t="n">
        <f aca="false">INT((MONTH(B2103)-1)/3)+1</f>
        <v>4</v>
      </c>
      <c r="E2103" s="10" t="n">
        <f aca="false">MONTH(B2103)</f>
        <v>10</v>
      </c>
      <c r="F2103" s="10" t="str">
        <f aca="false">CHOOSE(MOD(A2103-1,5)+1,"Центр","Юг","Север","Запад","Восток")</f>
        <v>Юг</v>
      </c>
      <c r="G2103" s="10" t="str">
        <f aca="false">"Округ_"&amp;(MOD(A2103-1,5)+1)&amp;"_"&amp;(MOD(INT((A2103-1)/5),5)+1)</f>
        <v>Округ_2_1</v>
      </c>
      <c r="H2103" s="10" t="str">
        <f aca="false">"Город_"&amp;(MOD(A2103-1,5)+1)&amp;"_"&amp;(MOD(INT((A2103-1)/5),5)+1)&amp;"_"&amp;(MOD(INT((A2103-1)/25),10)+1)</f>
        <v>Город_2_1_5</v>
      </c>
      <c r="I2103" s="10" t="str">
        <f aca="false">CHOOSE(MOD(A2103-1,4)+1,"Электроника","Одежда","Продукты","Мебель")</f>
        <v>Одежда</v>
      </c>
      <c r="J2103" s="10" t="str">
        <f aca="false">CHOOSE(MOD(INT((A2103-1)/4),4)+1,CHOOSE(MOD(A2103-1,4)+1,"Смартфоны","Ноутбуки","Аксессуары","Аудио"),CHOOSE(MOD(A2103-1,4)+1,"Верхняя одежда","Спортивная","Повседневная","Обувь"),CHOOSE(MOD(A2103-1,4)+1,"Молочные","Мясные","Бакалея","Напитки"),CHOOSE(MOD(A2103-1,4)+1,"Мягкая мебель","Корпусная","Офисная","Кухонная"))</f>
        <v>Спортивная</v>
      </c>
      <c r="K2103" s="12" t="n">
        <f aca="false">1000+MOD(A2103*317+A2103*A2103*7,49001)</f>
        <v>39518</v>
      </c>
      <c r="L2103" s="12" t="n">
        <f aca="false">1+MOD(A2103*131,100)</f>
        <v>63</v>
      </c>
      <c r="M2103" s="12" t="n">
        <f aca="false">INT(K2103*(0.6+MOD(A2103*43,21)/100))</f>
        <v>24501</v>
      </c>
      <c r="N2103" s="12" t="n">
        <f aca="false">K2103-M2103</f>
        <v>15017</v>
      </c>
    </row>
    <row r="2104" customFormat="false" ht="12.8" hidden="false" customHeight="false" outlineLevel="0" collapsed="false">
      <c r="A2104" s="10" t="n">
        <f aca="false">A2103+1</f>
        <v>2103</v>
      </c>
      <c r="B2104" s="11" t="n">
        <f aca="false">B2103+1</f>
        <v>47029</v>
      </c>
      <c r="C2104" s="10" t="n">
        <f aca="false">YEAR(B2104)</f>
        <v>2028</v>
      </c>
      <c r="D2104" s="10" t="n">
        <f aca="false">INT((MONTH(B2104)-1)/3)+1</f>
        <v>4</v>
      </c>
      <c r="E2104" s="10" t="n">
        <f aca="false">MONTH(B2104)</f>
        <v>10</v>
      </c>
      <c r="F2104" s="10" t="str">
        <f aca="false">CHOOSE(MOD(A2104-1,5)+1,"Центр","Юг","Север","Запад","Восток")</f>
        <v>Север</v>
      </c>
      <c r="G2104" s="10" t="str">
        <f aca="false">"Округ_"&amp;(MOD(A2104-1,5)+1)&amp;"_"&amp;(MOD(INT((A2104-1)/5),5)+1)</f>
        <v>Округ_3_1</v>
      </c>
      <c r="H2104" s="10" t="str">
        <f aca="false">"Город_"&amp;(MOD(A2104-1,5)+1)&amp;"_"&amp;(MOD(INT((A2104-1)/5),5)+1)&amp;"_"&amp;(MOD(INT((A2104-1)/25),10)+1)</f>
        <v>Город_3_1_5</v>
      </c>
      <c r="I2104" s="10" t="str">
        <f aca="false">CHOOSE(MOD(A2104-1,4)+1,"Электроника","Одежда","Продукты","Мебель")</f>
        <v>Продукты</v>
      </c>
      <c r="J2104" s="10" t="str">
        <f aca="false">CHOOSE(MOD(INT((A2104-1)/4),4)+1,CHOOSE(MOD(A2104-1,4)+1,"Смартфоны","Ноутбуки","Аксессуары","Аудио"),CHOOSE(MOD(A2104-1,4)+1,"Верхняя одежда","Спортивная","Повседневная","Обувь"),CHOOSE(MOD(A2104-1,4)+1,"Молочные","Мясные","Бакалея","Напитки"),CHOOSE(MOD(A2104-1,4)+1,"Мягкая мебель","Корпусная","Офисная","Кухонная"))</f>
        <v>Повседневная</v>
      </c>
      <c r="K2104" s="12" t="n">
        <f aca="false">1000+MOD(A2104*317+A2104*A2104*7,49001)</f>
        <v>20269</v>
      </c>
      <c r="L2104" s="12" t="n">
        <f aca="false">1+MOD(A2104*131,100)</f>
        <v>94</v>
      </c>
      <c r="M2104" s="12" t="n">
        <f aca="false">INT(K2104*(0.6+MOD(A2104*43,21)/100))</f>
        <v>12769</v>
      </c>
      <c r="N2104" s="12" t="n">
        <f aca="false">K2104-M2104</f>
        <v>7500</v>
      </c>
    </row>
    <row r="2105" customFormat="false" ht="12.8" hidden="false" customHeight="false" outlineLevel="0" collapsed="false">
      <c r="A2105" s="10" t="n">
        <f aca="false">A2104+1</f>
        <v>2104</v>
      </c>
      <c r="B2105" s="11" t="n">
        <f aca="false">B2104+1</f>
        <v>47030</v>
      </c>
      <c r="C2105" s="10" t="n">
        <f aca="false">YEAR(B2105)</f>
        <v>2028</v>
      </c>
      <c r="D2105" s="10" t="n">
        <f aca="false">INT((MONTH(B2105)-1)/3)+1</f>
        <v>4</v>
      </c>
      <c r="E2105" s="10" t="n">
        <f aca="false">MONTH(B2105)</f>
        <v>10</v>
      </c>
      <c r="F2105" s="10" t="str">
        <f aca="false">CHOOSE(MOD(A2105-1,5)+1,"Центр","Юг","Север","Запад","Восток")</f>
        <v>Запад</v>
      </c>
      <c r="G2105" s="10" t="str">
        <f aca="false">"Округ_"&amp;(MOD(A2105-1,5)+1)&amp;"_"&amp;(MOD(INT((A2105-1)/5),5)+1)</f>
        <v>Округ_4_1</v>
      </c>
      <c r="H2105" s="10" t="str">
        <f aca="false">"Город_"&amp;(MOD(A2105-1,5)+1)&amp;"_"&amp;(MOD(INT((A2105-1)/5),5)+1)&amp;"_"&amp;(MOD(INT((A2105-1)/25),10)+1)</f>
        <v>Город_4_1_5</v>
      </c>
      <c r="I2105" s="10" t="str">
        <f aca="false">CHOOSE(MOD(A2105-1,4)+1,"Электроника","Одежда","Продукты","Мебель")</f>
        <v>Мебель</v>
      </c>
      <c r="J2105" s="10" t="str">
        <f aca="false">CHOOSE(MOD(INT((A2105-1)/4),4)+1,CHOOSE(MOD(A2105-1,4)+1,"Смартфоны","Ноутбуки","Аксессуары","Аудио"),CHOOSE(MOD(A2105-1,4)+1,"Верхняя одежда","Спортивная","Повседневная","Обувь"),CHOOSE(MOD(A2105-1,4)+1,"Молочные","Мясные","Бакалея","Напитки"),CHOOSE(MOD(A2105-1,4)+1,"Мягкая мебель","Корпусная","Офисная","Кухонная"))</f>
        <v>Обувь</v>
      </c>
      <c r="K2105" s="12" t="n">
        <f aca="false">1000+MOD(A2105*317+A2105*A2105*7,49001)</f>
        <v>1034</v>
      </c>
      <c r="L2105" s="12" t="n">
        <f aca="false">1+MOD(A2105*131,100)</f>
        <v>25</v>
      </c>
      <c r="M2105" s="12" t="n">
        <f aca="false">INT(K2105*(0.6+MOD(A2105*43,21)/100))</f>
        <v>661</v>
      </c>
      <c r="N2105" s="12" t="n">
        <f aca="false">K2105-M2105</f>
        <v>373</v>
      </c>
    </row>
    <row r="2106" customFormat="false" ht="12.8" hidden="false" customHeight="false" outlineLevel="0" collapsed="false">
      <c r="A2106" s="10" t="n">
        <f aca="false">A2105+1</f>
        <v>2105</v>
      </c>
      <c r="B2106" s="11" t="n">
        <f aca="false">B2105+1</f>
        <v>47031</v>
      </c>
      <c r="C2106" s="10" t="n">
        <f aca="false">YEAR(B2106)</f>
        <v>2028</v>
      </c>
      <c r="D2106" s="10" t="n">
        <f aca="false">INT((MONTH(B2106)-1)/3)+1</f>
        <v>4</v>
      </c>
      <c r="E2106" s="10" t="n">
        <f aca="false">MONTH(B2106)</f>
        <v>10</v>
      </c>
      <c r="F2106" s="10" t="str">
        <f aca="false">CHOOSE(MOD(A2106-1,5)+1,"Центр","Юг","Север","Запад","Восток")</f>
        <v>Восток</v>
      </c>
      <c r="G2106" s="10" t="str">
        <f aca="false">"Округ_"&amp;(MOD(A2106-1,5)+1)&amp;"_"&amp;(MOD(INT((A2106-1)/5),5)+1)</f>
        <v>Округ_5_1</v>
      </c>
      <c r="H2106" s="10" t="str">
        <f aca="false">"Город_"&amp;(MOD(A2106-1,5)+1)&amp;"_"&amp;(MOD(INT((A2106-1)/5),5)+1)&amp;"_"&amp;(MOD(INT((A2106-1)/25),10)+1)</f>
        <v>Город_5_1_5</v>
      </c>
      <c r="I2106" s="10" t="str">
        <f aca="false">CHOOSE(MOD(A2106-1,4)+1,"Электроника","Одежда","Продукты","Мебель")</f>
        <v>Электроника</v>
      </c>
      <c r="J2106" s="10" t="str">
        <f aca="false">CHOOSE(MOD(INT((A2106-1)/4),4)+1,CHOOSE(MOD(A2106-1,4)+1,"Смартфоны","Ноутбуки","Аксессуары","Аудио"),CHOOSE(MOD(A2106-1,4)+1,"Верхняя одежда","Спортивная","Повседневная","Обувь"),CHOOSE(MOD(A2106-1,4)+1,"Молочные","Мясные","Бакалея","Напитки"),CHOOSE(MOD(A2106-1,4)+1,"Мягкая мебель","Корпусная","Офисная","Кухонная"))</f>
        <v>Молочные</v>
      </c>
      <c r="K2106" s="12" t="n">
        <f aca="false">1000+MOD(A2106*317+A2106*A2106*7,49001)</f>
        <v>30814</v>
      </c>
      <c r="L2106" s="12" t="n">
        <f aca="false">1+MOD(A2106*131,100)</f>
        <v>56</v>
      </c>
      <c r="M2106" s="12" t="n">
        <f aca="false">INT(K2106*(0.6+MOD(A2106*43,21)/100))</f>
        <v>20029</v>
      </c>
      <c r="N2106" s="12" t="n">
        <f aca="false">K2106-M2106</f>
        <v>10785</v>
      </c>
    </row>
    <row r="2107" customFormat="false" ht="12.8" hidden="false" customHeight="false" outlineLevel="0" collapsed="false">
      <c r="A2107" s="10" t="n">
        <f aca="false">A2106+1</f>
        <v>2106</v>
      </c>
      <c r="B2107" s="11" t="n">
        <f aca="false">B2106+1</f>
        <v>47032</v>
      </c>
      <c r="C2107" s="10" t="n">
        <f aca="false">YEAR(B2107)</f>
        <v>2028</v>
      </c>
      <c r="D2107" s="10" t="n">
        <f aca="false">INT((MONTH(B2107)-1)/3)+1</f>
        <v>4</v>
      </c>
      <c r="E2107" s="10" t="n">
        <f aca="false">MONTH(B2107)</f>
        <v>10</v>
      </c>
      <c r="F2107" s="10" t="str">
        <f aca="false">CHOOSE(MOD(A2107-1,5)+1,"Центр","Юг","Север","Запад","Восток")</f>
        <v>Центр</v>
      </c>
      <c r="G2107" s="10" t="str">
        <f aca="false">"Округ_"&amp;(MOD(A2107-1,5)+1)&amp;"_"&amp;(MOD(INT((A2107-1)/5),5)+1)</f>
        <v>Округ_1_2</v>
      </c>
      <c r="H2107" s="10" t="str">
        <f aca="false">"Город_"&amp;(MOD(A2107-1,5)+1)&amp;"_"&amp;(MOD(INT((A2107-1)/5),5)+1)&amp;"_"&amp;(MOD(INT((A2107-1)/25),10)+1)</f>
        <v>Город_1_2_5</v>
      </c>
      <c r="I2107" s="10" t="str">
        <f aca="false">CHOOSE(MOD(A2107-1,4)+1,"Электроника","Одежда","Продукты","Мебель")</f>
        <v>Одежда</v>
      </c>
      <c r="J2107" s="10" t="str">
        <f aca="false">CHOOSE(MOD(INT((A2107-1)/4),4)+1,CHOOSE(MOD(A2107-1,4)+1,"Смартфоны","Ноутбуки","Аксессуары","Аудио"),CHOOSE(MOD(A2107-1,4)+1,"Верхняя одежда","Спортивная","Повседневная","Обувь"),CHOOSE(MOD(A2107-1,4)+1,"Молочные","Мясные","Бакалея","Напитки"),CHOOSE(MOD(A2107-1,4)+1,"Мягкая мебель","Корпусная","Офисная","Кухонная"))</f>
        <v>Мясные</v>
      </c>
      <c r="K2107" s="12" t="n">
        <f aca="false">1000+MOD(A2107*317+A2107*A2107*7,49001)</f>
        <v>11607</v>
      </c>
      <c r="L2107" s="12" t="n">
        <f aca="false">1+MOD(A2107*131,100)</f>
        <v>87</v>
      </c>
      <c r="M2107" s="12" t="n">
        <f aca="false">INT(K2107*(0.6+MOD(A2107*43,21)/100))</f>
        <v>7660</v>
      </c>
      <c r="N2107" s="12" t="n">
        <f aca="false">K2107-M2107</f>
        <v>3947</v>
      </c>
    </row>
    <row r="2108" customFormat="false" ht="12.8" hidden="false" customHeight="false" outlineLevel="0" collapsed="false">
      <c r="A2108" s="10" t="n">
        <f aca="false">A2107+1</f>
        <v>2107</v>
      </c>
      <c r="B2108" s="11" t="n">
        <f aca="false">B2107+1</f>
        <v>47033</v>
      </c>
      <c r="C2108" s="10" t="n">
        <f aca="false">YEAR(B2108)</f>
        <v>2028</v>
      </c>
      <c r="D2108" s="10" t="n">
        <f aca="false">INT((MONTH(B2108)-1)/3)+1</f>
        <v>4</v>
      </c>
      <c r="E2108" s="10" t="n">
        <f aca="false">MONTH(B2108)</f>
        <v>10</v>
      </c>
      <c r="F2108" s="10" t="str">
        <f aca="false">CHOOSE(MOD(A2108-1,5)+1,"Центр","Юг","Север","Запад","Восток")</f>
        <v>Юг</v>
      </c>
      <c r="G2108" s="10" t="str">
        <f aca="false">"Округ_"&amp;(MOD(A2108-1,5)+1)&amp;"_"&amp;(MOD(INT((A2108-1)/5),5)+1)</f>
        <v>Округ_2_2</v>
      </c>
      <c r="H2108" s="10" t="str">
        <f aca="false">"Город_"&amp;(MOD(A2108-1,5)+1)&amp;"_"&amp;(MOD(INT((A2108-1)/5),5)+1)&amp;"_"&amp;(MOD(INT((A2108-1)/25),10)+1)</f>
        <v>Город_2_2_5</v>
      </c>
      <c r="I2108" s="10" t="str">
        <f aca="false">CHOOSE(MOD(A2108-1,4)+1,"Электроника","Одежда","Продукты","Мебель")</f>
        <v>Продукты</v>
      </c>
      <c r="J2108" s="10" t="str">
        <f aca="false">CHOOSE(MOD(INT((A2108-1)/4),4)+1,CHOOSE(MOD(A2108-1,4)+1,"Смартфоны","Ноутбуки","Аксессуары","Аудио"),CHOOSE(MOD(A2108-1,4)+1,"Верхняя одежда","Спортивная","Повседневная","Обувь"),CHOOSE(MOD(A2108-1,4)+1,"Молочные","Мясные","Бакалея","Напитки"),CHOOSE(MOD(A2108-1,4)+1,"Мягкая мебель","Корпусная","Офисная","Кухонная"))</f>
        <v>Бакалея</v>
      </c>
      <c r="K2108" s="12" t="n">
        <f aca="false">1000+MOD(A2108*317+A2108*A2108*7,49001)</f>
        <v>41415</v>
      </c>
      <c r="L2108" s="12" t="n">
        <f aca="false">1+MOD(A2108*131,100)</f>
        <v>18</v>
      </c>
      <c r="M2108" s="12" t="n">
        <f aca="false">INT(K2108*(0.6+MOD(A2108*43,21)/100))</f>
        <v>27748</v>
      </c>
      <c r="N2108" s="12" t="n">
        <f aca="false">K2108-M2108</f>
        <v>13667</v>
      </c>
    </row>
    <row r="2109" customFormat="false" ht="12.8" hidden="false" customHeight="false" outlineLevel="0" collapsed="false">
      <c r="A2109" s="10" t="n">
        <f aca="false">A2108+1</f>
        <v>2108</v>
      </c>
      <c r="B2109" s="11" t="n">
        <f aca="false">B2108+1</f>
        <v>47034</v>
      </c>
      <c r="C2109" s="10" t="n">
        <f aca="false">YEAR(B2109)</f>
        <v>2028</v>
      </c>
      <c r="D2109" s="10" t="n">
        <f aca="false">INT((MONTH(B2109)-1)/3)+1</f>
        <v>4</v>
      </c>
      <c r="E2109" s="10" t="n">
        <f aca="false">MONTH(B2109)</f>
        <v>10</v>
      </c>
      <c r="F2109" s="10" t="str">
        <f aca="false">CHOOSE(MOD(A2109-1,5)+1,"Центр","Юг","Север","Запад","Восток")</f>
        <v>Север</v>
      </c>
      <c r="G2109" s="10" t="str">
        <f aca="false">"Округ_"&amp;(MOD(A2109-1,5)+1)&amp;"_"&amp;(MOD(INT((A2109-1)/5),5)+1)</f>
        <v>Округ_3_2</v>
      </c>
      <c r="H2109" s="10" t="str">
        <f aca="false">"Город_"&amp;(MOD(A2109-1,5)+1)&amp;"_"&amp;(MOD(INT((A2109-1)/5),5)+1)&amp;"_"&amp;(MOD(INT((A2109-1)/25),10)+1)</f>
        <v>Город_3_2_5</v>
      </c>
      <c r="I2109" s="10" t="str">
        <f aca="false">CHOOSE(MOD(A2109-1,4)+1,"Электроника","Одежда","Продукты","Мебель")</f>
        <v>Мебель</v>
      </c>
      <c r="J2109" s="10" t="str">
        <f aca="false">CHOOSE(MOD(INT((A2109-1)/4),4)+1,CHOOSE(MOD(A2109-1,4)+1,"Смартфоны","Ноутбуки","Аксессуары","Аудио"),CHOOSE(MOD(A2109-1,4)+1,"Верхняя одежда","Спортивная","Повседневная","Обувь"),CHOOSE(MOD(A2109-1,4)+1,"Молочные","Мясные","Бакалея","Напитки"),CHOOSE(MOD(A2109-1,4)+1,"Мягкая мебель","Корпусная","Офисная","Кухонная"))</f>
        <v>Напитки</v>
      </c>
      <c r="K2109" s="12" t="n">
        <f aca="false">1000+MOD(A2109*317+A2109*A2109*7,49001)</f>
        <v>22236</v>
      </c>
      <c r="L2109" s="12" t="n">
        <f aca="false">1+MOD(A2109*131,100)</f>
        <v>49</v>
      </c>
      <c r="M2109" s="12" t="n">
        <f aca="false">INT(K2109*(0.6+MOD(A2109*43,21)/100))</f>
        <v>15120</v>
      </c>
      <c r="N2109" s="12" t="n">
        <f aca="false">K2109-M2109</f>
        <v>7116</v>
      </c>
    </row>
    <row r="2110" customFormat="false" ht="12.8" hidden="false" customHeight="false" outlineLevel="0" collapsed="false">
      <c r="A2110" s="10" t="n">
        <f aca="false">A2109+1</f>
        <v>2109</v>
      </c>
      <c r="B2110" s="11" t="n">
        <f aca="false">B2109+1</f>
        <v>47035</v>
      </c>
      <c r="C2110" s="10" t="n">
        <f aca="false">YEAR(B2110)</f>
        <v>2028</v>
      </c>
      <c r="D2110" s="10" t="n">
        <f aca="false">INT((MONTH(B2110)-1)/3)+1</f>
        <v>4</v>
      </c>
      <c r="E2110" s="10" t="n">
        <f aca="false">MONTH(B2110)</f>
        <v>10</v>
      </c>
      <c r="F2110" s="10" t="str">
        <f aca="false">CHOOSE(MOD(A2110-1,5)+1,"Центр","Юг","Север","Запад","Восток")</f>
        <v>Запад</v>
      </c>
      <c r="G2110" s="10" t="str">
        <f aca="false">"Округ_"&amp;(MOD(A2110-1,5)+1)&amp;"_"&amp;(MOD(INT((A2110-1)/5),5)+1)</f>
        <v>Округ_4_2</v>
      </c>
      <c r="H2110" s="10" t="str">
        <f aca="false">"Город_"&amp;(MOD(A2110-1,5)+1)&amp;"_"&amp;(MOD(INT((A2110-1)/5),5)+1)&amp;"_"&amp;(MOD(INT((A2110-1)/25),10)+1)</f>
        <v>Город_4_2_5</v>
      </c>
      <c r="I2110" s="10" t="str">
        <f aca="false">CHOOSE(MOD(A2110-1,4)+1,"Электроника","Одежда","Продукты","Мебель")</f>
        <v>Электроника</v>
      </c>
      <c r="J2110" s="10" t="str">
        <f aca="false">CHOOSE(MOD(INT((A2110-1)/4),4)+1,CHOOSE(MOD(A2110-1,4)+1,"Смартфоны","Ноутбуки","Аксессуары","Аудио"),CHOOSE(MOD(A2110-1,4)+1,"Верхняя одежда","Спортивная","Повседневная","Обувь"),CHOOSE(MOD(A2110-1,4)+1,"Молочные","Мясные","Бакалея","Напитки"),CHOOSE(MOD(A2110-1,4)+1,"Мягкая мебель","Корпусная","Офисная","Кухонная"))</f>
        <v>Мягкая мебель</v>
      </c>
      <c r="K2110" s="12" t="n">
        <f aca="false">1000+MOD(A2110*317+A2110*A2110*7,49001)</f>
        <v>3071</v>
      </c>
      <c r="L2110" s="12" t="n">
        <f aca="false">1+MOD(A2110*131,100)</f>
        <v>80</v>
      </c>
      <c r="M2110" s="12" t="n">
        <f aca="false">INT(K2110*(0.6+MOD(A2110*43,21)/100))</f>
        <v>2118</v>
      </c>
      <c r="N2110" s="12" t="n">
        <f aca="false">K2110-M2110</f>
        <v>953</v>
      </c>
    </row>
    <row r="2111" customFormat="false" ht="12.8" hidden="false" customHeight="false" outlineLevel="0" collapsed="false">
      <c r="A2111" s="10" t="n">
        <f aca="false">A2110+1</f>
        <v>2110</v>
      </c>
      <c r="B2111" s="11" t="n">
        <f aca="false">B2110+1</f>
        <v>47036</v>
      </c>
      <c r="C2111" s="10" t="n">
        <f aca="false">YEAR(B2111)</f>
        <v>2028</v>
      </c>
      <c r="D2111" s="10" t="n">
        <f aca="false">INT((MONTH(B2111)-1)/3)+1</f>
        <v>4</v>
      </c>
      <c r="E2111" s="10" t="n">
        <f aca="false">MONTH(B2111)</f>
        <v>10</v>
      </c>
      <c r="F2111" s="10" t="str">
        <f aca="false">CHOOSE(MOD(A2111-1,5)+1,"Центр","Юг","Север","Запад","Восток")</f>
        <v>Восток</v>
      </c>
      <c r="G2111" s="10" t="str">
        <f aca="false">"Округ_"&amp;(MOD(A2111-1,5)+1)&amp;"_"&amp;(MOD(INT((A2111-1)/5),5)+1)</f>
        <v>Округ_5_2</v>
      </c>
      <c r="H2111" s="10" t="str">
        <f aca="false">"Город_"&amp;(MOD(A2111-1,5)+1)&amp;"_"&amp;(MOD(INT((A2111-1)/5),5)+1)&amp;"_"&amp;(MOD(INT((A2111-1)/25),10)+1)</f>
        <v>Город_5_2_5</v>
      </c>
      <c r="I2111" s="10" t="str">
        <f aca="false">CHOOSE(MOD(A2111-1,4)+1,"Электроника","Одежда","Продукты","Мебель")</f>
        <v>Одежда</v>
      </c>
      <c r="J2111" s="10" t="str">
        <f aca="false">CHOOSE(MOD(INT((A2111-1)/4),4)+1,CHOOSE(MOD(A2111-1,4)+1,"Смартфоны","Ноутбуки","Аксессуары","Аудио"),CHOOSE(MOD(A2111-1,4)+1,"Верхняя одежда","Спортивная","Повседневная","Обувь"),CHOOSE(MOD(A2111-1,4)+1,"Молочные","Мясные","Бакалея","Напитки"),CHOOSE(MOD(A2111-1,4)+1,"Мягкая мебель","Корпусная","Офисная","Кухонная"))</f>
        <v>Корпусная</v>
      </c>
      <c r="K2111" s="12" t="n">
        <f aca="false">1000+MOD(A2111*317+A2111*A2111*7,49001)</f>
        <v>32921</v>
      </c>
      <c r="L2111" s="12" t="n">
        <f aca="false">1+MOD(A2111*131,100)</f>
        <v>11</v>
      </c>
      <c r="M2111" s="12" t="n">
        <f aca="false">INT(K2111*(0.6+MOD(A2111*43,21)/100))</f>
        <v>23044</v>
      </c>
      <c r="N2111" s="12" t="n">
        <f aca="false">K2111-M2111</f>
        <v>9877</v>
      </c>
    </row>
    <row r="2112" customFormat="false" ht="12.8" hidden="false" customHeight="false" outlineLevel="0" collapsed="false">
      <c r="A2112" s="10" t="n">
        <f aca="false">A2111+1</f>
        <v>2111</v>
      </c>
      <c r="B2112" s="11" t="n">
        <f aca="false">B2111+1</f>
        <v>47037</v>
      </c>
      <c r="C2112" s="10" t="n">
        <f aca="false">YEAR(B2112)</f>
        <v>2028</v>
      </c>
      <c r="D2112" s="10" t="n">
        <f aca="false">INT((MONTH(B2112)-1)/3)+1</f>
        <v>4</v>
      </c>
      <c r="E2112" s="10" t="n">
        <f aca="false">MONTH(B2112)</f>
        <v>10</v>
      </c>
      <c r="F2112" s="10" t="str">
        <f aca="false">CHOOSE(MOD(A2112-1,5)+1,"Центр","Юг","Север","Запад","Восток")</f>
        <v>Центр</v>
      </c>
      <c r="G2112" s="10" t="str">
        <f aca="false">"Округ_"&amp;(MOD(A2112-1,5)+1)&amp;"_"&amp;(MOD(INT((A2112-1)/5),5)+1)</f>
        <v>Округ_1_3</v>
      </c>
      <c r="H2112" s="10" t="str">
        <f aca="false">"Город_"&amp;(MOD(A2112-1,5)+1)&amp;"_"&amp;(MOD(INT((A2112-1)/5),5)+1)&amp;"_"&amp;(MOD(INT((A2112-1)/25),10)+1)</f>
        <v>Город_1_3_5</v>
      </c>
      <c r="I2112" s="10" t="str">
        <f aca="false">CHOOSE(MOD(A2112-1,4)+1,"Электроника","Одежда","Продукты","Мебель")</f>
        <v>Продукты</v>
      </c>
      <c r="J2112" s="10" t="str">
        <f aca="false">CHOOSE(MOD(INT((A2112-1)/4),4)+1,CHOOSE(MOD(A2112-1,4)+1,"Смартфоны","Ноутбуки","Аксессуары","Аудио"),CHOOSE(MOD(A2112-1,4)+1,"Верхняя одежда","Спортивная","Повседневная","Обувь"),CHOOSE(MOD(A2112-1,4)+1,"Молочные","Мясные","Бакалея","Напитки"),CHOOSE(MOD(A2112-1,4)+1,"Мягкая мебель","Корпусная","Офисная","Кухонная"))</f>
        <v>Офисная</v>
      </c>
      <c r="K2112" s="12" t="n">
        <f aca="false">1000+MOD(A2112*317+A2112*A2112*7,49001)</f>
        <v>13784</v>
      </c>
      <c r="L2112" s="12" t="n">
        <f aca="false">1+MOD(A2112*131,100)</f>
        <v>42</v>
      </c>
      <c r="M2112" s="12" t="n">
        <f aca="false">INT(K2112*(0.6+MOD(A2112*43,21)/100))</f>
        <v>9786</v>
      </c>
      <c r="N2112" s="12" t="n">
        <f aca="false">K2112-M2112</f>
        <v>3998</v>
      </c>
    </row>
    <row r="2113" customFormat="false" ht="12.8" hidden="false" customHeight="false" outlineLevel="0" collapsed="false">
      <c r="A2113" s="10" t="n">
        <f aca="false">A2112+1</f>
        <v>2112</v>
      </c>
      <c r="B2113" s="11" t="n">
        <f aca="false">B2112+1</f>
        <v>47038</v>
      </c>
      <c r="C2113" s="10" t="n">
        <f aca="false">YEAR(B2113)</f>
        <v>2028</v>
      </c>
      <c r="D2113" s="10" t="n">
        <f aca="false">INT((MONTH(B2113)-1)/3)+1</f>
        <v>4</v>
      </c>
      <c r="E2113" s="10" t="n">
        <f aca="false">MONTH(B2113)</f>
        <v>10</v>
      </c>
      <c r="F2113" s="10" t="str">
        <f aca="false">CHOOSE(MOD(A2113-1,5)+1,"Центр","Юг","Север","Запад","Восток")</f>
        <v>Юг</v>
      </c>
      <c r="G2113" s="10" t="str">
        <f aca="false">"Округ_"&amp;(MOD(A2113-1,5)+1)&amp;"_"&amp;(MOD(INT((A2113-1)/5),5)+1)</f>
        <v>Округ_2_3</v>
      </c>
      <c r="H2113" s="10" t="str">
        <f aca="false">"Город_"&amp;(MOD(A2113-1,5)+1)&amp;"_"&amp;(MOD(INT((A2113-1)/5),5)+1)&amp;"_"&amp;(MOD(INT((A2113-1)/25),10)+1)</f>
        <v>Город_2_3_5</v>
      </c>
      <c r="I2113" s="10" t="str">
        <f aca="false">CHOOSE(MOD(A2113-1,4)+1,"Электроника","Одежда","Продукты","Мебель")</f>
        <v>Мебель</v>
      </c>
      <c r="J2113" s="10" t="str">
        <f aca="false">CHOOSE(MOD(INT((A2113-1)/4),4)+1,CHOOSE(MOD(A2113-1,4)+1,"Смартфоны","Ноутбуки","Аксессуары","Аудио"),CHOOSE(MOD(A2113-1,4)+1,"Верхняя одежда","Спортивная","Повседневная","Обувь"),CHOOSE(MOD(A2113-1,4)+1,"Молочные","Мясные","Бакалея","Напитки"),CHOOSE(MOD(A2113-1,4)+1,"Мягкая мебель","Корпусная","Офисная","Кухонная"))</f>
        <v>Кухонная</v>
      </c>
      <c r="K2113" s="12" t="n">
        <f aca="false">1000+MOD(A2113*317+A2113*A2113*7,49001)</f>
        <v>43662</v>
      </c>
      <c r="L2113" s="12" t="n">
        <f aca="false">1+MOD(A2113*131,100)</f>
        <v>73</v>
      </c>
      <c r="M2113" s="12" t="n">
        <f aca="false">INT(K2113*(0.6+MOD(A2113*43,21)/100))</f>
        <v>31436</v>
      </c>
      <c r="N2113" s="12" t="n">
        <f aca="false">K2113-M2113</f>
        <v>12226</v>
      </c>
    </row>
    <row r="2114" customFormat="false" ht="12.8" hidden="false" customHeight="false" outlineLevel="0" collapsed="false">
      <c r="A2114" s="10" t="n">
        <f aca="false">A2113+1</f>
        <v>2113</v>
      </c>
      <c r="B2114" s="11" t="n">
        <f aca="false">B2113+1</f>
        <v>47039</v>
      </c>
      <c r="C2114" s="10" t="n">
        <f aca="false">YEAR(B2114)</f>
        <v>2028</v>
      </c>
      <c r="D2114" s="10" t="n">
        <f aca="false">INT((MONTH(B2114)-1)/3)+1</f>
        <v>4</v>
      </c>
      <c r="E2114" s="10" t="n">
        <f aca="false">MONTH(B2114)</f>
        <v>10</v>
      </c>
      <c r="F2114" s="10" t="str">
        <f aca="false">CHOOSE(MOD(A2114-1,5)+1,"Центр","Юг","Север","Запад","Восток")</f>
        <v>Север</v>
      </c>
      <c r="G2114" s="10" t="str">
        <f aca="false">"Округ_"&amp;(MOD(A2114-1,5)+1)&amp;"_"&amp;(MOD(INT((A2114-1)/5),5)+1)</f>
        <v>Округ_3_3</v>
      </c>
      <c r="H2114" s="10" t="str">
        <f aca="false">"Город_"&amp;(MOD(A2114-1,5)+1)&amp;"_"&amp;(MOD(INT((A2114-1)/5),5)+1)&amp;"_"&amp;(MOD(INT((A2114-1)/25),10)+1)</f>
        <v>Город_3_3_5</v>
      </c>
      <c r="I2114" s="10" t="str">
        <f aca="false">CHOOSE(MOD(A2114-1,4)+1,"Электроника","Одежда","Продукты","Мебель")</f>
        <v>Электроника</v>
      </c>
      <c r="J2114" s="10" t="str">
        <f aca="false">CHOOSE(MOD(INT((A2114-1)/4),4)+1,CHOOSE(MOD(A2114-1,4)+1,"Смартфоны","Ноутбуки","Аксессуары","Аудио"),CHOOSE(MOD(A2114-1,4)+1,"Верхняя одежда","Спортивная","Повседневная","Обувь"),CHOOSE(MOD(A2114-1,4)+1,"Молочные","Мясные","Бакалея","Напитки"),CHOOSE(MOD(A2114-1,4)+1,"Мягкая мебель","Корпусная","Офисная","Кухонная"))</f>
        <v>Смартфоны</v>
      </c>
      <c r="K2114" s="12" t="n">
        <f aca="false">1000+MOD(A2114*317+A2114*A2114*7,49001)</f>
        <v>24553</v>
      </c>
      <c r="L2114" s="12" t="n">
        <f aca="false">1+MOD(A2114*131,100)</f>
        <v>4</v>
      </c>
      <c r="M2114" s="12" t="n">
        <f aca="false">INT(K2114*(0.6+MOD(A2114*43,21)/100))</f>
        <v>17923</v>
      </c>
      <c r="N2114" s="12" t="n">
        <f aca="false">K2114-M2114</f>
        <v>6630</v>
      </c>
    </row>
    <row r="2115" customFormat="false" ht="12.8" hidden="false" customHeight="false" outlineLevel="0" collapsed="false">
      <c r="A2115" s="10" t="n">
        <f aca="false">A2114+1</f>
        <v>2114</v>
      </c>
      <c r="B2115" s="11" t="n">
        <f aca="false">B2114+1</f>
        <v>47040</v>
      </c>
      <c r="C2115" s="10" t="n">
        <f aca="false">YEAR(B2115)</f>
        <v>2028</v>
      </c>
      <c r="D2115" s="10" t="n">
        <f aca="false">INT((MONTH(B2115)-1)/3)+1</f>
        <v>4</v>
      </c>
      <c r="E2115" s="10" t="n">
        <f aca="false">MONTH(B2115)</f>
        <v>10</v>
      </c>
      <c r="F2115" s="10" t="str">
        <f aca="false">CHOOSE(MOD(A2115-1,5)+1,"Центр","Юг","Север","Запад","Восток")</f>
        <v>Запад</v>
      </c>
      <c r="G2115" s="10" t="str">
        <f aca="false">"Округ_"&amp;(MOD(A2115-1,5)+1)&amp;"_"&amp;(MOD(INT((A2115-1)/5),5)+1)</f>
        <v>Округ_4_3</v>
      </c>
      <c r="H2115" s="10" t="str">
        <f aca="false">"Город_"&amp;(MOD(A2115-1,5)+1)&amp;"_"&amp;(MOD(INT((A2115-1)/5),5)+1)&amp;"_"&amp;(MOD(INT((A2115-1)/25),10)+1)</f>
        <v>Город_4_3_5</v>
      </c>
      <c r="I2115" s="10" t="str">
        <f aca="false">CHOOSE(MOD(A2115-1,4)+1,"Электроника","Одежда","Продукты","Мебель")</f>
        <v>Одежда</v>
      </c>
      <c r="J2115" s="10" t="str">
        <f aca="false">CHOOSE(MOD(INT((A2115-1)/4),4)+1,CHOOSE(MOD(A2115-1,4)+1,"Смартфоны","Ноутбуки","Аксессуары","Аудио"),CHOOSE(MOD(A2115-1,4)+1,"Верхняя одежда","Спортивная","Повседневная","Обувь"),CHOOSE(MOD(A2115-1,4)+1,"Молочные","Мясные","Бакалея","Напитки"),CHOOSE(MOD(A2115-1,4)+1,"Мягкая мебель","Корпусная","Офисная","Кухонная"))</f>
        <v>Ноутбуки</v>
      </c>
      <c r="K2115" s="12" t="n">
        <f aca="false">1000+MOD(A2115*317+A2115*A2115*7,49001)</f>
        <v>5458</v>
      </c>
      <c r="L2115" s="12" t="n">
        <f aca="false">1+MOD(A2115*131,100)</f>
        <v>35</v>
      </c>
      <c r="M2115" s="12" t="n">
        <f aca="false">INT(K2115*(0.6+MOD(A2115*43,21)/100))</f>
        <v>4038</v>
      </c>
      <c r="N2115" s="12" t="n">
        <f aca="false">K2115-M2115</f>
        <v>1420</v>
      </c>
    </row>
    <row r="2116" customFormat="false" ht="12.8" hidden="false" customHeight="false" outlineLevel="0" collapsed="false">
      <c r="A2116" s="10" t="n">
        <f aca="false">A2115+1</f>
        <v>2115</v>
      </c>
      <c r="B2116" s="11" t="n">
        <f aca="false">B2115+1</f>
        <v>47041</v>
      </c>
      <c r="C2116" s="10" t="n">
        <f aca="false">YEAR(B2116)</f>
        <v>2028</v>
      </c>
      <c r="D2116" s="10" t="n">
        <f aca="false">INT((MONTH(B2116)-1)/3)+1</f>
        <v>4</v>
      </c>
      <c r="E2116" s="10" t="n">
        <f aca="false">MONTH(B2116)</f>
        <v>10</v>
      </c>
      <c r="F2116" s="10" t="str">
        <f aca="false">CHOOSE(MOD(A2116-1,5)+1,"Центр","Юг","Север","Запад","Восток")</f>
        <v>Восток</v>
      </c>
      <c r="G2116" s="10" t="str">
        <f aca="false">"Округ_"&amp;(MOD(A2116-1,5)+1)&amp;"_"&amp;(MOD(INT((A2116-1)/5),5)+1)</f>
        <v>Округ_5_3</v>
      </c>
      <c r="H2116" s="10" t="str">
        <f aca="false">"Город_"&amp;(MOD(A2116-1,5)+1)&amp;"_"&amp;(MOD(INT((A2116-1)/5),5)+1)&amp;"_"&amp;(MOD(INT((A2116-1)/25),10)+1)</f>
        <v>Город_5_3_5</v>
      </c>
      <c r="I2116" s="10" t="str">
        <f aca="false">CHOOSE(MOD(A2116-1,4)+1,"Электроника","Одежда","Продукты","Мебель")</f>
        <v>Продукты</v>
      </c>
      <c r="J2116" s="10" t="str">
        <f aca="false">CHOOSE(MOD(INT((A2116-1)/4),4)+1,CHOOSE(MOD(A2116-1,4)+1,"Смартфоны","Ноутбуки","Аксессуары","Аудио"),CHOOSE(MOD(A2116-1,4)+1,"Верхняя одежда","Спортивная","Повседневная","Обувь"),CHOOSE(MOD(A2116-1,4)+1,"Молочные","Мясные","Бакалея","Напитки"),CHOOSE(MOD(A2116-1,4)+1,"Мягкая мебель","Корпусная","Офисная","Кухонная"))</f>
        <v>Аксессуары</v>
      </c>
      <c r="K2116" s="12" t="n">
        <f aca="false">1000+MOD(A2116*317+A2116*A2116*7,49001)</f>
        <v>35378</v>
      </c>
      <c r="L2116" s="12" t="n">
        <f aca="false">1+MOD(A2116*131,100)</f>
        <v>66</v>
      </c>
      <c r="M2116" s="12" t="n">
        <f aca="false">INT(K2116*(0.6+MOD(A2116*43,21)/100))</f>
        <v>26533</v>
      </c>
      <c r="N2116" s="12" t="n">
        <f aca="false">K2116-M2116</f>
        <v>8845</v>
      </c>
    </row>
    <row r="2117" customFormat="false" ht="12.8" hidden="false" customHeight="false" outlineLevel="0" collapsed="false">
      <c r="A2117" s="10" t="n">
        <f aca="false">A2116+1</f>
        <v>2116</v>
      </c>
      <c r="B2117" s="11" t="n">
        <f aca="false">B2116+1</f>
        <v>47042</v>
      </c>
      <c r="C2117" s="10" t="n">
        <f aca="false">YEAR(B2117)</f>
        <v>2028</v>
      </c>
      <c r="D2117" s="10" t="n">
        <f aca="false">INT((MONTH(B2117)-1)/3)+1</f>
        <v>4</v>
      </c>
      <c r="E2117" s="10" t="n">
        <f aca="false">MONTH(B2117)</f>
        <v>10</v>
      </c>
      <c r="F2117" s="10" t="str">
        <f aca="false">CHOOSE(MOD(A2117-1,5)+1,"Центр","Юг","Север","Запад","Восток")</f>
        <v>Центр</v>
      </c>
      <c r="G2117" s="10" t="str">
        <f aca="false">"Округ_"&amp;(MOD(A2117-1,5)+1)&amp;"_"&amp;(MOD(INT((A2117-1)/5),5)+1)</f>
        <v>Округ_1_4</v>
      </c>
      <c r="H2117" s="10" t="str">
        <f aca="false">"Город_"&amp;(MOD(A2117-1,5)+1)&amp;"_"&amp;(MOD(INT((A2117-1)/5),5)+1)&amp;"_"&amp;(MOD(INT((A2117-1)/25),10)+1)</f>
        <v>Город_1_4_5</v>
      </c>
      <c r="I2117" s="10" t="str">
        <f aca="false">CHOOSE(MOD(A2117-1,4)+1,"Электроника","Одежда","Продукты","Мебель")</f>
        <v>Мебель</v>
      </c>
      <c r="J2117" s="10" t="str">
        <f aca="false">CHOOSE(MOD(INT((A2117-1)/4),4)+1,CHOOSE(MOD(A2117-1,4)+1,"Смартфоны","Ноутбуки","Аксессуары","Аудио"),CHOOSE(MOD(A2117-1,4)+1,"Верхняя одежда","Спортивная","Повседневная","Обувь"),CHOOSE(MOD(A2117-1,4)+1,"Молочные","Мясные","Бакалея","Напитки"),CHOOSE(MOD(A2117-1,4)+1,"Мягкая мебель","Корпусная","Офисная","Кухонная"))</f>
        <v>Аудио</v>
      </c>
      <c r="K2117" s="12" t="n">
        <f aca="false">1000+MOD(A2117*317+A2117*A2117*7,49001)</f>
        <v>16311</v>
      </c>
      <c r="L2117" s="12" t="n">
        <f aca="false">1+MOD(A2117*131,100)</f>
        <v>97</v>
      </c>
      <c r="M2117" s="12" t="n">
        <f aca="false">INT(K2117*(0.6+MOD(A2117*43,21)/100))</f>
        <v>12396</v>
      </c>
      <c r="N2117" s="12" t="n">
        <f aca="false">K2117-M2117</f>
        <v>3915</v>
      </c>
    </row>
    <row r="2118" customFormat="false" ht="12.8" hidden="false" customHeight="false" outlineLevel="0" collapsed="false">
      <c r="A2118" s="10" t="n">
        <f aca="false">A2117+1</f>
        <v>2117</v>
      </c>
      <c r="B2118" s="11" t="n">
        <f aca="false">B2117+1</f>
        <v>47043</v>
      </c>
      <c r="C2118" s="10" t="n">
        <f aca="false">YEAR(B2118)</f>
        <v>2028</v>
      </c>
      <c r="D2118" s="10" t="n">
        <f aca="false">INT((MONTH(B2118)-1)/3)+1</f>
        <v>4</v>
      </c>
      <c r="E2118" s="10" t="n">
        <f aca="false">MONTH(B2118)</f>
        <v>10</v>
      </c>
      <c r="F2118" s="10" t="str">
        <f aca="false">CHOOSE(MOD(A2118-1,5)+1,"Центр","Юг","Север","Запад","Восток")</f>
        <v>Юг</v>
      </c>
      <c r="G2118" s="10" t="str">
        <f aca="false">"Округ_"&amp;(MOD(A2118-1,5)+1)&amp;"_"&amp;(MOD(INT((A2118-1)/5),5)+1)</f>
        <v>Округ_2_4</v>
      </c>
      <c r="H2118" s="10" t="str">
        <f aca="false">"Город_"&amp;(MOD(A2118-1,5)+1)&amp;"_"&amp;(MOD(INT((A2118-1)/5),5)+1)&amp;"_"&amp;(MOD(INT((A2118-1)/25),10)+1)</f>
        <v>Город_2_4_5</v>
      </c>
      <c r="I2118" s="10" t="str">
        <f aca="false">CHOOSE(MOD(A2118-1,4)+1,"Электроника","Одежда","Продукты","Мебель")</f>
        <v>Электроника</v>
      </c>
      <c r="J2118" s="10" t="str">
        <f aca="false">CHOOSE(MOD(INT((A2118-1)/4),4)+1,CHOOSE(MOD(A2118-1,4)+1,"Смартфоны","Ноутбуки","Аксессуары","Аудио"),CHOOSE(MOD(A2118-1,4)+1,"Верхняя одежда","Спортивная","Повседневная","Обувь"),CHOOSE(MOD(A2118-1,4)+1,"Молочные","Мясные","Бакалея","Напитки"),CHOOSE(MOD(A2118-1,4)+1,"Мягкая мебель","Корпусная","Офисная","Кухонная"))</f>
        <v>Верхняя одежда</v>
      </c>
      <c r="K2118" s="12" t="n">
        <f aca="false">1000+MOD(A2118*317+A2118*A2118*7,49001)</f>
        <v>46259</v>
      </c>
      <c r="L2118" s="12" t="n">
        <f aca="false">1+MOD(A2118*131,100)</f>
        <v>28</v>
      </c>
      <c r="M2118" s="12" t="n">
        <f aca="false">INT(K2118*(0.6+MOD(A2118*43,21)/100))</f>
        <v>35619</v>
      </c>
      <c r="N2118" s="12" t="n">
        <f aca="false">K2118-M2118</f>
        <v>10640</v>
      </c>
    </row>
    <row r="2119" customFormat="false" ht="12.8" hidden="false" customHeight="false" outlineLevel="0" collapsed="false">
      <c r="A2119" s="10" t="n">
        <f aca="false">A2118+1</f>
        <v>2118</v>
      </c>
      <c r="B2119" s="11" t="n">
        <f aca="false">B2118+1</f>
        <v>47044</v>
      </c>
      <c r="C2119" s="10" t="n">
        <f aca="false">YEAR(B2119)</f>
        <v>2028</v>
      </c>
      <c r="D2119" s="10" t="n">
        <f aca="false">INT((MONTH(B2119)-1)/3)+1</f>
        <v>4</v>
      </c>
      <c r="E2119" s="10" t="n">
        <f aca="false">MONTH(B2119)</f>
        <v>10</v>
      </c>
      <c r="F2119" s="10" t="str">
        <f aca="false">CHOOSE(MOD(A2119-1,5)+1,"Центр","Юг","Север","Запад","Восток")</f>
        <v>Север</v>
      </c>
      <c r="G2119" s="10" t="str">
        <f aca="false">"Округ_"&amp;(MOD(A2119-1,5)+1)&amp;"_"&amp;(MOD(INT((A2119-1)/5),5)+1)</f>
        <v>Округ_3_4</v>
      </c>
      <c r="H2119" s="10" t="str">
        <f aca="false">"Город_"&amp;(MOD(A2119-1,5)+1)&amp;"_"&amp;(MOD(INT((A2119-1)/5),5)+1)&amp;"_"&amp;(MOD(INT((A2119-1)/25),10)+1)</f>
        <v>Город_3_4_5</v>
      </c>
      <c r="I2119" s="10" t="str">
        <f aca="false">CHOOSE(MOD(A2119-1,4)+1,"Электроника","Одежда","Продукты","Мебель")</f>
        <v>Одежда</v>
      </c>
      <c r="J2119" s="10" t="str">
        <f aca="false">CHOOSE(MOD(INT((A2119-1)/4),4)+1,CHOOSE(MOD(A2119-1,4)+1,"Смартфоны","Ноутбуки","Аксессуары","Аудио"),CHOOSE(MOD(A2119-1,4)+1,"Верхняя одежда","Спортивная","Повседневная","Обувь"),CHOOSE(MOD(A2119-1,4)+1,"Молочные","Мясные","Бакалея","Напитки"),CHOOSE(MOD(A2119-1,4)+1,"Мягкая мебель","Корпусная","Офисная","Кухонная"))</f>
        <v>Спортивная</v>
      </c>
      <c r="K2119" s="12" t="n">
        <f aca="false">1000+MOD(A2119*317+A2119*A2119*7,49001)</f>
        <v>27220</v>
      </c>
      <c r="L2119" s="12" t="n">
        <f aca="false">1+MOD(A2119*131,100)</f>
        <v>59</v>
      </c>
      <c r="M2119" s="12" t="n">
        <f aca="false">INT(K2119*(0.6+MOD(A2119*43,21)/100))</f>
        <v>21231</v>
      </c>
      <c r="N2119" s="12" t="n">
        <f aca="false">K2119-M2119</f>
        <v>5989</v>
      </c>
    </row>
    <row r="2120" customFormat="false" ht="12.8" hidden="false" customHeight="false" outlineLevel="0" collapsed="false">
      <c r="A2120" s="10" t="n">
        <f aca="false">A2119+1</f>
        <v>2119</v>
      </c>
      <c r="B2120" s="11" t="n">
        <f aca="false">B2119+1</f>
        <v>47045</v>
      </c>
      <c r="C2120" s="10" t="n">
        <f aca="false">YEAR(B2120)</f>
        <v>2028</v>
      </c>
      <c r="D2120" s="10" t="n">
        <f aca="false">INT((MONTH(B2120)-1)/3)+1</f>
        <v>4</v>
      </c>
      <c r="E2120" s="10" t="n">
        <f aca="false">MONTH(B2120)</f>
        <v>10</v>
      </c>
      <c r="F2120" s="10" t="str">
        <f aca="false">CHOOSE(MOD(A2120-1,5)+1,"Центр","Юг","Север","Запад","Восток")</f>
        <v>Запад</v>
      </c>
      <c r="G2120" s="10" t="str">
        <f aca="false">"Округ_"&amp;(MOD(A2120-1,5)+1)&amp;"_"&amp;(MOD(INT((A2120-1)/5),5)+1)</f>
        <v>Округ_4_4</v>
      </c>
      <c r="H2120" s="10" t="str">
        <f aca="false">"Город_"&amp;(MOD(A2120-1,5)+1)&amp;"_"&amp;(MOD(INT((A2120-1)/5),5)+1)&amp;"_"&amp;(MOD(INT((A2120-1)/25),10)+1)</f>
        <v>Город_4_4_5</v>
      </c>
      <c r="I2120" s="10" t="str">
        <f aca="false">CHOOSE(MOD(A2120-1,4)+1,"Электроника","Одежда","Продукты","Мебель")</f>
        <v>Продукты</v>
      </c>
      <c r="J2120" s="10" t="str">
        <f aca="false">CHOOSE(MOD(INT((A2120-1)/4),4)+1,CHOOSE(MOD(A2120-1,4)+1,"Смартфоны","Ноутбуки","Аксессуары","Аудио"),CHOOSE(MOD(A2120-1,4)+1,"Верхняя одежда","Спортивная","Повседневная","Обувь"),CHOOSE(MOD(A2120-1,4)+1,"Молочные","Мясные","Бакалея","Напитки"),CHOOSE(MOD(A2120-1,4)+1,"Мягкая мебель","Корпусная","Офисная","Кухонная"))</f>
        <v>Повседневная</v>
      </c>
      <c r="K2120" s="12" t="n">
        <f aca="false">1000+MOD(A2120*317+A2120*A2120*7,49001)</f>
        <v>8195</v>
      </c>
      <c r="L2120" s="12" t="n">
        <f aca="false">1+MOD(A2120*131,100)</f>
        <v>90</v>
      </c>
      <c r="M2120" s="12" t="n">
        <f aca="false">INT(K2120*(0.6+MOD(A2120*43,21)/100))</f>
        <v>6474</v>
      </c>
      <c r="N2120" s="12" t="n">
        <f aca="false">K2120-M2120</f>
        <v>1721</v>
      </c>
    </row>
    <row r="2121" customFormat="false" ht="12.8" hidden="false" customHeight="false" outlineLevel="0" collapsed="false">
      <c r="A2121" s="10" t="n">
        <f aca="false">A2120+1</f>
        <v>2120</v>
      </c>
      <c r="B2121" s="11" t="n">
        <f aca="false">B2120+1</f>
        <v>47046</v>
      </c>
      <c r="C2121" s="10" t="n">
        <f aca="false">YEAR(B2121)</f>
        <v>2028</v>
      </c>
      <c r="D2121" s="10" t="n">
        <f aca="false">INT((MONTH(B2121)-1)/3)+1</f>
        <v>4</v>
      </c>
      <c r="E2121" s="10" t="n">
        <f aca="false">MONTH(B2121)</f>
        <v>10</v>
      </c>
      <c r="F2121" s="10" t="str">
        <f aca="false">CHOOSE(MOD(A2121-1,5)+1,"Центр","Юг","Север","Запад","Восток")</f>
        <v>Восток</v>
      </c>
      <c r="G2121" s="10" t="str">
        <f aca="false">"Округ_"&amp;(MOD(A2121-1,5)+1)&amp;"_"&amp;(MOD(INT((A2121-1)/5),5)+1)</f>
        <v>Округ_5_4</v>
      </c>
      <c r="H2121" s="10" t="str">
        <f aca="false">"Город_"&amp;(MOD(A2121-1,5)+1)&amp;"_"&amp;(MOD(INT((A2121-1)/5),5)+1)&amp;"_"&amp;(MOD(INT((A2121-1)/25),10)+1)</f>
        <v>Город_5_4_5</v>
      </c>
      <c r="I2121" s="10" t="str">
        <f aca="false">CHOOSE(MOD(A2121-1,4)+1,"Электроника","Одежда","Продукты","Мебель")</f>
        <v>Мебель</v>
      </c>
      <c r="J2121" s="10" t="str">
        <f aca="false">CHOOSE(MOD(INT((A2121-1)/4),4)+1,CHOOSE(MOD(A2121-1,4)+1,"Смартфоны","Ноутбуки","Аксессуары","Аудио"),CHOOSE(MOD(A2121-1,4)+1,"Верхняя одежда","Спортивная","Повседневная","Обувь"),CHOOSE(MOD(A2121-1,4)+1,"Молочные","Мясные","Бакалея","Напитки"),CHOOSE(MOD(A2121-1,4)+1,"Мягкая мебель","Корпусная","Офисная","Кухонная"))</f>
        <v>Обувь</v>
      </c>
      <c r="K2121" s="12" t="n">
        <f aca="false">1000+MOD(A2121*317+A2121*A2121*7,49001)</f>
        <v>38185</v>
      </c>
      <c r="L2121" s="12" t="n">
        <f aca="false">1+MOD(A2121*131,100)</f>
        <v>21</v>
      </c>
      <c r="M2121" s="12" t="n">
        <f aca="false">INT(K2121*(0.6+MOD(A2121*43,21)/100))</f>
        <v>30548</v>
      </c>
      <c r="N2121" s="12" t="n">
        <f aca="false">K2121-M2121</f>
        <v>7637</v>
      </c>
    </row>
    <row r="2122" customFormat="false" ht="12.8" hidden="false" customHeight="false" outlineLevel="0" collapsed="false">
      <c r="A2122" s="10" t="n">
        <f aca="false">A2121+1</f>
        <v>2121</v>
      </c>
      <c r="B2122" s="11" t="n">
        <f aca="false">B2121+1</f>
        <v>47047</v>
      </c>
      <c r="C2122" s="10" t="n">
        <f aca="false">YEAR(B2122)</f>
        <v>2028</v>
      </c>
      <c r="D2122" s="10" t="n">
        <f aca="false">INT((MONTH(B2122)-1)/3)+1</f>
        <v>4</v>
      </c>
      <c r="E2122" s="10" t="n">
        <f aca="false">MONTH(B2122)</f>
        <v>10</v>
      </c>
      <c r="F2122" s="10" t="str">
        <f aca="false">CHOOSE(MOD(A2122-1,5)+1,"Центр","Юг","Север","Запад","Восток")</f>
        <v>Центр</v>
      </c>
      <c r="G2122" s="10" t="str">
        <f aca="false">"Округ_"&amp;(MOD(A2122-1,5)+1)&amp;"_"&amp;(MOD(INT((A2122-1)/5),5)+1)</f>
        <v>Округ_1_5</v>
      </c>
      <c r="H2122" s="10" t="str">
        <f aca="false">"Город_"&amp;(MOD(A2122-1,5)+1)&amp;"_"&amp;(MOD(INT((A2122-1)/5),5)+1)&amp;"_"&amp;(MOD(INT((A2122-1)/25),10)+1)</f>
        <v>Город_1_5_5</v>
      </c>
      <c r="I2122" s="10" t="str">
        <f aca="false">CHOOSE(MOD(A2122-1,4)+1,"Электроника","Одежда","Продукты","Мебель")</f>
        <v>Электроника</v>
      </c>
      <c r="J2122" s="10" t="str">
        <f aca="false">CHOOSE(MOD(INT((A2122-1)/4),4)+1,CHOOSE(MOD(A2122-1,4)+1,"Смартфоны","Ноутбуки","Аксессуары","Аудио"),CHOOSE(MOD(A2122-1,4)+1,"Верхняя одежда","Спортивная","Повседневная","Обувь"),CHOOSE(MOD(A2122-1,4)+1,"Молочные","Мясные","Бакалея","Напитки"),CHOOSE(MOD(A2122-1,4)+1,"Мягкая мебель","Корпусная","Офисная","Кухонная"))</f>
        <v>Молочные</v>
      </c>
      <c r="K2122" s="12" t="n">
        <f aca="false">1000+MOD(A2122*317+A2122*A2122*7,49001)</f>
        <v>19188</v>
      </c>
      <c r="L2122" s="12" t="n">
        <f aca="false">1+MOD(A2122*131,100)</f>
        <v>52</v>
      </c>
      <c r="M2122" s="12" t="n">
        <f aca="false">INT(K2122*(0.6+MOD(A2122*43,21)/100))</f>
        <v>11512</v>
      </c>
      <c r="N2122" s="12" t="n">
        <f aca="false">K2122-M2122</f>
        <v>7676</v>
      </c>
    </row>
    <row r="2123" customFormat="false" ht="12.8" hidden="false" customHeight="false" outlineLevel="0" collapsed="false">
      <c r="A2123" s="10" t="n">
        <f aca="false">A2122+1</f>
        <v>2122</v>
      </c>
      <c r="B2123" s="11" t="n">
        <f aca="false">B2122+1</f>
        <v>47048</v>
      </c>
      <c r="C2123" s="10" t="n">
        <f aca="false">YEAR(B2123)</f>
        <v>2028</v>
      </c>
      <c r="D2123" s="10" t="n">
        <f aca="false">INT((MONTH(B2123)-1)/3)+1</f>
        <v>4</v>
      </c>
      <c r="E2123" s="10" t="n">
        <f aca="false">MONTH(B2123)</f>
        <v>10</v>
      </c>
      <c r="F2123" s="10" t="str">
        <f aca="false">CHOOSE(MOD(A2123-1,5)+1,"Центр","Юг","Север","Запад","Восток")</f>
        <v>Юг</v>
      </c>
      <c r="G2123" s="10" t="str">
        <f aca="false">"Округ_"&amp;(MOD(A2123-1,5)+1)&amp;"_"&amp;(MOD(INT((A2123-1)/5),5)+1)</f>
        <v>Округ_2_5</v>
      </c>
      <c r="H2123" s="10" t="str">
        <f aca="false">"Город_"&amp;(MOD(A2123-1,5)+1)&amp;"_"&amp;(MOD(INT((A2123-1)/5),5)+1)&amp;"_"&amp;(MOD(INT((A2123-1)/25),10)+1)</f>
        <v>Город_2_5_5</v>
      </c>
      <c r="I2123" s="10" t="str">
        <f aca="false">CHOOSE(MOD(A2123-1,4)+1,"Электроника","Одежда","Продукты","Мебель")</f>
        <v>Одежда</v>
      </c>
      <c r="J2123" s="10" t="str">
        <f aca="false">CHOOSE(MOD(INT((A2123-1)/4),4)+1,CHOOSE(MOD(A2123-1,4)+1,"Смартфоны","Ноутбуки","Аксессуары","Аудио"),CHOOSE(MOD(A2123-1,4)+1,"Верхняя одежда","Спортивная","Повседневная","Обувь"),CHOOSE(MOD(A2123-1,4)+1,"Молочные","Мясные","Бакалея","Напитки"),CHOOSE(MOD(A2123-1,4)+1,"Мягкая мебель","Корпусная","Офисная","Кухонная"))</f>
        <v>Мясные</v>
      </c>
      <c r="K2123" s="12" t="n">
        <f aca="false">1000+MOD(A2123*317+A2123*A2123*7,49001)</f>
        <v>49206</v>
      </c>
      <c r="L2123" s="12" t="n">
        <f aca="false">1+MOD(A2123*131,100)</f>
        <v>83</v>
      </c>
      <c r="M2123" s="12" t="n">
        <f aca="false">INT(K2123*(0.6+MOD(A2123*43,21)/100))</f>
        <v>30015</v>
      </c>
      <c r="N2123" s="12" t="n">
        <f aca="false">K2123-M2123</f>
        <v>19191</v>
      </c>
    </row>
    <row r="2124" customFormat="false" ht="12.8" hidden="false" customHeight="false" outlineLevel="0" collapsed="false">
      <c r="A2124" s="10" t="n">
        <f aca="false">A2123+1</f>
        <v>2123</v>
      </c>
      <c r="B2124" s="11" t="n">
        <f aca="false">B2123+1</f>
        <v>47049</v>
      </c>
      <c r="C2124" s="10" t="n">
        <f aca="false">YEAR(B2124)</f>
        <v>2028</v>
      </c>
      <c r="D2124" s="10" t="n">
        <f aca="false">INT((MONTH(B2124)-1)/3)+1</f>
        <v>4</v>
      </c>
      <c r="E2124" s="10" t="n">
        <f aca="false">MONTH(B2124)</f>
        <v>10</v>
      </c>
      <c r="F2124" s="10" t="str">
        <f aca="false">CHOOSE(MOD(A2124-1,5)+1,"Центр","Юг","Север","Запад","Восток")</f>
        <v>Север</v>
      </c>
      <c r="G2124" s="10" t="str">
        <f aca="false">"Округ_"&amp;(MOD(A2124-1,5)+1)&amp;"_"&amp;(MOD(INT((A2124-1)/5),5)+1)</f>
        <v>Округ_3_5</v>
      </c>
      <c r="H2124" s="10" t="str">
        <f aca="false">"Город_"&amp;(MOD(A2124-1,5)+1)&amp;"_"&amp;(MOD(INT((A2124-1)/5),5)+1)&amp;"_"&amp;(MOD(INT((A2124-1)/25),10)+1)</f>
        <v>Город_3_5_5</v>
      </c>
      <c r="I2124" s="10" t="str">
        <f aca="false">CHOOSE(MOD(A2124-1,4)+1,"Электроника","Одежда","Продукты","Мебель")</f>
        <v>Продукты</v>
      </c>
      <c r="J2124" s="10" t="str">
        <f aca="false">CHOOSE(MOD(INT((A2124-1)/4),4)+1,CHOOSE(MOD(A2124-1,4)+1,"Смартфоны","Ноутбуки","Аксессуары","Аудио"),CHOOSE(MOD(A2124-1,4)+1,"Верхняя одежда","Спортивная","Повседневная","Обувь"),CHOOSE(MOD(A2124-1,4)+1,"Молочные","Мясные","Бакалея","Напитки"),CHOOSE(MOD(A2124-1,4)+1,"Мягкая мебель","Корпусная","Офисная","Кухонная"))</f>
        <v>Бакалея</v>
      </c>
      <c r="K2124" s="12" t="n">
        <f aca="false">1000+MOD(A2124*317+A2124*A2124*7,49001)</f>
        <v>30237</v>
      </c>
      <c r="L2124" s="12" t="n">
        <f aca="false">1+MOD(A2124*131,100)</f>
        <v>14</v>
      </c>
      <c r="M2124" s="12" t="n">
        <f aca="false">INT(K2124*(0.6+MOD(A2124*43,21)/100))</f>
        <v>18746</v>
      </c>
      <c r="N2124" s="12" t="n">
        <f aca="false">K2124-M2124</f>
        <v>11491</v>
      </c>
    </row>
    <row r="2125" customFormat="false" ht="12.8" hidden="false" customHeight="false" outlineLevel="0" collapsed="false">
      <c r="A2125" s="10" t="n">
        <f aca="false">A2124+1</f>
        <v>2124</v>
      </c>
      <c r="B2125" s="11" t="n">
        <f aca="false">B2124+1</f>
        <v>47050</v>
      </c>
      <c r="C2125" s="10" t="n">
        <f aca="false">YEAR(B2125)</f>
        <v>2028</v>
      </c>
      <c r="D2125" s="10" t="n">
        <f aca="false">INT((MONTH(B2125)-1)/3)+1</f>
        <v>4</v>
      </c>
      <c r="E2125" s="10" t="n">
        <f aca="false">MONTH(B2125)</f>
        <v>10</v>
      </c>
      <c r="F2125" s="10" t="str">
        <f aca="false">CHOOSE(MOD(A2125-1,5)+1,"Центр","Юг","Север","Запад","Восток")</f>
        <v>Запад</v>
      </c>
      <c r="G2125" s="10" t="str">
        <f aca="false">"Округ_"&amp;(MOD(A2125-1,5)+1)&amp;"_"&amp;(MOD(INT((A2125-1)/5),5)+1)</f>
        <v>Округ_4_5</v>
      </c>
      <c r="H2125" s="10" t="str">
        <f aca="false">"Город_"&amp;(MOD(A2125-1,5)+1)&amp;"_"&amp;(MOD(INT((A2125-1)/5),5)+1)&amp;"_"&amp;(MOD(INT((A2125-1)/25),10)+1)</f>
        <v>Город_4_5_5</v>
      </c>
      <c r="I2125" s="10" t="str">
        <f aca="false">CHOOSE(MOD(A2125-1,4)+1,"Электроника","Одежда","Продукты","Мебель")</f>
        <v>Мебель</v>
      </c>
      <c r="J2125" s="10" t="str">
        <f aca="false">CHOOSE(MOD(INT((A2125-1)/4),4)+1,CHOOSE(MOD(A2125-1,4)+1,"Смартфоны","Ноутбуки","Аксессуары","Аудио"),CHOOSE(MOD(A2125-1,4)+1,"Верхняя одежда","Спортивная","Повседневная","Обувь"),CHOOSE(MOD(A2125-1,4)+1,"Молочные","Мясные","Бакалея","Напитки"),CHOOSE(MOD(A2125-1,4)+1,"Мягкая мебель","Корпусная","Офисная","Кухонная"))</f>
        <v>Напитки</v>
      </c>
      <c r="K2125" s="12" t="n">
        <f aca="false">1000+MOD(A2125*317+A2125*A2125*7,49001)</f>
        <v>11282</v>
      </c>
      <c r="L2125" s="12" t="n">
        <f aca="false">1+MOD(A2125*131,100)</f>
        <v>45</v>
      </c>
      <c r="M2125" s="12" t="n">
        <f aca="false">INT(K2125*(0.6+MOD(A2125*43,21)/100))</f>
        <v>7107</v>
      </c>
      <c r="N2125" s="12" t="n">
        <f aca="false">K2125-M2125</f>
        <v>4175</v>
      </c>
    </row>
    <row r="2126" customFormat="false" ht="12.8" hidden="false" customHeight="false" outlineLevel="0" collapsed="false">
      <c r="A2126" s="10" t="n">
        <f aca="false">A2125+1</f>
        <v>2125</v>
      </c>
      <c r="B2126" s="11" t="n">
        <f aca="false">B2125+1</f>
        <v>47051</v>
      </c>
      <c r="C2126" s="10" t="n">
        <f aca="false">YEAR(B2126)</f>
        <v>2028</v>
      </c>
      <c r="D2126" s="10" t="n">
        <f aca="false">INT((MONTH(B2126)-1)/3)+1</f>
        <v>4</v>
      </c>
      <c r="E2126" s="10" t="n">
        <f aca="false">MONTH(B2126)</f>
        <v>10</v>
      </c>
      <c r="F2126" s="10" t="str">
        <f aca="false">CHOOSE(MOD(A2126-1,5)+1,"Центр","Юг","Север","Запад","Восток")</f>
        <v>Восток</v>
      </c>
      <c r="G2126" s="10" t="str">
        <f aca="false">"Округ_"&amp;(MOD(A2126-1,5)+1)&amp;"_"&amp;(MOD(INT((A2126-1)/5),5)+1)</f>
        <v>Округ_5_5</v>
      </c>
      <c r="H2126" s="10" t="str">
        <f aca="false">"Город_"&amp;(MOD(A2126-1,5)+1)&amp;"_"&amp;(MOD(INT((A2126-1)/5),5)+1)&amp;"_"&amp;(MOD(INT((A2126-1)/25),10)+1)</f>
        <v>Город_5_5_5</v>
      </c>
      <c r="I2126" s="10" t="str">
        <f aca="false">CHOOSE(MOD(A2126-1,4)+1,"Электроника","Одежда","Продукты","Мебель")</f>
        <v>Электроника</v>
      </c>
      <c r="J2126" s="10" t="str">
        <f aca="false">CHOOSE(MOD(INT((A2126-1)/4),4)+1,CHOOSE(MOD(A2126-1,4)+1,"Смартфоны","Ноутбуки","Аксессуары","Аудио"),CHOOSE(MOD(A2126-1,4)+1,"Верхняя одежда","Спортивная","Повседневная","Обувь"),CHOOSE(MOD(A2126-1,4)+1,"Молочные","Мясные","Бакалея","Напитки"),CHOOSE(MOD(A2126-1,4)+1,"Мягкая мебель","Корпусная","Офисная","Кухонная"))</f>
        <v>Мягкая мебель</v>
      </c>
      <c r="K2126" s="12" t="n">
        <f aca="false">1000+MOD(A2126*317+A2126*A2126*7,49001)</f>
        <v>41342</v>
      </c>
      <c r="L2126" s="12" t="n">
        <f aca="false">1+MOD(A2126*131,100)</f>
        <v>76</v>
      </c>
      <c r="M2126" s="12" t="n">
        <f aca="false">INT(K2126*(0.6+MOD(A2126*43,21)/100))</f>
        <v>26458</v>
      </c>
      <c r="N2126" s="12" t="n">
        <f aca="false">K2126-M2126</f>
        <v>14884</v>
      </c>
    </row>
    <row r="2127" customFormat="false" ht="12.8" hidden="false" customHeight="false" outlineLevel="0" collapsed="false">
      <c r="A2127" s="10" t="n">
        <f aca="false">A2126+1</f>
        <v>2126</v>
      </c>
      <c r="B2127" s="11" t="n">
        <f aca="false">B2126+1</f>
        <v>47052</v>
      </c>
      <c r="C2127" s="10" t="n">
        <f aca="false">YEAR(B2127)</f>
        <v>2028</v>
      </c>
      <c r="D2127" s="10" t="n">
        <f aca="false">INT((MONTH(B2127)-1)/3)+1</f>
        <v>4</v>
      </c>
      <c r="E2127" s="10" t="n">
        <f aca="false">MONTH(B2127)</f>
        <v>10</v>
      </c>
      <c r="F2127" s="10" t="str">
        <f aca="false">CHOOSE(MOD(A2127-1,5)+1,"Центр","Юг","Север","Запад","Восток")</f>
        <v>Центр</v>
      </c>
      <c r="G2127" s="10" t="str">
        <f aca="false">"Округ_"&amp;(MOD(A2127-1,5)+1)&amp;"_"&amp;(MOD(INT((A2127-1)/5),5)+1)</f>
        <v>Округ_1_1</v>
      </c>
      <c r="H2127" s="10" t="str">
        <f aca="false">"Город_"&amp;(MOD(A2127-1,5)+1)&amp;"_"&amp;(MOD(INT((A2127-1)/5),5)+1)&amp;"_"&amp;(MOD(INT((A2127-1)/25),10)+1)</f>
        <v>Город_1_1_6</v>
      </c>
      <c r="I2127" s="10" t="str">
        <f aca="false">CHOOSE(MOD(A2127-1,4)+1,"Электроника","Одежда","Продукты","Мебель")</f>
        <v>Одежда</v>
      </c>
      <c r="J2127" s="10" t="str">
        <f aca="false">CHOOSE(MOD(INT((A2127-1)/4),4)+1,CHOOSE(MOD(A2127-1,4)+1,"Смартфоны","Ноутбуки","Аксессуары","Аудио"),CHOOSE(MOD(A2127-1,4)+1,"Верхняя одежда","Спортивная","Повседневная","Обувь"),CHOOSE(MOD(A2127-1,4)+1,"Молочные","Мясные","Бакалея","Напитки"),CHOOSE(MOD(A2127-1,4)+1,"Мягкая мебель","Корпусная","Офисная","Кухонная"))</f>
        <v>Корпусная</v>
      </c>
      <c r="K2127" s="12" t="n">
        <f aca="false">1000+MOD(A2127*317+A2127*A2127*7,49001)</f>
        <v>22415</v>
      </c>
      <c r="L2127" s="12" t="n">
        <f aca="false">1+MOD(A2127*131,100)</f>
        <v>7</v>
      </c>
      <c r="M2127" s="12" t="n">
        <f aca="false">INT(K2127*(0.6+MOD(A2127*43,21)/100))</f>
        <v>14569</v>
      </c>
      <c r="N2127" s="12" t="n">
        <f aca="false">K2127-M2127</f>
        <v>7846</v>
      </c>
    </row>
    <row r="2128" customFormat="false" ht="12.8" hidden="false" customHeight="false" outlineLevel="0" collapsed="false">
      <c r="A2128" s="10" t="n">
        <f aca="false">A2127+1</f>
        <v>2127</v>
      </c>
      <c r="B2128" s="11" t="n">
        <f aca="false">B2127+1</f>
        <v>47053</v>
      </c>
      <c r="C2128" s="10" t="n">
        <f aca="false">YEAR(B2128)</f>
        <v>2028</v>
      </c>
      <c r="D2128" s="10" t="n">
        <f aca="false">INT((MONTH(B2128)-1)/3)+1</f>
        <v>4</v>
      </c>
      <c r="E2128" s="10" t="n">
        <f aca="false">MONTH(B2128)</f>
        <v>10</v>
      </c>
      <c r="F2128" s="10" t="str">
        <f aca="false">CHOOSE(MOD(A2128-1,5)+1,"Центр","Юг","Север","Запад","Восток")</f>
        <v>Юг</v>
      </c>
      <c r="G2128" s="10" t="str">
        <f aca="false">"Округ_"&amp;(MOD(A2128-1,5)+1)&amp;"_"&amp;(MOD(INT((A2128-1)/5),5)+1)</f>
        <v>Округ_2_1</v>
      </c>
      <c r="H2128" s="10" t="str">
        <f aca="false">"Город_"&amp;(MOD(A2128-1,5)+1)&amp;"_"&amp;(MOD(INT((A2128-1)/5),5)+1)&amp;"_"&amp;(MOD(INT((A2128-1)/25),10)+1)</f>
        <v>Город_2_1_6</v>
      </c>
      <c r="I2128" s="10" t="str">
        <f aca="false">CHOOSE(MOD(A2128-1,4)+1,"Электроника","Одежда","Продукты","Мебель")</f>
        <v>Продукты</v>
      </c>
      <c r="J2128" s="10" t="str">
        <f aca="false">CHOOSE(MOD(INT((A2128-1)/4),4)+1,CHOOSE(MOD(A2128-1,4)+1,"Смартфоны","Ноутбуки","Аксессуары","Аудио"),CHOOSE(MOD(A2128-1,4)+1,"Верхняя одежда","Спортивная","Повседневная","Обувь"),CHOOSE(MOD(A2128-1,4)+1,"Молочные","Мясные","Бакалея","Напитки"),CHOOSE(MOD(A2128-1,4)+1,"Мягкая мебель","Корпусная","Офисная","Кухонная"))</f>
        <v>Офисная</v>
      </c>
      <c r="K2128" s="12" t="n">
        <f aca="false">1000+MOD(A2128*317+A2128*A2128*7,49001)</f>
        <v>3502</v>
      </c>
      <c r="L2128" s="12" t="n">
        <f aca="false">1+MOD(A2128*131,100)</f>
        <v>38</v>
      </c>
      <c r="M2128" s="12" t="n">
        <f aca="false">INT(K2128*(0.6+MOD(A2128*43,21)/100))</f>
        <v>2311</v>
      </c>
      <c r="N2128" s="12" t="n">
        <f aca="false">K2128-M2128</f>
        <v>1191</v>
      </c>
    </row>
    <row r="2129" customFormat="false" ht="12.8" hidden="false" customHeight="false" outlineLevel="0" collapsed="false">
      <c r="A2129" s="10" t="n">
        <f aca="false">A2128+1</f>
        <v>2128</v>
      </c>
      <c r="B2129" s="11" t="n">
        <f aca="false">B2128+1</f>
        <v>47054</v>
      </c>
      <c r="C2129" s="10" t="n">
        <f aca="false">YEAR(B2129)</f>
        <v>2028</v>
      </c>
      <c r="D2129" s="10" t="n">
        <f aca="false">INT((MONTH(B2129)-1)/3)+1</f>
        <v>4</v>
      </c>
      <c r="E2129" s="10" t="n">
        <f aca="false">MONTH(B2129)</f>
        <v>10</v>
      </c>
      <c r="F2129" s="10" t="str">
        <f aca="false">CHOOSE(MOD(A2129-1,5)+1,"Центр","Юг","Север","Запад","Восток")</f>
        <v>Север</v>
      </c>
      <c r="G2129" s="10" t="str">
        <f aca="false">"Округ_"&amp;(MOD(A2129-1,5)+1)&amp;"_"&amp;(MOD(INT((A2129-1)/5),5)+1)</f>
        <v>Округ_3_1</v>
      </c>
      <c r="H2129" s="10" t="str">
        <f aca="false">"Город_"&amp;(MOD(A2129-1,5)+1)&amp;"_"&amp;(MOD(INT((A2129-1)/5),5)+1)&amp;"_"&amp;(MOD(INT((A2129-1)/25),10)+1)</f>
        <v>Город_3_1_6</v>
      </c>
      <c r="I2129" s="10" t="str">
        <f aca="false">CHOOSE(MOD(A2129-1,4)+1,"Электроника","Одежда","Продукты","Мебель")</f>
        <v>Мебель</v>
      </c>
      <c r="J2129" s="10" t="str">
        <f aca="false">CHOOSE(MOD(INT((A2129-1)/4),4)+1,CHOOSE(MOD(A2129-1,4)+1,"Смартфоны","Ноутбуки","Аксессуары","Аудио"),CHOOSE(MOD(A2129-1,4)+1,"Верхняя одежда","Спортивная","Повседневная","Обувь"),CHOOSE(MOD(A2129-1,4)+1,"Молочные","Мясные","Бакалея","Напитки"),CHOOSE(MOD(A2129-1,4)+1,"Мягкая мебель","Корпусная","Офисная","Кухонная"))</f>
        <v>Кухонная</v>
      </c>
      <c r="K2129" s="12" t="n">
        <f aca="false">1000+MOD(A2129*317+A2129*A2129*7,49001)</f>
        <v>33604</v>
      </c>
      <c r="L2129" s="12" t="n">
        <f aca="false">1+MOD(A2129*131,100)</f>
        <v>69</v>
      </c>
      <c r="M2129" s="12" t="n">
        <f aca="false">INT(K2129*(0.6+MOD(A2129*43,21)/100))</f>
        <v>22514</v>
      </c>
      <c r="N2129" s="12" t="n">
        <f aca="false">K2129-M2129</f>
        <v>11090</v>
      </c>
    </row>
    <row r="2130" customFormat="false" ht="12.8" hidden="false" customHeight="false" outlineLevel="0" collapsed="false">
      <c r="A2130" s="10" t="n">
        <f aca="false">A2129+1</f>
        <v>2129</v>
      </c>
      <c r="B2130" s="11" t="n">
        <f aca="false">B2129+1</f>
        <v>47055</v>
      </c>
      <c r="C2130" s="10" t="n">
        <f aca="false">YEAR(B2130)</f>
        <v>2028</v>
      </c>
      <c r="D2130" s="10" t="n">
        <f aca="false">INT((MONTH(B2130)-1)/3)+1</f>
        <v>4</v>
      </c>
      <c r="E2130" s="10" t="n">
        <f aca="false">MONTH(B2130)</f>
        <v>10</v>
      </c>
      <c r="F2130" s="10" t="str">
        <f aca="false">CHOOSE(MOD(A2130-1,5)+1,"Центр","Юг","Север","Запад","Восток")</f>
        <v>Запад</v>
      </c>
      <c r="G2130" s="10" t="str">
        <f aca="false">"Округ_"&amp;(MOD(A2130-1,5)+1)&amp;"_"&amp;(MOD(INT((A2130-1)/5),5)+1)</f>
        <v>Округ_4_1</v>
      </c>
      <c r="H2130" s="10" t="str">
        <f aca="false">"Город_"&amp;(MOD(A2130-1,5)+1)&amp;"_"&amp;(MOD(INT((A2130-1)/5),5)+1)&amp;"_"&amp;(MOD(INT((A2130-1)/25),10)+1)</f>
        <v>Город_4_1_6</v>
      </c>
      <c r="I2130" s="10" t="str">
        <f aca="false">CHOOSE(MOD(A2130-1,4)+1,"Электроника","Одежда","Продукты","Мебель")</f>
        <v>Электроника</v>
      </c>
      <c r="J2130" s="10" t="str">
        <f aca="false">CHOOSE(MOD(INT((A2130-1)/4),4)+1,CHOOSE(MOD(A2130-1,4)+1,"Смартфоны","Ноутбуки","Аксессуары","Аудио"),CHOOSE(MOD(A2130-1,4)+1,"Верхняя одежда","Спортивная","Повседневная","Обувь"),CHOOSE(MOD(A2130-1,4)+1,"Молочные","Мясные","Бакалея","Напитки"),CHOOSE(MOD(A2130-1,4)+1,"Мягкая мебель","Корпусная","Офисная","Кухонная"))</f>
        <v>Смартфоны</v>
      </c>
      <c r="K2130" s="12" t="n">
        <f aca="false">1000+MOD(A2130*317+A2130*A2130*7,49001)</f>
        <v>14719</v>
      </c>
      <c r="L2130" s="12" t="n">
        <f aca="false">1+MOD(A2130*131,100)</f>
        <v>100</v>
      </c>
      <c r="M2130" s="12" t="n">
        <f aca="false">INT(K2130*(0.6+MOD(A2130*43,21)/100))</f>
        <v>10008</v>
      </c>
      <c r="N2130" s="12" t="n">
        <f aca="false">K2130-M2130</f>
        <v>4711</v>
      </c>
    </row>
    <row r="2131" customFormat="false" ht="12.8" hidden="false" customHeight="false" outlineLevel="0" collapsed="false">
      <c r="A2131" s="10" t="n">
        <f aca="false">A2130+1</f>
        <v>2130</v>
      </c>
      <c r="B2131" s="11" t="n">
        <f aca="false">B2130+1</f>
        <v>47056</v>
      </c>
      <c r="C2131" s="10" t="n">
        <f aca="false">YEAR(B2131)</f>
        <v>2028</v>
      </c>
      <c r="D2131" s="10" t="n">
        <f aca="false">INT((MONTH(B2131)-1)/3)+1</f>
        <v>4</v>
      </c>
      <c r="E2131" s="10" t="n">
        <f aca="false">MONTH(B2131)</f>
        <v>10</v>
      </c>
      <c r="F2131" s="10" t="str">
        <f aca="false">CHOOSE(MOD(A2131-1,5)+1,"Центр","Юг","Север","Запад","Восток")</f>
        <v>Восток</v>
      </c>
      <c r="G2131" s="10" t="str">
        <f aca="false">"Округ_"&amp;(MOD(A2131-1,5)+1)&amp;"_"&amp;(MOD(INT((A2131-1)/5),5)+1)</f>
        <v>Округ_5_1</v>
      </c>
      <c r="H2131" s="10" t="str">
        <f aca="false">"Город_"&amp;(MOD(A2131-1,5)+1)&amp;"_"&amp;(MOD(INT((A2131-1)/5),5)+1)&amp;"_"&amp;(MOD(INT((A2131-1)/25),10)+1)</f>
        <v>Город_5_1_6</v>
      </c>
      <c r="I2131" s="10" t="str">
        <f aca="false">CHOOSE(MOD(A2131-1,4)+1,"Электроника","Одежда","Продукты","Мебель")</f>
        <v>Одежда</v>
      </c>
      <c r="J2131" s="10" t="str">
        <f aca="false">CHOOSE(MOD(INT((A2131-1)/4),4)+1,CHOOSE(MOD(A2131-1,4)+1,"Смартфоны","Ноутбуки","Аксессуары","Аудио"),CHOOSE(MOD(A2131-1,4)+1,"Верхняя одежда","Спортивная","Повседневная","Обувь"),CHOOSE(MOD(A2131-1,4)+1,"Молочные","Мясные","Бакалея","Напитки"),CHOOSE(MOD(A2131-1,4)+1,"Мягкая мебель","Корпусная","Офисная","Кухонная"))</f>
        <v>Ноутбуки</v>
      </c>
      <c r="K2131" s="12" t="n">
        <f aca="false">1000+MOD(A2131*317+A2131*A2131*7,49001)</f>
        <v>44849</v>
      </c>
      <c r="L2131" s="12" t="n">
        <f aca="false">1+MOD(A2131*131,100)</f>
        <v>31</v>
      </c>
      <c r="M2131" s="12" t="n">
        <f aca="false">INT(K2131*(0.6+MOD(A2131*43,21)/100))</f>
        <v>30945</v>
      </c>
      <c r="N2131" s="12" t="n">
        <f aca="false">K2131-M2131</f>
        <v>13904</v>
      </c>
    </row>
    <row r="2132" customFormat="false" ht="12.8" hidden="false" customHeight="false" outlineLevel="0" collapsed="false">
      <c r="A2132" s="10" t="n">
        <f aca="false">A2131+1</f>
        <v>2131</v>
      </c>
      <c r="B2132" s="11" t="n">
        <f aca="false">B2131+1</f>
        <v>47057</v>
      </c>
      <c r="C2132" s="10" t="n">
        <f aca="false">YEAR(B2132)</f>
        <v>2028</v>
      </c>
      <c r="D2132" s="10" t="n">
        <f aca="false">INT((MONTH(B2132)-1)/3)+1</f>
        <v>4</v>
      </c>
      <c r="E2132" s="10" t="n">
        <f aca="false">MONTH(B2132)</f>
        <v>10</v>
      </c>
      <c r="F2132" s="10" t="str">
        <f aca="false">CHOOSE(MOD(A2132-1,5)+1,"Центр","Юг","Север","Запад","Восток")</f>
        <v>Центр</v>
      </c>
      <c r="G2132" s="10" t="str">
        <f aca="false">"Округ_"&amp;(MOD(A2132-1,5)+1)&amp;"_"&amp;(MOD(INT((A2132-1)/5),5)+1)</f>
        <v>Округ_1_2</v>
      </c>
      <c r="H2132" s="10" t="str">
        <f aca="false">"Город_"&amp;(MOD(A2132-1,5)+1)&amp;"_"&amp;(MOD(INT((A2132-1)/5),5)+1)&amp;"_"&amp;(MOD(INT((A2132-1)/25),10)+1)</f>
        <v>Город_1_2_6</v>
      </c>
      <c r="I2132" s="10" t="str">
        <f aca="false">CHOOSE(MOD(A2132-1,4)+1,"Электроника","Одежда","Продукты","Мебель")</f>
        <v>Продукты</v>
      </c>
      <c r="J2132" s="10" t="str">
        <f aca="false">CHOOSE(MOD(INT((A2132-1)/4),4)+1,CHOOSE(MOD(A2132-1,4)+1,"Смартфоны","Ноутбуки","Аксессуары","Аудио"),CHOOSE(MOD(A2132-1,4)+1,"Верхняя одежда","Спортивная","Повседневная","Обувь"),CHOOSE(MOD(A2132-1,4)+1,"Молочные","Мясные","Бакалея","Напитки"),CHOOSE(MOD(A2132-1,4)+1,"Мягкая мебель","Корпусная","Офисная","Кухонная"))</f>
        <v>Аксессуары</v>
      </c>
      <c r="K2132" s="12" t="n">
        <f aca="false">1000+MOD(A2132*317+A2132*A2132*7,49001)</f>
        <v>25992</v>
      </c>
      <c r="L2132" s="12" t="n">
        <f aca="false">1+MOD(A2132*131,100)</f>
        <v>62</v>
      </c>
      <c r="M2132" s="12" t="n">
        <f aca="false">INT(K2132*(0.6+MOD(A2132*43,21)/100))</f>
        <v>18194</v>
      </c>
      <c r="N2132" s="12" t="n">
        <f aca="false">K2132-M2132</f>
        <v>7798</v>
      </c>
    </row>
    <row r="2133" customFormat="false" ht="12.8" hidden="false" customHeight="false" outlineLevel="0" collapsed="false">
      <c r="A2133" s="10" t="n">
        <f aca="false">A2132+1</f>
        <v>2132</v>
      </c>
      <c r="B2133" s="11" t="n">
        <f aca="false">B2132+1</f>
        <v>47058</v>
      </c>
      <c r="C2133" s="10" t="n">
        <f aca="false">YEAR(B2133)</f>
        <v>2028</v>
      </c>
      <c r="D2133" s="10" t="n">
        <f aca="false">INT((MONTH(B2133)-1)/3)+1</f>
        <v>4</v>
      </c>
      <c r="E2133" s="10" t="n">
        <f aca="false">MONTH(B2133)</f>
        <v>11</v>
      </c>
      <c r="F2133" s="10" t="str">
        <f aca="false">CHOOSE(MOD(A2133-1,5)+1,"Центр","Юг","Север","Запад","Восток")</f>
        <v>Юг</v>
      </c>
      <c r="G2133" s="10" t="str">
        <f aca="false">"Округ_"&amp;(MOD(A2133-1,5)+1)&amp;"_"&amp;(MOD(INT((A2133-1)/5),5)+1)</f>
        <v>Округ_2_2</v>
      </c>
      <c r="H2133" s="10" t="str">
        <f aca="false">"Город_"&amp;(MOD(A2133-1,5)+1)&amp;"_"&amp;(MOD(INT((A2133-1)/5),5)+1)&amp;"_"&amp;(MOD(INT((A2133-1)/25),10)+1)</f>
        <v>Город_2_2_6</v>
      </c>
      <c r="I2133" s="10" t="str">
        <f aca="false">CHOOSE(MOD(A2133-1,4)+1,"Электроника","Одежда","Продукты","Мебель")</f>
        <v>Мебель</v>
      </c>
      <c r="J2133" s="10" t="str">
        <f aca="false">CHOOSE(MOD(INT((A2133-1)/4),4)+1,CHOOSE(MOD(A2133-1,4)+1,"Смартфоны","Ноутбуки","Аксессуары","Аудио"),CHOOSE(MOD(A2133-1,4)+1,"Верхняя одежда","Спортивная","Повседневная","Обувь"),CHOOSE(MOD(A2133-1,4)+1,"Молочные","Мясные","Бакалея","Напитки"),CHOOSE(MOD(A2133-1,4)+1,"Мягкая мебель","Корпусная","Офисная","Кухонная"))</f>
        <v>Аудио</v>
      </c>
      <c r="K2133" s="12" t="n">
        <f aca="false">1000+MOD(A2133*317+A2133*A2133*7,49001)</f>
        <v>7149</v>
      </c>
      <c r="L2133" s="12" t="n">
        <f aca="false">1+MOD(A2133*131,100)</f>
        <v>93</v>
      </c>
      <c r="M2133" s="12" t="n">
        <f aca="false">INT(K2133*(0.6+MOD(A2133*43,21)/100))</f>
        <v>5075</v>
      </c>
      <c r="N2133" s="12" t="n">
        <f aca="false">K2133-M2133</f>
        <v>2074</v>
      </c>
    </row>
    <row r="2134" customFormat="false" ht="12.8" hidden="false" customHeight="false" outlineLevel="0" collapsed="false">
      <c r="A2134" s="10" t="n">
        <f aca="false">A2133+1</f>
        <v>2133</v>
      </c>
      <c r="B2134" s="11" t="n">
        <f aca="false">B2133+1</f>
        <v>47059</v>
      </c>
      <c r="C2134" s="10" t="n">
        <f aca="false">YEAR(B2134)</f>
        <v>2028</v>
      </c>
      <c r="D2134" s="10" t="n">
        <f aca="false">INT((MONTH(B2134)-1)/3)+1</f>
        <v>4</v>
      </c>
      <c r="E2134" s="10" t="n">
        <f aca="false">MONTH(B2134)</f>
        <v>11</v>
      </c>
      <c r="F2134" s="10" t="str">
        <f aca="false">CHOOSE(MOD(A2134-1,5)+1,"Центр","Юг","Север","Запад","Восток")</f>
        <v>Север</v>
      </c>
      <c r="G2134" s="10" t="str">
        <f aca="false">"Округ_"&amp;(MOD(A2134-1,5)+1)&amp;"_"&amp;(MOD(INT((A2134-1)/5),5)+1)</f>
        <v>Округ_3_2</v>
      </c>
      <c r="H2134" s="10" t="str">
        <f aca="false">"Город_"&amp;(MOD(A2134-1,5)+1)&amp;"_"&amp;(MOD(INT((A2134-1)/5),5)+1)&amp;"_"&amp;(MOD(INT((A2134-1)/25),10)+1)</f>
        <v>Город_3_2_6</v>
      </c>
      <c r="I2134" s="10" t="str">
        <f aca="false">CHOOSE(MOD(A2134-1,4)+1,"Электроника","Одежда","Продукты","Мебель")</f>
        <v>Электроника</v>
      </c>
      <c r="J2134" s="10" t="str">
        <f aca="false">CHOOSE(MOD(INT((A2134-1)/4),4)+1,CHOOSE(MOD(A2134-1,4)+1,"Смартфоны","Ноутбуки","Аксессуары","Аудио"),CHOOSE(MOD(A2134-1,4)+1,"Верхняя одежда","Спортивная","Повседневная","Обувь"),CHOOSE(MOD(A2134-1,4)+1,"Молочные","Мясные","Бакалея","Напитки"),CHOOSE(MOD(A2134-1,4)+1,"Мягкая мебель","Корпусная","Офисная","Кухонная"))</f>
        <v>Верхняя одежда</v>
      </c>
      <c r="K2134" s="12" t="n">
        <f aca="false">1000+MOD(A2134*317+A2134*A2134*7,49001)</f>
        <v>37321</v>
      </c>
      <c r="L2134" s="12" t="n">
        <f aca="false">1+MOD(A2134*131,100)</f>
        <v>24</v>
      </c>
      <c r="M2134" s="12" t="n">
        <f aca="false">INT(K2134*(0.6+MOD(A2134*43,21)/100))</f>
        <v>26871</v>
      </c>
      <c r="N2134" s="12" t="n">
        <f aca="false">K2134-M2134</f>
        <v>10450</v>
      </c>
    </row>
    <row r="2135" customFormat="false" ht="12.8" hidden="false" customHeight="false" outlineLevel="0" collapsed="false">
      <c r="A2135" s="10" t="n">
        <f aca="false">A2134+1</f>
        <v>2134</v>
      </c>
      <c r="B2135" s="11" t="n">
        <f aca="false">B2134+1</f>
        <v>47060</v>
      </c>
      <c r="C2135" s="10" t="n">
        <f aca="false">YEAR(B2135)</f>
        <v>2028</v>
      </c>
      <c r="D2135" s="10" t="n">
        <f aca="false">INT((MONTH(B2135)-1)/3)+1</f>
        <v>4</v>
      </c>
      <c r="E2135" s="10" t="n">
        <f aca="false">MONTH(B2135)</f>
        <v>11</v>
      </c>
      <c r="F2135" s="10" t="str">
        <f aca="false">CHOOSE(MOD(A2135-1,5)+1,"Центр","Юг","Север","Запад","Восток")</f>
        <v>Запад</v>
      </c>
      <c r="G2135" s="10" t="str">
        <f aca="false">"Округ_"&amp;(MOD(A2135-1,5)+1)&amp;"_"&amp;(MOD(INT((A2135-1)/5),5)+1)</f>
        <v>Округ_4_2</v>
      </c>
      <c r="H2135" s="10" t="str">
        <f aca="false">"Город_"&amp;(MOD(A2135-1,5)+1)&amp;"_"&amp;(MOD(INT((A2135-1)/5),5)+1)&amp;"_"&amp;(MOD(INT((A2135-1)/25),10)+1)</f>
        <v>Город_4_2_6</v>
      </c>
      <c r="I2135" s="10" t="str">
        <f aca="false">CHOOSE(MOD(A2135-1,4)+1,"Электроника","Одежда","Продукты","Мебель")</f>
        <v>Одежда</v>
      </c>
      <c r="J2135" s="10" t="str">
        <f aca="false">CHOOSE(MOD(INT((A2135-1)/4),4)+1,CHOOSE(MOD(A2135-1,4)+1,"Смартфоны","Ноутбуки","Аксессуары","Аудио"),CHOOSE(MOD(A2135-1,4)+1,"Верхняя одежда","Спортивная","Повседневная","Обувь"),CHOOSE(MOD(A2135-1,4)+1,"Молочные","Мясные","Бакалея","Напитки"),CHOOSE(MOD(A2135-1,4)+1,"Мягкая мебель","Корпусная","Офисная","Кухонная"))</f>
        <v>Спортивная</v>
      </c>
      <c r="K2135" s="12" t="n">
        <f aca="false">1000+MOD(A2135*317+A2135*A2135*7,49001)</f>
        <v>18506</v>
      </c>
      <c r="L2135" s="12" t="n">
        <f aca="false">1+MOD(A2135*131,100)</f>
        <v>55</v>
      </c>
      <c r="M2135" s="12" t="n">
        <f aca="false">INT(K2135*(0.6+MOD(A2135*43,21)/100))</f>
        <v>13509</v>
      </c>
      <c r="N2135" s="12" t="n">
        <f aca="false">K2135-M2135</f>
        <v>4997</v>
      </c>
    </row>
    <row r="2136" customFormat="false" ht="12.8" hidden="false" customHeight="false" outlineLevel="0" collapsed="false">
      <c r="A2136" s="10" t="n">
        <f aca="false">A2135+1</f>
        <v>2135</v>
      </c>
      <c r="B2136" s="11" t="n">
        <f aca="false">B2135+1</f>
        <v>47061</v>
      </c>
      <c r="C2136" s="10" t="n">
        <f aca="false">YEAR(B2136)</f>
        <v>2028</v>
      </c>
      <c r="D2136" s="10" t="n">
        <f aca="false">INT((MONTH(B2136)-1)/3)+1</f>
        <v>4</v>
      </c>
      <c r="E2136" s="10" t="n">
        <f aca="false">MONTH(B2136)</f>
        <v>11</v>
      </c>
      <c r="F2136" s="10" t="str">
        <f aca="false">CHOOSE(MOD(A2136-1,5)+1,"Центр","Юг","Север","Запад","Восток")</f>
        <v>Восток</v>
      </c>
      <c r="G2136" s="10" t="str">
        <f aca="false">"Округ_"&amp;(MOD(A2136-1,5)+1)&amp;"_"&amp;(MOD(INT((A2136-1)/5),5)+1)</f>
        <v>Округ_5_2</v>
      </c>
      <c r="H2136" s="10" t="str">
        <f aca="false">"Город_"&amp;(MOD(A2136-1,5)+1)&amp;"_"&amp;(MOD(INT((A2136-1)/5),5)+1)&amp;"_"&amp;(MOD(INT((A2136-1)/25),10)+1)</f>
        <v>Город_5_2_6</v>
      </c>
      <c r="I2136" s="10" t="str">
        <f aca="false">CHOOSE(MOD(A2136-1,4)+1,"Электроника","Одежда","Продукты","Мебель")</f>
        <v>Продукты</v>
      </c>
      <c r="J2136" s="10" t="str">
        <f aca="false">CHOOSE(MOD(INT((A2136-1)/4),4)+1,CHOOSE(MOD(A2136-1,4)+1,"Смартфоны","Ноутбуки","Аксессуары","Аудио"),CHOOSE(MOD(A2136-1,4)+1,"Верхняя одежда","Спортивная","Повседневная","Обувь"),CHOOSE(MOD(A2136-1,4)+1,"Молочные","Мясные","Бакалея","Напитки"),CHOOSE(MOD(A2136-1,4)+1,"Мягкая мебель","Корпусная","Офисная","Кухонная"))</f>
        <v>Повседневная</v>
      </c>
      <c r="K2136" s="12" t="n">
        <f aca="false">1000+MOD(A2136*317+A2136*A2136*7,49001)</f>
        <v>48706</v>
      </c>
      <c r="L2136" s="12" t="n">
        <f aca="false">1+MOD(A2136*131,100)</f>
        <v>86</v>
      </c>
      <c r="M2136" s="12" t="n">
        <f aca="false">INT(K2136*(0.6+MOD(A2136*43,21)/100))</f>
        <v>36042</v>
      </c>
      <c r="N2136" s="12" t="n">
        <f aca="false">K2136-M2136</f>
        <v>12664</v>
      </c>
    </row>
    <row r="2137" customFormat="false" ht="12.8" hidden="false" customHeight="false" outlineLevel="0" collapsed="false">
      <c r="A2137" s="10" t="n">
        <f aca="false">A2136+1</f>
        <v>2136</v>
      </c>
      <c r="B2137" s="11" t="n">
        <f aca="false">B2136+1</f>
        <v>47062</v>
      </c>
      <c r="C2137" s="10" t="n">
        <f aca="false">YEAR(B2137)</f>
        <v>2028</v>
      </c>
      <c r="D2137" s="10" t="n">
        <f aca="false">INT((MONTH(B2137)-1)/3)+1</f>
        <v>4</v>
      </c>
      <c r="E2137" s="10" t="n">
        <f aca="false">MONTH(B2137)</f>
        <v>11</v>
      </c>
      <c r="F2137" s="10" t="str">
        <f aca="false">CHOOSE(MOD(A2137-1,5)+1,"Центр","Юг","Север","Запад","Восток")</f>
        <v>Центр</v>
      </c>
      <c r="G2137" s="10" t="str">
        <f aca="false">"Округ_"&amp;(MOD(A2137-1,5)+1)&amp;"_"&amp;(MOD(INT((A2137-1)/5),5)+1)</f>
        <v>Округ_1_3</v>
      </c>
      <c r="H2137" s="10" t="str">
        <f aca="false">"Город_"&amp;(MOD(A2137-1,5)+1)&amp;"_"&amp;(MOD(INT((A2137-1)/5),5)+1)&amp;"_"&amp;(MOD(INT((A2137-1)/25),10)+1)</f>
        <v>Город_1_3_6</v>
      </c>
      <c r="I2137" s="10" t="str">
        <f aca="false">CHOOSE(MOD(A2137-1,4)+1,"Электроника","Одежда","Продукты","Мебель")</f>
        <v>Мебель</v>
      </c>
      <c r="J2137" s="10" t="str">
        <f aca="false">CHOOSE(MOD(INT((A2137-1)/4),4)+1,CHOOSE(MOD(A2137-1,4)+1,"Смартфоны","Ноутбуки","Аксессуары","Аудио"),CHOOSE(MOD(A2137-1,4)+1,"Верхняя одежда","Спортивная","Повседневная","Обувь"),CHOOSE(MOD(A2137-1,4)+1,"Молочные","Мясные","Бакалея","Напитки"),CHOOSE(MOD(A2137-1,4)+1,"Мягкая мебель","Корпусная","Офисная","Кухонная"))</f>
        <v>Обувь</v>
      </c>
      <c r="K2137" s="12" t="n">
        <f aca="false">1000+MOD(A2137*317+A2137*A2137*7,49001)</f>
        <v>29919</v>
      </c>
      <c r="L2137" s="12" t="n">
        <f aca="false">1+MOD(A2137*131,100)</f>
        <v>17</v>
      </c>
      <c r="M2137" s="12" t="n">
        <f aca="false">INT(K2137*(0.6+MOD(A2137*43,21)/100))</f>
        <v>22439</v>
      </c>
      <c r="N2137" s="12" t="n">
        <f aca="false">K2137-M2137</f>
        <v>7480</v>
      </c>
    </row>
    <row r="2138" customFormat="false" ht="12.8" hidden="false" customHeight="false" outlineLevel="0" collapsed="false">
      <c r="A2138" s="10" t="n">
        <f aca="false">A2137+1</f>
        <v>2137</v>
      </c>
      <c r="B2138" s="11" t="n">
        <f aca="false">B2137+1</f>
        <v>47063</v>
      </c>
      <c r="C2138" s="10" t="n">
        <f aca="false">YEAR(B2138)</f>
        <v>2028</v>
      </c>
      <c r="D2138" s="10" t="n">
        <f aca="false">INT((MONTH(B2138)-1)/3)+1</f>
        <v>4</v>
      </c>
      <c r="E2138" s="10" t="n">
        <f aca="false">MONTH(B2138)</f>
        <v>11</v>
      </c>
      <c r="F2138" s="10" t="str">
        <f aca="false">CHOOSE(MOD(A2138-1,5)+1,"Центр","Юг","Север","Запад","Восток")</f>
        <v>Юг</v>
      </c>
      <c r="G2138" s="10" t="str">
        <f aca="false">"Округ_"&amp;(MOD(A2138-1,5)+1)&amp;"_"&amp;(MOD(INT((A2138-1)/5),5)+1)</f>
        <v>Округ_2_3</v>
      </c>
      <c r="H2138" s="10" t="str">
        <f aca="false">"Город_"&amp;(MOD(A2138-1,5)+1)&amp;"_"&amp;(MOD(INT((A2138-1)/5),5)+1)&amp;"_"&amp;(MOD(INT((A2138-1)/25),10)+1)</f>
        <v>Город_2_3_6</v>
      </c>
      <c r="I2138" s="10" t="str">
        <f aca="false">CHOOSE(MOD(A2138-1,4)+1,"Электроника","Одежда","Продукты","Мебель")</f>
        <v>Электроника</v>
      </c>
      <c r="J2138" s="10" t="str">
        <f aca="false">CHOOSE(MOD(INT((A2138-1)/4),4)+1,CHOOSE(MOD(A2138-1,4)+1,"Смартфоны","Ноутбуки","Аксессуары","Аудио"),CHOOSE(MOD(A2138-1,4)+1,"Верхняя одежда","Спортивная","Повседневная","Обувь"),CHOOSE(MOD(A2138-1,4)+1,"Молочные","Мясные","Бакалея","Напитки"),CHOOSE(MOD(A2138-1,4)+1,"Мягкая мебель","Корпусная","Офисная","Кухонная"))</f>
        <v>Молочные</v>
      </c>
      <c r="K2138" s="12" t="n">
        <f aca="false">1000+MOD(A2138*317+A2138*A2138*7,49001)</f>
        <v>11146</v>
      </c>
      <c r="L2138" s="12" t="n">
        <f aca="false">1+MOD(A2138*131,100)</f>
        <v>48</v>
      </c>
      <c r="M2138" s="12" t="n">
        <f aca="false">INT(K2138*(0.6+MOD(A2138*43,21)/100))</f>
        <v>8470</v>
      </c>
      <c r="N2138" s="12" t="n">
        <f aca="false">K2138-M2138</f>
        <v>2676</v>
      </c>
    </row>
    <row r="2139" customFormat="false" ht="12.8" hidden="false" customHeight="false" outlineLevel="0" collapsed="false">
      <c r="A2139" s="10" t="n">
        <f aca="false">A2138+1</f>
        <v>2138</v>
      </c>
      <c r="B2139" s="11" t="n">
        <f aca="false">B2138+1</f>
        <v>47064</v>
      </c>
      <c r="C2139" s="10" t="n">
        <f aca="false">YEAR(B2139)</f>
        <v>2028</v>
      </c>
      <c r="D2139" s="10" t="n">
        <f aca="false">INT((MONTH(B2139)-1)/3)+1</f>
        <v>4</v>
      </c>
      <c r="E2139" s="10" t="n">
        <f aca="false">MONTH(B2139)</f>
        <v>11</v>
      </c>
      <c r="F2139" s="10" t="str">
        <f aca="false">CHOOSE(MOD(A2139-1,5)+1,"Центр","Юг","Север","Запад","Восток")</f>
        <v>Север</v>
      </c>
      <c r="G2139" s="10" t="str">
        <f aca="false">"Округ_"&amp;(MOD(A2139-1,5)+1)&amp;"_"&amp;(MOD(INT((A2139-1)/5),5)+1)</f>
        <v>Округ_3_3</v>
      </c>
      <c r="H2139" s="10" t="str">
        <f aca="false">"Город_"&amp;(MOD(A2139-1,5)+1)&amp;"_"&amp;(MOD(INT((A2139-1)/5),5)+1)&amp;"_"&amp;(MOD(INT((A2139-1)/25),10)+1)</f>
        <v>Город_3_3_6</v>
      </c>
      <c r="I2139" s="10" t="str">
        <f aca="false">CHOOSE(MOD(A2139-1,4)+1,"Электроника","Одежда","Продукты","Мебель")</f>
        <v>Одежда</v>
      </c>
      <c r="J2139" s="10" t="str">
        <f aca="false">CHOOSE(MOD(INT((A2139-1)/4),4)+1,CHOOSE(MOD(A2139-1,4)+1,"Смартфоны","Ноутбуки","Аксессуары","Аудио"),CHOOSE(MOD(A2139-1,4)+1,"Верхняя одежда","Спортивная","Повседневная","Обувь"),CHOOSE(MOD(A2139-1,4)+1,"Молочные","Мясные","Бакалея","Напитки"),CHOOSE(MOD(A2139-1,4)+1,"Мягкая мебель","Корпусная","Офисная","Кухонная"))</f>
        <v>Мясные</v>
      </c>
      <c r="K2139" s="12" t="n">
        <f aca="false">1000+MOD(A2139*317+A2139*A2139*7,49001)</f>
        <v>41388</v>
      </c>
      <c r="L2139" s="12" t="n">
        <f aca="false">1+MOD(A2139*131,100)</f>
        <v>79</v>
      </c>
      <c r="M2139" s="12" t="n">
        <f aca="false">INT(K2139*(0.6+MOD(A2139*43,21)/100))</f>
        <v>31868</v>
      </c>
      <c r="N2139" s="12" t="n">
        <f aca="false">K2139-M2139</f>
        <v>9520</v>
      </c>
    </row>
    <row r="2140" customFormat="false" ht="12.8" hidden="false" customHeight="false" outlineLevel="0" collapsed="false">
      <c r="A2140" s="10" t="n">
        <f aca="false">A2139+1</f>
        <v>2139</v>
      </c>
      <c r="B2140" s="11" t="n">
        <f aca="false">B2139+1</f>
        <v>47065</v>
      </c>
      <c r="C2140" s="10" t="n">
        <f aca="false">YEAR(B2140)</f>
        <v>2028</v>
      </c>
      <c r="D2140" s="10" t="n">
        <f aca="false">INT((MONTH(B2140)-1)/3)+1</f>
        <v>4</v>
      </c>
      <c r="E2140" s="10" t="n">
        <f aca="false">MONTH(B2140)</f>
        <v>11</v>
      </c>
      <c r="F2140" s="10" t="str">
        <f aca="false">CHOOSE(MOD(A2140-1,5)+1,"Центр","Юг","Север","Запад","Восток")</f>
        <v>Запад</v>
      </c>
      <c r="G2140" s="10" t="str">
        <f aca="false">"Округ_"&amp;(MOD(A2140-1,5)+1)&amp;"_"&amp;(MOD(INT((A2140-1)/5),5)+1)</f>
        <v>Округ_4_3</v>
      </c>
      <c r="H2140" s="10" t="str">
        <f aca="false">"Город_"&amp;(MOD(A2140-1,5)+1)&amp;"_"&amp;(MOD(INT((A2140-1)/5),5)+1)&amp;"_"&amp;(MOD(INT((A2140-1)/25),10)+1)</f>
        <v>Город_4_3_6</v>
      </c>
      <c r="I2140" s="10" t="str">
        <f aca="false">CHOOSE(MOD(A2140-1,4)+1,"Электроника","Одежда","Продукты","Мебель")</f>
        <v>Продукты</v>
      </c>
      <c r="J2140" s="10" t="str">
        <f aca="false">CHOOSE(MOD(INT((A2140-1)/4),4)+1,CHOOSE(MOD(A2140-1,4)+1,"Смартфоны","Ноутбуки","Аксессуары","Аудио"),CHOOSE(MOD(A2140-1,4)+1,"Верхняя одежда","Спортивная","Повседневная","Обувь"),CHOOSE(MOD(A2140-1,4)+1,"Молочные","Мясные","Бакалея","Напитки"),CHOOSE(MOD(A2140-1,4)+1,"Мягкая мебель","Корпусная","Офисная","Кухонная"))</f>
        <v>Бакалея</v>
      </c>
      <c r="K2140" s="12" t="n">
        <f aca="false">1000+MOD(A2140*317+A2140*A2140*7,49001)</f>
        <v>22643</v>
      </c>
      <c r="L2140" s="12" t="n">
        <f aca="false">1+MOD(A2140*131,100)</f>
        <v>10</v>
      </c>
      <c r="M2140" s="12" t="n">
        <f aca="false">INT(K2140*(0.6+MOD(A2140*43,21)/100))</f>
        <v>17661</v>
      </c>
      <c r="N2140" s="12" t="n">
        <f aca="false">K2140-M2140</f>
        <v>4982</v>
      </c>
    </row>
    <row r="2141" customFormat="false" ht="12.8" hidden="false" customHeight="false" outlineLevel="0" collapsed="false">
      <c r="A2141" s="10" t="n">
        <f aca="false">A2140+1</f>
        <v>2140</v>
      </c>
      <c r="B2141" s="11" t="n">
        <f aca="false">B2140+1</f>
        <v>47066</v>
      </c>
      <c r="C2141" s="10" t="n">
        <f aca="false">YEAR(B2141)</f>
        <v>2028</v>
      </c>
      <c r="D2141" s="10" t="n">
        <f aca="false">INT((MONTH(B2141)-1)/3)+1</f>
        <v>4</v>
      </c>
      <c r="E2141" s="10" t="n">
        <f aca="false">MONTH(B2141)</f>
        <v>11</v>
      </c>
      <c r="F2141" s="10" t="str">
        <f aca="false">CHOOSE(MOD(A2141-1,5)+1,"Центр","Юг","Север","Запад","Восток")</f>
        <v>Восток</v>
      </c>
      <c r="G2141" s="10" t="str">
        <f aca="false">"Округ_"&amp;(MOD(A2141-1,5)+1)&amp;"_"&amp;(MOD(INT((A2141-1)/5),5)+1)</f>
        <v>Округ_5_3</v>
      </c>
      <c r="H2141" s="10" t="str">
        <f aca="false">"Город_"&amp;(MOD(A2141-1,5)+1)&amp;"_"&amp;(MOD(INT((A2141-1)/5),5)+1)&amp;"_"&amp;(MOD(INT((A2141-1)/25),10)+1)</f>
        <v>Город_5_3_6</v>
      </c>
      <c r="I2141" s="10" t="str">
        <f aca="false">CHOOSE(MOD(A2141-1,4)+1,"Электроника","Одежда","Продукты","Мебель")</f>
        <v>Мебель</v>
      </c>
      <c r="J2141" s="10" t="str">
        <f aca="false">CHOOSE(MOD(INT((A2141-1)/4),4)+1,CHOOSE(MOD(A2141-1,4)+1,"Смартфоны","Ноутбуки","Аксессуары","Аудио"),CHOOSE(MOD(A2141-1,4)+1,"Верхняя одежда","Спортивная","Повседневная","Обувь"),CHOOSE(MOD(A2141-1,4)+1,"Молочные","Мясные","Бакалея","Напитки"),CHOOSE(MOD(A2141-1,4)+1,"Мягкая мебель","Корпусная","Офисная","Кухонная"))</f>
        <v>Напитки</v>
      </c>
      <c r="K2141" s="12" t="n">
        <f aca="false">1000+MOD(A2141*317+A2141*A2141*7,49001)</f>
        <v>3912</v>
      </c>
      <c r="L2141" s="12" t="n">
        <f aca="false">1+MOD(A2141*131,100)</f>
        <v>41</v>
      </c>
      <c r="M2141" s="12" t="n">
        <f aca="false">INT(K2141*(0.6+MOD(A2141*43,21)/100))</f>
        <v>3090</v>
      </c>
      <c r="N2141" s="12" t="n">
        <f aca="false">K2141-M2141</f>
        <v>822</v>
      </c>
    </row>
    <row r="2142" customFormat="false" ht="12.8" hidden="false" customHeight="false" outlineLevel="0" collapsed="false">
      <c r="A2142" s="10" t="n">
        <f aca="false">A2141+1</f>
        <v>2141</v>
      </c>
      <c r="B2142" s="11" t="n">
        <f aca="false">B2141+1</f>
        <v>47067</v>
      </c>
      <c r="C2142" s="10" t="n">
        <f aca="false">YEAR(B2142)</f>
        <v>2028</v>
      </c>
      <c r="D2142" s="10" t="n">
        <f aca="false">INT((MONTH(B2142)-1)/3)+1</f>
        <v>4</v>
      </c>
      <c r="E2142" s="10" t="n">
        <f aca="false">MONTH(B2142)</f>
        <v>11</v>
      </c>
      <c r="F2142" s="10" t="str">
        <f aca="false">CHOOSE(MOD(A2142-1,5)+1,"Центр","Юг","Север","Запад","Восток")</f>
        <v>Центр</v>
      </c>
      <c r="G2142" s="10" t="str">
        <f aca="false">"Округ_"&amp;(MOD(A2142-1,5)+1)&amp;"_"&amp;(MOD(INT((A2142-1)/5),5)+1)</f>
        <v>Округ_1_4</v>
      </c>
      <c r="H2142" s="10" t="str">
        <f aca="false">"Город_"&amp;(MOD(A2142-1,5)+1)&amp;"_"&amp;(MOD(INT((A2142-1)/5),5)+1)&amp;"_"&amp;(MOD(INT((A2142-1)/25),10)+1)</f>
        <v>Город_1_4_6</v>
      </c>
      <c r="I2142" s="10" t="str">
        <f aca="false">CHOOSE(MOD(A2142-1,4)+1,"Электроника","Одежда","Продукты","Мебель")</f>
        <v>Электроника</v>
      </c>
      <c r="J2142" s="10" t="str">
        <f aca="false">CHOOSE(MOD(INT((A2142-1)/4),4)+1,CHOOSE(MOD(A2142-1,4)+1,"Смартфоны","Ноутбуки","Аксессуары","Аудио"),CHOOSE(MOD(A2142-1,4)+1,"Верхняя одежда","Спортивная","Повседневная","Обувь"),CHOOSE(MOD(A2142-1,4)+1,"Молочные","Мясные","Бакалея","Напитки"),CHOOSE(MOD(A2142-1,4)+1,"Мягкая мебель","Корпусная","Офисная","Кухонная"))</f>
        <v>Мягкая мебель</v>
      </c>
      <c r="K2142" s="12" t="n">
        <f aca="false">1000+MOD(A2142*317+A2142*A2142*7,49001)</f>
        <v>34196</v>
      </c>
      <c r="L2142" s="12" t="n">
        <f aca="false">1+MOD(A2142*131,100)</f>
        <v>72</v>
      </c>
      <c r="M2142" s="12" t="n">
        <f aca="false">INT(K2142*(0.6+MOD(A2142*43,21)/100))</f>
        <v>27356</v>
      </c>
      <c r="N2142" s="12" t="n">
        <f aca="false">K2142-M2142</f>
        <v>6840</v>
      </c>
    </row>
    <row r="2143" customFormat="false" ht="12.8" hidden="false" customHeight="false" outlineLevel="0" collapsed="false">
      <c r="A2143" s="10" t="n">
        <f aca="false">A2142+1</f>
        <v>2142</v>
      </c>
      <c r="B2143" s="11" t="n">
        <f aca="false">B2142+1</f>
        <v>47068</v>
      </c>
      <c r="C2143" s="10" t="n">
        <f aca="false">YEAR(B2143)</f>
        <v>2028</v>
      </c>
      <c r="D2143" s="10" t="n">
        <f aca="false">INT((MONTH(B2143)-1)/3)+1</f>
        <v>4</v>
      </c>
      <c r="E2143" s="10" t="n">
        <f aca="false">MONTH(B2143)</f>
        <v>11</v>
      </c>
      <c r="F2143" s="10" t="str">
        <f aca="false">CHOOSE(MOD(A2143-1,5)+1,"Центр","Юг","Север","Запад","Восток")</f>
        <v>Юг</v>
      </c>
      <c r="G2143" s="10" t="str">
        <f aca="false">"Округ_"&amp;(MOD(A2143-1,5)+1)&amp;"_"&amp;(MOD(INT((A2143-1)/5),5)+1)</f>
        <v>Округ_2_4</v>
      </c>
      <c r="H2143" s="10" t="str">
        <f aca="false">"Город_"&amp;(MOD(A2143-1,5)+1)&amp;"_"&amp;(MOD(INT((A2143-1)/5),5)+1)&amp;"_"&amp;(MOD(INT((A2143-1)/25),10)+1)</f>
        <v>Город_2_4_6</v>
      </c>
      <c r="I2143" s="10" t="str">
        <f aca="false">CHOOSE(MOD(A2143-1,4)+1,"Электроника","Одежда","Продукты","Мебель")</f>
        <v>Одежда</v>
      </c>
      <c r="J2143" s="10" t="str">
        <f aca="false">CHOOSE(MOD(INT((A2143-1)/4),4)+1,CHOOSE(MOD(A2143-1,4)+1,"Смартфоны","Ноутбуки","Аксессуары","Аудио"),CHOOSE(MOD(A2143-1,4)+1,"Верхняя одежда","Спортивная","Повседневная","Обувь"),CHOOSE(MOD(A2143-1,4)+1,"Молочные","Мясные","Бакалея","Напитки"),CHOOSE(MOD(A2143-1,4)+1,"Мягкая мебель","Корпусная","Офисная","Кухонная"))</f>
        <v>Корпусная</v>
      </c>
      <c r="K2143" s="12" t="n">
        <f aca="false">1000+MOD(A2143*317+A2143*A2143*7,49001)</f>
        <v>15493</v>
      </c>
      <c r="L2143" s="12" t="n">
        <f aca="false">1+MOD(A2143*131,100)</f>
        <v>3</v>
      </c>
      <c r="M2143" s="12" t="n">
        <f aca="false">INT(K2143*(0.6+MOD(A2143*43,21)/100))</f>
        <v>9295</v>
      </c>
      <c r="N2143" s="12" t="n">
        <f aca="false">K2143-M2143</f>
        <v>6198</v>
      </c>
    </row>
    <row r="2144" customFormat="false" ht="12.8" hidden="false" customHeight="false" outlineLevel="0" collapsed="false">
      <c r="A2144" s="10" t="n">
        <f aca="false">A2143+1</f>
        <v>2143</v>
      </c>
      <c r="B2144" s="11" t="n">
        <f aca="false">B2143+1</f>
        <v>47069</v>
      </c>
      <c r="C2144" s="10" t="n">
        <f aca="false">YEAR(B2144)</f>
        <v>2028</v>
      </c>
      <c r="D2144" s="10" t="n">
        <f aca="false">INT((MONTH(B2144)-1)/3)+1</f>
        <v>4</v>
      </c>
      <c r="E2144" s="10" t="n">
        <f aca="false">MONTH(B2144)</f>
        <v>11</v>
      </c>
      <c r="F2144" s="10" t="str">
        <f aca="false">CHOOSE(MOD(A2144-1,5)+1,"Центр","Юг","Север","Запад","Восток")</f>
        <v>Север</v>
      </c>
      <c r="G2144" s="10" t="str">
        <f aca="false">"Округ_"&amp;(MOD(A2144-1,5)+1)&amp;"_"&amp;(MOD(INT((A2144-1)/5),5)+1)</f>
        <v>Округ_3_4</v>
      </c>
      <c r="H2144" s="10" t="str">
        <f aca="false">"Город_"&amp;(MOD(A2144-1,5)+1)&amp;"_"&amp;(MOD(INT((A2144-1)/5),5)+1)&amp;"_"&amp;(MOD(INT((A2144-1)/25),10)+1)</f>
        <v>Город_3_4_6</v>
      </c>
      <c r="I2144" s="10" t="str">
        <f aca="false">CHOOSE(MOD(A2144-1,4)+1,"Электроника","Одежда","Продукты","Мебель")</f>
        <v>Продукты</v>
      </c>
      <c r="J2144" s="10" t="str">
        <f aca="false">CHOOSE(MOD(INT((A2144-1)/4),4)+1,CHOOSE(MOD(A2144-1,4)+1,"Смартфоны","Ноутбуки","Аксессуары","Аудио"),CHOOSE(MOD(A2144-1,4)+1,"Верхняя одежда","Спортивная","Повседневная","Обувь"),CHOOSE(MOD(A2144-1,4)+1,"Молочные","Мясные","Бакалея","Напитки"),CHOOSE(MOD(A2144-1,4)+1,"Мягкая мебель","Корпусная","Офисная","Кухонная"))</f>
        <v>Офисная</v>
      </c>
      <c r="K2144" s="12" t="n">
        <f aca="false">1000+MOD(A2144*317+A2144*A2144*7,49001)</f>
        <v>45805</v>
      </c>
      <c r="L2144" s="12" t="n">
        <f aca="false">1+MOD(A2144*131,100)</f>
        <v>34</v>
      </c>
      <c r="M2144" s="12" t="n">
        <f aca="false">INT(K2144*(0.6+MOD(A2144*43,21)/100))</f>
        <v>27941</v>
      </c>
      <c r="N2144" s="12" t="n">
        <f aca="false">K2144-M2144</f>
        <v>17864</v>
      </c>
    </row>
    <row r="2145" customFormat="false" ht="12.8" hidden="false" customHeight="false" outlineLevel="0" collapsed="false">
      <c r="A2145" s="10" t="n">
        <f aca="false">A2144+1</f>
        <v>2144</v>
      </c>
      <c r="B2145" s="11" t="n">
        <f aca="false">B2144+1</f>
        <v>47070</v>
      </c>
      <c r="C2145" s="10" t="n">
        <f aca="false">YEAR(B2145)</f>
        <v>2028</v>
      </c>
      <c r="D2145" s="10" t="n">
        <f aca="false">INT((MONTH(B2145)-1)/3)+1</f>
        <v>4</v>
      </c>
      <c r="E2145" s="10" t="n">
        <f aca="false">MONTH(B2145)</f>
        <v>11</v>
      </c>
      <c r="F2145" s="10" t="str">
        <f aca="false">CHOOSE(MOD(A2145-1,5)+1,"Центр","Юг","Север","Запад","Восток")</f>
        <v>Запад</v>
      </c>
      <c r="G2145" s="10" t="str">
        <f aca="false">"Округ_"&amp;(MOD(A2145-1,5)+1)&amp;"_"&amp;(MOD(INT((A2145-1)/5),5)+1)</f>
        <v>Округ_4_4</v>
      </c>
      <c r="H2145" s="10" t="str">
        <f aca="false">"Город_"&amp;(MOD(A2145-1,5)+1)&amp;"_"&amp;(MOD(INT((A2145-1)/5),5)+1)&amp;"_"&amp;(MOD(INT((A2145-1)/25),10)+1)</f>
        <v>Город_4_4_6</v>
      </c>
      <c r="I2145" s="10" t="str">
        <f aca="false">CHOOSE(MOD(A2145-1,4)+1,"Электроника","Одежда","Продукты","Мебель")</f>
        <v>Мебель</v>
      </c>
      <c r="J2145" s="10" t="str">
        <f aca="false">CHOOSE(MOD(INT((A2145-1)/4),4)+1,CHOOSE(MOD(A2145-1,4)+1,"Смартфоны","Ноутбуки","Аксессуары","Аудио"),CHOOSE(MOD(A2145-1,4)+1,"Верхняя одежда","Спортивная","Повседневная","Обувь"),CHOOSE(MOD(A2145-1,4)+1,"Молочные","Мясные","Бакалея","Напитки"),CHOOSE(MOD(A2145-1,4)+1,"Мягкая мебель","Корпусная","Офисная","Кухонная"))</f>
        <v>Кухонная</v>
      </c>
      <c r="K2145" s="12" t="n">
        <f aca="false">1000+MOD(A2145*317+A2145*A2145*7,49001)</f>
        <v>27130</v>
      </c>
      <c r="L2145" s="12" t="n">
        <f aca="false">1+MOD(A2145*131,100)</f>
        <v>65</v>
      </c>
      <c r="M2145" s="12" t="n">
        <f aca="false">INT(K2145*(0.6+MOD(A2145*43,21)/100))</f>
        <v>16820</v>
      </c>
      <c r="N2145" s="12" t="n">
        <f aca="false">K2145-M2145</f>
        <v>10310</v>
      </c>
    </row>
    <row r="2146" customFormat="false" ht="12.8" hidden="false" customHeight="false" outlineLevel="0" collapsed="false">
      <c r="A2146" s="10" t="n">
        <f aca="false">A2145+1</f>
        <v>2145</v>
      </c>
      <c r="B2146" s="11" t="n">
        <f aca="false">B2145+1</f>
        <v>47071</v>
      </c>
      <c r="C2146" s="10" t="n">
        <f aca="false">YEAR(B2146)</f>
        <v>2028</v>
      </c>
      <c r="D2146" s="10" t="n">
        <f aca="false">INT((MONTH(B2146)-1)/3)+1</f>
        <v>4</v>
      </c>
      <c r="E2146" s="10" t="n">
        <f aca="false">MONTH(B2146)</f>
        <v>11</v>
      </c>
      <c r="F2146" s="10" t="str">
        <f aca="false">CHOOSE(MOD(A2146-1,5)+1,"Центр","Юг","Север","Запад","Восток")</f>
        <v>Восток</v>
      </c>
      <c r="G2146" s="10" t="str">
        <f aca="false">"Округ_"&amp;(MOD(A2146-1,5)+1)&amp;"_"&amp;(MOD(INT((A2146-1)/5),5)+1)</f>
        <v>Округ_5_4</v>
      </c>
      <c r="H2146" s="10" t="str">
        <f aca="false">"Город_"&amp;(MOD(A2146-1,5)+1)&amp;"_"&amp;(MOD(INT((A2146-1)/5),5)+1)&amp;"_"&amp;(MOD(INT((A2146-1)/25),10)+1)</f>
        <v>Город_5_4_6</v>
      </c>
      <c r="I2146" s="10" t="str">
        <f aca="false">CHOOSE(MOD(A2146-1,4)+1,"Электроника","Одежда","Продукты","Мебель")</f>
        <v>Электроника</v>
      </c>
      <c r="J2146" s="10" t="str">
        <f aca="false">CHOOSE(MOD(INT((A2146-1)/4),4)+1,CHOOSE(MOD(A2146-1,4)+1,"Смартфоны","Ноутбуки","Аксессуары","Аудио"),CHOOSE(MOD(A2146-1,4)+1,"Верхняя одежда","Спортивная","Повседневная","Обувь"),CHOOSE(MOD(A2146-1,4)+1,"Молочные","Мясные","Бакалея","Напитки"),CHOOSE(MOD(A2146-1,4)+1,"Мягкая мебель","Корпусная","Офисная","Кухонная"))</f>
        <v>Смартфоны</v>
      </c>
      <c r="K2146" s="12" t="n">
        <f aca="false">1000+MOD(A2146*317+A2146*A2146*7,49001)</f>
        <v>8469</v>
      </c>
      <c r="L2146" s="12" t="n">
        <f aca="false">1+MOD(A2146*131,100)</f>
        <v>96</v>
      </c>
      <c r="M2146" s="12" t="n">
        <f aca="false">INT(K2146*(0.6+MOD(A2146*43,21)/100))</f>
        <v>5335</v>
      </c>
      <c r="N2146" s="12" t="n">
        <f aca="false">K2146-M2146</f>
        <v>3134</v>
      </c>
    </row>
    <row r="2147" customFormat="false" ht="12.8" hidden="false" customHeight="false" outlineLevel="0" collapsed="false">
      <c r="A2147" s="10" t="n">
        <f aca="false">A2146+1</f>
        <v>2146</v>
      </c>
      <c r="B2147" s="11" t="n">
        <f aca="false">B2146+1</f>
        <v>47072</v>
      </c>
      <c r="C2147" s="10" t="n">
        <f aca="false">YEAR(B2147)</f>
        <v>2028</v>
      </c>
      <c r="D2147" s="10" t="n">
        <f aca="false">INT((MONTH(B2147)-1)/3)+1</f>
        <v>4</v>
      </c>
      <c r="E2147" s="10" t="n">
        <f aca="false">MONTH(B2147)</f>
        <v>11</v>
      </c>
      <c r="F2147" s="10" t="str">
        <f aca="false">CHOOSE(MOD(A2147-1,5)+1,"Центр","Юг","Север","Запад","Восток")</f>
        <v>Центр</v>
      </c>
      <c r="G2147" s="10" t="str">
        <f aca="false">"Округ_"&amp;(MOD(A2147-1,5)+1)&amp;"_"&amp;(MOD(INT((A2147-1)/5),5)+1)</f>
        <v>Округ_1_5</v>
      </c>
      <c r="H2147" s="10" t="str">
        <f aca="false">"Город_"&amp;(MOD(A2147-1,5)+1)&amp;"_"&amp;(MOD(INT((A2147-1)/5),5)+1)&amp;"_"&amp;(MOD(INT((A2147-1)/25),10)+1)</f>
        <v>Город_1_5_6</v>
      </c>
      <c r="I2147" s="10" t="str">
        <f aca="false">CHOOSE(MOD(A2147-1,4)+1,"Электроника","Одежда","Продукты","Мебель")</f>
        <v>Одежда</v>
      </c>
      <c r="J2147" s="10" t="str">
        <f aca="false">CHOOSE(MOD(INT((A2147-1)/4),4)+1,CHOOSE(MOD(A2147-1,4)+1,"Смартфоны","Ноутбуки","Аксессуары","Аудио"),CHOOSE(MOD(A2147-1,4)+1,"Верхняя одежда","Спортивная","Повседневная","Обувь"),CHOOSE(MOD(A2147-1,4)+1,"Молочные","Мясные","Бакалея","Напитки"),CHOOSE(MOD(A2147-1,4)+1,"Мягкая мебель","Корпусная","Офисная","Кухонная"))</f>
        <v>Ноутбуки</v>
      </c>
      <c r="K2147" s="12" t="n">
        <f aca="false">1000+MOD(A2147*317+A2147*A2147*7,49001)</f>
        <v>38823</v>
      </c>
      <c r="L2147" s="12" t="n">
        <f aca="false">1+MOD(A2147*131,100)</f>
        <v>27</v>
      </c>
      <c r="M2147" s="12" t="n">
        <f aca="false">INT(K2147*(0.6+MOD(A2147*43,21)/100))</f>
        <v>24846</v>
      </c>
      <c r="N2147" s="12" t="n">
        <f aca="false">K2147-M2147</f>
        <v>13977</v>
      </c>
    </row>
    <row r="2148" customFormat="false" ht="12.8" hidden="false" customHeight="false" outlineLevel="0" collapsed="false">
      <c r="A2148" s="10" t="n">
        <f aca="false">A2147+1</f>
        <v>2147</v>
      </c>
      <c r="B2148" s="11" t="n">
        <f aca="false">B2147+1</f>
        <v>47073</v>
      </c>
      <c r="C2148" s="10" t="n">
        <f aca="false">YEAR(B2148)</f>
        <v>2028</v>
      </c>
      <c r="D2148" s="10" t="n">
        <f aca="false">INT((MONTH(B2148)-1)/3)+1</f>
        <v>4</v>
      </c>
      <c r="E2148" s="10" t="n">
        <f aca="false">MONTH(B2148)</f>
        <v>11</v>
      </c>
      <c r="F2148" s="10" t="str">
        <f aca="false">CHOOSE(MOD(A2148-1,5)+1,"Центр","Юг","Север","Запад","Восток")</f>
        <v>Юг</v>
      </c>
      <c r="G2148" s="10" t="str">
        <f aca="false">"Округ_"&amp;(MOD(A2148-1,5)+1)&amp;"_"&amp;(MOD(INT((A2148-1)/5),5)+1)</f>
        <v>Округ_2_5</v>
      </c>
      <c r="H2148" s="10" t="str">
        <f aca="false">"Город_"&amp;(MOD(A2148-1,5)+1)&amp;"_"&amp;(MOD(INT((A2148-1)/5),5)+1)&amp;"_"&amp;(MOD(INT((A2148-1)/25),10)+1)</f>
        <v>Город_2_5_6</v>
      </c>
      <c r="I2148" s="10" t="str">
        <f aca="false">CHOOSE(MOD(A2148-1,4)+1,"Электроника","Одежда","Продукты","Мебель")</f>
        <v>Продукты</v>
      </c>
      <c r="J2148" s="10" t="str">
        <f aca="false">CHOOSE(MOD(INT((A2148-1)/4),4)+1,CHOOSE(MOD(A2148-1,4)+1,"Смартфоны","Ноутбуки","Аксессуары","Аудио"),CHOOSE(MOD(A2148-1,4)+1,"Верхняя одежда","Спортивная","Повседневная","Обувь"),CHOOSE(MOD(A2148-1,4)+1,"Молочные","Мясные","Бакалея","Напитки"),CHOOSE(MOD(A2148-1,4)+1,"Мягкая мебель","Корпусная","Офисная","Кухонная"))</f>
        <v>Аксессуары</v>
      </c>
      <c r="K2148" s="12" t="n">
        <f aca="false">1000+MOD(A2148*317+A2148*A2148*7,49001)</f>
        <v>20190</v>
      </c>
      <c r="L2148" s="12" t="n">
        <f aca="false">1+MOD(A2148*131,100)</f>
        <v>58</v>
      </c>
      <c r="M2148" s="12" t="n">
        <f aca="false">INT(K2148*(0.6+MOD(A2148*43,21)/100))</f>
        <v>13123</v>
      </c>
      <c r="N2148" s="12" t="n">
        <f aca="false">K2148-M2148</f>
        <v>7067</v>
      </c>
    </row>
    <row r="2149" customFormat="false" ht="12.8" hidden="false" customHeight="false" outlineLevel="0" collapsed="false">
      <c r="A2149" s="10" t="n">
        <f aca="false">A2148+1</f>
        <v>2148</v>
      </c>
      <c r="B2149" s="11" t="n">
        <f aca="false">B2148+1</f>
        <v>47074</v>
      </c>
      <c r="C2149" s="10" t="n">
        <f aca="false">YEAR(B2149)</f>
        <v>2028</v>
      </c>
      <c r="D2149" s="10" t="n">
        <f aca="false">INT((MONTH(B2149)-1)/3)+1</f>
        <v>4</v>
      </c>
      <c r="E2149" s="10" t="n">
        <f aca="false">MONTH(B2149)</f>
        <v>11</v>
      </c>
      <c r="F2149" s="10" t="str">
        <f aca="false">CHOOSE(MOD(A2149-1,5)+1,"Центр","Юг","Север","Запад","Восток")</f>
        <v>Север</v>
      </c>
      <c r="G2149" s="10" t="str">
        <f aca="false">"Округ_"&amp;(MOD(A2149-1,5)+1)&amp;"_"&amp;(MOD(INT((A2149-1)/5),5)+1)</f>
        <v>Округ_3_5</v>
      </c>
      <c r="H2149" s="10" t="str">
        <f aca="false">"Город_"&amp;(MOD(A2149-1,5)+1)&amp;"_"&amp;(MOD(INT((A2149-1)/5),5)+1)&amp;"_"&amp;(MOD(INT((A2149-1)/25),10)+1)</f>
        <v>Город_3_5_6</v>
      </c>
      <c r="I2149" s="10" t="str">
        <f aca="false">CHOOSE(MOD(A2149-1,4)+1,"Электроника","Одежда","Продукты","Мебель")</f>
        <v>Мебель</v>
      </c>
      <c r="J2149" s="10" t="str">
        <f aca="false">CHOOSE(MOD(INT((A2149-1)/4),4)+1,CHOOSE(MOD(A2149-1,4)+1,"Смартфоны","Ноутбуки","Аксессуары","Аудио"),CHOOSE(MOD(A2149-1,4)+1,"Верхняя одежда","Спортивная","Повседневная","Обувь"),CHOOSE(MOD(A2149-1,4)+1,"Молочные","Мясные","Бакалея","Напитки"),CHOOSE(MOD(A2149-1,4)+1,"Мягкая мебель","Корпусная","Офисная","Кухонная"))</f>
        <v>Аудио</v>
      </c>
      <c r="K2149" s="12" t="n">
        <f aca="false">1000+MOD(A2149*317+A2149*A2149*7,49001)</f>
        <v>1571</v>
      </c>
      <c r="L2149" s="12" t="n">
        <f aca="false">1+MOD(A2149*131,100)</f>
        <v>89</v>
      </c>
      <c r="M2149" s="12" t="n">
        <f aca="false">INT(K2149*(0.6+MOD(A2149*43,21)/100))</f>
        <v>1036</v>
      </c>
      <c r="N2149" s="12" t="n">
        <f aca="false">K2149-M2149</f>
        <v>535</v>
      </c>
    </row>
    <row r="2150" customFormat="false" ht="12.8" hidden="false" customHeight="false" outlineLevel="0" collapsed="false">
      <c r="A2150" s="10" t="n">
        <f aca="false">A2149+1</f>
        <v>2149</v>
      </c>
      <c r="B2150" s="11" t="n">
        <f aca="false">B2149+1</f>
        <v>47075</v>
      </c>
      <c r="C2150" s="10" t="n">
        <f aca="false">YEAR(B2150)</f>
        <v>2028</v>
      </c>
      <c r="D2150" s="10" t="n">
        <f aca="false">INT((MONTH(B2150)-1)/3)+1</f>
        <v>4</v>
      </c>
      <c r="E2150" s="10" t="n">
        <f aca="false">MONTH(B2150)</f>
        <v>11</v>
      </c>
      <c r="F2150" s="10" t="str">
        <f aca="false">CHOOSE(MOD(A2150-1,5)+1,"Центр","Юг","Север","Запад","Восток")</f>
        <v>Запад</v>
      </c>
      <c r="G2150" s="10" t="str">
        <f aca="false">"Округ_"&amp;(MOD(A2150-1,5)+1)&amp;"_"&amp;(MOD(INT((A2150-1)/5),5)+1)</f>
        <v>Округ_4_5</v>
      </c>
      <c r="H2150" s="10" t="str">
        <f aca="false">"Город_"&amp;(MOD(A2150-1,5)+1)&amp;"_"&amp;(MOD(INT((A2150-1)/5),5)+1)&amp;"_"&amp;(MOD(INT((A2150-1)/25),10)+1)</f>
        <v>Город_4_5_6</v>
      </c>
      <c r="I2150" s="10" t="str">
        <f aca="false">CHOOSE(MOD(A2150-1,4)+1,"Электроника","Одежда","Продукты","Мебель")</f>
        <v>Электроника</v>
      </c>
      <c r="J2150" s="10" t="str">
        <f aca="false">CHOOSE(MOD(INT((A2150-1)/4),4)+1,CHOOSE(MOD(A2150-1,4)+1,"Смартфоны","Ноутбуки","Аксессуары","Аудио"),CHOOSE(MOD(A2150-1,4)+1,"Верхняя одежда","Спортивная","Повседневная","Обувь"),CHOOSE(MOD(A2150-1,4)+1,"Молочные","Мясные","Бакалея","Напитки"),CHOOSE(MOD(A2150-1,4)+1,"Мягкая мебель","Корпусная","Офисная","Кухонная"))</f>
        <v>Верхняя одежда</v>
      </c>
      <c r="K2150" s="12" t="n">
        <f aca="false">1000+MOD(A2150*317+A2150*A2150*7,49001)</f>
        <v>31967</v>
      </c>
      <c r="L2150" s="12" t="n">
        <f aca="false">1+MOD(A2150*131,100)</f>
        <v>20</v>
      </c>
      <c r="M2150" s="12" t="n">
        <f aca="false">INT(K2150*(0.6+MOD(A2150*43,21)/100))</f>
        <v>21417</v>
      </c>
      <c r="N2150" s="12" t="n">
        <f aca="false">K2150-M2150</f>
        <v>10550</v>
      </c>
    </row>
    <row r="2151" customFormat="false" ht="12.8" hidden="false" customHeight="false" outlineLevel="0" collapsed="false">
      <c r="A2151" s="10" t="n">
        <f aca="false">A2150+1</f>
        <v>2150</v>
      </c>
      <c r="B2151" s="11" t="n">
        <f aca="false">B2150+1</f>
        <v>47076</v>
      </c>
      <c r="C2151" s="10" t="n">
        <f aca="false">YEAR(B2151)</f>
        <v>2028</v>
      </c>
      <c r="D2151" s="10" t="n">
        <f aca="false">INT((MONTH(B2151)-1)/3)+1</f>
        <v>4</v>
      </c>
      <c r="E2151" s="10" t="n">
        <f aca="false">MONTH(B2151)</f>
        <v>11</v>
      </c>
      <c r="F2151" s="10" t="str">
        <f aca="false">CHOOSE(MOD(A2151-1,5)+1,"Центр","Юг","Север","Запад","Восток")</f>
        <v>Восток</v>
      </c>
      <c r="G2151" s="10" t="str">
        <f aca="false">"Округ_"&amp;(MOD(A2151-1,5)+1)&amp;"_"&amp;(MOD(INT((A2151-1)/5),5)+1)</f>
        <v>Округ_5_5</v>
      </c>
      <c r="H2151" s="10" t="str">
        <f aca="false">"Город_"&amp;(MOD(A2151-1,5)+1)&amp;"_"&amp;(MOD(INT((A2151-1)/5),5)+1)&amp;"_"&amp;(MOD(INT((A2151-1)/25),10)+1)</f>
        <v>Город_5_5_6</v>
      </c>
      <c r="I2151" s="10" t="str">
        <f aca="false">CHOOSE(MOD(A2151-1,4)+1,"Электроника","Одежда","Продукты","Мебель")</f>
        <v>Одежда</v>
      </c>
      <c r="J2151" s="10" t="str">
        <f aca="false">CHOOSE(MOD(INT((A2151-1)/4),4)+1,CHOOSE(MOD(A2151-1,4)+1,"Смартфоны","Ноутбуки","Аксессуары","Аудио"),CHOOSE(MOD(A2151-1,4)+1,"Верхняя одежда","Спортивная","Повседневная","Обувь"),CHOOSE(MOD(A2151-1,4)+1,"Молочные","Мясные","Бакалея","Напитки"),CHOOSE(MOD(A2151-1,4)+1,"Мягкая мебель","Корпусная","Офисная","Кухонная"))</f>
        <v>Спортивная</v>
      </c>
      <c r="K2151" s="12" t="n">
        <f aca="false">1000+MOD(A2151*317+A2151*A2151*7,49001)</f>
        <v>13376</v>
      </c>
      <c r="L2151" s="12" t="n">
        <f aca="false">1+MOD(A2151*131,100)</f>
        <v>51</v>
      </c>
      <c r="M2151" s="12" t="n">
        <f aca="false">INT(K2151*(0.6+MOD(A2151*43,21)/100))</f>
        <v>9095</v>
      </c>
      <c r="N2151" s="12" t="n">
        <f aca="false">K2151-M2151</f>
        <v>4281</v>
      </c>
    </row>
    <row r="2152" customFormat="false" ht="12.8" hidden="false" customHeight="false" outlineLevel="0" collapsed="false">
      <c r="A2152" s="10" t="n">
        <f aca="false">A2151+1</f>
        <v>2151</v>
      </c>
      <c r="B2152" s="11" t="n">
        <f aca="false">B2151+1</f>
        <v>47077</v>
      </c>
      <c r="C2152" s="10" t="n">
        <f aca="false">YEAR(B2152)</f>
        <v>2028</v>
      </c>
      <c r="D2152" s="10" t="n">
        <f aca="false">INT((MONTH(B2152)-1)/3)+1</f>
        <v>4</v>
      </c>
      <c r="E2152" s="10" t="n">
        <f aca="false">MONTH(B2152)</f>
        <v>11</v>
      </c>
      <c r="F2152" s="10" t="str">
        <f aca="false">CHOOSE(MOD(A2152-1,5)+1,"Центр","Юг","Север","Запад","Восток")</f>
        <v>Центр</v>
      </c>
      <c r="G2152" s="10" t="str">
        <f aca="false">"Округ_"&amp;(MOD(A2152-1,5)+1)&amp;"_"&amp;(MOD(INT((A2152-1)/5),5)+1)</f>
        <v>Округ_1_1</v>
      </c>
      <c r="H2152" s="10" t="str">
        <f aca="false">"Город_"&amp;(MOD(A2152-1,5)+1)&amp;"_"&amp;(MOD(INT((A2152-1)/5),5)+1)&amp;"_"&amp;(MOD(INT((A2152-1)/25),10)+1)</f>
        <v>Город_1_1_7</v>
      </c>
      <c r="I2152" s="10" t="str">
        <f aca="false">CHOOSE(MOD(A2152-1,4)+1,"Электроника","Одежда","Продукты","Мебель")</f>
        <v>Продукты</v>
      </c>
      <c r="J2152" s="10" t="str">
        <f aca="false">CHOOSE(MOD(INT((A2152-1)/4),4)+1,CHOOSE(MOD(A2152-1,4)+1,"Смартфоны","Ноутбуки","Аксессуары","Аудио"),CHOOSE(MOD(A2152-1,4)+1,"Верхняя одежда","Спортивная","Повседневная","Обувь"),CHOOSE(MOD(A2152-1,4)+1,"Молочные","Мясные","Бакалея","Напитки"),CHOOSE(MOD(A2152-1,4)+1,"Мягкая мебель","Корпусная","Офисная","Кухонная"))</f>
        <v>Повседневная</v>
      </c>
      <c r="K2152" s="12" t="n">
        <f aca="false">1000+MOD(A2152*317+A2152*A2152*7,49001)</f>
        <v>43800</v>
      </c>
      <c r="L2152" s="12" t="n">
        <f aca="false">1+MOD(A2152*131,100)</f>
        <v>82</v>
      </c>
      <c r="M2152" s="12" t="n">
        <f aca="false">INT(K2152*(0.6+MOD(A2152*43,21)/100))</f>
        <v>30222</v>
      </c>
      <c r="N2152" s="12" t="n">
        <f aca="false">K2152-M2152</f>
        <v>13578</v>
      </c>
    </row>
    <row r="2153" customFormat="false" ht="12.8" hidden="false" customHeight="false" outlineLevel="0" collapsed="false">
      <c r="A2153" s="10" t="n">
        <f aca="false">A2152+1</f>
        <v>2152</v>
      </c>
      <c r="B2153" s="11" t="n">
        <f aca="false">B2152+1</f>
        <v>47078</v>
      </c>
      <c r="C2153" s="10" t="n">
        <f aca="false">YEAR(B2153)</f>
        <v>2028</v>
      </c>
      <c r="D2153" s="10" t="n">
        <f aca="false">INT((MONTH(B2153)-1)/3)+1</f>
        <v>4</v>
      </c>
      <c r="E2153" s="10" t="n">
        <f aca="false">MONTH(B2153)</f>
        <v>11</v>
      </c>
      <c r="F2153" s="10" t="str">
        <f aca="false">CHOOSE(MOD(A2153-1,5)+1,"Центр","Юг","Север","Запад","Восток")</f>
        <v>Юг</v>
      </c>
      <c r="G2153" s="10" t="str">
        <f aca="false">"Округ_"&amp;(MOD(A2153-1,5)+1)&amp;"_"&amp;(MOD(INT((A2153-1)/5),5)+1)</f>
        <v>Округ_2_1</v>
      </c>
      <c r="H2153" s="10" t="str">
        <f aca="false">"Город_"&amp;(MOD(A2153-1,5)+1)&amp;"_"&amp;(MOD(INT((A2153-1)/5),5)+1)&amp;"_"&amp;(MOD(INT((A2153-1)/25),10)+1)</f>
        <v>Город_2_1_7</v>
      </c>
      <c r="I2153" s="10" t="str">
        <f aca="false">CHOOSE(MOD(A2153-1,4)+1,"Электроника","Одежда","Продукты","Мебель")</f>
        <v>Мебель</v>
      </c>
      <c r="J2153" s="10" t="str">
        <f aca="false">CHOOSE(MOD(INT((A2153-1)/4),4)+1,CHOOSE(MOD(A2153-1,4)+1,"Смартфоны","Ноутбуки","Аксессуары","Аудио"),CHOOSE(MOD(A2153-1,4)+1,"Верхняя одежда","Спортивная","Повседневная","Обувь"),CHOOSE(MOD(A2153-1,4)+1,"Молочные","Мясные","Бакалея","Напитки"),CHOOSE(MOD(A2153-1,4)+1,"Мягкая мебель","Корпусная","Офисная","Кухонная"))</f>
        <v>Обувь</v>
      </c>
      <c r="K2153" s="12" t="n">
        <f aca="false">1000+MOD(A2153*317+A2153*A2153*7,49001)</f>
        <v>25237</v>
      </c>
      <c r="L2153" s="12" t="n">
        <f aca="false">1+MOD(A2153*131,100)</f>
        <v>13</v>
      </c>
      <c r="M2153" s="12" t="n">
        <f aca="false">INT(K2153*(0.6+MOD(A2153*43,21)/100))</f>
        <v>17665</v>
      </c>
      <c r="N2153" s="12" t="n">
        <f aca="false">K2153-M2153</f>
        <v>7572</v>
      </c>
    </row>
    <row r="2154" customFormat="false" ht="12.8" hidden="false" customHeight="false" outlineLevel="0" collapsed="false">
      <c r="A2154" s="10" t="n">
        <f aca="false">A2153+1</f>
        <v>2153</v>
      </c>
      <c r="B2154" s="11" t="n">
        <f aca="false">B2153+1</f>
        <v>47079</v>
      </c>
      <c r="C2154" s="10" t="n">
        <f aca="false">YEAR(B2154)</f>
        <v>2028</v>
      </c>
      <c r="D2154" s="10" t="n">
        <f aca="false">INT((MONTH(B2154)-1)/3)+1</f>
        <v>4</v>
      </c>
      <c r="E2154" s="10" t="n">
        <f aca="false">MONTH(B2154)</f>
        <v>11</v>
      </c>
      <c r="F2154" s="10" t="str">
        <f aca="false">CHOOSE(MOD(A2154-1,5)+1,"Центр","Юг","Север","Запад","Восток")</f>
        <v>Север</v>
      </c>
      <c r="G2154" s="10" t="str">
        <f aca="false">"Округ_"&amp;(MOD(A2154-1,5)+1)&amp;"_"&amp;(MOD(INT((A2154-1)/5),5)+1)</f>
        <v>Округ_3_1</v>
      </c>
      <c r="H2154" s="10" t="str">
        <f aca="false">"Город_"&amp;(MOD(A2154-1,5)+1)&amp;"_"&amp;(MOD(INT((A2154-1)/5),5)+1)&amp;"_"&amp;(MOD(INT((A2154-1)/25),10)+1)</f>
        <v>Город_3_1_7</v>
      </c>
      <c r="I2154" s="10" t="str">
        <f aca="false">CHOOSE(MOD(A2154-1,4)+1,"Электроника","Одежда","Продукты","Мебель")</f>
        <v>Электроника</v>
      </c>
      <c r="J2154" s="10" t="str">
        <f aca="false">CHOOSE(MOD(INT((A2154-1)/4),4)+1,CHOOSE(MOD(A2154-1,4)+1,"Смартфоны","Ноутбуки","Аксессуары","Аудио"),CHOOSE(MOD(A2154-1,4)+1,"Верхняя одежда","Спортивная","Повседневная","Обувь"),CHOOSE(MOD(A2154-1,4)+1,"Молочные","Мясные","Бакалея","Напитки"),CHOOSE(MOD(A2154-1,4)+1,"Мягкая мебель","Корпусная","Офисная","Кухонная"))</f>
        <v>Молочные</v>
      </c>
      <c r="K2154" s="12" t="n">
        <f aca="false">1000+MOD(A2154*317+A2154*A2154*7,49001)</f>
        <v>6688</v>
      </c>
      <c r="L2154" s="12" t="n">
        <f aca="false">1+MOD(A2154*131,100)</f>
        <v>44</v>
      </c>
      <c r="M2154" s="12" t="n">
        <f aca="false">INT(K2154*(0.6+MOD(A2154*43,21)/100))</f>
        <v>4748</v>
      </c>
      <c r="N2154" s="12" t="n">
        <f aca="false">K2154-M2154</f>
        <v>1940</v>
      </c>
    </row>
    <row r="2155" customFormat="false" ht="12.8" hidden="false" customHeight="false" outlineLevel="0" collapsed="false">
      <c r="A2155" s="10" t="n">
        <f aca="false">A2154+1</f>
        <v>2154</v>
      </c>
      <c r="B2155" s="11" t="n">
        <f aca="false">B2154+1</f>
        <v>47080</v>
      </c>
      <c r="C2155" s="10" t="n">
        <f aca="false">YEAR(B2155)</f>
        <v>2028</v>
      </c>
      <c r="D2155" s="10" t="n">
        <f aca="false">INT((MONTH(B2155)-1)/3)+1</f>
        <v>4</v>
      </c>
      <c r="E2155" s="10" t="n">
        <f aca="false">MONTH(B2155)</f>
        <v>11</v>
      </c>
      <c r="F2155" s="10" t="str">
        <f aca="false">CHOOSE(MOD(A2155-1,5)+1,"Центр","Юг","Север","Запад","Восток")</f>
        <v>Запад</v>
      </c>
      <c r="G2155" s="10" t="str">
        <f aca="false">"Округ_"&amp;(MOD(A2155-1,5)+1)&amp;"_"&amp;(MOD(INT((A2155-1)/5),5)+1)</f>
        <v>Округ_4_1</v>
      </c>
      <c r="H2155" s="10" t="str">
        <f aca="false">"Город_"&amp;(MOD(A2155-1,5)+1)&amp;"_"&amp;(MOD(INT((A2155-1)/5),5)+1)&amp;"_"&amp;(MOD(INT((A2155-1)/25),10)+1)</f>
        <v>Город_4_1_7</v>
      </c>
      <c r="I2155" s="10" t="str">
        <f aca="false">CHOOSE(MOD(A2155-1,4)+1,"Электроника","Одежда","Продукты","Мебель")</f>
        <v>Одежда</v>
      </c>
      <c r="J2155" s="10" t="str">
        <f aca="false">CHOOSE(MOD(INT((A2155-1)/4),4)+1,CHOOSE(MOD(A2155-1,4)+1,"Смартфоны","Ноутбуки","Аксессуары","Аудио"),CHOOSE(MOD(A2155-1,4)+1,"Верхняя одежда","Спортивная","Повседневная","Обувь"),CHOOSE(MOD(A2155-1,4)+1,"Молочные","Мясные","Бакалея","Напитки"),CHOOSE(MOD(A2155-1,4)+1,"Мягкая мебель","Корпусная","Офисная","Кухонная"))</f>
        <v>Мясные</v>
      </c>
      <c r="K2155" s="12" t="n">
        <f aca="false">1000+MOD(A2155*317+A2155*A2155*7,49001)</f>
        <v>37154</v>
      </c>
      <c r="L2155" s="12" t="n">
        <f aca="false">1+MOD(A2155*131,100)</f>
        <v>75</v>
      </c>
      <c r="M2155" s="12" t="n">
        <f aca="false">INT(K2155*(0.6+MOD(A2155*43,21)/100))</f>
        <v>26750</v>
      </c>
      <c r="N2155" s="12" t="n">
        <f aca="false">K2155-M2155</f>
        <v>10404</v>
      </c>
    </row>
    <row r="2156" customFormat="false" ht="12.8" hidden="false" customHeight="false" outlineLevel="0" collapsed="false">
      <c r="A2156" s="10" t="n">
        <f aca="false">A2155+1</f>
        <v>2155</v>
      </c>
      <c r="B2156" s="11" t="n">
        <f aca="false">B2155+1</f>
        <v>47081</v>
      </c>
      <c r="C2156" s="10" t="n">
        <f aca="false">YEAR(B2156)</f>
        <v>2028</v>
      </c>
      <c r="D2156" s="10" t="n">
        <f aca="false">INT((MONTH(B2156)-1)/3)+1</f>
        <v>4</v>
      </c>
      <c r="E2156" s="10" t="n">
        <f aca="false">MONTH(B2156)</f>
        <v>11</v>
      </c>
      <c r="F2156" s="10" t="str">
        <f aca="false">CHOOSE(MOD(A2156-1,5)+1,"Центр","Юг","Север","Запад","Восток")</f>
        <v>Восток</v>
      </c>
      <c r="G2156" s="10" t="str">
        <f aca="false">"Округ_"&amp;(MOD(A2156-1,5)+1)&amp;"_"&amp;(MOD(INT((A2156-1)/5),5)+1)</f>
        <v>Округ_5_1</v>
      </c>
      <c r="H2156" s="10" t="str">
        <f aca="false">"Город_"&amp;(MOD(A2156-1,5)+1)&amp;"_"&amp;(MOD(INT((A2156-1)/5),5)+1)&amp;"_"&amp;(MOD(INT((A2156-1)/25),10)+1)</f>
        <v>Город_5_1_7</v>
      </c>
      <c r="I2156" s="10" t="str">
        <f aca="false">CHOOSE(MOD(A2156-1,4)+1,"Электроника","Одежда","Продукты","Мебель")</f>
        <v>Продукты</v>
      </c>
      <c r="J2156" s="10" t="str">
        <f aca="false">CHOOSE(MOD(INT((A2156-1)/4),4)+1,CHOOSE(MOD(A2156-1,4)+1,"Смартфоны","Ноутбуки","Аксессуары","Аудио"),CHOOSE(MOD(A2156-1,4)+1,"Верхняя одежда","Спортивная","Повседневная","Обувь"),CHOOSE(MOD(A2156-1,4)+1,"Молочные","Мясные","Бакалея","Напитки"),CHOOSE(MOD(A2156-1,4)+1,"Мягкая мебель","Корпусная","Офисная","Кухонная"))</f>
        <v>Бакалея</v>
      </c>
      <c r="K2156" s="12" t="n">
        <f aca="false">1000+MOD(A2156*317+A2156*A2156*7,49001)</f>
        <v>18633</v>
      </c>
      <c r="L2156" s="12" t="n">
        <f aca="false">1+MOD(A2156*131,100)</f>
        <v>6</v>
      </c>
      <c r="M2156" s="12" t="n">
        <f aca="false">INT(K2156*(0.6+MOD(A2156*43,21)/100))</f>
        <v>13602</v>
      </c>
      <c r="N2156" s="12" t="n">
        <f aca="false">K2156-M2156</f>
        <v>5031</v>
      </c>
    </row>
    <row r="2157" customFormat="false" ht="12.8" hidden="false" customHeight="false" outlineLevel="0" collapsed="false">
      <c r="A2157" s="10" t="n">
        <f aca="false">A2156+1</f>
        <v>2156</v>
      </c>
      <c r="B2157" s="11" t="n">
        <f aca="false">B2156+1</f>
        <v>47082</v>
      </c>
      <c r="C2157" s="10" t="n">
        <f aca="false">YEAR(B2157)</f>
        <v>2028</v>
      </c>
      <c r="D2157" s="10" t="n">
        <f aca="false">INT((MONTH(B2157)-1)/3)+1</f>
        <v>4</v>
      </c>
      <c r="E2157" s="10" t="n">
        <f aca="false">MONTH(B2157)</f>
        <v>11</v>
      </c>
      <c r="F2157" s="10" t="str">
        <f aca="false">CHOOSE(MOD(A2157-1,5)+1,"Центр","Юг","Север","Запад","Восток")</f>
        <v>Центр</v>
      </c>
      <c r="G2157" s="10" t="str">
        <f aca="false">"Округ_"&amp;(MOD(A2157-1,5)+1)&amp;"_"&amp;(MOD(INT((A2157-1)/5),5)+1)</f>
        <v>Округ_1_2</v>
      </c>
      <c r="H2157" s="10" t="str">
        <f aca="false">"Город_"&amp;(MOD(A2157-1,5)+1)&amp;"_"&amp;(MOD(INT((A2157-1)/5),5)+1)&amp;"_"&amp;(MOD(INT((A2157-1)/25),10)+1)</f>
        <v>Город_1_2_7</v>
      </c>
      <c r="I2157" s="10" t="str">
        <f aca="false">CHOOSE(MOD(A2157-1,4)+1,"Электроника","Одежда","Продукты","Мебель")</f>
        <v>Мебель</v>
      </c>
      <c r="J2157" s="10" t="str">
        <f aca="false">CHOOSE(MOD(INT((A2157-1)/4),4)+1,CHOOSE(MOD(A2157-1,4)+1,"Смартфоны","Ноутбуки","Аксессуары","Аудио"),CHOOSE(MOD(A2157-1,4)+1,"Верхняя одежда","Спортивная","Повседневная","Обувь"),CHOOSE(MOD(A2157-1,4)+1,"Молочные","Мясные","Бакалея","Напитки"),CHOOSE(MOD(A2157-1,4)+1,"Мягкая мебель","Корпусная","Офисная","Кухонная"))</f>
        <v>Напитки</v>
      </c>
      <c r="K2157" s="12" t="n">
        <f aca="false">1000+MOD(A2157*317+A2157*A2157*7,49001)</f>
        <v>49127</v>
      </c>
      <c r="L2157" s="12" t="n">
        <f aca="false">1+MOD(A2157*131,100)</f>
        <v>37</v>
      </c>
      <c r="M2157" s="12" t="n">
        <f aca="false">INT(K2157*(0.6+MOD(A2157*43,21)/100))</f>
        <v>36353</v>
      </c>
      <c r="N2157" s="12" t="n">
        <f aca="false">K2157-M2157</f>
        <v>12774</v>
      </c>
    </row>
    <row r="2158" customFormat="false" ht="12.8" hidden="false" customHeight="false" outlineLevel="0" collapsed="false">
      <c r="A2158" s="10" t="n">
        <f aca="false">A2157+1</f>
        <v>2157</v>
      </c>
      <c r="B2158" s="11" t="n">
        <f aca="false">B2157+1</f>
        <v>47083</v>
      </c>
      <c r="C2158" s="10" t="n">
        <f aca="false">YEAR(B2158)</f>
        <v>2028</v>
      </c>
      <c r="D2158" s="10" t="n">
        <f aca="false">INT((MONTH(B2158)-1)/3)+1</f>
        <v>4</v>
      </c>
      <c r="E2158" s="10" t="n">
        <f aca="false">MONTH(B2158)</f>
        <v>11</v>
      </c>
      <c r="F2158" s="10" t="str">
        <f aca="false">CHOOSE(MOD(A2158-1,5)+1,"Центр","Юг","Север","Запад","Восток")</f>
        <v>Юг</v>
      </c>
      <c r="G2158" s="10" t="str">
        <f aca="false">"Округ_"&amp;(MOD(A2158-1,5)+1)&amp;"_"&amp;(MOD(INT((A2158-1)/5),5)+1)</f>
        <v>Округ_2_2</v>
      </c>
      <c r="H2158" s="10" t="str">
        <f aca="false">"Город_"&amp;(MOD(A2158-1,5)+1)&amp;"_"&amp;(MOD(INT((A2158-1)/5),5)+1)&amp;"_"&amp;(MOD(INT((A2158-1)/25),10)+1)</f>
        <v>Город_2_2_7</v>
      </c>
      <c r="I2158" s="10" t="str">
        <f aca="false">CHOOSE(MOD(A2158-1,4)+1,"Электроника","Одежда","Продукты","Мебель")</f>
        <v>Электроника</v>
      </c>
      <c r="J2158" s="10" t="str">
        <f aca="false">CHOOSE(MOD(INT((A2158-1)/4),4)+1,CHOOSE(MOD(A2158-1,4)+1,"Смартфоны","Ноутбуки","Аксессуары","Аудио"),CHOOSE(MOD(A2158-1,4)+1,"Верхняя одежда","Спортивная","Повседневная","Обувь"),CHOOSE(MOD(A2158-1,4)+1,"Молочные","Мясные","Бакалея","Напитки"),CHOOSE(MOD(A2158-1,4)+1,"Мягкая мебель","Корпусная","Офисная","Кухонная"))</f>
        <v>Мягкая мебель</v>
      </c>
      <c r="K2158" s="12" t="n">
        <f aca="false">1000+MOD(A2158*317+A2158*A2158*7,49001)</f>
        <v>30634</v>
      </c>
      <c r="L2158" s="12" t="n">
        <f aca="false">1+MOD(A2158*131,100)</f>
        <v>68</v>
      </c>
      <c r="M2158" s="12" t="n">
        <f aca="false">INT(K2158*(0.6+MOD(A2158*43,21)/100))</f>
        <v>22975</v>
      </c>
      <c r="N2158" s="12" t="n">
        <f aca="false">K2158-M2158</f>
        <v>7659</v>
      </c>
    </row>
    <row r="2159" customFormat="false" ht="12.8" hidden="false" customHeight="false" outlineLevel="0" collapsed="false">
      <c r="A2159" s="10" t="n">
        <f aca="false">A2158+1</f>
        <v>2158</v>
      </c>
      <c r="B2159" s="11" t="n">
        <f aca="false">B2158+1</f>
        <v>47084</v>
      </c>
      <c r="C2159" s="10" t="n">
        <f aca="false">YEAR(B2159)</f>
        <v>2028</v>
      </c>
      <c r="D2159" s="10" t="n">
        <f aca="false">INT((MONTH(B2159)-1)/3)+1</f>
        <v>4</v>
      </c>
      <c r="E2159" s="10" t="n">
        <f aca="false">MONTH(B2159)</f>
        <v>11</v>
      </c>
      <c r="F2159" s="10" t="str">
        <f aca="false">CHOOSE(MOD(A2159-1,5)+1,"Центр","Юг","Север","Запад","Восток")</f>
        <v>Север</v>
      </c>
      <c r="G2159" s="10" t="str">
        <f aca="false">"Округ_"&amp;(MOD(A2159-1,5)+1)&amp;"_"&amp;(MOD(INT((A2159-1)/5),5)+1)</f>
        <v>Округ_3_2</v>
      </c>
      <c r="H2159" s="10" t="str">
        <f aca="false">"Город_"&amp;(MOD(A2159-1,5)+1)&amp;"_"&amp;(MOD(INT((A2159-1)/5),5)+1)&amp;"_"&amp;(MOD(INT((A2159-1)/25),10)+1)</f>
        <v>Город_3_2_7</v>
      </c>
      <c r="I2159" s="10" t="str">
        <f aca="false">CHOOSE(MOD(A2159-1,4)+1,"Электроника","Одежда","Продукты","Мебель")</f>
        <v>Одежда</v>
      </c>
      <c r="J2159" s="10" t="str">
        <f aca="false">CHOOSE(MOD(INT((A2159-1)/4),4)+1,CHOOSE(MOD(A2159-1,4)+1,"Смартфоны","Ноутбуки","Аксессуары","Аудио"),CHOOSE(MOD(A2159-1,4)+1,"Верхняя одежда","Спортивная","Повседневная","Обувь"),CHOOSE(MOD(A2159-1,4)+1,"Молочные","Мясные","Бакалея","Напитки"),CHOOSE(MOD(A2159-1,4)+1,"Мягкая мебель","Корпусная","Офисная","Кухонная"))</f>
        <v>Корпусная</v>
      </c>
      <c r="K2159" s="12" t="n">
        <f aca="false">1000+MOD(A2159*317+A2159*A2159*7,49001)</f>
        <v>12155</v>
      </c>
      <c r="L2159" s="12" t="n">
        <f aca="false">1+MOD(A2159*131,100)</f>
        <v>99</v>
      </c>
      <c r="M2159" s="12" t="n">
        <f aca="false">INT(K2159*(0.6+MOD(A2159*43,21)/100))</f>
        <v>9237</v>
      </c>
      <c r="N2159" s="12" t="n">
        <f aca="false">K2159-M2159</f>
        <v>2918</v>
      </c>
    </row>
    <row r="2160" customFormat="false" ht="12.8" hidden="false" customHeight="false" outlineLevel="0" collapsed="false">
      <c r="A2160" s="10" t="n">
        <f aca="false">A2159+1</f>
        <v>2159</v>
      </c>
      <c r="B2160" s="11" t="n">
        <f aca="false">B2159+1</f>
        <v>47085</v>
      </c>
      <c r="C2160" s="10" t="n">
        <f aca="false">YEAR(B2160)</f>
        <v>2028</v>
      </c>
      <c r="D2160" s="10" t="n">
        <f aca="false">INT((MONTH(B2160)-1)/3)+1</f>
        <v>4</v>
      </c>
      <c r="E2160" s="10" t="n">
        <f aca="false">MONTH(B2160)</f>
        <v>11</v>
      </c>
      <c r="F2160" s="10" t="str">
        <f aca="false">CHOOSE(MOD(A2160-1,5)+1,"Центр","Юг","Север","Запад","Восток")</f>
        <v>Запад</v>
      </c>
      <c r="G2160" s="10" t="str">
        <f aca="false">"Округ_"&amp;(MOD(A2160-1,5)+1)&amp;"_"&amp;(MOD(INT((A2160-1)/5),5)+1)</f>
        <v>Округ_4_2</v>
      </c>
      <c r="H2160" s="10" t="str">
        <f aca="false">"Город_"&amp;(MOD(A2160-1,5)+1)&amp;"_"&amp;(MOD(INT((A2160-1)/5),5)+1)&amp;"_"&amp;(MOD(INT((A2160-1)/25),10)+1)</f>
        <v>Город_4_2_7</v>
      </c>
      <c r="I2160" s="10" t="str">
        <f aca="false">CHOOSE(MOD(A2160-1,4)+1,"Электроника","Одежда","Продукты","Мебель")</f>
        <v>Продукты</v>
      </c>
      <c r="J2160" s="10" t="str">
        <f aca="false">CHOOSE(MOD(INT((A2160-1)/4),4)+1,CHOOSE(MOD(A2160-1,4)+1,"Смартфоны","Ноутбуки","Аксессуары","Аудио"),CHOOSE(MOD(A2160-1,4)+1,"Верхняя одежда","Спортивная","Повседневная","Обувь"),CHOOSE(MOD(A2160-1,4)+1,"Молочные","Мясные","Бакалея","Напитки"),CHOOSE(MOD(A2160-1,4)+1,"Мягкая мебель","Корпусная","Офисная","Кухонная"))</f>
        <v>Офисная</v>
      </c>
      <c r="K2160" s="12" t="n">
        <f aca="false">1000+MOD(A2160*317+A2160*A2160*7,49001)</f>
        <v>42691</v>
      </c>
      <c r="L2160" s="12" t="n">
        <f aca="false">1+MOD(A2160*131,100)</f>
        <v>30</v>
      </c>
      <c r="M2160" s="12" t="n">
        <f aca="false">INT(K2160*(0.6+MOD(A2160*43,21)/100))</f>
        <v>32872</v>
      </c>
      <c r="N2160" s="12" t="n">
        <f aca="false">K2160-M2160</f>
        <v>9819</v>
      </c>
    </row>
    <row r="2161" customFormat="false" ht="12.8" hidden="false" customHeight="false" outlineLevel="0" collapsed="false">
      <c r="A2161" s="10" t="n">
        <f aca="false">A2160+1</f>
        <v>2160</v>
      </c>
      <c r="B2161" s="11" t="n">
        <f aca="false">B2160+1</f>
        <v>47086</v>
      </c>
      <c r="C2161" s="10" t="n">
        <f aca="false">YEAR(B2161)</f>
        <v>2028</v>
      </c>
      <c r="D2161" s="10" t="n">
        <f aca="false">INT((MONTH(B2161)-1)/3)+1</f>
        <v>4</v>
      </c>
      <c r="E2161" s="10" t="n">
        <f aca="false">MONTH(B2161)</f>
        <v>11</v>
      </c>
      <c r="F2161" s="10" t="str">
        <f aca="false">CHOOSE(MOD(A2161-1,5)+1,"Центр","Юг","Север","Запад","Восток")</f>
        <v>Восток</v>
      </c>
      <c r="G2161" s="10" t="str">
        <f aca="false">"Округ_"&amp;(MOD(A2161-1,5)+1)&amp;"_"&amp;(MOD(INT((A2161-1)/5),5)+1)</f>
        <v>Округ_5_2</v>
      </c>
      <c r="H2161" s="10" t="str">
        <f aca="false">"Город_"&amp;(MOD(A2161-1,5)+1)&amp;"_"&amp;(MOD(INT((A2161-1)/5),5)+1)&amp;"_"&amp;(MOD(INT((A2161-1)/25),10)+1)</f>
        <v>Город_5_2_7</v>
      </c>
      <c r="I2161" s="10" t="str">
        <f aca="false">CHOOSE(MOD(A2161-1,4)+1,"Электроника","Одежда","Продукты","Мебель")</f>
        <v>Мебель</v>
      </c>
      <c r="J2161" s="10" t="str">
        <f aca="false">CHOOSE(MOD(INT((A2161-1)/4),4)+1,CHOOSE(MOD(A2161-1,4)+1,"Смартфоны","Ноутбуки","Аксессуары","Аудио"),CHOOSE(MOD(A2161-1,4)+1,"Верхняя одежда","Спортивная","Повседневная","Обувь"),CHOOSE(MOD(A2161-1,4)+1,"Молочные","Мясные","Бакалея","Напитки"),CHOOSE(MOD(A2161-1,4)+1,"Мягкая мебель","Корпусная","Офисная","Кухонная"))</f>
        <v>Кухонная</v>
      </c>
      <c r="K2161" s="12" t="n">
        <f aca="false">1000+MOD(A2161*317+A2161*A2161*7,49001)</f>
        <v>24240</v>
      </c>
      <c r="L2161" s="12" t="n">
        <f aca="false">1+MOD(A2161*131,100)</f>
        <v>61</v>
      </c>
      <c r="M2161" s="12" t="n">
        <f aca="false">INT(K2161*(0.6+MOD(A2161*43,21)/100))</f>
        <v>18907</v>
      </c>
      <c r="N2161" s="12" t="n">
        <f aca="false">K2161-M2161</f>
        <v>5333</v>
      </c>
    </row>
    <row r="2162" customFormat="false" ht="12.8" hidden="false" customHeight="false" outlineLevel="0" collapsed="false">
      <c r="A2162" s="10" t="n">
        <f aca="false">A2161+1</f>
        <v>2161</v>
      </c>
      <c r="B2162" s="11" t="n">
        <f aca="false">B2161+1</f>
        <v>47087</v>
      </c>
      <c r="C2162" s="10" t="n">
        <f aca="false">YEAR(B2162)</f>
        <v>2028</v>
      </c>
      <c r="D2162" s="10" t="n">
        <f aca="false">INT((MONTH(B2162)-1)/3)+1</f>
        <v>4</v>
      </c>
      <c r="E2162" s="10" t="n">
        <f aca="false">MONTH(B2162)</f>
        <v>11</v>
      </c>
      <c r="F2162" s="10" t="str">
        <f aca="false">CHOOSE(MOD(A2162-1,5)+1,"Центр","Юг","Север","Запад","Восток")</f>
        <v>Центр</v>
      </c>
      <c r="G2162" s="10" t="str">
        <f aca="false">"Округ_"&amp;(MOD(A2162-1,5)+1)&amp;"_"&amp;(MOD(INT((A2162-1)/5),5)+1)</f>
        <v>Округ_1_3</v>
      </c>
      <c r="H2162" s="10" t="str">
        <f aca="false">"Город_"&amp;(MOD(A2162-1,5)+1)&amp;"_"&amp;(MOD(INT((A2162-1)/5),5)+1)&amp;"_"&amp;(MOD(INT((A2162-1)/25),10)+1)</f>
        <v>Город_1_3_7</v>
      </c>
      <c r="I2162" s="10" t="str">
        <f aca="false">CHOOSE(MOD(A2162-1,4)+1,"Электроника","Одежда","Продукты","Мебель")</f>
        <v>Электроника</v>
      </c>
      <c r="J2162" s="10" t="str">
        <f aca="false">CHOOSE(MOD(INT((A2162-1)/4),4)+1,CHOOSE(MOD(A2162-1,4)+1,"Смартфоны","Ноутбуки","Аксессуары","Аудио"),CHOOSE(MOD(A2162-1,4)+1,"Верхняя одежда","Спортивная","Повседневная","Обувь"),CHOOSE(MOD(A2162-1,4)+1,"Молочные","Мясные","Бакалея","Напитки"),CHOOSE(MOD(A2162-1,4)+1,"Мягкая мебель","Корпусная","Офисная","Кухонная"))</f>
        <v>Смартфоны</v>
      </c>
      <c r="K2162" s="12" t="n">
        <f aca="false">1000+MOD(A2162*317+A2162*A2162*7,49001)</f>
        <v>5803</v>
      </c>
      <c r="L2162" s="12" t="n">
        <f aca="false">1+MOD(A2162*131,100)</f>
        <v>92</v>
      </c>
      <c r="M2162" s="12" t="n">
        <f aca="false">INT(K2162*(0.6+MOD(A2162*43,21)/100))</f>
        <v>4584</v>
      </c>
      <c r="N2162" s="12" t="n">
        <f aca="false">K2162-M2162</f>
        <v>1219</v>
      </c>
    </row>
    <row r="2163" customFormat="false" ht="12.8" hidden="false" customHeight="false" outlineLevel="0" collapsed="false">
      <c r="A2163" s="10" t="n">
        <f aca="false">A2162+1</f>
        <v>2162</v>
      </c>
      <c r="B2163" s="11" t="n">
        <f aca="false">B2162+1</f>
        <v>47088</v>
      </c>
      <c r="C2163" s="10" t="n">
        <f aca="false">YEAR(B2163)</f>
        <v>2028</v>
      </c>
      <c r="D2163" s="10" t="n">
        <f aca="false">INT((MONTH(B2163)-1)/3)+1</f>
        <v>4</v>
      </c>
      <c r="E2163" s="10" t="n">
        <f aca="false">MONTH(B2163)</f>
        <v>12</v>
      </c>
      <c r="F2163" s="10" t="str">
        <f aca="false">CHOOSE(MOD(A2163-1,5)+1,"Центр","Юг","Север","Запад","Восток")</f>
        <v>Юг</v>
      </c>
      <c r="G2163" s="10" t="str">
        <f aca="false">"Округ_"&amp;(MOD(A2163-1,5)+1)&amp;"_"&amp;(MOD(INT((A2163-1)/5),5)+1)</f>
        <v>Округ_2_3</v>
      </c>
      <c r="H2163" s="10" t="str">
        <f aca="false">"Город_"&amp;(MOD(A2163-1,5)+1)&amp;"_"&amp;(MOD(INT((A2163-1)/5),5)+1)&amp;"_"&amp;(MOD(INT((A2163-1)/25),10)+1)</f>
        <v>Город_2_3_7</v>
      </c>
      <c r="I2163" s="10" t="str">
        <f aca="false">CHOOSE(MOD(A2163-1,4)+1,"Электроника","Одежда","Продукты","Мебель")</f>
        <v>Одежда</v>
      </c>
      <c r="J2163" s="10" t="str">
        <f aca="false">CHOOSE(MOD(INT((A2163-1)/4),4)+1,CHOOSE(MOD(A2163-1,4)+1,"Смартфоны","Ноутбуки","Аксессуары","Аудио"),CHOOSE(MOD(A2163-1,4)+1,"Верхняя одежда","Спортивная","Повседневная","Обувь"),CHOOSE(MOD(A2163-1,4)+1,"Молочные","Мясные","Бакалея","Напитки"),CHOOSE(MOD(A2163-1,4)+1,"Мягкая мебель","Корпусная","Офисная","Кухонная"))</f>
        <v>Ноутбуки</v>
      </c>
      <c r="K2163" s="12" t="n">
        <f aca="false">1000+MOD(A2163*317+A2163*A2163*7,49001)</f>
        <v>36381</v>
      </c>
      <c r="L2163" s="12" t="n">
        <f aca="false">1+MOD(A2163*131,100)</f>
        <v>23</v>
      </c>
      <c r="M2163" s="12" t="n">
        <f aca="false">INT(K2163*(0.6+MOD(A2163*43,21)/100))</f>
        <v>29104</v>
      </c>
      <c r="N2163" s="12" t="n">
        <f aca="false">K2163-M2163</f>
        <v>7277</v>
      </c>
    </row>
    <row r="2164" customFormat="false" ht="12.8" hidden="false" customHeight="false" outlineLevel="0" collapsed="false">
      <c r="A2164" s="10" t="n">
        <f aca="false">A2163+1</f>
        <v>2163</v>
      </c>
      <c r="B2164" s="11" t="n">
        <f aca="false">B2163+1</f>
        <v>47089</v>
      </c>
      <c r="C2164" s="10" t="n">
        <f aca="false">YEAR(B2164)</f>
        <v>2028</v>
      </c>
      <c r="D2164" s="10" t="n">
        <f aca="false">INT((MONTH(B2164)-1)/3)+1</f>
        <v>4</v>
      </c>
      <c r="E2164" s="10" t="n">
        <f aca="false">MONTH(B2164)</f>
        <v>12</v>
      </c>
      <c r="F2164" s="10" t="str">
        <f aca="false">CHOOSE(MOD(A2164-1,5)+1,"Центр","Юг","Север","Запад","Восток")</f>
        <v>Север</v>
      </c>
      <c r="G2164" s="10" t="str">
        <f aca="false">"Округ_"&amp;(MOD(A2164-1,5)+1)&amp;"_"&amp;(MOD(INT((A2164-1)/5),5)+1)</f>
        <v>Округ_3_3</v>
      </c>
      <c r="H2164" s="10" t="str">
        <f aca="false">"Город_"&amp;(MOD(A2164-1,5)+1)&amp;"_"&amp;(MOD(INT((A2164-1)/5),5)+1)&amp;"_"&amp;(MOD(INT((A2164-1)/25),10)+1)</f>
        <v>Город_3_3_7</v>
      </c>
      <c r="I2164" s="10" t="str">
        <f aca="false">CHOOSE(MOD(A2164-1,4)+1,"Электроника","Одежда","Продукты","Мебель")</f>
        <v>Продукты</v>
      </c>
      <c r="J2164" s="10" t="str">
        <f aca="false">CHOOSE(MOD(INT((A2164-1)/4),4)+1,CHOOSE(MOD(A2164-1,4)+1,"Смартфоны","Ноутбуки","Аксессуары","Аудио"),CHOOSE(MOD(A2164-1,4)+1,"Верхняя одежда","Спортивная","Повседневная","Обувь"),CHOOSE(MOD(A2164-1,4)+1,"Молочные","Мясные","Бакалея","Напитки"),CHOOSE(MOD(A2164-1,4)+1,"Мягкая мебель","Корпусная","Офисная","Кухонная"))</f>
        <v>Аксессуары</v>
      </c>
      <c r="K2164" s="12" t="n">
        <f aca="false">1000+MOD(A2164*317+A2164*A2164*7,49001)</f>
        <v>17972</v>
      </c>
      <c r="L2164" s="12" t="n">
        <f aca="false">1+MOD(A2164*131,100)</f>
        <v>54</v>
      </c>
      <c r="M2164" s="12" t="n">
        <f aca="false">INT(K2164*(0.6+MOD(A2164*43,21)/100))</f>
        <v>10783</v>
      </c>
      <c r="N2164" s="12" t="n">
        <f aca="false">K2164-M2164</f>
        <v>7189</v>
      </c>
    </row>
    <row r="2165" customFormat="false" ht="12.8" hidden="false" customHeight="false" outlineLevel="0" collapsed="false">
      <c r="A2165" s="10" t="n">
        <f aca="false">A2164+1</f>
        <v>2164</v>
      </c>
      <c r="B2165" s="11" t="n">
        <f aca="false">B2164+1</f>
        <v>47090</v>
      </c>
      <c r="C2165" s="10" t="n">
        <f aca="false">YEAR(B2165)</f>
        <v>2028</v>
      </c>
      <c r="D2165" s="10" t="n">
        <f aca="false">INT((MONTH(B2165)-1)/3)+1</f>
        <v>4</v>
      </c>
      <c r="E2165" s="10" t="n">
        <f aca="false">MONTH(B2165)</f>
        <v>12</v>
      </c>
      <c r="F2165" s="10" t="str">
        <f aca="false">CHOOSE(MOD(A2165-1,5)+1,"Центр","Юг","Север","Запад","Восток")</f>
        <v>Запад</v>
      </c>
      <c r="G2165" s="10" t="str">
        <f aca="false">"Округ_"&amp;(MOD(A2165-1,5)+1)&amp;"_"&amp;(MOD(INT((A2165-1)/5),5)+1)</f>
        <v>Округ_4_3</v>
      </c>
      <c r="H2165" s="10" t="str">
        <f aca="false">"Город_"&amp;(MOD(A2165-1,5)+1)&amp;"_"&amp;(MOD(INT((A2165-1)/5),5)+1)&amp;"_"&amp;(MOD(INT((A2165-1)/25),10)+1)</f>
        <v>Город_4_3_7</v>
      </c>
      <c r="I2165" s="10" t="str">
        <f aca="false">CHOOSE(MOD(A2165-1,4)+1,"Электроника","Одежда","Продукты","Мебель")</f>
        <v>Мебель</v>
      </c>
      <c r="J2165" s="10" t="str">
        <f aca="false">CHOOSE(MOD(INT((A2165-1)/4),4)+1,CHOOSE(MOD(A2165-1,4)+1,"Смартфоны","Ноутбуки","Аксессуары","Аудио"),CHOOSE(MOD(A2165-1,4)+1,"Верхняя одежда","Спортивная","Повседневная","Обувь"),CHOOSE(MOD(A2165-1,4)+1,"Молочные","Мясные","Бакалея","Напитки"),CHOOSE(MOD(A2165-1,4)+1,"Мягкая мебель","Корпусная","Офисная","Кухонная"))</f>
        <v>Аудио</v>
      </c>
      <c r="K2165" s="12" t="n">
        <f aca="false">1000+MOD(A2165*317+A2165*A2165*7,49001)</f>
        <v>48578</v>
      </c>
      <c r="L2165" s="12" t="n">
        <f aca="false">1+MOD(A2165*131,100)</f>
        <v>85</v>
      </c>
      <c r="M2165" s="12" t="n">
        <f aca="false">INT(K2165*(0.6+MOD(A2165*43,21)/100))</f>
        <v>29632</v>
      </c>
      <c r="N2165" s="12" t="n">
        <f aca="false">K2165-M2165</f>
        <v>18946</v>
      </c>
    </row>
    <row r="2166" customFormat="false" ht="12.8" hidden="false" customHeight="false" outlineLevel="0" collapsed="false">
      <c r="A2166" s="10" t="n">
        <f aca="false">A2165+1</f>
        <v>2165</v>
      </c>
      <c r="B2166" s="11" t="n">
        <f aca="false">B2165+1</f>
        <v>47091</v>
      </c>
      <c r="C2166" s="10" t="n">
        <f aca="false">YEAR(B2166)</f>
        <v>2028</v>
      </c>
      <c r="D2166" s="10" t="n">
        <f aca="false">INT((MONTH(B2166)-1)/3)+1</f>
        <v>4</v>
      </c>
      <c r="E2166" s="10" t="n">
        <f aca="false">MONTH(B2166)</f>
        <v>12</v>
      </c>
      <c r="F2166" s="10" t="str">
        <f aca="false">CHOOSE(MOD(A2166-1,5)+1,"Центр","Юг","Север","Запад","Восток")</f>
        <v>Восток</v>
      </c>
      <c r="G2166" s="10" t="str">
        <f aca="false">"Округ_"&amp;(MOD(A2166-1,5)+1)&amp;"_"&amp;(MOD(INT((A2166-1)/5),5)+1)</f>
        <v>Округ_5_3</v>
      </c>
      <c r="H2166" s="10" t="str">
        <f aca="false">"Город_"&amp;(MOD(A2166-1,5)+1)&amp;"_"&amp;(MOD(INT((A2166-1)/5),5)+1)&amp;"_"&amp;(MOD(INT((A2166-1)/25),10)+1)</f>
        <v>Город_5_3_7</v>
      </c>
      <c r="I2166" s="10" t="str">
        <f aca="false">CHOOSE(MOD(A2166-1,4)+1,"Электроника","Одежда","Продукты","Мебель")</f>
        <v>Электроника</v>
      </c>
      <c r="J2166" s="10" t="str">
        <f aca="false">CHOOSE(MOD(INT((A2166-1)/4),4)+1,CHOOSE(MOD(A2166-1,4)+1,"Смартфоны","Ноутбуки","Аксессуары","Аудио"),CHOOSE(MOD(A2166-1,4)+1,"Верхняя одежда","Спортивная","Повседневная","Обувь"),CHOOSE(MOD(A2166-1,4)+1,"Молочные","Мясные","Бакалея","Напитки"),CHOOSE(MOD(A2166-1,4)+1,"Мягкая мебель","Корпусная","Офисная","Кухонная"))</f>
        <v>Верхняя одежда</v>
      </c>
      <c r="K2166" s="12" t="n">
        <f aca="false">1000+MOD(A2166*317+A2166*A2166*7,49001)</f>
        <v>30197</v>
      </c>
      <c r="L2166" s="12" t="n">
        <f aca="false">1+MOD(A2166*131,100)</f>
        <v>16</v>
      </c>
      <c r="M2166" s="12" t="n">
        <f aca="false">INT(K2166*(0.6+MOD(A2166*43,21)/100))</f>
        <v>18722</v>
      </c>
      <c r="N2166" s="12" t="n">
        <f aca="false">K2166-M2166</f>
        <v>11475</v>
      </c>
    </row>
    <row r="2167" customFormat="false" ht="12.8" hidden="false" customHeight="false" outlineLevel="0" collapsed="false">
      <c r="A2167" s="10" t="n">
        <f aca="false">A2166+1</f>
        <v>2166</v>
      </c>
      <c r="B2167" s="11" t="n">
        <f aca="false">B2166+1</f>
        <v>47092</v>
      </c>
      <c r="C2167" s="10" t="n">
        <f aca="false">YEAR(B2167)</f>
        <v>2028</v>
      </c>
      <c r="D2167" s="10" t="n">
        <f aca="false">INT((MONTH(B2167)-1)/3)+1</f>
        <v>4</v>
      </c>
      <c r="E2167" s="10" t="n">
        <f aca="false">MONTH(B2167)</f>
        <v>12</v>
      </c>
      <c r="F2167" s="10" t="str">
        <f aca="false">CHOOSE(MOD(A2167-1,5)+1,"Центр","Юг","Север","Запад","Восток")</f>
        <v>Центр</v>
      </c>
      <c r="G2167" s="10" t="str">
        <f aca="false">"Округ_"&amp;(MOD(A2167-1,5)+1)&amp;"_"&amp;(MOD(INT((A2167-1)/5),5)+1)</f>
        <v>Округ_1_4</v>
      </c>
      <c r="H2167" s="10" t="str">
        <f aca="false">"Город_"&amp;(MOD(A2167-1,5)+1)&amp;"_"&amp;(MOD(INT((A2167-1)/5),5)+1)&amp;"_"&amp;(MOD(INT((A2167-1)/25),10)+1)</f>
        <v>Город_1_4_7</v>
      </c>
      <c r="I2167" s="10" t="str">
        <f aca="false">CHOOSE(MOD(A2167-1,4)+1,"Электроника","Одежда","Продукты","Мебель")</f>
        <v>Одежда</v>
      </c>
      <c r="J2167" s="10" t="str">
        <f aca="false">CHOOSE(MOD(INT((A2167-1)/4),4)+1,CHOOSE(MOD(A2167-1,4)+1,"Смартфоны","Ноутбуки","Аксессуары","Аудио"),CHOOSE(MOD(A2167-1,4)+1,"Верхняя одежда","Спортивная","Повседневная","Обувь"),CHOOSE(MOD(A2167-1,4)+1,"Молочные","Мясные","Бакалея","Напитки"),CHOOSE(MOD(A2167-1,4)+1,"Мягкая мебель","Корпусная","Офисная","Кухонная"))</f>
        <v>Спортивная</v>
      </c>
      <c r="K2167" s="12" t="n">
        <f aca="false">1000+MOD(A2167*317+A2167*A2167*7,49001)</f>
        <v>11830</v>
      </c>
      <c r="L2167" s="12" t="n">
        <f aca="false">1+MOD(A2167*131,100)</f>
        <v>47</v>
      </c>
      <c r="M2167" s="12" t="n">
        <f aca="false">INT(K2167*(0.6+MOD(A2167*43,21)/100))</f>
        <v>7452</v>
      </c>
      <c r="N2167" s="12" t="n">
        <f aca="false">K2167-M2167</f>
        <v>4378</v>
      </c>
    </row>
    <row r="2168" customFormat="false" ht="12.8" hidden="false" customHeight="false" outlineLevel="0" collapsed="false">
      <c r="A2168" s="10" t="n">
        <f aca="false">A2167+1</f>
        <v>2167</v>
      </c>
      <c r="B2168" s="11" t="n">
        <f aca="false">B2167+1</f>
        <v>47093</v>
      </c>
      <c r="C2168" s="10" t="n">
        <f aca="false">YEAR(B2168)</f>
        <v>2028</v>
      </c>
      <c r="D2168" s="10" t="n">
        <f aca="false">INT((MONTH(B2168)-1)/3)+1</f>
        <v>4</v>
      </c>
      <c r="E2168" s="10" t="n">
        <f aca="false">MONTH(B2168)</f>
        <v>12</v>
      </c>
      <c r="F2168" s="10" t="str">
        <f aca="false">CHOOSE(MOD(A2168-1,5)+1,"Центр","Юг","Север","Запад","Восток")</f>
        <v>Юг</v>
      </c>
      <c r="G2168" s="10" t="str">
        <f aca="false">"Округ_"&amp;(MOD(A2168-1,5)+1)&amp;"_"&amp;(MOD(INT((A2168-1)/5),5)+1)</f>
        <v>Округ_2_4</v>
      </c>
      <c r="H2168" s="10" t="str">
        <f aca="false">"Город_"&amp;(MOD(A2168-1,5)+1)&amp;"_"&amp;(MOD(INT((A2168-1)/5),5)+1)&amp;"_"&amp;(MOD(INT((A2168-1)/25),10)+1)</f>
        <v>Город_2_4_7</v>
      </c>
      <c r="I2168" s="10" t="str">
        <f aca="false">CHOOSE(MOD(A2168-1,4)+1,"Электроника","Одежда","Продукты","Мебель")</f>
        <v>Продукты</v>
      </c>
      <c r="J2168" s="10" t="str">
        <f aca="false">CHOOSE(MOD(INT((A2168-1)/4),4)+1,CHOOSE(MOD(A2168-1,4)+1,"Смартфоны","Ноутбуки","Аксессуары","Аудио"),CHOOSE(MOD(A2168-1,4)+1,"Верхняя одежда","Спортивная","Повседневная","Обувь"),CHOOSE(MOD(A2168-1,4)+1,"Молочные","Мясные","Бакалея","Напитки"),CHOOSE(MOD(A2168-1,4)+1,"Мягкая мебель","Корпусная","Офисная","Кухонная"))</f>
        <v>Повседневная</v>
      </c>
      <c r="K2168" s="12" t="n">
        <f aca="false">1000+MOD(A2168*317+A2168*A2168*7,49001)</f>
        <v>42478</v>
      </c>
      <c r="L2168" s="12" t="n">
        <f aca="false">1+MOD(A2168*131,100)</f>
        <v>78</v>
      </c>
      <c r="M2168" s="12" t="n">
        <f aca="false">INT(K2168*(0.6+MOD(A2168*43,21)/100))</f>
        <v>27185</v>
      </c>
      <c r="N2168" s="12" t="n">
        <f aca="false">K2168-M2168</f>
        <v>15293</v>
      </c>
    </row>
    <row r="2169" customFormat="false" ht="12.8" hidden="false" customHeight="false" outlineLevel="0" collapsed="false">
      <c r="A2169" s="10" t="n">
        <f aca="false">A2168+1</f>
        <v>2168</v>
      </c>
      <c r="B2169" s="11" t="n">
        <f aca="false">B2168+1</f>
        <v>47094</v>
      </c>
      <c r="C2169" s="10" t="n">
        <f aca="false">YEAR(B2169)</f>
        <v>2028</v>
      </c>
      <c r="D2169" s="10" t="n">
        <f aca="false">INT((MONTH(B2169)-1)/3)+1</f>
        <v>4</v>
      </c>
      <c r="E2169" s="10" t="n">
        <f aca="false">MONTH(B2169)</f>
        <v>12</v>
      </c>
      <c r="F2169" s="10" t="str">
        <f aca="false">CHOOSE(MOD(A2169-1,5)+1,"Центр","Юг","Север","Запад","Восток")</f>
        <v>Север</v>
      </c>
      <c r="G2169" s="10" t="str">
        <f aca="false">"Округ_"&amp;(MOD(A2169-1,5)+1)&amp;"_"&amp;(MOD(INT((A2169-1)/5),5)+1)</f>
        <v>Округ_3_4</v>
      </c>
      <c r="H2169" s="10" t="str">
        <f aca="false">"Город_"&amp;(MOD(A2169-1,5)+1)&amp;"_"&amp;(MOD(INT((A2169-1)/5),5)+1)&amp;"_"&amp;(MOD(INT((A2169-1)/25),10)+1)</f>
        <v>Город_3_4_7</v>
      </c>
      <c r="I2169" s="10" t="str">
        <f aca="false">CHOOSE(MOD(A2169-1,4)+1,"Электроника","Одежда","Продукты","Мебель")</f>
        <v>Мебель</v>
      </c>
      <c r="J2169" s="10" t="str">
        <f aca="false">CHOOSE(MOD(INT((A2169-1)/4),4)+1,CHOOSE(MOD(A2169-1,4)+1,"Смартфоны","Ноутбуки","Аксессуары","Аудио"),CHOOSE(MOD(A2169-1,4)+1,"Верхняя одежда","Спортивная","Повседневная","Обувь"),CHOOSE(MOD(A2169-1,4)+1,"Молочные","Мясные","Бакалея","Напитки"),CHOOSE(MOD(A2169-1,4)+1,"Мягкая мебель","Корпусная","Офисная","Кухонная"))</f>
        <v>Обувь</v>
      </c>
      <c r="K2169" s="12" t="n">
        <f aca="false">1000+MOD(A2169*317+A2169*A2169*7,49001)</f>
        <v>24139</v>
      </c>
      <c r="L2169" s="12" t="n">
        <f aca="false">1+MOD(A2169*131,100)</f>
        <v>9</v>
      </c>
      <c r="M2169" s="12" t="n">
        <f aca="false">INT(K2169*(0.6+MOD(A2169*43,21)/100))</f>
        <v>15690</v>
      </c>
      <c r="N2169" s="12" t="n">
        <f aca="false">K2169-M2169</f>
        <v>8449</v>
      </c>
    </row>
    <row r="2170" customFormat="false" ht="12.8" hidden="false" customHeight="false" outlineLevel="0" collapsed="false">
      <c r="A2170" s="10" t="n">
        <f aca="false">A2169+1</f>
        <v>2169</v>
      </c>
      <c r="B2170" s="11" t="n">
        <f aca="false">B2169+1</f>
        <v>47095</v>
      </c>
      <c r="C2170" s="10" t="n">
        <f aca="false">YEAR(B2170)</f>
        <v>2028</v>
      </c>
      <c r="D2170" s="10" t="n">
        <f aca="false">INT((MONTH(B2170)-1)/3)+1</f>
        <v>4</v>
      </c>
      <c r="E2170" s="10" t="n">
        <f aca="false">MONTH(B2170)</f>
        <v>12</v>
      </c>
      <c r="F2170" s="10" t="str">
        <f aca="false">CHOOSE(MOD(A2170-1,5)+1,"Центр","Юг","Север","Запад","Восток")</f>
        <v>Запад</v>
      </c>
      <c r="G2170" s="10" t="str">
        <f aca="false">"Округ_"&amp;(MOD(A2170-1,5)+1)&amp;"_"&amp;(MOD(INT((A2170-1)/5),5)+1)</f>
        <v>Округ_4_4</v>
      </c>
      <c r="H2170" s="10" t="str">
        <f aca="false">"Город_"&amp;(MOD(A2170-1,5)+1)&amp;"_"&amp;(MOD(INT((A2170-1)/5),5)+1)&amp;"_"&amp;(MOD(INT((A2170-1)/25),10)+1)</f>
        <v>Город_4_4_7</v>
      </c>
      <c r="I2170" s="10" t="str">
        <f aca="false">CHOOSE(MOD(A2170-1,4)+1,"Электроника","Одежда","Продукты","Мебель")</f>
        <v>Электроника</v>
      </c>
      <c r="J2170" s="10" t="str">
        <f aca="false">CHOOSE(MOD(INT((A2170-1)/4),4)+1,CHOOSE(MOD(A2170-1,4)+1,"Смартфоны","Ноутбуки","Аксессуары","Аудио"),CHOOSE(MOD(A2170-1,4)+1,"Верхняя одежда","Спортивная","Повседневная","Обувь"),CHOOSE(MOD(A2170-1,4)+1,"Молочные","Мясные","Бакалея","Напитки"),CHOOSE(MOD(A2170-1,4)+1,"Мягкая мебель","Корпусная","Офисная","Кухонная"))</f>
        <v>Молочные</v>
      </c>
      <c r="K2170" s="12" t="n">
        <f aca="false">1000+MOD(A2170*317+A2170*A2170*7,49001)</f>
        <v>5814</v>
      </c>
      <c r="L2170" s="12" t="n">
        <f aca="false">1+MOD(A2170*131,100)</f>
        <v>40</v>
      </c>
      <c r="M2170" s="12" t="n">
        <f aca="false">INT(K2170*(0.6+MOD(A2170*43,21)/100))</f>
        <v>3837</v>
      </c>
      <c r="N2170" s="12" t="n">
        <f aca="false">K2170-M2170</f>
        <v>1977</v>
      </c>
    </row>
    <row r="2171" customFormat="false" ht="12.8" hidden="false" customHeight="false" outlineLevel="0" collapsed="false">
      <c r="A2171" s="10" t="n">
        <f aca="false">A2170+1</f>
        <v>2170</v>
      </c>
      <c r="B2171" s="11" t="n">
        <f aca="false">B2170+1</f>
        <v>47096</v>
      </c>
      <c r="C2171" s="10" t="n">
        <f aca="false">YEAR(B2171)</f>
        <v>2028</v>
      </c>
      <c r="D2171" s="10" t="n">
        <f aca="false">INT((MONTH(B2171)-1)/3)+1</f>
        <v>4</v>
      </c>
      <c r="E2171" s="10" t="n">
        <f aca="false">MONTH(B2171)</f>
        <v>12</v>
      </c>
      <c r="F2171" s="10" t="str">
        <f aca="false">CHOOSE(MOD(A2171-1,5)+1,"Центр","Юг","Север","Запад","Восток")</f>
        <v>Восток</v>
      </c>
      <c r="G2171" s="10" t="str">
        <f aca="false">"Округ_"&amp;(MOD(A2171-1,5)+1)&amp;"_"&amp;(MOD(INT((A2171-1)/5),5)+1)</f>
        <v>Округ_5_4</v>
      </c>
      <c r="H2171" s="10" t="str">
        <f aca="false">"Город_"&amp;(MOD(A2171-1,5)+1)&amp;"_"&amp;(MOD(INT((A2171-1)/5),5)+1)&amp;"_"&amp;(MOD(INT((A2171-1)/25),10)+1)</f>
        <v>Город_5_4_7</v>
      </c>
      <c r="I2171" s="10" t="str">
        <f aca="false">CHOOSE(MOD(A2171-1,4)+1,"Электроника","Одежда","Продукты","Мебель")</f>
        <v>Одежда</v>
      </c>
      <c r="J2171" s="10" t="str">
        <f aca="false">CHOOSE(MOD(INT((A2171-1)/4),4)+1,CHOOSE(MOD(A2171-1,4)+1,"Смартфоны","Ноутбуки","Аксессуары","Аудио"),CHOOSE(MOD(A2171-1,4)+1,"Верхняя одежда","Спортивная","Повседневная","Обувь"),CHOOSE(MOD(A2171-1,4)+1,"Молочные","Мясные","Бакалея","Напитки"),CHOOSE(MOD(A2171-1,4)+1,"Мягкая мебель","Корпусная","Офисная","Кухонная"))</f>
        <v>Мясные</v>
      </c>
      <c r="K2171" s="12" t="n">
        <f aca="false">1000+MOD(A2171*317+A2171*A2171*7,49001)</f>
        <v>36504</v>
      </c>
      <c r="L2171" s="12" t="n">
        <f aca="false">1+MOD(A2171*131,100)</f>
        <v>71</v>
      </c>
      <c r="M2171" s="12" t="n">
        <f aca="false">INT(K2171*(0.6+MOD(A2171*43,21)/100))</f>
        <v>24457</v>
      </c>
      <c r="N2171" s="12" t="n">
        <f aca="false">K2171-M2171</f>
        <v>12047</v>
      </c>
    </row>
    <row r="2172" customFormat="false" ht="12.8" hidden="false" customHeight="false" outlineLevel="0" collapsed="false">
      <c r="A2172" s="10" t="n">
        <f aca="false">A2171+1</f>
        <v>2171</v>
      </c>
      <c r="B2172" s="11" t="n">
        <f aca="false">B2171+1</f>
        <v>47097</v>
      </c>
      <c r="C2172" s="10" t="n">
        <f aca="false">YEAR(B2172)</f>
        <v>2028</v>
      </c>
      <c r="D2172" s="10" t="n">
        <f aca="false">INT((MONTH(B2172)-1)/3)+1</f>
        <v>4</v>
      </c>
      <c r="E2172" s="10" t="n">
        <f aca="false">MONTH(B2172)</f>
        <v>12</v>
      </c>
      <c r="F2172" s="10" t="str">
        <f aca="false">CHOOSE(MOD(A2172-1,5)+1,"Центр","Юг","Север","Запад","Восток")</f>
        <v>Центр</v>
      </c>
      <c r="G2172" s="10" t="str">
        <f aca="false">"Округ_"&amp;(MOD(A2172-1,5)+1)&amp;"_"&amp;(MOD(INT((A2172-1)/5),5)+1)</f>
        <v>Округ_1_5</v>
      </c>
      <c r="H2172" s="10" t="str">
        <f aca="false">"Город_"&amp;(MOD(A2172-1,5)+1)&amp;"_"&amp;(MOD(INT((A2172-1)/5),5)+1)&amp;"_"&amp;(MOD(INT((A2172-1)/25),10)+1)</f>
        <v>Город_1_5_7</v>
      </c>
      <c r="I2172" s="10" t="str">
        <f aca="false">CHOOSE(MOD(A2172-1,4)+1,"Электроника","Одежда","Продукты","Мебель")</f>
        <v>Продукты</v>
      </c>
      <c r="J2172" s="10" t="str">
        <f aca="false">CHOOSE(MOD(INT((A2172-1)/4),4)+1,CHOOSE(MOD(A2172-1,4)+1,"Смартфоны","Ноутбуки","Аксессуары","Аудио"),CHOOSE(MOD(A2172-1,4)+1,"Верхняя одежда","Спортивная","Повседневная","Обувь"),CHOOSE(MOD(A2172-1,4)+1,"Молочные","Мясные","Бакалея","Напитки"),CHOOSE(MOD(A2172-1,4)+1,"Мягкая мебель","Корпусная","Офисная","Кухонная"))</f>
        <v>Бакалея</v>
      </c>
      <c r="K2172" s="12" t="n">
        <f aca="false">1000+MOD(A2172*317+A2172*A2172*7,49001)</f>
        <v>18207</v>
      </c>
      <c r="L2172" s="12" t="n">
        <f aca="false">1+MOD(A2172*131,100)</f>
        <v>2</v>
      </c>
      <c r="M2172" s="12" t="n">
        <f aca="false">INT(K2172*(0.6+MOD(A2172*43,21)/100))</f>
        <v>12380</v>
      </c>
      <c r="N2172" s="12" t="n">
        <f aca="false">K2172-M2172</f>
        <v>5827</v>
      </c>
    </row>
    <row r="2173" customFormat="false" ht="12.8" hidden="false" customHeight="false" outlineLevel="0" collapsed="false">
      <c r="A2173" s="10" t="n">
        <f aca="false">A2172+1</f>
        <v>2172</v>
      </c>
      <c r="B2173" s="11" t="n">
        <f aca="false">B2172+1</f>
        <v>47098</v>
      </c>
      <c r="C2173" s="10" t="n">
        <f aca="false">YEAR(B2173)</f>
        <v>2028</v>
      </c>
      <c r="D2173" s="10" t="n">
        <f aca="false">INT((MONTH(B2173)-1)/3)+1</f>
        <v>4</v>
      </c>
      <c r="E2173" s="10" t="n">
        <f aca="false">MONTH(B2173)</f>
        <v>12</v>
      </c>
      <c r="F2173" s="10" t="str">
        <f aca="false">CHOOSE(MOD(A2173-1,5)+1,"Центр","Юг","Север","Запад","Восток")</f>
        <v>Юг</v>
      </c>
      <c r="G2173" s="10" t="str">
        <f aca="false">"Округ_"&amp;(MOD(A2173-1,5)+1)&amp;"_"&amp;(MOD(INT((A2173-1)/5),5)+1)</f>
        <v>Округ_2_5</v>
      </c>
      <c r="H2173" s="10" t="str">
        <f aca="false">"Город_"&amp;(MOD(A2173-1,5)+1)&amp;"_"&amp;(MOD(INT((A2173-1)/5),5)+1)&amp;"_"&amp;(MOD(INT((A2173-1)/25),10)+1)</f>
        <v>Город_2_5_7</v>
      </c>
      <c r="I2173" s="10" t="str">
        <f aca="false">CHOOSE(MOD(A2173-1,4)+1,"Электроника","Одежда","Продукты","Мебель")</f>
        <v>Мебель</v>
      </c>
      <c r="J2173" s="10" t="str">
        <f aca="false">CHOOSE(MOD(INT((A2173-1)/4),4)+1,CHOOSE(MOD(A2173-1,4)+1,"Смартфоны","Ноутбуки","Аксессуары","Аудио"),CHOOSE(MOD(A2173-1,4)+1,"Верхняя одежда","Спортивная","Повседневная","Обувь"),CHOOSE(MOD(A2173-1,4)+1,"Молочные","Мясные","Бакалея","Напитки"),CHOOSE(MOD(A2173-1,4)+1,"Мягкая мебель","Корпусная","Офисная","Кухонная"))</f>
        <v>Напитки</v>
      </c>
      <c r="K2173" s="12" t="n">
        <f aca="false">1000+MOD(A2173*317+A2173*A2173*7,49001)</f>
        <v>48925</v>
      </c>
      <c r="L2173" s="12" t="n">
        <f aca="false">1+MOD(A2173*131,100)</f>
        <v>33</v>
      </c>
      <c r="M2173" s="12" t="n">
        <f aca="false">INT(K2173*(0.6+MOD(A2173*43,21)/100))</f>
        <v>33758</v>
      </c>
      <c r="N2173" s="12" t="n">
        <f aca="false">K2173-M2173</f>
        <v>15167</v>
      </c>
    </row>
    <row r="2174" customFormat="false" ht="12.8" hidden="false" customHeight="false" outlineLevel="0" collapsed="false">
      <c r="A2174" s="10" t="n">
        <f aca="false">A2173+1</f>
        <v>2173</v>
      </c>
      <c r="B2174" s="11" t="n">
        <f aca="false">B2173+1</f>
        <v>47099</v>
      </c>
      <c r="C2174" s="10" t="n">
        <f aca="false">YEAR(B2174)</f>
        <v>2028</v>
      </c>
      <c r="D2174" s="10" t="n">
        <f aca="false">INT((MONTH(B2174)-1)/3)+1</f>
        <v>4</v>
      </c>
      <c r="E2174" s="10" t="n">
        <f aca="false">MONTH(B2174)</f>
        <v>12</v>
      </c>
      <c r="F2174" s="10" t="str">
        <f aca="false">CHOOSE(MOD(A2174-1,5)+1,"Центр","Юг","Север","Запад","Восток")</f>
        <v>Север</v>
      </c>
      <c r="G2174" s="10" t="str">
        <f aca="false">"Округ_"&amp;(MOD(A2174-1,5)+1)&amp;"_"&amp;(MOD(INT((A2174-1)/5),5)+1)</f>
        <v>Округ_3_5</v>
      </c>
      <c r="H2174" s="10" t="str">
        <f aca="false">"Город_"&amp;(MOD(A2174-1,5)+1)&amp;"_"&amp;(MOD(INT((A2174-1)/5),5)+1)&amp;"_"&amp;(MOD(INT((A2174-1)/25),10)+1)</f>
        <v>Город_3_5_7</v>
      </c>
      <c r="I2174" s="10" t="str">
        <f aca="false">CHOOSE(MOD(A2174-1,4)+1,"Электроника","Одежда","Продукты","Мебель")</f>
        <v>Электроника</v>
      </c>
      <c r="J2174" s="10" t="str">
        <f aca="false">CHOOSE(MOD(INT((A2174-1)/4),4)+1,CHOOSE(MOD(A2174-1,4)+1,"Смартфоны","Ноутбуки","Аксессуары","Аудио"),CHOOSE(MOD(A2174-1,4)+1,"Верхняя одежда","Спортивная","Повседневная","Обувь"),CHOOSE(MOD(A2174-1,4)+1,"Молочные","Мясные","Бакалея","Напитки"),CHOOSE(MOD(A2174-1,4)+1,"Мягкая мебель","Корпусная","Офисная","Кухонная"))</f>
        <v>Мягкая мебель</v>
      </c>
      <c r="K2174" s="12" t="n">
        <f aca="false">1000+MOD(A2174*317+A2174*A2174*7,49001)</f>
        <v>30656</v>
      </c>
      <c r="L2174" s="12" t="n">
        <f aca="false">1+MOD(A2174*131,100)</f>
        <v>64</v>
      </c>
      <c r="M2174" s="12" t="n">
        <f aca="false">INT(K2174*(0.6+MOD(A2174*43,21)/100))</f>
        <v>21459</v>
      </c>
      <c r="N2174" s="12" t="n">
        <f aca="false">K2174-M2174</f>
        <v>9197</v>
      </c>
    </row>
    <row r="2175" customFormat="false" ht="12.8" hidden="false" customHeight="false" outlineLevel="0" collapsed="false">
      <c r="A2175" s="10" t="n">
        <f aca="false">A2174+1</f>
        <v>2174</v>
      </c>
      <c r="B2175" s="11" t="n">
        <f aca="false">B2174+1</f>
        <v>47100</v>
      </c>
      <c r="C2175" s="10" t="n">
        <f aca="false">YEAR(B2175)</f>
        <v>2028</v>
      </c>
      <c r="D2175" s="10" t="n">
        <f aca="false">INT((MONTH(B2175)-1)/3)+1</f>
        <v>4</v>
      </c>
      <c r="E2175" s="10" t="n">
        <f aca="false">MONTH(B2175)</f>
        <v>12</v>
      </c>
      <c r="F2175" s="10" t="str">
        <f aca="false">CHOOSE(MOD(A2175-1,5)+1,"Центр","Юг","Север","Запад","Восток")</f>
        <v>Запад</v>
      </c>
      <c r="G2175" s="10" t="str">
        <f aca="false">"Округ_"&amp;(MOD(A2175-1,5)+1)&amp;"_"&amp;(MOD(INT((A2175-1)/5),5)+1)</f>
        <v>Округ_4_5</v>
      </c>
      <c r="H2175" s="10" t="str">
        <f aca="false">"Город_"&amp;(MOD(A2175-1,5)+1)&amp;"_"&amp;(MOD(INT((A2175-1)/5),5)+1)&amp;"_"&amp;(MOD(INT((A2175-1)/25),10)+1)</f>
        <v>Город_4_5_7</v>
      </c>
      <c r="I2175" s="10" t="str">
        <f aca="false">CHOOSE(MOD(A2175-1,4)+1,"Электроника","Одежда","Продукты","Мебель")</f>
        <v>Одежда</v>
      </c>
      <c r="J2175" s="10" t="str">
        <f aca="false">CHOOSE(MOD(INT((A2175-1)/4),4)+1,CHOOSE(MOD(A2175-1,4)+1,"Смартфоны","Ноутбуки","Аксессуары","Аудио"),CHOOSE(MOD(A2175-1,4)+1,"Верхняя одежда","Спортивная","Повседневная","Обувь"),CHOOSE(MOD(A2175-1,4)+1,"Молочные","Мясные","Бакалея","Напитки"),CHOOSE(MOD(A2175-1,4)+1,"Мягкая мебель","Корпусная","Офисная","Кухонная"))</f>
        <v>Корпусная</v>
      </c>
      <c r="K2175" s="12" t="n">
        <f aca="false">1000+MOD(A2175*317+A2175*A2175*7,49001)</f>
        <v>12401</v>
      </c>
      <c r="L2175" s="12" t="n">
        <f aca="false">1+MOD(A2175*131,100)</f>
        <v>95</v>
      </c>
      <c r="M2175" s="12" t="n">
        <f aca="false">INT(K2175*(0.6+MOD(A2175*43,21)/100))</f>
        <v>8804</v>
      </c>
      <c r="N2175" s="12" t="n">
        <f aca="false">K2175-M2175</f>
        <v>3597</v>
      </c>
    </row>
    <row r="2176" customFormat="false" ht="12.8" hidden="false" customHeight="false" outlineLevel="0" collapsed="false">
      <c r="A2176" s="10" t="n">
        <f aca="false">A2175+1</f>
        <v>2175</v>
      </c>
      <c r="B2176" s="11" t="n">
        <f aca="false">B2175+1</f>
        <v>47101</v>
      </c>
      <c r="C2176" s="10" t="n">
        <f aca="false">YEAR(B2176)</f>
        <v>2028</v>
      </c>
      <c r="D2176" s="10" t="n">
        <f aca="false">INT((MONTH(B2176)-1)/3)+1</f>
        <v>4</v>
      </c>
      <c r="E2176" s="10" t="n">
        <f aca="false">MONTH(B2176)</f>
        <v>12</v>
      </c>
      <c r="F2176" s="10" t="str">
        <f aca="false">CHOOSE(MOD(A2176-1,5)+1,"Центр","Юг","Север","Запад","Восток")</f>
        <v>Восток</v>
      </c>
      <c r="G2176" s="10" t="str">
        <f aca="false">"Округ_"&amp;(MOD(A2176-1,5)+1)&amp;"_"&amp;(MOD(INT((A2176-1)/5),5)+1)</f>
        <v>Округ_5_5</v>
      </c>
      <c r="H2176" s="10" t="str">
        <f aca="false">"Город_"&amp;(MOD(A2176-1,5)+1)&amp;"_"&amp;(MOD(INT((A2176-1)/5),5)+1)&amp;"_"&amp;(MOD(INT((A2176-1)/25),10)+1)</f>
        <v>Город_5_5_7</v>
      </c>
      <c r="I2176" s="10" t="str">
        <f aca="false">CHOOSE(MOD(A2176-1,4)+1,"Электроника","Одежда","Продукты","Мебель")</f>
        <v>Продукты</v>
      </c>
      <c r="J2176" s="10" t="str">
        <f aca="false">CHOOSE(MOD(INT((A2176-1)/4),4)+1,CHOOSE(MOD(A2176-1,4)+1,"Смартфоны","Ноутбуки","Аксессуары","Аудио"),CHOOSE(MOD(A2176-1,4)+1,"Верхняя одежда","Спортивная","Повседневная","Обувь"),CHOOSE(MOD(A2176-1,4)+1,"Молочные","Мясные","Бакалея","Напитки"),CHOOSE(MOD(A2176-1,4)+1,"Мягкая мебель","Корпусная","Офисная","Кухонная"))</f>
        <v>Офисная</v>
      </c>
      <c r="K2176" s="12" t="n">
        <f aca="false">1000+MOD(A2176*317+A2176*A2176*7,49001)</f>
        <v>43161</v>
      </c>
      <c r="L2176" s="12" t="n">
        <f aca="false">1+MOD(A2176*131,100)</f>
        <v>26</v>
      </c>
      <c r="M2176" s="12" t="n">
        <f aca="false">INT(K2176*(0.6+MOD(A2176*43,21)/100))</f>
        <v>31075</v>
      </c>
      <c r="N2176" s="12" t="n">
        <f aca="false">K2176-M2176</f>
        <v>12086</v>
      </c>
    </row>
    <row r="2177" customFormat="false" ht="12.8" hidden="false" customHeight="false" outlineLevel="0" collapsed="false">
      <c r="A2177" s="10" t="n">
        <f aca="false">A2176+1</f>
        <v>2176</v>
      </c>
      <c r="B2177" s="11" t="n">
        <f aca="false">B2176+1</f>
        <v>47102</v>
      </c>
      <c r="C2177" s="10" t="n">
        <f aca="false">YEAR(B2177)</f>
        <v>2028</v>
      </c>
      <c r="D2177" s="10" t="n">
        <f aca="false">INT((MONTH(B2177)-1)/3)+1</f>
        <v>4</v>
      </c>
      <c r="E2177" s="10" t="n">
        <f aca="false">MONTH(B2177)</f>
        <v>12</v>
      </c>
      <c r="F2177" s="10" t="str">
        <f aca="false">CHOOSE(MOD(A2177-1,5)+1,"Центр","Юг","Север","Запад","Восток")</f>
        <v>Центр</v>
      </c>
      <c r="G2177" s="10" t="str">
        <f aca="false">"Округ_"&amp;(MOD(A2177-1,5)+1)&amp;"_"&amp;(MOD(INT((A2177-1)/5),5)+1)</f>
        <v>Округ_1_1</v>
      </c>
      <c r="H2177" s="10" t="str">
        <f aca="false">"Город_"&amp;(MOD(A2177-1,5)+1)&amp;"_"&amp;(MOD(INT((A2177-1)/5),5)+1)&amp;"_"&amp;(MOD(INT((A2177-1)/25),10)+1)</f>
        <v>Город_1_1_8</v>
      </c>
      <c r="I2177" s="10" t="str">
        <f aca="false">CHOOSE(MOD(A2177-1,4)+1,"Электроника","Одежда","Продукты","Мебель")</f>
        <v>Мебель</v>
      </c>
      <c r="J2177" s="10" t="str">
        <f aca="false">CHOOSE(MOD(INT((A2177-1)/4),4)+1,CHOOSE(MOD(A2177-1,4)+1,"Смартфоны","Ноутбуки","Аксессуары","Аудио"),CHOOSE(MOD(A2177-1,4)+1,"Верхняя одежда","Спортивная","Повседневная","Обувь"),CHOOSE(MOD(A2177-1,4)+1,"Молочные","Мясные","Бакалея","Напитки"),CHOOSE(MOD(A2177-1,4)+1,"Мягкая мебель","Корпусная","Офисная","Кухонная"))</f>
        <v>Кухонная</v>
      </c>
      <c r="K2177" s="12" t="n">
        <f aca="false">1000+MOD(A2177*317+A2177*A2177*7,49001)</f>
        <v>24934</v>
      </c>
      <c r="L2177" s="12" t="n">
        <f aca="false">1+MOD(A2177*131,100)</f>
        <v>57</v>
      </c>
      <c r="M2177" s="12" t="n">
        <f aca="false">INT(K2177*(0.6+MOD(A2177*43,21)/100))</f>
        <v>18201</v>
      </c>
      <c r="N2177" s="12" t="n">
        <f aca="false">K2177-M2177</f>
        <v>6733</v>
      </c>
    </row>
    <row r="2178" customFormat="false" ht="12.8" hidden="false" customHeight="false" outlineLevel="0" collapsed="false">
      <c r="A2178" s="10" t="n">
        <f aca="false">A2177+1</f>
        <v>2177</v>
      </c>
      <c r="B2178" s="11" t="n">
        <f aca="false">B2177+1</f>
        <v>47103</v>
      </c>
      <c r="C2178" s="10" t="n">
        <f aca="false">YEAR(B2178)</f>
        <v>2028</v>
      </c>
      <c r="D2178" s="10" t="n">
        <f aca="false">INT((MONTH(B2178)-1)/3)+1</f>
        <v>4</v>
      </c>
      <c r="E2178" s="10" t="n">
        <f aca="false">MONTH(B2178)</f>
        <v>12</v>
      </c>
      <c r="F2178" s="10" t="str">
        <f aca="false">CHOOSE(MOD(A2178-1,5)+1,"Центр","Юг","Север","Запад","Восток")</f>
        <v>Юг</v>
      </c>
      <c r="G2178" s="10" t="str">
        <f aca="false">"Округ_"&amp;(MOD(A2178-1,5)+1)&amp;"_"&amp;(MOD(INT((A2178-1)/5),5)+1)</f>
        <v>Округ_2_1</v>
      </c>
      <c r="H2178" s="10" t="str">
        <f aca="false">"Город_"&amp;(MOD(A2178-1,5)+1)&amp;"_"&amp;(MOD(INT((A2178-1)/5),5)+1)&amp;"_"&amp;(MOD(INT((A2178-1)/25),10)+1)</f>
        <v>Город_2_1_8</v>
      </c>
      <c r="I2178" s="10" t="str">
        <f aca="false">CHOOSE(MOD(A2178-1,4)+1,"Электроника","Одежда","Продукты","Мебель")</f>
        <v>Электроника</v>
      </c>
      <c r="J2178" s="10" t="str">
        <f aca="false">CHOOSE(MOD(INT((A2178-1)/4),4)+1,CHOOSE(MOD(A2178-1,4)+1,"Смартфоны","Ноутбуки","Аксессуары","Аудио"),CHOOSE(MOD(A2178-1,4)+1,"Верхняя одежда","Спортивная","Повседневная","Обувь"),CHOOSE(MOD(A2178-1,4)+1,"Молочные","Мясные","Бакалея","Напитки"),CHOOSE(MOD(A2178-1,4)+1,"Мягкая мебель","Корпусная","Офисная","Кухонная"))</f>
        <v>Смартфоны</v>
      </c>
      <c r="K2178" s="12" t="n">
        <f aca="false">1000+MOD(A2178*317+A2178*A2178*7,49001)</f>
        <v>6721</v>
      </c>
      <c r="L2178" s="12" t="n">
        <f aca="false">1+MOD(A2178*131,100)</f>
        <v>88</v>
      </c>
      <c r="M2178" s="12" t="n">
        <f aca="false">INT(K2178*(0.6+MOD(A2178*43,21)/100))</f>
        <v>4973</v>
      </c>
      <c r="N2178" s="12" t="n">
        <f aca="false">K2178-M2178</f>
        <v>1748</v>
      </c>
    </row>
    <row r="2179" customFormat="false" ht="12.8" hidden="false" customHeight="false" outlineLevel="0" collapsed="false">
      <c r="A2179" s="10" t="n">
        <f aca="false">A2178+1</f>
        <v>2178</v>
      </c>
      <c r="B2179" s="11" t="n">
        <f aca="false">B2178+1</f>
        <v>47104</v>
      </c>
      <c r="C2179" s="10" t="n">
        <f aca="false">YEAR(B2179)</f>
        <v>2028</v>
      </c>
      <c r="D2179" s="10" t="n">
        <f aca="false">INT((MONTH(B2179)-1)/3)+1</f>
        <v>4</v>
      </c>
      <c r="E2179" s="10" t="n">
        <f aca="false">MONTH(B2179)</f>
        <v>12</v>
      </c>
      <c r="F2179" s="10" t="str">
        <f aca="false">CHOOSE(MOD(A2179-1,5)+1,"Центр","Юг","Север","Запад","Восток")</f>
        <v>Север</v>
      </c>
      <c r="G2179" s="10" t="str">
        <f aca="false">"Округ_"&amp;(MOD(A2179-1,5)+1)&amp;"_"&amp;(MOD(INT((A2179-1)/5),5)+1)</f>
        <v>Округ_3_1</v>
      </c>
      <c r="H2179" s="10" t="str">
        <f aca="false">"Город_"&amp;(MOD(A2179-1,5)+1)&amp;"_"&amp;(MOD(INT((A2179-1)/5),5)+1)&amp;"_"&amp;(MOD(INT((A2179-1)/25),10)+1)</f>
        <v>Город_3_1_8</v>
      </c>
      <c r="I2179" s="10" t="str">
        <f aca="false">CHOOSE(MOD(A2179-1,4)+1,"Электроника","Одежда","Продукты","Мебель")</f>
        <v>Одежда</v>
      </c>
      <c r="J2179" s="10" t="str">
        <f aca="false">CHOOSE(MOD(INT((A2179-1)/4),4)+1,CHOOSE(MOD(A2179-1,4)+1,"Смартфоны","Ноутбуки","Аксессуары","Аудио"),CHOOSE(MOD(A2179-1,4)+1,"Верхняя одежда","Спортивная","Повседневная","Обувь"),CHOOSE(MOD(A2179-1,4)+1,"Молочные","Мясные","Бакалея","Напитки"),CHOOSE(MOD(A2179-1,4)+1,"Мягкая мебель","Корпусная","Офисная","Кухонная"))</f>
        <v>Ноутбуки</v>
      </c>
      <c r="K2179" s="12" t="n">
        <f aca="false">1000+MOD(A2179*317+A2179*A2179*7,49001)</f>
        <v>37523</v>
      </c>
      <c r="L2179" s="12" t="n">
        <f aca="false">1+MOD(A2179*131,100)</f>
        <v>19</v>
      </c>
      <c r="M2179" s="12" t="n">
        <f aca="false">INT(K2179*(0.6+MOD(A2179*43,21)/100))</f>
        <v>28142</v>
      </c>
      <c r="N2179" s="12" t="n">
        <f aca="false">K2179-M2179</f>
        <v>9381</v>
      </c>
    </row>
    <row r="2180" customFormat="false" ht="12.8" hidden="false" customHeight="false" outlineLevel="0" collapsed="false">
      <c r="A2180" s="10" t="n">
        <f aca="false">A2179+1</f>
        <v>2179</v>
      </c>
      <c r="B2180" s="11" t="n">
        <f aca="false">B2179+1</f>
        <v>47105</v>
      </c>
      <c r="C2180" s="10" t="n">
        <f aca="false">YEAR(B2180)</f>
        <v>2028</v>
      </c>
      <c r="D2180" s="10" t="n">
        <f aca="false">INT((MONTH(B2180)-1)/3)+1</f>
        <v>4</v>
      </c>
      <c r="E2180" s="10" t="n">
        <f aca="false">MONTH(B2180)</f>
        <v>12</v>
      </c>
      <c r="F2180" s="10" t="str">
        <f aca="false">CHOOSE(MOD(A2180-1,5)+1,"Центр","Юг","Север","Запад","Восток")</f>
        <v>Запад</v>
      </c>
      <c r="G2180" s="10" t="str">
        <f aca="false">"Округ_"&amp;(MOD(A2180-1,5)+1)&amp;"_"&amp;(MOD(INT((A2180-1)/5),5)+1)</f>
        <v>Округ_4_1</v>
      </c>
      <c r="H2180" s="10" t="str">
        <f aca="false">"Город_"&amp;(MOD(A2180-1,5)+1)&amp;"_"&amp;(MOD(INT((A2180-1)/5),5)+1)&amp;"_"&amp;(MOD(INT((A2180-1)/25),10)+1)</f>
        <v>Город_4_1_8</v>
      </c>
      <c r="I2180" s="10" t="str">
        <f aca="false">CHOOSE(MOD(A2180-1,4)+1,"Электроника","Одежда","Продукты","Мебель")</f>
        <v>Продукты</v>
      </c>
      <c r="J2180" s="10" t="str">
        <f aca="false">CHOOSE(MOD(INT((A2180-1)/4),4)+1,CHOOSE(MOD(A2180-1,4)+1,"Смартфоны","Ноутбуки","Аксессуары","Аудио"),CHOOSE(MOD(A2180-1,4)+1,"Верхняя одежда","Спортивная","Повседневная","Обувь"),CHOOSE(MOD(A2180-1,4)+1,"Молочные","Мясные","Бакалея","Напитки"),CHOOSE(MOD(A2180-1,4)+1,"Мягкая мебель","Корпусная","Офисная","Кухонная"))</f>
        <v>Аксессуары</v>
      </c>
      <c r="K2180" s="12" t="n">
        <f aca="false">1000+MOD(A2180*317+A2180*A2180*7,49001)</f>
        <v>19338</v>
      </c>
      <c r="L2180" s="12" t="n">
        <f aca="false">1+MOD(A2180*131,100)</f>
        <v>50</v>
      </c>
      <c r="M2180" s="12" t="n">
        <f aca="false">INT(K2180*(0.6+MOD(A2180*43,21)/100))</f>
        <v>14696</v>
      </c>
      <c r="N2180" s="12" t="n">
        <f aca="false">K2180-M2180</f>
        <v>4642</v>
      </c>
    </row>
    <row r="2181" customFormat="false" ht="12.8" hidden="false" customHeight="false" outlineLevel="0" collapsed="false">
      <c r="A2181" s="10" t="n">
        <f aca="false">A2180+1</f>
        <v>2180</v>
      </c>
      <c r="B2181" s="11" t="n">
        <f aca="false">B2180+1</f>
        <v>47106</v>
      </c>
      <c r="C2181" s="10" t="n">
        <f aca="false">YEAR(B2181)</f>
        <v>2028</v>
      </c>
      <c r="D2181" s="10" t="n">
        <f aca="false">INT((MONTH(B2181)-1)/3)+1</f>
        <v>4</v>
      </c>
      <c r="E2181" s="10" t="n">
        <f aca="false">MONTH(B2181)</f>
        <v>12</v>
      </c>
      <c r="F2181" s="10" t="str">
        <f aca="false">CHOOSE(MOD(A2181-1,5)+1,"Центр","Юг","Север","Запад","Восток")</f>
        <v>Восток</v>
      </c>
      <c r="G2181" s="10" t="str">
        <f aca="false">"Округ_"&amp;(MOD(A2181-1,5)+1)&amp;"_"&amp;(MOD(INT((A2181-1)/5),5)+1)</f>
        <v>Округ_5_1</v>
      </c>
      <c r="H2181" s="10" t="str">
        <f aca="false">"Город_"&amp;(MOD(A2181-1,5)+1)&amp;"_"&amp;(MOD(INT((A2181-1)/5),5)+1)&amp;"_"&amp;(MOD(INT((A2181-1)/25),10)+1)</f>
        <v>Город_5_1_8</v>
      </c>
      <c r="I2181" s="10" t="str">
        <f aca="false">CHOOSE(MOD(A2181-1,4)+1,"Электроника","Одежда","Продукты","Мебель")</f>
        <v>Мебель</v>
      </c>
      <c r="J2181" s="10" t="str">
        <f aca="false">CHOOSE(MOD(INT((A2181-1)/4),4)+1,CHOOSE(MOD(A2181-1,4)+1,"Смартфоны","Ноутбуки","Аксессуары","Аудио"),CHOOSE(MOD(A2181-1,4)+1,"Верхняя одежда","Спортивная","Повседневная","Обувь"),CHOOSE(MOD(A2181-1,4)+1,"Молочные","Мясные","Бакалея","Напитки"),CHOOSE(MOD(A2181-1,4)+1,"Мягкая мебель","Корпусная","Офисная","Кухонная"))</f>
        <v>Аудио</v>
      </c>
      <c r="K2181" s="12" t="n">
        <f aca="false">1000+MOD(A2181*317+A2181*A2181*7,49001)</f>
        <v>1167</v>
      </c>
      <c r="L2181" s="12" t="n">
        <f aca="false">1+MOD(A2181*131,100)</f>
        <v>81</v>
      </c>
      <c r="M2181" s="12" t="n">
        <f aca="false">INT(K2181*(0.6+MOD(A2181*43,21)/100))</f>
        <v>898</v>
      </c>
      <c r="N2181" s="12" t="n">
        <f aca="false">K2181-M2181</f>
        <v>269</v>
      </c>
    </row>
    <row r="2182" customFormat="false" ht="12.8" hidden="false" customHeight="false" outlineLevel="0" collapsed="false">
      <c r="A2182" s="10" t="n">
        <f aca="false">A2181+1</f>
        <v>2181</v>
      </c>
      <c r="B2182" s="11" t="n">
        <f aca="false">B2181+1</f>
        <v>47107</v>
      </c>
      <c r="C2182" s="10" t="n">
        <f aca="false">YEAR(B2182)</f>
        <v>2028</v>
      </c>
      <c r="D2182" s="10" t="n">
        <f aca="false">INT((MONTH(B2182)-1)/3)+1</f>
        <v>4</v>
      </c>
      <c r="E2182" s="10" t="n">
        <f aca="false">MONTH(B2182)</f>
        <v>12</v>
      </c>
      <c r="F2182" s="10" t="str">
        <f aca="false">CHOOSE(MOD(A2182-1,5)+1,"Центр","Юг","Север","Запад","Восток")</f>
        <v>Центр</v>
      </c>
      <c r="G2182" s="10" t="str">
        <f aca="false">"Округ_"&amp;(MOD(A2182-1,5)+1)&amp;"_"&amp;(MOD(INT((A2182-1)/5),5)+1)</f>
        <v>Округ_1_2</v>
      </c>
      <c r="H2182" s="10" t="str">
        <f aca="false">"Город_"&amp;(MOD(A2182-1,5)+1)&amp;"_"&amp;(MOD(INT((A2182-1)/5),5)+1)&amp;"_"&amp;(MOD(INT((A2182-1)/25),10)+1)</f>
        <v>Город_1_2_8</v>
      </c>
      <c r="I2182" s="10" t="str">
        <f aca="false">CHOOSE(MOD(A2182-1,4)+1,"Электроника","Одежда","Продукты","Мебель")</f>
        <v>Электроника</v>
      </c>
      <c r="J2182" s="10" t="str">
        <f aca="false">CHOOSE(MOD(INT((A2182-1)/4),4)+1,CHOOSE(MOD(A2182-1,4)+1,"Смартфоны","Ноутбуки","Аксессуары","Аудио"),CHOOSE(MOD(A2182-1,4)+1,"Верхняя одежда","Спортивная","Повседневная","Обувь"),CHOOSE(MOD(A2182-1,4)+1,"Молочные","Мясные","Бакалея","Напитки"),CHOOSE(MOD(A2182-1,4)+1,"Мягкая мебель","Корпусная","Офисная","Кухонная"))</f>
        <v>Верхняя одежда</v>
      </c>
      <c r="K2182" s="12" t="n">
        <f aca="false">1000+MOD(A2182*317+A2182*A2182*7,49001)</f>
        <v>32011</v>
      </c>
      <c r="L2182" s="12" t="n">
        <f aca="false">1+MOD(A2182*131,100)</f>
        <v>12</v>
      </c>
      <c r="M2182" s="12" t="n">
        <f aca="false">INT(K2182*(0.6+MOD(A2182*43,21)/100))</f>
        <v>24968</v>
      </c>
      <c r="N2182" s="12" t="n">
        <f aca="false">K2182-M2182</f>
        <v>7043</v>
      </c>
    </row>
    <row r="2183" customFormat="false" ht="12.8" hidden="false" customHeight="false" outlineLevel="0" collapsed="false">
      <c r="A2183" s="10" t="n">
        <f aca="false">A2182+1</f>
        <v>2182</v>
      </c>
      <c r="B2183" s="11" t="n">
        <f aca="false">B2182+1</f>
        <v>47108</v>
      </c>
      <c r="C2183" s="10" t="n">
        <f aca="false">YEAR(B2183)</f>
        <v>2028</v>
      </c>
      <c r="D2183" s="10" t="n">
        <f aca="false">INT((MONTH(B2183)-1)/3)+1</f>
        <v>4</v>
      </c>
      <c r="E2183" s="10" t="n">
        <f aca="false">MONTH(B2183)</f>
        <v>12</v>
      </c>
      <c r="F2183" s="10" t="str">
        <f aca="false">CHOOSE(MOD(A2183-1,5)+1,"Центр","Юг","Север","Запад","Восток")</f>
        <v>Юг</v>
      </c>
      <c r="G2183" s="10" t="str">
        <f aca="false">"Округ_"&amp;(MOD(A2183-1,5)+1)&amp;"_"&amp;(MOD(INT((A2183-1)/5),5)+1)</f>
        <v>Округ_2_2</v>
      </c>
      <c r="H2183" s="10" t="str">
        <f aca="false">"Город_"&amp;(MOD(A2183-1,5)+1)&amp;"_"&amp;(MOD(INT((A2183-1)/5),5)+1)&amp;"_"&amp;(MOD(INT((A2183-1)/25),10)+1)</f>
        <v>Город_2_2_8</v>
      </c>
      <c r="I2183" s="10" t="str">
        <f aca="false">CHOOSE(MOD(A2183-1,4)+1,"Электроника","Одежда","Продукты","Мебель")</f>
        <v>Одежда</v>
      </c>
      <c r="J2183" s="10" t="str">
        <f aca="false">CHOOSE(MOD(INT((A2183-1)/4),4)+1,CHOOSE(MOD(A2183-1,4)+1,"Смартфоны","Ноутбуки","Аксессуары","Аудио"),CHOOSE(MOD(A2183-1,4)+1,"Верхняя одежда","Спортивная","Повседневная","Обувь"),CHOOSE(MOD(A2183-1,4)+1,"Молочные","Мясные","Бакалея","Напитки"),CHOOSE(MOD(A2183-1,4)+1,"Мягкая мебель","Корпусная","Офисная","Кухонная"))</f>
        <v>Спортивная</v>
      </c>
      <c r="K2183" s="12" t="n">
        <f aca="false">1000+MOD(A2183*317+A2183*A2183*7,49001)</f>
        <v>13868</v>
      </c>
      <c r="L2183" s="12" t="n">
        <f aca="false">1+MOD(A2183*131,100)</f>
        <v>43</v>
      </c>
      <c r="M2183" s="12" t="n">
        <f aca="false">INT(K2183*(0.6+MOD(A2183*43,21)/100))</f>
        <v>10955</v>
      </c>
      <c r="N2183" s="12" t="n">
        <f aca="false">K2183-M2183</f>
        <v>2913</v>
      </c>
    </row>
    <row r="2184" customFormat="false" ht="12.8" hidden="false" customHeight="false" outlineLevel="0" collapsed="false">
      <c r="A2184" s="10" t="n">
        <f aca="false">A2183+1</f>
        <v>2183</v>
      </c>
      <c r="B2184" s="11" t="n">
        <f aca="false">B2183+1</f>
        <v>47109</v>
      </c>
      <c r="C2184" s="10" t="n">
        <f aca="false">YEAR(B2184)</f>
        <v>2028</v>
      </c>
      <c r="D2184" s="10" t="n">
        <f aca="false">INT((MONTH(B2184)-1)/3)+1</f>
        <v>4</v>
      </c>
      <c r="E2184" s="10" t="n">
        <f aca="false">MONTH(B2184)</f>
        <v>12</v>
      </c>
      <c r="F2184" s="10" t="str">
        <f aca="false">CHOOSE(MOD(A2184-1,5)+1,"Центр","Юг","Север","Запад","Восток")</f>
        <v>Север</v>
      </c>
      <c r="G2184" s="10" t="str">
        <f aca="false">"Округ_"&amp;(MOD(A2184-1,5)+1)&amp;"_"&amp;(MOD(INT((A2184-1)/5),5)+1)</f>
        <v>Округ_3_2</v>
      </c>
      <c r="H2184" s="10" t="str">
        <f aca="false">"Город_"&amp;(MOD(A2184-1,5)+1)&amp;"_"&amp;(MOD(INT((A2184-1)/5),5)+1)&amp;"_"&amp;(MOD(INT((A2184-1)/25),10)+1)</f>
        <v>Город_3_2_8</v>
      </c>
      <c r="I2184" s="10" t="str">
        <f aca="false">CHOOSE(MOD(A2184-1,4)+1,"Электроника","Одежда","Продукты","Мебель")</f>
        <v>Продукты</v>
      </c>
      <c r="J2184" s="10" t="str">
        <f aca="false">CHOOSE(MOD(INT((A2184-1)/4),4)+1,CHOOSE(MOD(A2184-1,4)+1,"Смартфоны","Ноутбуки","Аксессуары","Аудио"),CHOOSE(MOD(A2184-1,4)+1,"Верхняя одежда","Спортивная","Повседневная","Обувь"),CHOOSE(MOD(A2184-1,4)+1,"Молочные","Мясные","Бакалея","Напитки"),CHOOSE(MOD(A2184-1,4)+1,"Мягкая мебель","Корпусная","Офисная","Кухонная"))</f>
        <v>Повседневная</v>
      </c>
      <c r="K2184" s="12" t="n">
        <f aca="false">1000+MOD(A2184*317+A2184*A2184*7,49001)</f>
        <v>44740</v>
      </c>
      <c r="L2184" s="12" t="n">
        <f aca="false">1+MOD(A2184*131,100)</f>
        <v>74</v>
      </c>
      <c r="M2184" s="12" t="n">
        <f aca="false">INT(K2184*(0.6+MOD(A2184*43,21)/100))</f>
        <v>35792</v>
      </c>
      <c r="N2184" s="12" t="n">
        <f aca="false">K2184-M2184</f>
        <v>8948</v>
      </c>
    </row>
    <row r="2185" customFormat="false" ht="12.8" hidden="false" customHeight="false" outlineLevel="0" collapsed="false">
      <c r="A2185" s="10" t="n">
        <f aca="false">A2184+1</f>
        <v>2184</v>
      </c>
      <c r="B2185" s="11" t="n">
        <f aca="false">B2184+1</f>
        <v>47110</v>
      </c>
      <c r="C2185" s="10" t="n">
        <f aca="false">YEAR(B2185)</f>
        <v>2028</v>
      </c>
      <c r="D2185" s="10" t="n">
        <f aca="false">INT((MONTH(B2185)-1)/3)+1</f>
        <v>4</v>
      </c>
      <c r="E2185" s="10" t="n">
        <f aca="false">MONTH(B2185)</f>
        <v>12</v>
      </c>
      <c r="F2185" s="10" t="str">
        <f aca="false">CHOOSE(MOD(A2185-1,5)+1,"Центр","Юг","Север","Запад","Восток")</f>
        <v>Запад</v>
      </c>
      <c r="G2185" s="10" t="str">
        <f aca="false">"Округ_"&amp;(MOD(A2185-1,5)+1)&amp;"_"&amp;(MOD(INT((A2185-1)/5),5)+1)</f>
        <v>Округ_4_2</v>
      </c>
      <c r="H2185" s="10" t="str">
        <f aca="false">"Город_"&amp;(MOD(A2185-1,5)+1)&amp;"_"&amp;(MOD(INT((A2185-1)/5),5)+1)&amp;"_"&amp;(MOD(INT((A2185-1)/25),10)+1)</f>
        <v>Город_4_2_8</v>
      </c>
      <c r="I2185" s="10" t="str">
        <f aca="false">CHOOSE(MOD(A2185-1,4)+1,"Электроника","Одежда","Продукты","Мебель")</f>
        <v>Мебель</v>
      </c>
      <c r="J2185" s="10" t="str">
        <f aca="false">CHOOSE(MOD(INT((A2185-1)/4),4)+1,CHOOSE(MOD(A2185-1,4)+1,"Смартфоны","Ноутбуки","Аксессуары","Аудио"),CHOOSE(MOD(A2185-1,4)+1,"Верхняя одежда","Спортивная","Повседневная","Обувь"),CHOOSE(MOD(A2185-1,4)+1,"Молочные","Мясные","Бакалея","Напитки"),CHOOSE(MOD(A2185-1,4)+1,"Мягкая мебель","Корпусная","Офисная","Кухонная"))</f>
        <v>Обувь</v>
      </c>
      <c r="K2185" s="12" t="n">
        <f aca="false">1000+MOD(A2185*317+A2185*A2185*7,49001)</f>
        <v>26625</v>
      </c>
      <c r="L2185" s="12" t="n">
        <f aca="false">1+MOD(A2185*131,100)</f>
        <v>5</v>
      </c>
      <c r="M2185" s="12" t="n">
        <f aca="false">INT(K2185*(0.6+MOD(A2185*43,21)/100))</f>
        <v>15975</v>
      </c>
      <c r="N2185" s="12" t="n">
        <f aca="false">K2185-M2185</f>
        <v>10650</v>
      </c>
    </row>
    <row r="2186" customFormat="false" ht="12.8" hidden="false" customHeight="false" outlineLevel="0" collapsed="false">
      <c r="A2186" s="10" t="n">
        <f aca="false">A2185+1</f>
        <v>2185</v>
      </c>
      <c r="B2186" s="11" t="n">
        <f aca="false">B2185+1</f>
        <v>47111</v>
      </c>
      <c r="C2186" s="10" t="n">
        <f aca="false">YEAR(B2186)</f>
        <v>2028</v>
      </c>
      <c r="D2186" s="10" t="n">
        <f aca="false">INT((MONTH(B2186)-1)/3)+1</f>
        <v>4</v>
      </c>
      <c r="E2186" s="10" t="n">
        <f aca="false">MONTH(B2186)</f>
        <v>12</v>
      </c>
      <c r="F2186" s="10" t="str">
        <f aca="false">CHOOSE(MOD(A2186-1,5)+1,"Центр","Юг","Север","Запад","Восток")</f>
        <v>Восток</v>
      </c>
      <c r="G2186" s="10" t="str">
        <f aca="false">"Округ_"&amp;(MOD(A2186-1,5)+1)&amp;"_"&amp;(MOD(INT((A2186-1)/5),5)+1)</f>
        <v>Округ_5_2</v>
      </c>
      <c r="H2186" s="10" t="str">
        <f aca="false">"Город_"&amp;(MOD(A2186-1,5)+1)&amp;"_"&amp;(MOD(INT((A2186-1)/5),5)+1)&amp;"_"&amp;(MOD(INT((A2186-1)/25),10)+1)</f>
        <v>Город_5_2_8</v>
      </c>
      <c r="I2186" s="10" t="str">
        <f aca="false">CHOOSE(MOD(A2186-1,4)+1,"Электроника","Одежда","Продукты","Мебель")</f>
        <v>Электроника</v>
      </c>
      <c r="J2186" s="10" t="str">
        <f aca="false">CHOOSE(MOD(INT((A2186-1)/4),4)+1,CHOOSE(MOD(A2186-1,4)+1,"Смартфоны","Ноутбуки","Аксессуары","Аудио"),CHOOSE(MOD(A2186-1,4)+1,"Верхняя одежда","Спортивная","Повседневная","Обувь"),CHOOSE(MOD(A2186-1,4)+1,"Молочные","Мясные","Бакалея","Напитки"),CHOOSE(MOD(A2186-1,4)+1,"Мягкая мебель","Корпусная","Офисная","Кухонная"))</f>
        <v>Молочные</v>
      </c>
      <c r="K2186" s="12" t="n">
        <f aca="false">1000+MOD(A2186*317+A2186*A2186*7,49001)</f>
        <v>8524</v>
      </c>
      <c r="L2186" s="12" t="n">
        <f aca="false">1+MOD(A2186*131,100)</f>
        <v>36</v>
      </c>
      <c r="M2186" s="12" t="n">
        <f aca="false">INT(K2186*(0.6+MOD(A2186*43,21)/100))</f>
        <v>5199</v>
      </c>
      <c r="N2186" s="12" t="n">
        <f aca="false">K2186-M2186</f>
        <v>3325</v>
      </c>
    </row>
    <row r="2187" customFormat="false" ht="12.8" hidden="false" customHeight="false" outlineLevel="0" collapsed="false">
      <c r="A2187" s="10" t="n">
        <f aca="false">A2186+1</f>
        <v>2186</v>
      </c>
      <c r="B2187" s="11" t="n">
        <f aca="false">B2186+1</f>
        <v>47112</v>
      </c>
      <c r="C2187" s="10" t="n">
        <f aca="false">YEAR(B2187)</f>
        <v>2028</v>
      </c>
      <c r="D2187" s="10" t="n">
        <f aca="false">INT((MONTH(B2187)-1)/3)+1</f>
        <v>4</v>
      </c>
      <c r="E2187" s="10" t="n">
        <f aca="false">MONTH(B2187)</f>
        <v>12</v>
      </c>
      <c r="F2187" s="10" t="str">
        <f aca="false">CHOOSE(MOD(A2187-1,5)+1,"Центр","Юг","Север","Запад","Восток")</f>
        <v>Центр</v>
      </c>
      <c r="G2187" s="10" t="str">
        <f aca="false">"Округ_"&amp;(MOD(A2187-1,5)+1)&amp;"_"&amp;(MOD(INT((A2187-1)/5),5)+1)</f>
        <v>Округ_1_3</v>
      </c>
      <c r="H2187" s="10" t="str">
        <f aca="false">"Город_"&amp;(MOD(A2187-1,5)+1)&amp;"_"&amp;(MOD(INT((A2187-1)/5),5)+1)&amp;"_"&amp;(MOD(INT((A2187-1)/25),10)+1)</f>
        <v>Город_1_3_8</v>
      </c>
      <c r="I2187" s="10" t="str">
        <f aca="false">CHOOSE(MOD(A2187-1,4)+1,"Электроника","Одежда","Продукты","Мебель")</f>
        <v>Одежда</v>
      </c>
      <c r="J2187" s="10" t="str">
        <f aca="false">CHOOSE(MOD(INT((A2187-1)/4),4)+1,CHOOSE(MOD(A2187-1,4)+1,"Смартфоны","Ноутбуки","Аксессуары","Аудио"),CHOOSE(MOD(A2187-1,4)+1,"Верхняя одежда","Спортивная","Повседневная","Обувь"),CHOOSE(MOD(A2187-1,4)+1,"Молочные","Мясные","Бакалея","Напитки"),CHOOSE(MOD(A2187-1,4)+1,"Мягкая мебель","Корпусная","Офисная","Кухонная"))</f>
        <v>Мясные</v>
      </c>
      <c r="K2187" s="12" t="n">
        <f aca="false">1000+MOD(A2187*317+A2187*A2187*7,49001)</f>
        <v>39438</v>
      </c>
      <c r="L2187" s="12" t="n">
        <f aca="false">1+MOD(A2187*131,100)</f>
        <v>67</v>
      </c>
      <c r="M2187" s="12" t="n">
        <f aca="false">INT(K2187*(0.6+MOD(A2187*43,21)/100))</f>
        <v>24451</v>
      </c>
      <c r="N2187" s="12" t="n">
        <f aca="false">K2187-M2187</f>
        <v>14987</v>
      </c>
    </row>
    <row r="2188" customFormat="false" ht="12.8" hidden="false" customHeight="false" outlineLevel="0" collapsed="false">
      <c r="A2188" s="10" t="n">
        <f aca="false">A2187+1</f>
        <v>2187</v>
      </c>
      <c r="B2188" s="11" t="n">
        <f aca="false">B2187+1</f>
        <v>47113</v>
      </c>
      <c r="C2188" s="10" t="n">
        <f aca="false">YEAR(B2188)</f>
        <v>2028</v>
      </c>
      <c r="D2188" s="10" t="n">
        <f aca="false">INT((MONTH(B2188)-1)/3)+1</f>
        <v>4</v>
      </c>
      <c r="E2188" s="10" t="n">
        <f aca="false">MONTH(B2188)</f>
        <v>12</v>
      </c>
      <c r="F2188" s="10" t="str">
        <f aca="false">CHOOSE(MOD(A2188-1,5)+1,"Центр","Юг","Север","Запад","Восток")</f>
        <v>Юг</v>
      </c>
      <c r="G2188" s="10" t="str">
        <f aca="false">"Округ_"&amp;(MOD(A2188-1,5)+1)&amp;"_"&amp;(MOD(INT((A2188-1)/5),5)+1)</f>
        <v>Округ_2_3</v>
      </c>
      <c r="H2188" s="10" t="str">
        <f aca="false">"Город_"&amp;(MOD(A2188-1,5)+1)&amp;"_"&amp;(MOD(INT((A2188-1)/5),5)+1)&amp;"_"&amp;(MOD(INT((A2188-1)/25),10)+1)</f>
        <v>Город_2_3_8</v>
      </c>
      <c r="I2188" s="10" t="str">
        <f aca="false">CHOOSE(MOD(A2188-1,4)+1,"Электроника","Одежда","Продукты","Мебель")</f>
        <v>Продукты</v>
      </c>
      <c r="J2188" s="10" t="str">
        <f aca="false">CHOOSE(MOD(INT((A2188-1)/4),4)+1,CHOOSE(MOD(A2188-1,4)+1,"Смартфоны","Ноутбуки","Аксессуары","Аудио"),CHOOSE(MOD(A2188-1,4)+1,"Верхняя одежда","Спортивная","Повседневная","Обувь"),CHOOSE(MOD(A2188-1,4)+1,"Молочные","Мясные","Бакалея","Напитки"),CHOOSE(MOD(A2188-1,4)+1,"Мягкая мебель","Корпусная","Офисная","Кухонная"))</f>
        <v>Бакалея</v>
      </c>
      <c r="K2188" s="12" t="n">
        <f aca="false">1000+MOD(A2188*317+A2188*A2188*7,49001)</f>
        <v>21365</v>
      </c>
      <c r="L2188" s="12" t="n">
        <f aca="false">1+MOD(A2188*131,100)</f>
        <v>98</v>
      </c>
      <c r="M2188" s="12" t="n">
        <f aca="false">INT(K2188*(0.6+MOD(A2188*43,21)/100))</f>
        <v>13459</v>
      </c>
      <c r="N2188" s="12" t="n">
        <f aca="false">K2188-M2188</f>
        <v>7906</v>
      </c>
    </row>
    <row r="2189" customFormat="false" ht="12.8" hidden="false" customHeight="false" outlineLevel="0" collapsed="false">
      <c r="A2189" s="10" t="n">
        <f aca="false">A2188+1</f>
        <v>2188</v>
      </c>
      <c r="B2189" s="11" t="n">
        <f aca="false">B2188+1</f>
        <v>47114</v>
      </c>
      <c r="C2189" s="10" t="n">
        <f aca="false">YEAR(B2189)</f>
        <v>2028</v>
      </c>
      <c r="D2189" s="10" t="n">
        <f aca="false">INT((MONTH(B2189)-1)/3)+1</f>
        <v>4</v>
      </c>
      <c r="E2189" s="10" t="n">
        <f aca="false">MONTH(B2189)</f>
        <v>12</v>
      </c>
      <c r="F2189" s="10" t="str">
        <f aca="false">CHOOSE(MOD(A2189-1,5)+1,"Центр","Юг","Север","Запад","Восток")</f>
        <v>Север</v>
      </c>
      <c r="G2189" s="10" t="str">
        <f aca="false">"Округ_"&amp;(MOD(A2189-1,5)+1)&amp;"_"&amp;(MOD(INT((A2189-1)/5),5)+1)</f>
        <v>Округ_3_3</v>
      </c>
      <c r="H2189" s="10" t="str">
        <f aca="false">"Город_"&amp;(MOD(A2189-1,5)+1)&amp;"_"&amp;(MOD(INT((A2189-1)/5),5)+1)&amp;"_"&amp;(MOD(INT((A2189-1)/25),10)+1)</f>
        <v>Город_3_3_8</v>
      </c>
      <c r="I2189" s="10" t="str">
        <f aca="false">CHOOSE(MOD(A2189-1,4)+1,"Электроника","Одежда","Продукты","Мебель")</f>
        <v>Мебель</v>
      </c>
      <c r="J2189" s="10" t="str">
        <f aca="false">CHOOSE(MOD(INT((A2189-1)/4),4)+1,CHOOSE(MOD(A2189-1,4)+1,"Смартфоны","Ноутбуки","Аксессуары","Аудио"),CHOOSE(MOD(A2189-1,4)+1,"Верхняя одежда","Спортивная","Повседневная","Обувь"),CHOOSE(MOD(A2189-1,4)+1,"Молочные","Мясные","Бакалея","Напитки"),CHOOSE(MOD(A2189-1,4)+1,"Мягкая мебель","Корпусная","Офисная","Кухонная"))</f>
        <v>Напитки</v>
      </c>
      <c r="K2189" s="12" t="n">
        <f aca="false">1000+MOD(A2189*317+A2189*A2189*7,49001)</f>
        <v>3306</v>
      </c>
      <c r="L2189" s="12" t="n">
        <f aca="false">1+MOD(A2189*131,100)</f>
        <v>29</v>
      </c>
      <c r="M2189" s="12" t="n">
        <f aca="false">INT(K2189*(0.6+MOD(A2189*43,21)/100))</f>
        <v>2115</v>
      </c>
      <c r="N2189" s="12" t="n">
        <f aca="false">K2189-M2189</f>
        <v>1191</v>
      </c>
    </row>
    <row r="2190" customFormat="false" ht="12.8" hidden="false" customHeight="false" outlineLevel="0" collapsed="false">
      <c r="A2190" s="10" t="n">
        <f aca="false">A2189+1</f>
        <v>2189</v>
      </c>
      <c r="B2190" s="11" t="n">
        <f aca="false">B2189+1</f>
        <v>47115</v>
      </c>
      <c r="C2190" s="10" t="n">
        <f aca="false">YEAR(B2190)</f>
        <v>2028</v>
      </c>
      <c r="D2190" s="10" t="n">
        <f aca="false">INT((MONTH(B2190)-1)/3)+1</f>
        <v>4</v>
      </c>
      <c r="E2190" s="10" t="n">
        <f aca="false">MONTH(B2190)</f>
        <v>12</v>
      </c>
      <c r="F2190" s="10" t="str">
        <f aca="false">CHOOSE(MOD(A2190-1,5)+1,"Центр","Юг","Север","Запад","Восток")</f>
        <v>Запад</v>
      </c>
      <c r="G2190" s="10" t="str">
        <f aca="false">"Округ_"&amp;(MOD(A2190-1,5)+1)&amp;"_"&amp;(MOD(INT((A2190-1)/5),5)+1)</f>
        <v>Округ_4_3</v>
      </c>
      <c r="H2190" s="10" t="str">
        <f aca="false">"Город_"&amp;(MOD(A2190-1,5)+1)&amp;"_"&amp;(MOD(INT((A2190-1)/5),5)+1)&amp;"_"&amp;(MOD(INT((A2190-1)/25),10)+1)</f>
        <v>Город_4_3_8</v>
      </c>
      <c r="I2190" s="10" t="str">
        <f aca="false">CHOOSE(MOD(A2190-1,4)+1,"Электроника","Одежда","Продукты","Мебель")</f>
        <v>Электроника</v>
      </c>
      <c r="J2190" s="10" t="str">
        <f aca="false">CHOOSE(MOD(INT((A2190-1)/4),4)+1,CHOOSE(MOD(A2190-1,4)+1,"Смартфоны","Ноутбуки","Аксессуары","Аудио"),CHOOSE(MOD(A2190-1,4)+1,"Верхняя одежда","Спортивная","Повседневная","Обувь"),CHOOSE(MOD(A2190-1,4)+1,"Молочные","Мясные","Бакалея","Напитки"),CHOOSE(MOD(A2190-1,4)+1,"Мягкая мебель","Корпусная","Офисная","Кухонная"))</f>
        <v>Мягкая мебель</v>
      </c>
      <c r="K2190" s="12" t="n">
        <f aca="false">1000+MOD(A2190*317+A2190*A2190*7,49001)</f>
        <v>34262</v>
      </c>
      <c r="L2190" s="12" t="n">
        <f aca="false">1+MOD(A2190*131,100)</f>
        <v>60</v>
      </c>
      <c r="M2190" s="12" t="n">
        <f aca="false">INT(K2190*(0.6+MOD(A2190*43,21)/100))</f>
        <v>22270</v>
      </c>
      <c r="N2190" s="12" t="n">
        <f aca="false">K2190-M2190</f>
        <v>11992</v>
      </c>
    </row>
    <row r="2191" customFormat="false" ht="12.8" hidden="false" customHeight="false" outlineLevel="0" collapsed="false">
      <c r="A2191" s="10" t="n">
        <f aca="false">A2190+1</f>
        <v>2190</v>
      </c>
      <c r="B2191" s="11" t="n">
        <f aca="false">B2190+1</f>
        <v>47116</v>
      </c>
      <c r="C2191" s="10" t="n">
        <f aca="false">YEAR(B2191)</f>
        <v>2028</v>
      </c>
      <c r="D2191" s="10" t="n">
        <f aca="false">INT((MONTH(B2191)-1)/3)+1</f>
        <v>4</v>
      </c>
      <c r="E2191" s="10" t="n">
        <f aca="false">MONTH(B2191)</f>
        <v>12</v>
      </c>
      <c r="F2191" s="10" t="str">
        <f aca="false">CHOOSE(MOD(A2191-1,5)+1,"Центр","Юг","Север","Запад","Восток")</f>
        <v>Восток</v>
      </c>
      <c r="G2191" s="10" t="str">
        <f aca="false">"Округ_"&amp;(MOD(A2191-1,5)+1)&amp;"_"&amp;(MOD(INT((A2191-1)/5),5)+1)</f>
        <v>Округ_5_3</v>
      </c>
      <c r="H2191" s="10" t="str">
        <f aca="false">"Город_"&amp;(MOD(A2191-1,5)+1)&amp;"_"&amp;(MOD(INT((A2191-1)/5),5)+1)&amp;"_"&amp;(MOD(INT((A2191-1)/25),10)+1)</f>
        <v>Город_5_3_8</v>
      </c>
      <c r="I2191" s="10" t="str">
        <f aca="false">CHOOSE(MOD(A2191-1,4)+1,"Электроника","Одежда","Продукты","Мебель")</f>
        <v>Одежда</v>
      </c>
      <c r="J2191" s="10" t="str">
        <f aca="false">CHOOSE(MOD(INT((A2191-1)/4),4)+1,CHOOSE(MOD(A2191-1,4)+1,"Смартфоны","Ноутбуки","Аксессуары","Аудио"),CHOOSE(MOD(A2191-1,4)+1,"Верхняя одежда","Спортивная","Повседневная","Обувь"),CHOOSE(MOD(A2191-1,4)+1,"Молочные","Мясные","Бакалея","Напитки"),CHOOSE(MOD(A2191-1,4)+1,"Мягкая мебель","Корпусная","Офисная","Кухонная"))</f>
        <v>Корпусная</v>
      </c>
      <c r="K2191" s="12" t="n">
        <f aca="false">1000+MOD(A2191*317+A2191*A2191*7,49001)</f>
        <v>16231</v>
      </c>
      <c r="L2191" s="12" t="n">
        <f aca="false">1+MOD(A2191*131,100)</f>
        <v>91</v>
      </c>
      <c r="M2191" s="12" t="n">
        <f aca="false">INT(K2191*(0.6+MOD(A2191*43,21)/100))</f>
        <v>10712</v>
      </c>
      <c r="N2191" s="12" t="n">
        <f aca="false">K2191-M2191</f>
        <v>5519</v>
      </c>
    </row>
    <row r="2192" customFormat="false" ht="12.8" hidden="false" customHeight="false" outlineLevel="0" collapsed="false">
      <c r="A2192" s="10" t="n">
        <f aca="false">A2191+1</f>
        <v>2191</v>
      </c>
      <c r="B2192" s="11" t="n">
        <f aca="false">B2191+1</f>
        <v>47117</v>
      </c>
      <c r="C2192" s="10" t="n">
        <f aca="false">YEAR(B2192)</f>
        <v>2028</v>
      </c>
      <c r="D2192" s="10" t="n">
        <f aca="false">INT((MONTH(B2192)-1)/3)+1</f>
        <v>4</v>
      </c>
      <c r="E2192" s="10" t="n">
        <f aca="false">MONTH(B2192)</f>
        <v>12</v>
      </c>
      <c r="F2192" s="10" t="str">
        <f aca="false">CHOOSE(MOD(A2192-1,5)+1,"Центр","Юг","Север","Запад","Восток")</f>
        <v>Центр</v>
      </c>
      <c r="G2192" s="10" t="str">
        <f aca="false">"Округ_"&amp;(MOD(A2192-1,5)+1)&amp;"_"&amp;(MOD(INT((A2192-1)/5),5)+1)</f>
        <v>Округ_1_4</v>
      </c>
      <c r="H2192" s="10" t="str">
        <f aca="false">"Город_"&amp;(MOD(A2192-1,5)+1)&amp;"_"&amp;(MOD(INT((A2192-1)/5),5)+1)&amp;"_"&amp;(MOD(INT((A2192-1)/25),10)+1)</f>
        <v>Город_1_4_8</v>
      </c>
      <c r="I2192" s="10" t="str">
        <f aca="false">CHOOSE(MOD(A2192-1,4)+1,"Электроника","Одежда","Продукты","Мебель")</f>
        <v>Продукты</v>
      </c>
      <c r="J2192" s="10" t="str">
        <f aca="false">CHOOSE(MOD(INT((A2192-1)/4),4)+1,CHOOSE(MOD(A2192-1,4)+1,"Смартфоны","Ноутбуки","Аксессуары","Аудио"),CHOOSE(MOD(A2192-1,4)+1,"Верхняя одежда","Спортивная","Повседневная","Обувь"),CHOOSE(MOD(A2192-1,4)+1,"Молочные","Мясные","Бакалея","Напитки"),CHOOSE(MOD(A2192-1,4)+1,"Мягкая мебель","Корпусная","Офисная","Кухонная"))</f>
        <v>Офисная</v>
      </c>
      <c r="K2192" s="12" t="n">
        <f aca="false">1000+MOD(A2192*317+A2192*A2192*7,49001)</f>
        <v>47215</v>
      </c>
      <c r="L2192" s="12" t="n">
        <f aca="false">1+MOD(A2192*131,100)</f>
        <v>22</v>
      </c>
      <c r="M2192" s="12" t="n">
        <f aca="false">INT(K2192*(0.6+MOD(A2192*43,21)/100))</f>
        <v>31634</v>
      </c>
      <c r="N2192" s="12" t="n">
        <f aca="false">K2192-M2192</f>
        <v>15581</v>
      </c>
    </row>
    <row r="2193" customFormat="false" ht="12.8" hidden="false" customHeight="false" outlineLevel="0" collapsed="false">
      <c r="A2193" s="10" t="n">
        <f aca="false">A2192+1</f>
        <v>2192</v>
      </c>
      <c r="B2193" s="11" t="n">
        <f aca="false">B2192+1</f>
        <v>47118</v>
      </c>
      <c r="C2193" s="10" t="n">
        <f aca="false">YEAR(B2193)</f>
        <v>2028</v>
      </c>
      <c r="D2193" s="10" t="n">
        <f aca="false">INT((MONTH(B2193)-1)/3)+1</f>
        <v>4</v>
      </c>
      <c r="E2193" s="10" t="n">
        <f aca="false">MONTH(B2193)</f>
        <v>12</v>
      </c>
      <c r="F2193" s="10" t="str">
        <f aca="false">CHOOSE(MOD(A2193-1,5)+1,"Центр","Юг","Север","Запад","Восток")</f>
        <v>Юг</v>
      </c>
      <c r="G2193" s="10" t="str">
        <f aca="false">"Округ_"&amp;(MOD(A2193-1,5)+1)&amp;"_"&amp;(MOD(INT((A2193-1)/5),5)+1)</f>
        <v>Округ_2_4</v>
      </c>
      <c r="H2193" s="10" t="str">
        <f aca="false">"Город_"&amp;(MOD(A2193-1,5)+1)&amp;"_"&amp;(MOD(INT((A2193-1)/5),5)+1)&amp;"_"&amp;(MOD(INT((A2193-1)/25),10)+1)</f>
        <v>Город_2_4_8</v>
      </c>
      <c r="I2193" s="10" t="str">
        <f aca="false">CHOOSE(MOD(A2193-1,4)+1,"Электроника","Одежда","Продукты","Мебель")</f>
        <v>Мебель</v>
      </c>
      <c r="J2193" s="10" t="str">
        <f aca="false">CHOOSE(MOD(INT((A2193-1)/4),4)+1,CHOOSE(MOD(A2193-1,4)+1,"Смартфоны","Ноутбуки","Аксессуары","Аудио"),CHOOSE(MOD(A2193-1,4)+1,"Верхняя одежда","Спортивная","Повседневная","Обувь"),CHOOSE(MOD(A2193-1,4)+1,"Молочные","Мясные","Бакалея","Напитки"),CHOOSE(MOD(A2193-1,4)+1,"Мягкая мебель","Корпусная","Офисная","Кухонная"))</f>
        <v>Кухонная</v>
      </c>
      <c r="K2193" s="12" t="n">
        <f aca="false">1000+MOD(A2193*317+A2193*A2193*7,49001)</f>
        <v>29212</v>
      </c>
      <c r="L2193" s="12" t="n">
        <f aca="false">1+MOD(A2193*131,100)</f>
        <v>53</v>
      </c>
      <c r="M2193" s="12" t="n">
        <f aca="false">INT(K2193*(0.6+MOD(A2193*43,21)/100))</f>
        <v>19864</v>
      </c>
      <c r="N2193" s="12" t="n">
        <f aca="false">K2193-M2193</f>
        <v>9348</v>
      </c>
    </row>
    <row r="2194" customFormat="false" ht="12.8" hidden="false" customHeight="false" outlineLevel="0" collapsed="false">
      <c r="A2194" s="10" t="n">
        <f aca="false">A2193+1</f>
        <v>2193</v>
      </c>
      <c r="B2194" s="11" t="n">
        <f aca="false">B2193+1</f>
        <v>47119</v>
      </c>
      <c r="C2194" s="10" t="n">
        <f aca="false">YEAR(B2194)</f>
        <v>2029</v>
      </c>
      <c r="D2194" s="10" t="n">
        <f aca="false">INT((MONTH(B2194)-1)/3)+1</f>
        <v>1</v>
      </c>
      <c r="E2194" s="10" t="n">
        <f aca="false">MONTH(B2194)</f>
        <v>1</v>
      </c>
      <c r="F2194" s="10" t="str">
        <f aca="false">CHOOSE(MOD(A2194-1,5)+1,"Центр","Юг","Север","Запад","Восток")</f>
        <v>Север</v>
      </c>
      <c r="G2194" s="10" t="str">
        <f aca="false">"Округ_"&amp;(MOD(A2194-1,5)+1)&amp;"_"&amp;(MOD(INT((A2194-1)/5),5)+1)</f>
        <v>Округ_3_4</v>
      </c>
      <c r="H2194" s="10" t="str">
        <f aca="false">"Город_"&amp;(MOD(A2194-1,5)+1)&amp;"_"&amp;(MOD(INT((A2194-1)/5),5)+1)&amp;"_"&amp;(MOD(INT((A2194-1)/25),10)+1)</f>
        <v>Город_3_4_8</v>
      </c>
      <c r="I2194" s="10" t="str">
        <f aca="false">CHOOSE(MOD(A2194-1,4)+1,"Электроника","Одежда","Продукты","Мебель")</f>
        <v>Электроника</v>
      </c>
      <c r="J2194" s="10" t="str">
        <f aca="false">CHOOSE(MOD(INT((A2194-1)/4),4)+1,CHOOSE(MOD(A2194-1,4)+1,"Смартфоны","Ноутбуки","Аксессуары","Аудио"),CHOOSE(MOD(A2194-1,4)+1,"Верхняя одежда","Спортивная","Повседневная","Обувь"),CHOOSE(MOD(A2194-1,4)+1,"Молочные","Мясные","Бакалея","Напитки"),CHOOSE(MOD(A2194-1,4)+1,"Мягкая мебель","Корпусная","Офисная","Кухонная"))</f>
        <v>Смартфоны</v>
      </c>
      <c r="K2194" s="12" t="n">
        <f aca="false">1000+MOD(A2194*317+A2194*A2194*7,49001)</f>
        <v>11223</v>
      </c>
      <c r="L2194" s="12" t="n">
        <f aca="false">1+MOD(A2194*131,100)</f>
        <v>84</v>
      </c>
      <c r="M2194" s="12" t="n">
        <f aca="false">INT(K2194*(0.6+MOD(A2194*43,21)/100))</f>
        <v>7743</v>
      </c>
      <c r="N2194" s="12" t="n">
        <f aca="false">K2194-M2194</f>
        <v>3480</v>
      </c>
    </row>
    <row r="2195" customFormat="false" ht="12.8" hidden="false" customHeight="false" outlineLevel="0" collapsed="false">
      <c r="A2195" s="10" t="n">
        <f aca="false">A2194+1</f>
        <v>2194</v>
      </c>
      <c r="B2195" s="11" t="n">
        <f aca="false">B2194+1</f>
        <v>47120</v>
      </c>
      <c r="C2195" s="10" t="n">
        <f aca="false">YEAR(B2195)</f>
        <v>2029</v>
      </c>
      <c r="D2195" s="10" t="n">
        <f aca="false">INT((MONTH(B2195)-1)/3)+1</f>
        <v>1</v>
      </c>
      <c r="E2195" s="10" t="n">
        <f aca="false">MONTH(B2195)</f>
        <v>1</v>
      </c>
      <c r="F2195" s="10" t="str">
        <f aca="false">CHOOSE(MOD(A2195-1,5)+1,"Центр","Юг","Север","Запад","Восток")</f>
        <v>Запад</v>
      </c>
      <c r="G2195" s="10" t="str">
        <f aca="false">"Округ_"&amp;(MOD(A2195-1,5)+1)&amp;"_"&amp;(MOD(INT((A2195-1)/5),5)+1)</f>
        <v>Округ_4_4</v>
      </c>
      <c r="H2195" s="10" t="str">
        <f aca="false">"Город_"&amp;(MOD(A2195-1,5)+1)&amp;"_"&amp;(MOD(INT((A2195-1)/5),5)+1)&amp;"_"&amp;(MOD(INT((A2195-1)/25),10)+1)</f>
        <v>Город_4_4_8</v>
      </c>
      <c r="I2195" s="10" t="str">
        <f aca="false">CHOOSE(MOD(A2195-1,4)+1,"Электроника","Одежда","Продукты","Мебель")</f>
        <v>Одежда</v>
      </c>
      <c r="J2195" s="10" t="str">
        <f aca="false">CHOOSE(MOD(INT((A2195-1)/4),4)+1,CHOOSE(MOD(A2195-1,4)+1,"Смартфоны","Ноутбуки","Аксессуары","Аудио"),CHOOSE(MOD(A2195-1,4)+1,"Верхняя одежда","Спортивная","Повседневная","Обувь"),CHOOSE(MOD(A2195-1,4)+1,"Молочные","Мясные","Бакалея","Напитки"),CHOOSE(MOD(A2195-1,4)+1,"Мягкая мебель","Корпусная","Офисная","Кухонная"))</f>
        <v>Ноутбуки</v>
      </c>
      <c r="K2195" s="12" t="n">
        <f aca="false">1000+MOD(A2195*317+A2195*A2195*7,49001)</f>
        <v>42249</v>
      </c>
      <c r="L2195" s="12" t="n">
        <f aca="false">1+MOD(A2195*131,100)</f>
        <v>15</v>
      </c>
      <c r="M2195" s="12" t="n">
        <f aca="false">INT(K2195*(0.6+MOD(A2195*43,21)/100))</f>
        <v>29574</v>
      </c>
      <c r="N2195" s="12" t="n">
        <f aca="false">K2195-M2195</f>
        <v>12675</v>
      </c>
    </row>
    <row r="2196" customFormat="false" ht="12.8" hidden="false" customHeight="false" outlineLevel="0" collapsed="false">
      <c r="A2196" s="10" t="n">
        <f aca="false">A2195+1</f>
        <v>2195</v>
      </c>
      <c r="B2196" s="11" t="n">
        <f aca="false">B2195+1</f>
        <v>47121</v>
      </c>
      <c r="C2196" s="10" t="n">
        <f aca="false">YEAR(B2196)</f>
        <v>2029</v>
      </c>
      <c r="D2196" s="10" t="n">
        <f aca="false">INT((MONTH(B2196)-1)/3)+1</f>
        <v>1</v>
      </c>
      <c r="E2196" s="10" t="n">
        <f aca="false">MONTH(B2196)</f>
        <v>1</v>
      </c>
      <c r="F2196" s="10" t="str">
        <f aca="false">CHOOSE(MOD(A2196-1,5)+1,"Центр","Юг","Север","Запад","Восток")</f>
        <v>Восток</v>
      </c>
      <c r="G2196" s="10" t="str">
        <f aca="false">"Округ_"&amp;(MOD(A2196-1,5)+1)&amp;"_"&amp;(MOD(INT((A2196-1)/5),5)+1)</f>
        <v>Округ_5_4</v>
      </c>
      <c r="H2196" s="10" t="str">
        <f aca="false">"Город_"&amp;(MOD(A2196-1,5)+1)&amp;"_"&amp;(MOD(INT((A2196-1)/5),5)+1)&amp;"_"&amp;(MOD(INT((A2196-1)/25),10)+1)</f>
        <v>Город_5_4_8</v>
      </c>
      <c r="I2196" s="10" t="str">
        <f aca="false">CHOOSE(MOD(A2196-1,4)+1,"Электроника","Одежда","Продукты","Мебель")</f>
        <v>Продукты</v>
      </c>
      <c r="J2196" s="10" t="str">
        <f aca="false">CHOOSE(MOD(INT((A2196-1)/4),4)+1,CHOOSE(MOD(A2196-1,4)+1,"Смартфоны","Ноутбуки","Аксессуары","Аудио"),CHOOSE(MOD(A2196-1,4)+1,"Верхняя одежда","Спортивная","Повседневная","Обувь"),CHOOSE(MOD(A2196-1,4)+1,"Молочные","Мясные","Бакалея","Напитки"),CHOOSE(MOD(A2196-1,4)+1,"Мягкая мебель","Корпусная","Офисная","Кухонная"))</f>
        <v>Аксессуары</v>
      </c>
      <c r="K2196" s="12" t="n">
        <f aca="false">1000+MOD(A2196*317+A2196*A2196*7,49001)</f>
        <v>24288</v>
      </c>
      <c r="L2196" s="12" t="n">
        <f aca="false">1+MOD(A2196*131,100)</f>
        <v>46</v>
      </c>
      <c r="M2196" s="12" t="n">
        <f aca="false">INT(K2196*(0.6+MOD(A2196*43,21)/100))</f>
        <v>17244</v>
      </c>
      <c r="N2196" s="12" t="n">
        <f aca="false">K2196-M2196</f>
        <v>7044</v>
      </c>
    </row>
    <row r="2197" customFormat="false" ht="12.8" hidden="false" customHeight="false" outlineLevel="0" collapsed="false">
      <c r="A2197" s="10" t="n">
        <f aca="false">A2196+1</f>
        <v>2196</v>
      </c>
      <c r="B2197" s="11" t="n">
        <f aca="false">B2196+1</f>
        <v>47122</v>
      </c>
      <c r="C2197" s="10" t="n">
        <f aca="false">YEAR(B2197)</f>
        <v>2029</v>
      </c>
      <c r="D2197" s="10" t="n">
        <f aca="false">INT((MONTH(B2197)-1)/3)+1</f>
        <v>1</v>
      </c>
      <c r="E2197" s="10" t="n">
        <f aca="false">MONTH(B2197)</f>
        <v>1</v>
      </c>
      <c r="F2197" s="10" t="str">
        <f aca="false">CHOOSE(MOD(A2197-1,5)+1,"Центр","Юг","Север","Запад","Восток")</f>
        <v>Центр</v>
      </c>
      <c r="G2197" s="10" t="str">
        <f aca="false">"Округ_"&amp;(MOD(A2197-1,5)+1)&amp;"_"&amp;(MOD(INT((A2197-1)/5),5)+1)</f>
        <v>Округ_1_5</v>
      </c>
      <c r="H2197" s="10" t="str">
        <f aca="false">"Город_"&amp;(MOD(A2197-1,5)+1)&amp;"_"&amp;(MOD(INT((A2197-1)/5),5)+1)&amp;"_"&amp;(MOD(INT((A2197-1)/25),10)+1)</f>
        <v>Город_1_5_8</v>
      </c>
      <c r="I2197" s="10" t="str">
        <f aca="false">CHOOSE(MOD(A2197-1,4)+1,"Электроника","Одежда","Продукты","Мебель")</f>
        <v>Мебель</v>
      </c>
      <c r="J2197" s="10" t="str">
        <f aca="false">CHOOSE(MOD(INT((A2197-1)/4),4)+1,CHOOSE(MOD(A2197-1,4)+1,"Смартфоны","Ноутбуки","Аксессуары","Аудио"),CHOOSE(MOD(A2197-1,4)+1,"Верхняя одежда","Спортивная","Повседневная","Обувь"),CHOOSE(MOD(A2197-1,4)+1,"Молочные","Мясные","Бакалея","Напитки"),CHOOSE(MOD(A2197-1,4)+1,"Мягкая мебель","Корпусная","Офисная","Кухонная"))</f>
        <v>Аудио</v>
      </c>
      <c r="K2197" s="12" t="n">
        <f aca="false">1000+MOD(A2197*317+A2197*A2197*7,49001)</f>
        <v>6341</v>
      </c>
      <c r="L2197" s="12" t="n">
        <f aca="false">1+MOD(A2197*131,100)</f>
        <v>77</v>
      </c>
      <c r="M2197" s="12" t="n">
        <f aca="false">INT(K2197*(0.6+MOD(A2197*43,21)/100))</f>
        <v>4565</v>
      </c>
      <c r="N2197" s="12" t="n">
        <f aca="false">K2197-M2197</f>
        <v>1776</v>
      </c>
    </row>
    <row r="2198" customFormat="false" ht="12.8" hidden="false" customHeight="false" outlineLevel="0" collapsed="false">
      <c r="A2198" s="10" t="n">
        <f aca="false">A2197+1</f>
        <v>2197</v>
      </c>
      <c r="B2198" s="11" t="n">
        <f aca="false">B2197+1</f>
        <v>47123</v>
      </c>
      <c r="C2198" s="10" t="n">
        <f aca="false">YEAR(B2198)</f>
        <v>2029</v>
      </c>
      <c r="D2198" s="10" t="n">
        <f aca="false">INT((MONTH(B2198)-1)/3)+1</f>
        <v>1</v>
      </c>
      <c r="E2198" s="10" t="n">
        <f aca="false">MONTH(B2198)</f>
        <v>1</v>
      </c>
      <c r="F2198" s="10" t="str">
        <f aca="false">CHOOSE(MOD(A2198-1,5)+1,"Центр","Юг","Север","Запад","Восток")</f>
        <v>Юг</v>
      </c>
      <c r="G2198" s="10" t="str">
        <f aca="false">"Округ_"&amp;(MOD(A2198-1,5)+1)&amp;"_"&amp;(MOD(INT((A2198-1)/5),5)+1)</f>
        <v>Округ_2_5</v>
      </c>
      <c r="H2198" s="10" t="str">
        <f aca="false">"Город_"&amp;(MOD(A2198-1,5)+1)&amp;"_"&amp;(MOD(INT((A2198-1)/5),5)+1)&amp;"_"&amp;(MOD(INT((A2198-1)/25),10)+1)</f>
        <v>Город_2_5_8</v>
      </c>
      <c r="I2198" s="10" t="str">
        <f aca="false">CHOOSE(MOD(A2198-1,4)+1,"Электроника","Одежда","Продукты","Мебель")</f>
        <v>Электроника</v>
      </c>
      <c r="J2198" s="10" t="str">
        <f aca="false">CHOOSE(MOD(INT((A2198-1)/4),4)+1,CHOOSE(MOD(A2198-1,4)+1,"Смартфоны","Ноутбуки","Аксессуары","Аудио"),CHOOSE(MOD(A2198-1,4)+1,"Верхняя одежда","Спортивная","Повседневная","Обувь"),CHOOSE(MOD(A2198-1,4)+1,"Молочные","Мясные","Бакалея","Напитки"),CHOOSE(MOD(A2198-1,4)+1,"Мягкая мебель","Корпусная","Офисная","Кухонная"))</f>
        <v>Верхняя одежда</v>
      </c>
      <c r="K2198" s="12" t="n">
        <f aca="false">1000+MOD(A2198*317+A2198*A2198*7,49001)</f>
        <v>37409</v>
      </c>
      <c r="L2198" s="12" t="n">
        <f aca="false">1+MOD(A2198*131,100)</f>
        <v>8</v>
      </c>
      <c r="M2198" s="12" t="n">
        <f aca="false">INT(K2198*(0.6+MOD(A2198*43,21)/100))</f>
        <v>27308</v>
      </c>
      <c r="N2198" s="12" t="n">
        <f aca="false">K2198-M2198</f>
        <v>10101</v>
      </c>
    </row>
    <row r="2199" customFormat="false" ht="12.8" hidden="false" customHeight="false" outlineLevel="0" collapsed="false">
      <c r="A2199" s="10" t="n">
        <f aca="false">A2198+1</f>
        <v>2198</v>
      </c>
      <c r="B2199" s="11" t="n">
        <f aca="false">B2198+1</f>
        <v>47124</v>
      </c>
      <c r="C2199" s="10" t="n">
        <f aca="false">YEAR(B2199)</f>
        <v>2029</v>
      </c>
      <c r="D2199" s="10" t="n">
        <f aca="false">INT((MONTH(B2199)-1)/3)+1</f>
        <v>1</v>
      </c>
      <c r="E2199" s="10" t="n">
        <f aca="false">MONTH(B2199)</f>
        <v>1</v>
      </c>
      <c r="F2199" s="10" t="str">
        <f aca="false">CHOOSE(MOD(A2199-1,5)+1,"Центр","Юг","Север","Запад","Восток")</f>
        <v>Север</v>
      </c>
      <c r="G2199" s="10" t="str">
        <f aca="false">"Округ_"&amp;(MOD(A2199-1,5)+1)&amp;"_"&amp;(MOD(INT((A2199-1)/5),5)+1)</f>
        <v>Округ_3_5</v>
      </c>
      <c r="H2199" s="10" t="str">
        <f aca="false">"Город_"&amp;(MOD(A2199-1,5)+1)&amp;"_"&amp;(MOD(INT((A2199-1)/5),5)+1)&amp;"_"&amp;(MOD(INT((A2199-1)/25),10)+1)</f>
        <v>Город_3_5_8</v>
      </c>
      <c r="I2199" s="10" t="str">
        <f aca="false">CHOOSE(MOD(A2199-1,4)+1,"Электроника","Одежда","Продукты","Мебель")</f>
        <v>Одежда</v>
      </c>
      <c r="J2199" s="10" t="str">
        <f aca="false">CHOOSE(MOD(INT((A2199-1)/4),4)+1,CHOOSE(MOD(A2199-1,4)+1,"Смартфоны","Ноутбуки","Аксессуары","Аудио"),CHOOSE(MOD(A2199-1,4)+1,"Верхняя одежда","Спортивная","Повседневная","Обувь"),CHOOSE(MOD(A2199-1,4)+1,"Молочные","Мясные","Бакалея","Напитки"),CHOOSE(MOD(A2199-1,4)+1,"Мягкая мебель","Корпусная","Офисная","Кухонная"))</f>
        <v>Спортивная</v>
      </c>
      <c r="K2199" s="12" t="n">
        <f aca="false">1000+MOD(A2199*317+A2199*A2199*7,49001)</f>
        <v>19490</v>
      </c>
      <c r="L2199" s="12" t="n">
        <f aca="false">1+MOD(A2199*131,100)</f>
        <v>39</v>
      </c>
      <c r="M2199" s="12" t="n">
        <f aca="false">INT(K2199*(0.6+MOD(A2199*43,21)/100))</f>
        <v>14422</v>
      </c>
      <c r="N2199" s="12" t="n">
        <f aca="false">K2199-M2199</f>
        <v>5068</v>
      </c>
    </row>
    <row r="2200" customFormat="false" ht="12.8" hidden="false" customHeight="false" outlineLevel="0" collapsed="false">
      <c r="A2200" s="10" t="n">
        <f aca="false">A2199+1</f>
        <v>2199</v>
      </c>
      <c r="B2200" s="11" t="n">
        <f aca="false">B2199+1</f>
        <v>47125</v>
      </c>
      <c r="C2200" s="10" t="n">
        <f aca="false">YEAR(B2200)</f>
        <v>2029</v>
      </c>
      <c r="D2200" s="10" t="n">
        <f aca="false">INT((MONTH(B2200)-1)/3)+1</f>
        <v>1</v>
      </c>
      <c r="E2200" s="10" t="n">
        <f aca="false">MONTH(B2200)</f>
        <v>1</v>
      </c>
      <c r="F2200" s="10" t="str">
        <f aca="false">CHOOSE(MOD(A2200-1,5)+1,"Центр","Юг","Север","Запад","Восток")</f>
        <v>Запад</v>
      </c>
      <c r="G2200" s="10" t="str">
        <f aca="false">"Округ_"&amp;(MOD(A2200-1,5)+1)&amp;"_"&amp;(MOD(INT((A2200-1)/5),5)+1)</f>
        <v>Округ_4_5</v>
      </c>
      <c r="H2200" s="10" t="str">
        <f aca="false">"Город_"&amp;(MOD(A2200-1,5)+1)&amp;"_"&amp;(MOD(INT((A2200-1)/5),5)+1)&amp;"_"&amp;(MOD(INT((A2200-1)/25),10)+1)</f>
        <v>Город_4_5_8</v>
      </c>
      <c r="I2200" s="10" t="str">
        <f aca="false">CHOOSE(MOD(A2200-1,4)+1,"Электроника","Одежда","Продукты","Мебель")</f>
        <v>Продукты</v>
      </c>
      <c r="J2200" s="10" t="str">
        <f aca="false">CHOOSE(MOD(INT((A2200-1)/4),4)+1,CHOOSE(MOD(A2200-1,4)+1,"Смартфоны","Ноутбуки","Аксессуары","Аудио"),CHOOSE(MOD(A2200-1,4)+1,"Верхняя одежда","Спортивная","Повседневная","Обувь"),CHOOSE(MOD(A2200-1,4)+1,"Молочные","Мясные","Бакалея","Напитки"),CHOOSE(MOD(A2200-1,4)+1,"Мягкая мебель","Корпусная","Офисная","Кухонная"))</f>
        <v>Повседневная</v>
      </c>
      <c r="K2200" s="12" t="n">
        <f aca="false">1000+MOD(A2200*317+A2200*A2200*7,49001)</f>
        <v>1585</v>
      </c>
      <c r="L2200" s="12" t="n">
        <f aca="false">1+MOD(A2200*131,100)</f>
        <v>70</v>
      </c>
      <c r="M2200" s="12" t="n">
        <f aca="false">INT(K2200*(0.6+MOD(A2200*43,21)/100))</f>
        <v>1188</v>
      </c>
      <c r="N2200" s="12" t="n">
        <f aca="false">K2200-M2200</f>
        <v>397</v>
      </c>
    </row>
    <row r="2201" customFormat="false" ht="12.8" hidden="false" customHeight="false" outlineLevel="0" collapsed="false">
      <c r="A2201" s="10" t="n">
        <f aca="false">A2200+1</f>
        <v>2200</v>
      </c>
      <c r="B2201" s="11" t="n">
        <f aca="false">B2200+1</f>
        <v>47126</v>
      </c>
      <c r="C2201" s="10" t="n">
        <f aca="false">YEAR(B2201)</f>
        <v>2029</v>
      </c>
      <c r="D2201" s="10" t="n">
        <f aca="false">INT((MONTH(B2201)-1)/3)+1</f>
        <v>1</v>
      </c>
      <c r="E2201" s="10" t="n">
        <f aca="false">MONTH(B2201)</f>
        <v>1</v>
      </c>
      <c r="F2201" s="10" t="str">
        <f aca="false">CHOOSE(MOD(A2201-1,5)+1,"Центр","Юг","Север","Запад","Восток")</f>
        <v>Восток</v>
      </c>
      <c r="G2201" s="10" t="str">
        <f aca="false">"Округ_"&amp;(MOD(A2201-1,5)+1)&amp;"_"&amp;(MOD(INT((A2201-1)/5),5)+1)</f>
        <v>Округ_5_5</v>
      </c>
      <c r="H2201" s="10" t="str">
        <f aca="false">"Город_"&amp;(MOD(A2201-1,5)+1)&amp;"_"&amp;(MOD(INT((A2201-1)/5),5)+1)&amp;"_"&amp;(MOD(INT((A2201-1)/25),10)+1)</f>
        <v>Город_5_5_8</v>
      </c>
      <c r="I2201" s="10" t="str">
        <f aca="false">CHOOSE(MOD(A2201-1,4)+1,"Электроника","Одежда","Продукты","Мебель")</f>
        <v>Мебель</v>
      </c>
      <c r="J2201" s="10" t="str">
        <f aca="false">CHOOSE(MOD(INT((A2201-1)/4),4)+1,CHOOSE(MOD(A2201-1,4)+1,"Смартфоны","Ноутбуки","Аксессуары","Аудио"),CHOOSE(MOD(A2201-1,4)+1,"Верхняя одежда","Спортивная","Повседневная","Обувь"),CHOOSE(MOD(A2201-1,4)+1,"Молочные","Мясные","Бакалея","Напитки"),CHOOSE(MOD(A2201-1,4)+1,"Мягкая мебель","Корпусная","Офисная","Кухонная"))</f>
        <v>Обувь</v>
      </c>
      <c r="K2201" s="12" t="n">
        <f aca="false">1000+MOD(A2201*317+A2201*A2201*7,49001)</f>
        <v>32695</v>
      </c>
      <c r="L2201" s="12" t="n">
        <f aca="false">1+MOD(A2201*131,100)</f>
        <v>1</v>
      </c>
      <c r="M2201" s="12" t="n">
        <f aca="false">INT(K2201*(0.6+MOD(A2201*43,21)/100))</f>
        <v>24848</v>
      </c>
      <c r="N2201" s="12" t="n">
        <f aca="false">K2201-M2201</f>
        <v>7847</v>
      </c>
    </row>
    <row r="2202" customFormat="false" ht="12.8" hidden="false" customHeight="false" outlineLevel="0" collapsed="false">
      <c r="A2202" s="10" t="n">
        <f aca="false">A2201+1</f>
        <v>2201</v>
      </c>
      <c r="B2202" s="11" t="n">
        <f aca="false">B2201+1</f>
        <v>47127</v>
      </c>
      <c r="C2202" s="10" t="n">
        <f aca="false">YEAR(B2202)</f>
        <v>2029</v>
      </c>
      <c r="D2202" s="10" t="n">
        <f aca="false">INT((MONTH(B2202)-1)/3)+1</f>
        <v>1</v>
      </c>
      <c r="E2202" s="10" t="n">
        <f aca="false">MONTH(B2202)</f>
        <v>1</v>
      </c>
      <c r="F2202" s="10" t="str">
        <f aca="false">CHOOSE(MOD(A2202-1,5)+1,"Центр","Юг","Север","Запад","Восток")</f>
        <v>Центр</v>
      </c>
      <c r="G2202" s="10" t="str">
        <f aca="false">"Округ_"&amp;(MOD(A2202-1,5)+1)&amp;"_"&amp;(MOD(INT((A2202-1)/5),5)+1)</f>
        <v>Округ_1_1</v>
      </c>
      <c r="H2202" s="10" t="str">
        <f aca="false">"Город_"&amp;(MOD(A2202-1,5)+1)&amp;"_"&amp;(MOD(INT((A2202-1)/5),5)+1)&amp;"_"&amp;(MOD(INT((A2202-1)/25),10)+1)</f>
        <v>Город_1_1_9</v>
      </c>
      <c r="I2202" s="10" t="str">
        <f aca="false">CHOOSE(MOD(A2202-1,4)+1,"Электроника","Одежда","Продукты","Мебель")</f>
        <v>Электроника</v>
      </c>
      <c r="J2202" s="10" t="str">
        <f aca="false">CHOOSE(MOD(INT((A2202-1)/4),4)+1,CHOOSE(MOD(A2202-1,4)+1,"Смартфоны","Ноутбуки","Аксессуары","Аудио"),CHOOSE(MOD(A2202-1,4)+1,"Верхняя одежда","Спортивная","Повседневная","Обувь"),CHOOSE(MOD(A2202-1,4)+1,"Молочные","Мясные","Бакалея","Напитки"),CHOOSE(MOD(A2202-1,4)+1,"Мягкая мебель","Корпусная","Офисная","Кухонная"))</f>
        <v>Молочные</v>
      </c>
      <c r="K2202" s="12" t="n">
        <f aca="false">1000+MOD(A2202*317+A2202*A2202*7,49001)</f>
        <v>14818</v>
      </c>
      <c r="L2202" s="12" t="n">
        <f aca="false">1+MOD(A2202*131,100)</f>
        <v>32</v>
      </c>
      <c r="M2202" s="12" t="n">
        <f aca="false">INT(K2202*(0.6+MOD(A2202*43,21)/100))</f>
        <v>11409</v>
      </c>
      <c r="N2202" s="12" t="n">
        <f aca="false">K2202-M2202</f>
        <v>3409</v>
      </c>
    </row>
    <row r="2203" customFormat="false" ht="12.8" hidden="false" customHeight="false" outlineLevel="0" collapsed="false">
      <c r="A2203" s="10" t="n">
        <f aca="false">A2202+1</f>
        <v>2202</v>
      </c>
      <c r="B2203" s="11" t="n">
        <f aca="false">B2202+1</f>
        <v>47128</v>
      </c>
      <c r="C2203" s="10" t="n">
        <f aca="false">YEAR(B2203)</f>
        <v>2029</v>
      </c>
      <c r="D2203" s="10" t="n">
        <f aca="false">INT((MONTH(B2203)-1)/3)+1</f>
        <v>1</v>
      </c>
      <c r="E2203" s="10" t="n">
        <f aca="false">MONTH(B2203)</f>
        <v>1</v>
      </c>
      <c r="F2203" s="10" t="str">
        <f aca="false">CHOOSE(MOD(A2203-1,5)+1,"Центр","Юг","Север","Запад","Восток")</f>
        <v>Юг</v>
      </c>
      <c r="G2203" s="10" t="str">
        <f aca="false">"Округ_"&amp;(MOD(A2203-1,5)+1)&amp;"_"&amp;(MOD(INT((A2203-1)/5),5)+1)</f>
        <v>Округ_2_1</v>
      </c>
      <c r="H2203" s="10" t="str">
        <f aca="false">"Город_"&amp;(MOD(A2203-1,5)+1)&amp;"_"&amp;(MOD(INT((A2203-1)/5),5)+1)&amp;"_"&amp;(MOD(INT((A2203-1)/25),10)+1)</f>
        <v>Город_2_1_9</v>
      </c>
      <c r="I2203" s="10" t="str">
        <f aca="false">CHOOSE(MOD(A2203-1,4)+1,"Электроника","Одежда","Продукты","Мебель")</f>
        <v>Одежда</v>
      </c>
      <c r="J2203" s="10" t="str">
        <f aca="false">CHOOSE(MOD(INT((A2203-1)/4),4)+1,CHOOSE(MOD(A2203-1,4)+1,"Смартфоны","Ноутбуки","Аксессуары","Аудио"),CHOOSE(MOD(A2203-1,4)+1,"Верхняя одежда","Спортивная","Повседневная","Обувь"),CHOOSE(MOD(A2203-1,4)+1,"Молочные","Мясные","Бакалея","Напитки"),CHOOSE(MOD(A2203-1,4)+1,"Мягкая мебель","Корпусная","Офисная","Кухонная"))</f>
        <v>Мясные</v>
      </c>
      <c r="K2203" s="12" t="n">
        <f aca="false">1000+MOD(A2203*317+A2203*A2203*7,49001)</f>
        <v>45956</v>
      </c>
      <c r="L2203" s="12" t="n">
        <f aca="false">1+MOD(A2203*131,100)</f>
        <v>63</v>
      </c>
      <c r="M2203" s="12" t="n">
        <f aca="false">INT(K2203*(0.6+MOD(A2203*43,21)/100))</f>
        <v>35845</v>
      </c>
      <c r="N2203" s="12" t="n">
        <f aca="false">K2203-M2203</f>
        <v>10111</v>
      </c>
    </row>
    <row r="2204" customFormat="false" ht="12.8" hidden="false" customHeight="false" outlineLevel="0" collapsed="false">
      <c r="A2204" s="10" t="n">
        <f aca="false">A2203+1</f>
        <v>2203</v>
      </c>
      <c r="B2204" s="11" t="n">
        <f aca="false">B2203+1</f>
        <v>47129</v>
      </c>
      <c r="C2204" s="10" t="n">
        <f aca="false">YEAR(B2204)</f>
        <v>2029</v>
      </c>
      <c r="D2204" s="10" t="n">
        <f aca="false">INT((MONTH(B2204)-1)/3)+1</f>
        <v>1</v>
      </c>
      <c r="E2204" s="10" t="n">
        <f aca="false">MONTH(B2204)</f>
        <v>1</v>
      </c>
      <c r="F2204" s="10" t="str">
        <f aca="false">CHOOSE(MOD(A2204-1,5)+1,"Центр","Юг","Север","Запад","Восток")</f>
        <v>Север</v>
      </c>
      <c r="G2204" s="10" t="str">
        <f aca="false">"Округ_"&amp;(MOD(A2204-1,5)+1)&amp;"_"&amp;(MOD(INT((A2204-1)/5),5)+1)</f>
        <v>Округ_3_1</v>
      </c>
      <c r="H2204" s="10" t="str">
        <f aca="false">"Город_"&amp;(MOD(A2204-1,5)+1)&amp;"_"&amp;(MOD(INT((A2204-1)/5),5)+1)&amp;"_"&amp;(MOD(INT((A2204-1)/25),10)+1)</f>
        <v>Город_3_1_9</v>
      </c>
      <c r="I2204" s="10" t="str">
        <f aca="false">CHOOSE(MOD(A2204-1,4)+1,"Электроника","Одежда","Продукты","Мебель")</f>
        <v>Продукты</v>
      </c>
      <c r="J2204" s="10" t="str">
        <f aca="false">CHOOSE(MOD(INT((A2204-1)/4),4)+1,CHOOSE(MOD(A2204-1,4)+1,"Смартфоны","Ноутбуки","Аксессуары","Аудио"),CHOOSE(MOD(A2204-1,4)+1,"Верхняя одежда","Спортивная","Повседневная","Обувь"),CHOOSE(MOD(A2204-1,4)+1,"Молочные","Мясные","Бакалея","Напитки"),CHOOSE(MOD(A2204-1,4)+1,"Мягкая мебель","Корпусная","Офисная","Кухонная"))</f>
        <v>Бакалея</v>
      </c>
      <c r="K2204" s="12" t="n">
        <f aca="false">1000+MOD(A2204*317+A2204*A2204*7,49001)</f>
        <v>28107</v>
      </c>
      <c r="L2204" s="12" t="n">
        <f aca="false">1+MOD(A2204*131,100)</f>
        <v>94</v>
      </c>
      <c r="M2204" s="12" t="n">
        <f aca="false">INT(K2204*(0.6+MOD(A2204*43,21)/100))</f>
        <v>22204</v>
      </c>
      <c r="N2204" s="12" t="n">
        <f aca="false">K2204-M2204</f>
        <v>5903</v>
      </c>
    </row>
    <row r="2205" customFormat="false" ht="12.8" hidden="false" customHeight="false" outlineLevel="0" collapsed="false">
      <c r="A2205" s="10" t="n">
        <f aca="false">A2204+1</f>
        <v>2204</v>
      </c>
      <c r="B2205" s="11" t="n">
        <f aca="false">B2204+1</f>
        <v>47130</v>
      </c>
      <c r="C2205" s="10" t="n">
        <f aca="false">YEAR(B2205)</f>
        <v>2029</v>
      </c>
      <c r="D2205" s="10" t="n">
        <f aca="false">INT((MONTH(B2205)-1)/3)+1</f>
        <v>1</v>
      </c>
      <c r="E2205" s="10" t="n">
        <f aca="false">MONTH(B2205)</f>
        <v>1</v>
      </c>
      <c r="F2205" s="10" t="str">
        <f aca="false">CHOOSE(MOD(A2205-1,5)+1,"Центр","Юг","Север","Запад","Восток")</f>
        <v>Запад</v>
      </c>
      <c r="G2205" s="10" t="str">
        <f aca="false">"Округ_"&amp;(MOD(A2205-1,5)+1)&amp;"_"&amp;(MOD(INT((A2205-1)/5),5)+1)</f>
        <v>Округ_4_1</v>
      </c>
      <c r="H2205" s="10" t="str">
        <f aca="false">"Город_"&amp;(MOD(A2205-1,5)+1)&amp;"_"&amp;(MOD(INT((A2205-1)/5),5)+1)&amp;"_"&amp;(MOD(INT((A2205-1)/25),10)+1)</f>
        <v>Город_4_1_9</v>
      </c>
      <c r="I2205" s="10" t="str">
        <f aca="false">CHOOSE(MOD(A2205-1,4)+1,"Электроника","Одежда","Продукты","Мебель")</f>
        <v>Мебель</v>
      </c>
      <c r="J2205" s="10" t="str">
        <f aca="false">CHOOSE(MOD(INT((A2205-1)/4),4)+1,CHOOSE(MOD(A2205-1,4)+1,"Смартфоны","Ноутбуки","Аксессуары","Аудио"),CHOOSE(MOD(A2205-1,4)+1,"Верхняя одежда","Спортивная","Повседневная","Обувь"),CHOOSE(MOD(A2205-1,4)+1,"Молочные","Мясные","Бакалея","Напитки"),CHOOSE(MOD(A2205-1,4)+1,"Мягкая мебель","Корпусная","Офисная","Кухонная"))</f>
        <v>Напитки</v>
      </c>
      <c r="K2205" s="12" t="n">
        <f aca="false">1000+MOD(A2205*317+A2205*A2205*7,49001)</f>
        <v>10272</v>
      </c>
      <c r="L2205" s="12" t="n">
        <f aca="false">1+MOD(A2205*131,100)</f>
        <v>25</v>
      </c>
      <c r="M2205" s="12" t="n">
        <f aca="false">INT(K2205*(0.6+MOD(A2205*43,21)/100))</f>
        <v>8217</v>
      </c>
      <c r="N2205" s="12" t="n">
        <f aca="false">K2205-M2205</f>
        <v>2055</v>
      </c>
    </row>
    <row r="2206" customFormat="false" ht="12.8" hidden="false" customHeight="false" outlineLevel="0" collapsed="false">
      <c r="A2206" s="10" t="n">
        <f aca="false">A2205+1</f>
        <v>2205</v>
      </c>
      <c r="B2206" s="11" t="n">
        <f aca="false">B2205+1</f>
        <v>47131</v>
      </c>
      <c r="C2206" s="10" t="n">
        <f aca="false">YEAR(B2206)</f>
        <v>2029</v>
      </c>
      <c r="D2206" s="10" t="n">
        <f aca="false">INT((MONTH(B2206)-1)/3)+1</f>
        <v>1</v>
      </c>
      <c r="E2206" s="10" t="n">
        <f aca="false">MONTH(B2206)</f>
        <v>1</v>
      </c>
      <c r="F2206" s="10" t="str">
        <f aca="false">CHOOSE(MOD(A2206-1,5)+1,"Центр","Юг","Север","Запад","Восток")</f>
        <v>Восток</v>
      </c>
      <c r="G2206" s="10" t="str">
        <f aca="false">"Округ_"&amp;(MOD(A2206-1,5)+1)&amp;"_"&amp;(MOD(INT((A2206-1)/5),5)+1)</f>
        <v>Округ_5_1</v>
      </c>
      <c r="H2206" s="10" t="str">
        <f aca="false">"Город_"&amp;(MOD(A2206-1,5)+1)&amp;"_"&amp;(MOD(INT((A2206-1)/5),5)+1)&amp;"_"&amp;(MOD(INT((A2206-1)/25),10)+1)</f>
        <v>Город_5_1_9</v>
      </c>
      <c r="I2206" s="10" t="str">
        <f aca="false">CHOOSE(MOD(A2206-1,4)+1,"Электроника","Одежда","Продукты","Мебель")</f>
        <v>Электроника</v>
      </c>
      <c r="J2206" s="10" t="str">
        <f aca="false">CHOOSE(MOD(INT((A2206-1)/4),4)+1,CHOOSE(MOD(A2206-1,4)+1,"Смартфоны","Ноутбуки","Аксессуары","Аудио"),CHOOSE(MOD(A2206-1,4)+1,"Верхняя одежда","Спортивная","Повседневная","Обувь"),CHOOSE(MOD(A2206-1,4)+1,"Молочные","Мясные","Бакалея","Напитки"),CHOOSE(MOD(A2206-1,4)+1,"Мягкая мебель","Корпусная","Офисная","Кухонная"))</f>
        <v>Мягкая мебель</v>
      </c>
      <c r="K2206" s="12" t="n">
        <f aca="false">1000+MOD(A2206*317+A2206*A2206*7,49001)</f>
        <v>41452</v>
      </c>
      <c r="L2206" s="12" t="n">
        <f aca="false">1+MOD(A2206*131,100)</f>
        <v>56</v>
      </c>
      <c r="M2206" s="12" t="n">
        <f aca="false">INT(K2206*(0.6+MOD(A2206*43,21)/100))</f>
        <v>24871</v>
      </c>
      <c r="N2206" s="12" t="n">
        <f aca="false">K2206-M2206</f>
        <v>16581</v>
      </c>
    </row>
    <row r="2207" customFormat="false" ht="12.8" hidden="false" customHeight="false" outlineLevel="0" collapsed="false">
      <c r="A2207" s="10" t="n">
        <f aca="false">A2206+1</f>
        <v>2206</v>
      </c>
      <c r="B2207" s="11" t="n">
        <f aca="false">B2206+1</f>
        <v>47132</v>
      </c>
      <c r="C2207" s="10" t="n">
        <f aca="false">YEAR(B2207)</f>
        <v>2029</v>
      </c>
      <c r="D2207" s="10" t="n">
        <f aca="false">INT((MONTH(B2207)-1)/3)+1</f>
        <v>1</v>
      </c>
      <c r="E2207" s="10" t="n">
        <f aca="false">MONTH(B2207)</f>
        <v>1</v>
      </c>
      <c r="F2207" s="10" t="str">
        <f aca="false">CHOOSE(MOD(A2207-1,5)+1,"Центр","Юг","Север","Запад","Восток")</f>
        <v>Центр</v>
      </c>
      <c r="G2207" s="10" t="str">
        <f aca="false">"Округ_"&amp;(MOD(A2207-1,5)+1)&amp;"_"&amp;(MOD(INT((A2207-1)/5),5)+1)</f>
        <v>Округ_1_2</v>
      </c>
      <c r="H2207" s="10" t="str">
        <f aca="false">"Город_"&amp;(MOD(A2207-1,5)+1)&amp;"_"&amp;(MOD(INT((A2207-1)/5),5)+1)&amp;"_"&amp;(MOD(INT((A2207-1)/25),10)+1)</f>
        <v>Город_1_2_9</v>
      </c>
      <c r="I2207" s="10" t="str">
        <f aca="false">CHOOSE(MOD(A2207-1,4)+1,"Электроника","Одежда","Продукты","Мебель")</f>
        <v>Одежда</v>
      </c>
      <c r="J2207" s="10" t="str">
        <f aca="false">CHOOSE(MOD(INT((A2207-1)/4),4)+1,CHOOSE(MOD(A2207-1,4)+1,"Смартфоны","Ноутбуки","Аксессуары","Аудио"),CHOOSE(MOD(A2207-1,4)+1,"Верхняя одежда","Спортивная","Повседневная","Обувь"),CHOOSE(MOD(A2207-1,4)+1,"Молочные","Мясные","Бакалея","Напитки"),CHOOSE(MOD(A2207-1,4)+1,"Мягкая мебель","Корпусная","Офисная","Кухонная"))</f>
        <v>Корпусная</v>
      </c>
      <c r="K2207" s="12" t="n">
        <f aca="false">1000+MOD(A2207*317+A2207*A2207*7,49001)</f>
        <v>23645</v>
      </c>
      <c r="L2207" s="12" t="n">
        <f aca="false">1+MOD(A2207*131,100)</f>
        <v>87</v>
      </c>
      <c r="M2207" s="12" t="n">
        <f aca="false">INT(K2207*(0.6+MOD(A2207*43,21)/100))</f>
        <v>14423</v>
      </c>
      <c r="N2207" s="12" t="n">
        <f aca="false">K2207-M2207</f>
        <v>9222</v>
      </c>
    </row>
    <row r="2208" customFormat="false" ht="12.8" hidden="false" customHeight="false" outlineLevel="0" collapsed="false">
      <c r="A2208" s="10" t="n">
        <f aca="false">A2207+1</f>
        <v>2207</v>
      </c>
      <c r="B2208" s="11" t="n">
        <f aca="false">B2207+1</f>
        <v>47133</v>
      </c>
      <c r="C2208" s="10" t="n">
        <f aca="false">YEAR(B2208)</f>
        <v>2029</v>
      </c>
      <c r="D2208" s="10" t="n">
        <f aca="false">INT((MONTH(B2208)-1)/3)+1</f>
        <v>1</v>
      </c>
      <c r="E2208" s="10" t="n">
        <f aca="false">MONTH(B2208)</f>
        <v>1</v>
      </c>
      <c r="F2208" s="10" t="str">
        <f aca="false">CHOOSE(MOD(A2208-1,5)+1,"Центр","Юг","Север","Запад","Восток")</f>
        <v>Юг</v>
      </c>
      <c r="G2208" s="10" t="str">
        <f aca="false">"Округ_"&amp;(MOD(A2208-1,5)+1)&amp;"_"&amp;(MOD(INT((A2208-1)/5),5)+1)</f>
        <v>Округ_2_2</v>
      </c>
      <c r="H2208" s="10" t="str">
        <f aca="false">"Город_"&amp;(MOD(A2208-1,5)+1)&amp;"_"&amp;(MOD(INT((A2208-1)/5),5)+1)&amp;"_"&amp;(MOD(INT((A2208-1)/25),10)+1)</f>
        <v>Город_2_2_9</v>
      </c>
      <c r="I2208" s="10" t="str">
        <f aca="false">CHOOSE(MOD(A2208-1,4)+1,"Электроника","Одежда","Продукты","Мебель")</f>
        <v>Продукты</v>
      </c>
      <c r="J2208" s="10" t="str">
        <f aca="false">CHOOSE(MOD(INT((A2208-1)/4),4)+1,CHOOSE(MOD(A2208-1,4)+1,"Смартфоны","Ноутбуки","Аксессуары","Аудио"),CHOOSE(MOD(A2208-1,4)+1,"Верхняя одежда","Спортивная","Повседневная","Обувь"),CHOOSE(MOD(A2208-1,4)+1,"Молочные","Мясные","Бакалея","Напитки"),CHOOSE(MOD(A2208-1,4)+1,"Мягкая мебель","Корпусная","Офисная","Кухонная"))</f>
        <v>Офисная</v>
      </c>
      <c r="K2208" s="12" t="n">
        <f aca="false">1000+MOD(A2208*317+A2208*A2208*7,49001)</f>
        <v>5852</v>
      </c>
      <c r="L2208" s="12" t="n">
        <f aca="false">1+MOD(A2208*131,100)</f>
        <v>18</v>
      </c>
      <c r="M2208" s="12" t="n">
        <f aca="false">INT(K2208*(0.6+MOD(A2208*43,21)/100))</f>
        <v>3628</v>
      </c>
      <c r="N2208" s="12" t="n">
        <f aca="false">K2208-M2208</f>
        <v>2224</v>
      </c>
    </row>
    <row r="2209" customFormat="false" ht="12.8" hidden="false" customHeight="false" outlineLevel="0" collapsed="false">
      <c r="A2209" s="10" t="n">
        <f aca="false">A2208+1</f>
        <v>2208</v>
      </c>
      <c r="B2209" s="11" t="n">
        <f aca="false">B2208+1</f>
        <v>47134</v>
      </c>
      <c r="C2209" s="10" t="n">
        <f aca="false">YEAR(B2209)</f>
        <v>2029</v>
      </c>
      <c r="D2209" s="10" t="n">
        <f aca="false">INT((MONTH(B2209)-1)/3)+1</f>
        <v>1</v>
      </c>
      <c r="E2209" s="10" t="n">
        <f aca="false">MONTH(B2209)</f>
        <v>1</v>
      </c>
      <c r="F2209" s="10" t="str">
        <f aca="false">CHOOSE(MOD(A2209-1,5)+1,"Центр","Юг","Север","Запад","Восток")</f>
        <v>Север</v>
      </c>
      <c r="G2209" s="10" t="str">
        <f aca="false">"Округ_"&amp;(MOD(A2209-1,5)+1)&amp;"_"&amp;(MOD(INT((A2209-1)/5),5)+1)</f>
        <v>Округ_3_2</v>
      </c>
      <c r="H2209" s="10" t="str">
        <f aca="false">"Город_"&amp;(MOD(A2209-1,5)+1)&amp;"_"&amp;(MOD(INT((A2209-1)/5),5)+1)&amp;"_"&amp;(MOD(INT((A2209-1)/25),10)+1)</f>
        <v>Город_3_2_9</v>
      </c>
      <c r="I2209" s="10" t="str">
        <f aca="false">CHOOSE(MOD(A2209-1,4)+1,"Электроника","Одежда","Продукты","Мебель")</f>
        <v>Мебель</v>
      </c>
      <c r="J2209" s="10" t="str">
        <f aca="false">CHOOSE(MOD(INT((A2209-1)/4),4)+1,CHOOSE(MOD(A2209-1,4)+1,"Смартфоны","Ноутбуки","Аксессуары","Аудио"),CHOOSE(MOD(A2209-1,4)+1,"Верхняя одежда","Спортивная","Повседневная","Обувь"),CHOOSE(MOD(A2209-1,4)+1,"Молочные","Мясные","Бакалея","Напитки"),CHOOSE(MOD(A2209-1,4)+1,"Мягкая мебель","Корпусная","Офисная","Кухонная"))</f>
        <v>Кухонная</v>
      </c>
      <c r="K2209" s="12" t="n">
        <f aca="false">1000+MOD(A2209*317+A2209*A2209*7,49001)</f>
        <v>37074</v>
      </c>
      <c r="L2209" s="12" t="n">
        <f aca="false">1+MOD(A2209*131,100)</f>
        <v>49</v>
      </c>
      <c r="M2209" s="12" t="n">
        <f aca="false">INT(K2209*(0.6+MOD(A2209*43,21)/100))</f>
        <v>23356</v>
      </c>
      <c r="N2209" s="12" t="n">
        <f aca="false">K2209-M2209</f>
        <v>13718</v>
      </c>
    </row>
    <row r="2210" customFormat="false" ht="12.8" hidden="false" customHeight="false" outlineLevel="0" collapsed="false">
      <c r="A2210" s="10" t="n">
        <f aca="false">A2209+1</f>
        <v>2209</v>
      </c>
      <c r="B2210" s="11" t="n">
        <f aca="false">B2209+1</f>
        <v>47135</v>
      </c>
      <c r="C2210" s="10" t="n">
        <f aca="false">YEAR(B2210)</f>
        <v>2029</v>
      </c>
      <c r="D2210" s="10" t="n">
        <f aca="false">INT((MONTH(B2210)-1)/3)+1</f>
        <v>1</v>
      </c>
      <c r="E2210" s="10" t="n">
        <f aca="false">MONTH(B2210)</f>
        <v>1</v>
      </c>
      <c r="F2210" s="10" t="str">
        <f aca="false">CHOOSE(MOD(A2210-1,5)+1,"Центр","Юг","Север","Запад","Восток")</f>
        <v>Запад</v>
      </c>
      <c r="G2210" s="10" t="str">
        <f aca="false">"Округ_"&amp;(MOD(A2210-1,5)+1)&amp;"_"&amp;(MOD(INT((A2210-1)/5),5)+1)</f>
        <v>Округ_4_2</v>
      </c>
      <c r="H2210" s="10" t="str">
        <f aca="false">"Город_"&amp;(MOD(A2210-1,5)+1)&amp;"_"&amp;(MOD(INT((A2210-1)/5),5)+1)&amp;"_"&amp;(MOD(INT((A2210-1)/25),10)+1)</f>
        <v>Город_4_2_9</v>
      </c>
      <c r="I2210" s="10" t="str">
        <f aca="false">CHOOSE(MOD(A2210-1,4)+1,"Электроника","Одежда","Продукты","Мебель")</f>
        <v>Электроника</v>
      </c>
      <c r="J2210" s="10" t="str">
        <f aca="false">CHOOSE(MOD(INT((A2210-1)/4),4)+1,CHOOSE(MOD(A2210-1,4)+1,"Смартфоны","Ноутбуки","Аксессуары","Аудио"),CHOOSE(MOD(A2210-1,4)+1,"Верхняя одежда","Спортивная","Повседневная","Обувь"),CHOOSE(MOD(A2210-1,4)+1,"Молочные","Мясные","Бакалея","Напитки"),CHOOSE(MOD(A2210-1,4)+1,"Мягкая мебель","Корпусная","Офисная","Кухонная"))</f>
        <v>Смартфоны</v>
      </c>
      <c r="K2210" s="12" t="n">
        <f aca="false">1000+MOD(A2210*317+A2210*A2210*7,49001)</f>
        <v>19309</v>
      </c>
      <c r="L2210" s="12" t="n">
        <f aca="false">1+MOD(A2210*131,100)</f>
        <v>80</v>
      </c>
      <c r="M2210" s="12" t="n">
        <f aca="false">INT(K2210*(0.6+MOD(A2210*43,21)/100))</f>
        <v>12357</v>
      </c>
      <c r="N2210" s="12" t="n">
        <f aca="false">K2210-M2210</f>
        <v>6952</v>
      </c>
    </row>
    <row r="2211" customFormat="false" ht="12.8" hidden="false" customHeight="false" outlineLevel="0" collapsed="false">
      <c r="A2211" s="10" t="n">
        <f aca="false">A2210+1</f>
        <v>2210</v>
      </c>
      <c r="B2211" s="11" t="n">
        <f aca="false">B2210+1</f>
        <v>47136</v>
      </c>
      <c r="C2211" s="10" t="n">
        <f aca="false">YEAR(B2211)</f>
        <v>2029</v>
      </c>
      <c r="D2211" s="10" t="n">
        <f aca="false">INT((MONTH(B2211)-1)/3)+1</f>
        <v>1</v>
      </c>
      <c r="E2211" s="10" t="n">
        <f aca="false">MONTH(B2211)</f>
        <v>1</v>
      </c>
      <c r="F2211" s="10" t="str">
        <f aca="false">CHOOSE(MOD(A2211-1,5)+1,"Центр","Юг","Север","Запад","Восток")</f>
        <v>Восток</v>
      </c>
      <c r="G2211" s="10" t="str">
        <f aca="false">"Округ_"&amp;(MOD(A2211-1,5)+1)&amp;"_"&amp;(MOD(INT((A2211-1)/5),5)+1)</f>
        <v>Округ_5_2</v>
      </c>
      <c r="H2211" s="10" t="str">
        <f aca="false">"Город_"&amp;(MOD(A2211-1,5)+1)&amp;"_"&amp;(MOD(INT((A2211-1)/5),5)+1)&amp;"_"&amp;(MOD(INT((A2211-1)/25),10)+1)</f>
        <v>Город_5_2_9</v>
      </c>
      <c r="I2211" s="10" t="str">
        <f aca="false">CHOOSE(MOD(A2211-1,4)+1,"Электроника","Одежда","Продукты","Мебель")</f>
        <v>Одежда</v>
      </c>
      <c r="J2211" s="10" t="str">
        <f aca="false">CHOOSE(MOD(INT((A2211-1)/4),4)+1,CHOOSE(MOD(A2211-1,4)+1,"Смартфоны","Ноутбуки","Аксессуары","Аудио"),CHOOSE(MOD(A2211-1,4)+1,"Верхняя одежда","Спортивная","Повседневная","Обувь"),CHOOSE(MOD(A2211-1,4)+1,"Молочные","Мясные","Бакалея","Напитки"),CHOOSE(MOD(A2211-1,4)+1,"Мягкая мебель","Корпусная","Офисная","Кухонная"))</f>
        <v>Ноутбуки</v>
      </c>
      <c r="K2211" s="12" t="n">
        <f aca="false">1000+MOD(A2211*317+A2211*A2211*7,49001)</f>
        <v>1558</v>
      </c>
      <c r="L2211" s="12" t="n">
        <f aca="false">1+MOD(A2211*131,100)</f>
        <v>11</v>
      </c>
      <c r="M2211" s="12" t="n">
        <f aca="false">INT(K2211*(0.6+MOD(A2211*43,21)/100))</f>
        <v>1012</v>
      </c>
      <c r="N2211" s="12" t="n">
        <f aca="false">K2211-M2211</f>
        <v>546</v>
      </c>
    </row>
    <row r="2212" customFormat="false" ht="12.8" hidden="false" customHeight="false" outlineLevel="0" collapsed="false">
      <c r="A2212" s="10" t="n">
        <f aca="false">A2211+1</f>
        <v>2211</v>
      </c>
      <c r="B2212" s="11" t="n">
        <f aca="false">B2211+1</f>
        <v>47137</v>
      </c>
      <c r="C2212" s="10" t="n">
        <f aca="false">YEAR(B2212)</f>
        <v>2029</v>
      </c>
      <c r="D2212" s="10" t="n">
        <f aca="false">INT((MONTH(B2212)-1)/3)+1</f>
        <v>1</v>
      </c>
      <c r="E2212" s="10" t="n">
        <f aca="false">MONTH(B2212)</f>
        <v>1</v>
      </c>
      <c r="F2212" s="10" t="str">
        <f aca="false">CHOOSE(MOD(A2212-1,5)+1,"Центр","Юг","Север","Запад","Восток")</f>
        <v>Центр</v>
      </c>
      <c r="G2212" s="10" t="str">
        <f aca="false">"Округ_"&amp;(MOD(A2212-1,5)+1)&amp;"_"&amp;(MOD(INT((A2212-1)/5),5)+1)</f>
        <v>Округ_1_3</v>
      </c>
      <c r="H2212" s="10" t="str">
        <f aca="false">"Город_"&amp;(MOD(A2212-1,5)+1)&amp;"_"&amp;(MOD(INT((A2212-1)/5),5)+1)&amp;"_"&amp;(MOD(INT((A2212-1)/25),10)+1)</f>
        <v>Город_1_3_9</v>
      </c>
      <c r="I2212" s="10" t="str">
        <f aca="false">CHOOSE(MOD(A2212-1,4)+1,"Электроника","Одежда","Продукты","Мебель")</f>
        <v>Продукты</v>
      </c>
      <c r="J2212" s="10" t="str">
        <f aca="false">CHOOSE(MOD(INT((A2212-1)/4),4)+1,CHOOSE(MOD(A2212-1,4)+1,"Смартфоны","Ноутбуки","Аксессуары","Аудио"),CHOOSE(MOD(A2212-1,4)+1,"Верхняя одежда","Спортивная","Повседневная","Обувь"),CHOOSE(MOD(A2212-1,4)+1,"Молочные","Мясные","Бакалея","Напитки"),CHOOSE(MOD(A2212-1,4)+1,"Мягкая мебель","Корпусная","Офисная","Кухонная"))</f>
        <v>Аксессуары</v>
      </c>
      <c r="K2212" s="12" t="n">
        <f aca="false">1000+MOD(A2212*317+A2212*A2212*7,49001)</f>
        <v>32822</v>
      </c>
      <c r="L2212" s="12" t="n">
        <f aca="false">1+MOD(A2212*131,100)</f>
        <v>42</v>
      </c>
      <c r="M2212" s="12" t="n">
        <f aca="false">INT(K2212*(0.6+MOD(A2212*43,21)/100))</f>
        <v>21662</v>
      </c>
      <c r="N2212" s="12" t="n">
        <f aca="false">K2212-M2212</f>
        <v>11160</v>
      </c>
    </row>
    <row r="2213" customFormat="false" ht="12.8" hidden="false" customHeight="false" outlineLevel="0" collapsed="false">
      <c r="A2213" s="10" t="n">
        <f aca="false">A2212+1</f>
        <v>2212</v>
      </c>
      <c r="B2213" s="11" t="n">
        <f aca="false">B2212+1</f>
        <v>47138</v>
      </c>
      <c r="C2213" s="10" t="n">
        <f aca="false">YEAR(B2213)</f>
        <v>2029</v>
      </c>
      <c r="D2213" s="10" t="n">
        <f aca="false">INT((MONTH(B2213)-1)/3)+1</f>
        <v>1</v>
      </c>
      <c r="E2213" s="10" t="n">
        <f aca="false">MONTH(B2213)</f>
        <v>1</v>
      </c>
      <c r="F2213" s="10" t="str">
        <f aca="false">CHOOSE(MOD(A2213-1,5)+1,"Центр","Юг","Север","Запад","Восток")</f>
        <v>Юг</v>
      </c>
      <c r="G2213" s="10" t="str">
        <f aca="false">"Округ_"&amp;(MOD(A2213-1,5)+1)&amp;"_"&amp;(MOD(INT((A2213-1)/5),5)+1)</f>
        <v>Округ_2_3</v>
      </c>
      <c r="H2213" s="10" t="str">
        <f aca="false">"Город_"&amp;(MOD(A2213-1,5)+1)&amp;"_"&amp;(MOD(INT((A2213-1)/5),5)+1)&amp;"_"&amp;(MOD(INT((A2213-1)/25),10)+1)</f>
        <v>Город_2_3_9</v>
      </c>
      <c r="I2213" s="10" t="str">
        <f aca="false">CHOOSE(MOD(A2213-1,4)+1,"Электроника","Одежда","Продукты","Мебель")</f>
        <v>Мебель</v>
      </c>
      <c r="J2213" s="10" t="str">
        <f aca="false">CHOOSE(MOD(INT((A2213-1)/4),4)+1,CHOOSE(MOD(A2213-1,4)+1,"Смартфоны","Ноутбуки","Аксессуары","Аудио"),CHOOSE(MOD(A2213-1,4)+1,"Верхняя одежда","Спортивная","Повседневная","Обувь"),CHOOSE(MOD(A2213-1,4)+1,"Молочные","Мясные","Бакалея","Напитки"),CHOOSE(MOD(A2213-1,4)+1,"Мягкая мебель","Корпусная","Офисная","Кухонная"))</f>
        <v>Аудио</v>
      </c>
      <c r="K2213" s="12" t="n">
        <f aca="false">1000+MOD(A2213*317+A2213*A2213*7,49001)</f>
        <v>15099</v>
      </c>
      <c r="L2213" s="12" t="n">
        <f aca="false">1+MOD(A2213*131,100)</f>
        <v>73</v>
      </c>
      <c r="M2213" s="12" t="n">
        <f aca="false">INT(K2213*(0.6+MOD(A2213*43,21)/100))</f>
        <v>10116</v>
      </c>
      <c r="N2213" s="12" t="n">
        <f aca="false">K2213-M2213</f>
        <v>4983</v>
      </c>
    </row>
    <row r="2214" customFormat="false" ht="12.8" hidden="false" customHeight="false" outlineLevel="0" collapsed="false">
      <c r="A2214" s="10" t="n">
        <f aca="false">A2213+1</f>
        <v>2213</v>
      </c>
      <c r="B2214" s="11" t="n">
        <f aca="false">B2213+1</f>
        <v>47139</v>
      </c>
      <c r="C2214" s="10" t="n">
        <f aca="false">YEAR(B2214)</f>
        <v>2029</v>
      </c>
      <c r="D2214" s="10" t="n">
        <f aca="false">INT((MONTH(B2214)-1)/3)+1</f>
        <v>1</v>
      </c>
      <c r="E2214" s="10" t="n">
        <f aca="false">MONTH(B2214)</f>
        <v>1</v>
      </c>
      <c r="F2214" s="10" t="str">
        <f aca="false">CHOOSE(MOD(A2214-1,5)+1,"Центр","Юг","Север","Запад","Восток")</f>
        <v>Север</v>
      </c>
      <c r="G2214" s="10" t="str">
        <f aca="false">"Округ_"&amp;(MOD(A2214-1,5)+1)&amp;"_"&amp;(MOD(INT((A2214-1)/5),5)+1)</f>
        <v>Округ_3_3</v>
      </c>
      <c r="H2214" s="10" t="str">
        <f aca="false">"Город_"&amp;(MOD(A2214-1,5)+1)&amp;"_"&amp;(MOD(INT((A2214-1)/5),5)+1)&amp;"_"&amp;(MOD(INT((A2214-1)/25),10)+1)</f>
        <v>Город_3_3_9</v>
      </c>
      <c r="I2214" s="10" t="str">
        <f aca="false">CHOOSE(MOD(A2214-1,4)+1,"Электроника","Одежда","Продукты","Мебель")</f>
        <v>Электроника</v>
      </c>
      <c r="J2214" s="10" t="str">
        <f aca="false">CHOOSE(MOD(INT((A2214-1)/4),4)+1,CHOOSE(MOD(A2214-1,4)+1,"Смартфоны","Ноутбуки","Аксессуары","Аудио"),CHOOSE(MOD(A2214-1,4)+1,"Верхняя одежда","Спортивная","Повседневная","Обувь"),CHOOSE(MOD(A2214-1,4)+1,"Молочные","Мясные","Бакалея","Напитки"),CHOOSE(MOD(A2214-1,4)+1,"Мягкая мебель","Корпусная","Офисная","Кухонная"))</f>
        <v>Верхняя одежда</v>
      </c>
      <c r="K2214" s="12" t="n">
        <f aca="false">1000+MOD(A2214*317+A2214*A2214*7,49001)</f>
        <v>46391</v>
      </c>
      <c r="L2214" s="12" t="n">
        <f aca="false">1+MOD(A2214*131,100)</f>
        <v>4</v>
      </c>
      <c r="M2214" s="12" t="n">
        <f aca="false">INT(K2214*(0.6+MOD(A2214*43,21)/100))</f>
        <v>31545</v>
      </c>
      <c r="N2214" s="12" t="n">
        <f aca="false">K2214-M2214</f>
        <v>14846</v>
      </c>
    </row>
    <row r="2215" customFormat="false" ht="12.8" hidden="false" customHeight="false" outlineLevel="0" collapsed="false">
      <c r="A2215" s="10" t="n">
        <f aca="false">A2214+1</f>
        <v>2214</v>
      </c>
      <c r="B2215" s="11" t="n">
        <f aca="false">B2214+1</f>
        <v>47140</v>
      </c>
      <c r="C2215" s="10" t="n">
        <f aca="false">YEAR(B2215)</f>
        <v>2029</v>
      </c>
      <c r="D2215" s="10" t="n">
        <f aca="false">INT((MONTH(B2215)-1)/3)+1</f>
        <v>1</v>
      </c>
      <c r="E2215" s="10" t="n">
        <f aca="false">MONTH(B2215)</f>
        <v>1</v>
      </c>
      <c r="F2215" s="10" t="str">
        <f aca="false">CHOOSE(MOD(A2215-1,5)+1,"Центр","Юг","Север","Запад","Восток")</f>
        <v>Запад</v>
      </c>
      <c r="G2215" s="10" t="str">
        <f aca="false">"Округ_"&amp;(MOD(A2215-1,5)+1)&amp;"_"&amp;(MOD(INT((A2215-1)/5),5)+1)</f>
        <v>Округ_4_3</v>
      </c>
      <c r="H2215" s="10" t="str">
        <f aca="false">"Город_"&amp;(MOD(A2215-1,5)+1)&amp;"_"&amp;(MOD(INT((A2215-1)/5),5)+1)&amp;"_"&amp;(MOD(INT((A2215-1)/25),10)+1)</f>
        <v>Город_4_3_9</v>
      </c>
      <c r="I2215" s="10" t="str">
        <f aca="false">CHOOSE(MOD(A2215-1,4)+1,"Электроника","Одежда","Продукты","Мебель")</f>
        <v>Одежда</v>
      </c>
      <c r="J2215" s="10" t="str">
        <f aca="false">CHOOSE(MOD(INT((A2215-1)/4),4)+1,CHOOSE(MOD(A2215-1,4)+1,"Смартфоны","Ноутбуки","Аксессуары","Аудио"),CHOOSE(MOD(A2215-1,4)+1,"Верхняя одежда","Спортивная","Повседневная","Обувь"),CHOOSE(MOD(A2215-1,4)+1,"Молочные","Мясные","Бакалея","Напитки"),CHOOSE(MOD(A2215-1,4)+1,"Мягкая мебель","Корпусная","Офисная","Кухонная"))</f>
        <v>Спортивная</v>
      </c>
      <c r="K2215" s="12" t="n">
        <f aca="false">1000+MOD(A2215*317+A2215*A2215*7,49001)</f>
        <v>28696</v>
      </c>
      <c r="L2215" s="12" t="n">
        <f aca="false">1+MOD(A2215*131,100)</f>
        <v>35</v>
      </c>
      <c r="M2215" s="12" t="n">
        <f aca="false">INT(K2215*(0.6+MOD(A2215*43,21)/100))</f>
        <v>19800</v>
      </c>
      <c r="N2215" s="12" t="n">
        <f aca="false">K2215-M2215</f>
        <v>8896</v>
      </c>
    </row>
    <row r="2216" customFormat="false" ht="12.8" hidden="false" customHeight="false" outlineLevel="0" collapsed="false">
      <c r="A2216" s="10" t="n">
        <f aca="false">A2215+1</f>
        <v>2215</v>
      </c>
      <c r="B2216" s="11" t="n">
        <f aca="false">B2215+1</f>
        <v>47141</v>
      </c>
      <c r="C2216" s="10" t="n">
        <f aca="false">YEAR(B2216)</f>
        <v>2029</v>
      </c>
      <c r="D2216" s="10" t="n">
        <f aca="false">INT((MONTH(B2216)-1)/3)+1</f>
        <v>1</v>
      </c>
      <c r="E2216" s="10" t="n">
        <f aca="false">MONTH(B2216)</f>
        <v>1</v>
      </c>
      <c r="F2216" s="10" t="str">
        <f aca="false">CHOOSE(MOD(A2216-1,5)+1,"Центр","Юг","Север","Запад","Восток")</f>
        <v>Восток</v>
      </c>
      <c r="G2216" s="10" t="str">
        <f aca="false">"Округ_"&amp;(MOD(A2216-1,5)+1)&amp;"_"&amp;(MOD(INT((A2216-1)/5),5)+1)</f>
        <v>Округ_5_3</v>
      </c>
      <c r="H2216" s="10" t="str">
        <f aca="false">"Город_"&amp;(MOD(A2216-1,5)+1)&amp;"_"&amp;(MOD(INT((A2216-1)/5),5)+1)&amp;"_"&amp;(MOD(INT((A2216-1)/25),10)+1)</f>
        <v>Город_5_3_9</v>
      </c>
      <c r="I2216" s="10" t="str">
        <f aca="false">CHOOSE(MOD(A2216-1,4)+1,"Электроника","Одежда","Продукты","Мебель")</f>
        <v>Продукты</v>
      </c>
      <c r="J2216" s="10" t="str">
        <f aca="false">CHOOSE(MOD(INT((A2216-1)/4),4)+1,CHOOSE(MOD(A2216-1,4)+1,"Смартфоны","Ноутбуки","Аксессуары","Аудио"),CHOOSE(MOD(A2216-1,4)+1,"Верхняя одежда","Спортивная","Повседневная","Обувь"),CHOOSE(MOD(A2216-1,4)+1,"Молочные","Мясные","Бакалея","Напитки"),CHOOSE(MOD(A2216-1,4)+1,"Мягкая мебель","Корпусная","Офисная","Кухонная"))</f>
        <v>Повседневная</v>
      </c>
      <c r="K2216" s="12" t="n">
        <f aca="false">1000+MOD(A2216*317+A2216*A2216*7,49001)</f>
        <v>11015</v>
      </c>
      <c r="L2216" s="12" t="n">
        <f aca="false">1+MOD(A2216*131,100)</f>
        <v>66</v>
      </c>
      <c r="M2216" s="12" t="n">
        <f aca="false">INT(K2216*(0.6+MOD(A2216*43,21)/100))</f>
        <v>7710</v>
      </c>
      <c r="N2216" s="12" t="n">
        <f aca="false">K2216-M2216</f>
        <v>3305</v>
      </c>
    </row>
    <row r="2217" customFormat="false" ht="12.8" hidden="false" customHeight="false" outlineLevel="0" collapsed="false">
      <c r="A2217" s="10" t="n">
        <f aca="false">A2216+1</f>
        <v>2216</v>
      </c>
      <c r="B2217" s="11" t="n">
        <f aca="false">B2216+1</f>
        <v>47142</v>
      </c>
      <c r="C2217" s="10" t="n">
        <f aca="false">YEAR(B2217)</f>
        <v>2029</v>
      </c>
      <c r="D2217" s="10" t="n">
        <f aca="false">INT((MONTH(B2217)-1)/3)+1</f>
        <v>1</v>
      </c>
      <c r="E2217" s="10" t="n">
        <f aca="false">MONTH(B2217)</f>
        <v>1</v>
      </c>
      <c r="F2217" s="10" t="str">
        <f aca="false">CHOOSE(MOD(A2217-1,5)+1,"Центр","Юг","Север","Запад","Восток")</f>
        <v>Центр</v>
      </c>
      <c r="G2217" s="10" t="str">
        <f aca="false">"Округ_"&amp;(MOD(A2217-1,5)+1)&amp;"_"&amp;(MOD(INT((A2217-1)/5),5)+1)</f>
        <v>Округ_1_4</v>
      </c>
      <c r="H2217" s="10" t="str">
        <f aca="false">"Город_"&amp;(MOD(A2217-1,5)+1)&amp;"_"&amp;(MOD(INT((A2217-1)/5),5)+1)&amp;"_"&amp;(MOD(INT((A2217-1)/25),10)+1)</f>
        <v>Город_1_4_9</v>
      </c>
      <c r="I2217" s="10" t="str">
        <f aca="false">CHOOSE(MOD(A2217-1,4)+1,"Электроника","Одежда","Продукты","Мебель")</f>
        <v>Мебель</v>
      </c>
      <c r="J2217" s="10" t="str">
        <f aca="false">CHOOSE(MOD(INT((A2217-1)/4),4)+1,CHOOSE(MOD(A2217-1,4)+1,"Смартфоны","Ноутбуки","Аксессуары","Аудио"),CHOOSE(MOD(A2217-1,4)+1,"Верхняя одежда","Спортивная","Повседневная","Обувь"),CHOOSE(MOD(A2217-1,4)+1,"Молочные","Мясные","Бакалея","Напитки"),CHOOSE(MOD(A2217-1,4)+1,"Мягкая мебель","Корпусная","Офисная","Кухонная"))</f>
        <v>Обувь</v>
      </c>
      <c r="K2217" s="12" t="n">
        <f aca="false">1000+MOD(A2217*317+A2217*A2217*7,49001)</f>
        <v>42349</v>
      </c>
      <c r="L2217" s="12" t="n">
        <f aca="false">1+MOD(A2217*131,100)</f>
        <v>97</v>
      </c>
      <c r="M2217" s="12" t="n">
        <f aca="false">INT(K2217*(0.6+MOD(A2217*43,21)/100))</f>
        <v>30067</v>
      </c>
      <c r="N2217" s="12" t="n">
        <f aca="false">K2217-M2217</f>
        <v>12282</v>
      </c>
    </row>
    <row r="2218" customFormat="false" ht="12.8" hidden="false" customHeight="false" outlineLevel="0" collapsed="false">
      <c r="A2218" s="10" t="n">
        <f aca="false">A2217+1</f>
        <v>2217</v>
      </c>
      <c r="B2218" s="11" t="n">
        <f aca="false">B2217+1</f>
        <v>47143</v>
      </c>
      <c r="C2218" s="10" t="n">
        <f aca="false">YEAR(B2218)</f>
        <v>2029</v>
      </c>
      <c r="D2218" s="10" t="n">
        <f aca="false">INT((MONTH(B2218)-1)/3)+1</f>
        <v>1</v>
      </c>
      <c r="E2218" s="10" t="n">
        <f aca="false">MONTH(B2218)</f>
        <v>1</v>
      </c>
      <c r="F2218" s="10" t="str">
        <f aca="false">CHOOSE(MOD(A2218-1,5)+1,"Центр","Юг","Север","Запад","Восток")</f>
        <v>Юг</v>
      </c>
      <c r="G2218" s="10" t="str">
        <f aca="false">"Округ_"&amp;(MOD(A2218-1,5)+1)&amp;"_"&amp;(MOD(INT((A2218-1)/5),5)+1)</f>
        <v>Округ_2_4</v>
      </c>
      <c r="H2218" s="10" t="str">
        <f aca="false">"Город_"&amp;(MOD(A2218-1,5)+1)&amp;"_"&amp;(MOD(INT((A2218-1)/5),5)+1)&amp;"_"&amp;(MOD(INT((A2218-1)/25),10)+1)</f>
        <v>Город_2_4_9</v>
      </c>
      <c r="I2218" s="10" t="str">
        <f aca="false">CHOOSE(MOD(A2218-1,4)+1,"Электроника","Одежда","Продукты","Мебель")</f>
        <v>Электроника</v>
      </c>
      <c r="J2218" s="10" t="str">
        <f aca="false">CHOOSE(MOD(INT((A2218-1)/4),4)+1,CHOOSE(MOD(A2218-1,4)+1,"Смартфоны","Ноутбуки","Аксессуары","Аудио"),CHOOSE(MOD(A2218-1,4)+1,"Верхняя одежда","Спортивная","Повседневная","Обувь"),CHOOSE(MOD(A2218-1,4)+1,"Молочные","Мясные","Бакалея","Напитки"),CHOOSE(MOD(A2218-1,4)+1,"Мягкая мебель","Корпусная","Офисная","Кухонная"))</f>
        <v>Молочные</v>
      </c>
      <c r="K2218" s="12" t="n">
        <f aca="false">1000+MOD(A2218*317+A2218*A2218*7,49001)</f>
        <v>24696</v>
      </c>
      <c r="L2218" s="12" t="n">
        <f aca="false">1+MOD(A2218*131,100)</f>
        <v>28</v>
      </c>
      <c r="M2218" s="12" t="n">
        <f aca="false">INT(K2218*(0.6+MOD(A2218*43,21)/100))</f>
        <v>17781</v>
      </c>
      <c r="N2218" s="12" t="n">
        <f aca="false">K2218-M2218</f>
        <v>6915</v>
      </c>
    </row>
    <row r="2219" customFormat="false" ht="12.8" hidden="false" customHeight="false" outlineLevel="0" collapsed="false">
      <c r="A2219" s="10" t="n">
        <f aca="false">A2218+1</f>
        <v>2218</v>
      </c>
      <c r="B2219" s="11" t="n">
        <f aca="false">B2218+1</f>
        <v>47144</v>
      </c>
      <c r="C2219" s="10" t="n">
        <f aca="false">YEAR(B2219)</f>
        <v>2029</v>
      </c>
      <c r="D2219" s="10" t="n">
        <f aca="false">INT((MONTH(B2219)-1)/3)+1</f>
        <v>1</v>
      </c>
      <c r="E2219" s="10" t="n">
        <f aca="false">MONTH(B2219)</f>
        <v>1</v>
      </c>
      <c r="F2219" s="10" t="str">
        <f aca="false">CHOOSE(MOD(A2219-1,5)+1,"Центр","Юг","Север","Запад","Восток")</f>
        <v>Север</v>
      </c>
      <c r="G2219" s="10" t="str">
        <f aca="false">"Округ_"&amp;(MOD(A2219-1,5)+1)&amp;"_"&amp;(MOD(INT((A2219-1)/5),5)+1)</f>
        <v>Округ_3_4</v>
      </c>
      <c r="H2219" s="10" t="str">
        <f aca="false">"Город_"&amp;(MOD(A2219-1,5)+1)&amp;"_"&amp;(MOD(INT((A2219-1)/5),5)+1)&amp;"_"&amp;(MOD(INT((A2219-1)/25),10)+1)</f>
        <v>Город_3_4_9</v>
      </c>
      <c r="I2219" s="10" t="str">
        <f aca="false">CHOOSE(MOD(A2219-1,4)+1,"Электроника","Одежда","Продукты","Мебель")</f>
        <v>Одежда</v>
      </c>
      <c r="J2219" s="10" t="str">
        <f aca="false">CHOOSE(MOD(INT((A2219-1)/4),4)+1,CHOOSE(MOD(A2219-1,4)+1,"Смартфоны","Ноутбуки","Аксессуары","Аудио"),CHOOSE(MOD(A2219-1,4)+1,"Верхняя одежда","Спортивная","Повседневная","Обувь"),CHOOSE(MOD(A2219-1,4)+1,"Молочные","Мясные","Бакалея","Напитки"),CHOOSE(MOD(A2219-1,4)+1,"Мягкая мебель","Корпусная","Офисная","Кухонная"))</f>
        <v>Мясные</v>
      </c>
      <c r="K2219" s="12" t="n">
        <f aca="false">1000+MOD(A2219*317+A2219*A2219*7,49001)</f>
        <v>7057</v>
      </c>
      <c r="L2219" s="12" t="n">
        <f aca="false">1+MOD(A2219*131,100)</f>
        <v>59</v>
      </c>
      <c r="M2219" s="12" t="n">
        <f aca="false">INT(K2219*(0.6+MOD(A2219*43,21)/100))</f>
        <v>5151</v>
      </c>
      <c r="N2219" s="12" t="n">
        <f aca="false">K2219-M2219</f>
        <v>1906</v>
      </c>
    </row>
    <row r="2220" customFormat="false" ht="12.8" hidden="false" customHeight="false" outlineLevel="0" collapsed="false">
      <c r="A2220" s="10" t="n">
        <f aca="false">A2219+1</f>
        <v>2219</v>
      </c>
      <c r="B2220" s="11" t="n">
        <f aca="false">B2219+1</f>
        <v>47145</v>
      </c>
      <c r="C2220" s="10" t="n">
        <f aca="false">YEAR(B2220)</f>
        <v>2029</v>
      </c>
      <c r="D2220" s="10" t="n">
        <f aca="false">INT((MONTH(B2220)-1)/3)+1</f>
        <v>1</v>
      </c>
      <c r="E2220" s="10" t="n">
        <f aca="false">MONTH(B2220)</f>
        <v>1</v>
      </c>
      <c r="F2220" s="10" t="str">
        <f aca="false">CHOOSE(MOD(A2220-1,5)+1,"Центр","Юг","Север","Запад","Восток")</f>
        <v>Запад</v>
      </c>
      <c r="G2220" s="10" t="str">
        <f aca="false">"Округ_"&amp;(MOD(A2220-1,5)+1)&amp;"_"&amp;(MOD(INT((A2220-1)/5),5)+1)</f>
        <v>Округ_4_4</v>
      </c>
      <c r="H2220" s="10" t="str">
        <f aca="false">"Город_"&amp;(MOD(A2220-1,5)+1)&amp;"_"&amp;(MOD(INT((A2220-1)/5),5)+1)&amp;"_"&amp;(MOD(INT((A2220-1)/25),10)+1)</f>
        <v>Город_4_4_9</v>
      </c>
      <c r="I2220" s="10" t="str">
        <f aca="false">CHOOSE(MOD(A2220-1,4)+1,"Электроника","Одежда","Продукты","Мебель")</f>
        <v>Продукты</v>
      </c>
      <c r="J2220" s="10" t="str">
        <f aca="false">CHOOSE(MOD(INT((A2220-1)/4),4)+1,CHOOSE(MOD(A2220-1,4)+1,"Смартфоны","Ноутбуки","Аксессуары","Аудио"),CHOOSE(MOD(A2220-1,4)+1,"Верхняя одежда","Спортивная","Повседневная","Обувь"),CHOOSE(MOD(A2220-1,4)+1,"Молочные","Мясные","Бакалея","Напитки"),CHOOSE(MOD(A2220-1,4)+1,"Мягкая мебель","Корпусная","Офисная","Кухонная"))</f>
        <v>Бакалея</v>
      </c>
      <c r="K2220" s="12" t="n">
        <f aca="false">1000+MOD(A2220*317+A2220*A2220*7,49001)</f>
        <v>38433</v>
      </c>
      <c r="L2220" s="12" t="n">
        <f aca="false">1+MOD(A2220*131,100)</f>
        <v>90</v>
      </c>
      <c r="M2220" s="12" t="n">
        <f aca="false">INT(K2220*(0.6+MOD(A2220*43,21)/100))</f>
        <v>28440</v>
      </c>
      <c r="N2220" s="12" t="n">
        <f aca="false">K2220-M2220</f>
        <v>9993</v>
      </c>
    </row>
    <row r="2221" customFormat="false" ht="12.8" hidden="false" customHeight="false" outlineLevel="0" collapsed="false">
      <c r="A2221" s="10" t="n">
        <f aca="false">A2220+1</f>
        <v>2220</v>
      </c>
      <c r="B2221" s="11" t="n">
        <f aca="false">B2220+1</f>
        <v>47146</v>
      </c>
      <c r="C2221" s="10" t="n">
        <f aca="false">YEAR(B2221)</f>
        <v>2029</v>
      </c>
      <c r="D2221" s="10" t="n">
        <f aca="false">INT((MONTH(B2221)-1)/3)+1</f>
        <v>1</v>
      </c>
      <c r="E2221" s="10" t="n">
        <f aca="false">MONTH(B2221)</f>
        <v>1</v>
      </c>
      <c r="F2221" s="10" t="str">
        <f aca="false">CHOOSE(MOD(A2221-1,5)+1,"Центр","Юг","Север","Запад","Восток")</f>
        <v>Восток</v>
      </c>
      <c r="G2221" s="10" t="str">
        <f aca="false">"Округ_"&amp;(MOD(A2221-1,5)+1)&amp;"_"&amp;(MOD(INT((A2221-1)/5),5)+1)</f>
        <v>Округ_5_4</v>
      </c>
      <c r="H2221" s="10" t="str">
        <f aca="false">"Город_"&amp;(MOD(A2221-1,5)+1)&amp;"_"&amp;(MOD(INT((A2221-1)/5),5)+1)&amp;"_"&amp;(MOD(INT((A2221-1)/25),10)+1)</f>
        <v>Город_5_4_9</v>
      </c>
      <c r="I2221" s="10" t="str">
        <f aca="false">CHOOSE(MOD(A2221-1,4)+1,"Электроника","Одежда","Продукты","Мебель")</f>
        <v>Мебель</v>
      </c>
      <c r="J2221" s="10" t="str">
        <f aca="false">CHOOSE(MOD(INT((A2221-1)/4),4)+1,CHOOSE(MOD(A2221-1,4)+1,"Смартфоны","Ноутбуки","Аксессуары","Аудио"),CHOOSE(MOD(A2221-1,4)+1,"Верхняя одежда","Спортивная","Повседневная","Обувь"),CHOOSE(MOD(A2221-1,4)+1,"Молочные","Мясные","Бакалея","Напитки"),CHOOSE(MOD(A2221-1,4)+1,"Мягкая мебель","Корпусная","Офисная","Кухонная"))</f>
        <v>Напитки</v>
      </c>
      <c r="K2221" s="12" t="n">
        <f aca="false">1000+MOD(A2221*317+A2221*A2221*7,49001)</f>
        <v>20822</v>
      </c>
      <c r="L2221" s="12" t="n">
        <f aca="false">1+MOD(A2221*131,100)</f>
        <v>21</v>
      </c>
      <c r="M2221" s="12" t="n">
        <f aca="false">INT(K2221*(0.6+MOD(A2221*43,21)/100))</f>
        <v>15616</v>
      </c>
      <c r="N2221" s="12" t="n">
        <f aca="false">K2221-M2221</f>
        <v>5206</v>
      </c>
    </row>
    <row r="2222" customFormat="false" ht="12.8" hidden="false" customHeight="false" outlineLevel="0" collapsed="false">
      <c r="A2222" s="10" t="n">
        <f aca="false">A2221+1</f>
        <v>2221</v>
      </c>
      <c r="B2222" s="11" t="n">
        <f aca="false">B2221+1</f>
        <v>47147</v>
      </c>
      <c r="C2222" s="10" t="n">
        <f aca="false">YEAR(B2222)</f>
        <v>2029</v>
      </c>
      <c r="D2222" s="10" t="n">
        <f aca="false">INT((MONTH(B2222)-1)/3)+1</f>
        <v>1</v>
      </c>
      <c r="E2222" s="10" t="n">
        <f aca="false">MONTH(B2222)</f>
        <v>1</v>
      </c>
      <c r="F2222" s="10" t="str">
        <f aca="false">CHOOSE(MOD(A2222-1,5)+1,"Центр","Юг","Север","Запад","Восток")</f>
        <v>Центр</v>
      </c>
      <c r="G2222" s="10" t="str">
        <f aca="false">"Округ_"&amp;(MOD(A2222-1,5)+1)&amp;"_"&amp;(MOD(INT((A2222-1)/5),5)+1)</f>
        <v>Округ_1_5</v>
      </c>
      <c r="H2222" s="10" t="str">
        <f aca="false">"Город_"&amp;(MOD(A2222-1,5)+1)&amp;"_"&amp;(MOD(INT((A2222-1)/5),5)+1)&amp;"_"&amp;(MOD(INT((A2222-1)/25),10)+1)</f>
        <v>Город_1_5_9</v>
      </c>
      <c r="I2222" s="10" t="str">
        <f aca="false">CHOOSE(MOD(A2222-1,4)+1,"Электроника","Одежда","Продукты","Мебель")</f>
        <v>Электроника</v>
      </c>
      <c r="J2222" s="10" t="str">
        <f aca="false">CHOOSE(MOD(INT((A2222-1)/4),4)+1,CHOOSE(MOD(A2222-1,4)+1,"Смартфоны","Ноутбуки","Аксессуары","Аудио"),CHOOSE(MOD(A2222-1,4)+1,"Верхняя одежда","Спортивная","Повседневная","Обувь"),CHOOSE(MOD(A2222-1,4)+1,"Молочные","Мясные","Бакалея","Напитки"),CHOOSE(MOD(A2222-1,4)+1,"Мягкая мебель","Корпусная","Офисная","Кухонная"))</f>
        <v>Мягкая мебель</v>
      </c>
      <c r="K2222" s="12" t="n">
        <f aca="false">1000+MOD(A2222*317+A2222*A2222*7,49001)</f>
        <v>3225</v>
      </c>
      <c r="L2222" s="12" t="n">
        <f aca="false">1+MOD(A2222*131,100)</f>
        <v>52</v>
      </c>
      <c r="M2222" s="12" t="n">
        <f aca="false">INT(K2222*(0.6+MOD(A2222*43,21)/100))</f>
        <v>2451</v>
      </c>
      <c r="N2222" s="12" t="n">
        <f aca="false">K2222-M2222</f>
        <v>774</v>
      </c>
    </row>
    <row r="2223" customFormat="false" ht="12.8" hidden="false" customHeight="false" outlineLevel="0" collapsed="false">
      <c r="A2223" s="10" t="n">
        <f aca="false">A2222+1</f>
        <v>2222</v>
      </c>
      <c r="B2223" s="11" t="n">
        <f aca="false">B2222+1</f>
        <v>47148</v>
      </c>
      <c r="C2223" s="10" t="n">
        <f aca="false">YEAR(B2223)</f>
        <v>2029</v>
      </c>
      <c r="D2223" s="10" t="n">
        <f aca="false">INT((MONTH(B2223)-1)/3)+1</f>
        <v>1</v>
      </c>
      <c r="E2223" s="10" t="n">
        <f aca="false">MONTH(B2223)</f>
        <v>1</v>
      </c>
      <c r="F2223" s="10" t="str">
        <f aca="false">CHOOSE(MOD(A2223-1,5)+1,"Центр","Юг","Север","Запад","Восток")</f>
        <v>Юг</v>
      </c>
      <c r="G2223" s="10" t="str">
        <f aca="false">"Округ_"&amp;(MOD(A2223-1,5)+1)&amp;"_"&amp;(MOD(INT((A2223-1)/5),5)+1)</f>
        <v>Округ_2_5</v>
      </c>
      <c r="H2223" s="10" t="str">
        <f aca="false">"Город_"&amp;(MOD(A2223-1,5)+1)&amp;"_"&amp;(MOD(INT((A2223-1)/5),5)+1)&amp;"_"&amp;(MOD(INT((A2223-1)/25),10)+1)</f>
        <v>Город_2_5_9</v>
      </c>
      <c r="I2223" s="10" t="str">
        <f aca="false">CHOOSE(MOD(A2223-1,4)+1,"Электроника","Одежда","Продукты","Мебель")</f>
        <v>Одежда</v>
      </c>
      <c r="J2223" s="10" t="str">
        <f aca="false">CHOOSE(MOD(INT((A2223-1)/4),4)+1,CHOOSE(MOD(A2223-1,4)+1,"Смартфоны","Ноутбуки","Аксессуары","Аудио"),CHOOSE(MOD(A2223-1,4)+1,"Верхняя одежда","Спортивная","Повседневная","Обувь"),CHOOSE(MOD(A2223-1,4)+1,"Молочные","Мясные","Бакалея","Напитки"),CHOOSE(MOD(A2223-1,4)+1,"Мягкая мебель","Корпусная","Офисная","Кухонная"))</f>
        <v>Корпусная</v>
      </c>
      <c r="K2223" s="12" t="n">
        <f aca="false">1000+MOD(A2223*317+A2223*A2223*7,49001)</f>
        <v>34643</v>
      </c>
      <c r="L2223" s="12" t="n">
        <f aca="false">1+MOD(A2223*131,100)</f>
        <v>83</v>
      </c>
      <c r="M2223" s="12" t="n">
        <f aca="false">INT(K2223*(0.6+MOD(A2223*43,21)/100))</f>
        <v>26675</v>
      </c>
      <c r="N2223" s="12" t="n">
        <f aca="false">K2223-M2223</f>
        <v>7968</v>
      </c>
    </row>
    <row r="2224" customFormat="false" ht="12.8" hidden="false" customHeight="false" outlineLevel="0" collapsed="false">
      <c r="A2224" s="10" t="n">
        <f aca="false">A2223+1</f>
        <v>2223</v>
      </c>
      <c r="B2224" s="11" t="n">
        <f aca="false">B2223+1</f>
        <v>47149</v>
      </c>
      <c r="C2224" s="10" t="n">
        <f aca="false">YEAR(B2224)</f>
        <v>2029</v>
      </c>
      <c r="D2224" s="10" t="n">
        <f aca="false">INT((MONTH(B2224)-1)/3)+1</f>
        <v>1</v>
      </c>
      <c r="E2224" s="10" t="n">
        <f aca="false">MONTH(B2224)</f>
        <v>1</v>
      </c>
      <c r="F2224" s="10" t="str">
        <f aca="false">CHOOSE(MOD(A2224-1,5)+1,"Центр","Юг","Север","Запад","Восток")</f>
        <v>Север</v>
      </c>
      <c r="G2224" s="10" t="str">
        <f aca="false">"Округ_"&amp;(MOD(A2224-1,5)+1)&amp;"_"&amp;(MOD(INT((A2224-1)/5),5)+1)</f>
        <v>Округ_3_5</v>
      </c>
      <c r="H2224" s="10" t="str">
        <f aca="false">"Город_"&amp;(MOD(A2224-1,5)+1)&amp;"_"&amp;(MOD(INT((A2224-1)/5),5)+1)&amp;"_"&amp;(MOD(INT((A2224-1)/25),10)+1)</f>
        <v>Город_3_5_9</v>
      </c>
      <c r="I2224" s="10" t="str">
        <f aca="false">CHOOSE(MOD(A2224-1,4)+1,"Электроника","Одежда","Продукты","Мебель")</f>
        <v>Продукты</v>
      </c>
      <c r="J2224" s="10" t="str">
        <f aca="false">CHOOSE(MOD(INT((A2224-1)/4),4)+1,CHOOSE(MOD(A2224-1,4)+1,"Смартфоны","Ноутбуки","Аксессуары","Аудио"),CHOOSE(MOD(A2224-1,4)+1,"Верхняя одежда","Спортивная","Повседневная","Обувь"),CHOOSE(MOD(A2224-1,4)+1,"Молочные","Мясные","Бакалея","Напитки"),CHOOSE(MOD(A2224-1,4)+1,"Мягкая мебель","Корпусная","Офисная","Кухонная"))</f>
        <v>Офисная</v>
      </c>
      <c r="K2224" s="12" t="n">
        <f aca="false">1000+MOD(A2224*317+A2224*A2224*7,49001)</f>
        <v>17074</v>
      </c>
      <c r="L2224" s="12" t="n">
        <f aca="false">1+MOD(A2224*131,100)</f>
        <v>14</v>
      </c>
      <c r="M2224" s="12" t="n">
        <f aca="false">INT(K2224*(0.6+MOD(A2224*43,21)/100))</f>
        <v>13317</v>
      </c>
      <c r="N2224" s="12" t="n">
        <f aca="false">K2224-M2224</f>
        <v>3757</v>
      </c>
    </row>
    <row r="2225" customFormat="false" ht="12.8" hidden="false" customHeight="false" outlineLevel="0" collapsed="false">
      <c r="A2225" s="10" t="n">
        <f aca="false">A2224+1</f>
        <v>2224</v>
      </c>
      <c r="B2225" s="11" t="n">
        <f aca="false">B2224+1</f>
        <v>47150</v>
      </c>
      <c r="C2225" s="10" t="n">
        <f aca="false">YEAR(B2225)</f>
        <v>2029</v>
      </c>
      <c r="D2225" s="10" t="n">
        <f aca="false">INT((MONTH(B2225)-1)/3)+1</f>
        <v>1</v>
      </c>
      <c r="E2225" s="10" t="n">
        <f aca="false">MONTH(B2225)</f>
        <v>2</v>
      </c>
      <c r="F2225" s="10" t="str">
        <f aca="false">CHOOSE(MOD(A2225-1,5)+1,"Центр","Юг","Север","Запад","Восток")</f>
        <v>Запад</v>
      </c>
      <c r="G2225" s="10" t="str">
        <f aca="false">"Округ_"&amp;(MOD(A2225-1,5)+1)&amp;"_"&amp;(MOD(INT((A2225-1)/5),5)+1)</f>
        <v>Округ_4_5</v>
      </c>
      <c r="H2225" s="10" t="str">
        <f aca="false">"Город_"&amp;(MOD(A2225-1,5)+1)&amp;"_"&amp;(MOD(INT((A2225-1)/5),5)+1)&amp;"_"&amp;(MOD(INT((A2225-1)/25),10)+1)</f>
        <v>Город_4_5_9</v>
      </c>
      <c r="I2225" s="10" t="str">
        <f aca="false">CHOOSE(MOD(A2225-1,4)+1,"Электроника","Одежда","Продукты","Мебель")</f>
        <v>Мебель</v>
      </c>
      <c r="J2225" s="10" t="str">
        <f aca="false">CHOOSE(MOD(INT((A2225-1)/4),4)+1,CHOOSE(MOD(A2225-1,4)+1,"Смартфоны","Ноутбуки","Аксессуары","Аудио"),CHOOSE(MOD(A2225-1,4)+1,"Верхняя одежда","Спортивная","Повседневная","Обувь"),CHOOSE(MOD(A2225-1,4)+1,"Молочные","Мясные","Бакалея","Напитки"),CHOOSE(MOD(A2225-1,4)+1,"Мягкая мебель","Корпусная","Офисная","Кухонная"))</f>
        <v>Кухонная</v>
      </c>
      <c r="K2225" s="12" t="n">
        <f aca="false">1000+MOD(A2225*317+A2225*A2225*7,49001)</f>
        <v>48520</v>
      </c>
      <c r="L2225" s="12" t="n">
        <f aca="false">1+MOD(A2225*131,100)</f>
        <v>45</v>
      </c>
      <c r="M2225" s="12" t="n">
        <f aca="false">INT(K2225*(0.6+MOD(A2225*43,21)/100))</f>
        <v>38330</v>
      </c>
      <c r="N2225" s="12" t="n">
        <f aca="false">K2225-M2225</f>
        <v>10190</v>
      </c>
    </row>
    <row r="2226" customFormat="false" ht="12.8" hidden="false" customHeight="false" outlineLevel="0" collapsed="false">
      <c r="A2226" s="10" t="n">
        <f aca="false">A2225+1</f>
        <v>2225</v>
      </c>
      <c r="B2226" s="11" t="n">
        <f aca="false">B2225+1</f>
        <v>47151</v>
      </c>
      <c r="C2226" s="10" t="n">
        <f aca="false">YEAR(B2226)</f>
        <v>2029</v>
      </c>
      <c r="D2226" s="10" t="n">
        <f aca="false">INT((MONTH(B2226)-1)/3)+1</f>
        <v>1</v>
      </c>
      <c r="E2226" s="10" t="n">
        <f aca="false">MONTH(B2226)</f>
        <v>2</v>
      </c>
      <c r="F2226" s="10" t="str">
        <f aca="false">CHOOSE(MOD(A2226-1,5)+1,"Центр","Юг","Север","Запад","Восток")</f>
        <v>Восток</v>
      </c>
      <c r="G2226" s="10" t="str">
        <f aca="false">"Округ_"&amp;(MOD(A2226-1,5)+1)&amp;"_"&amp;(MOD(INT((A2226-1)/5),5)+1)</f>
        <v>Округ_5_5</v>
      </c>
      <c r="H2226" s="10" t="str">
        <f aca="false">"Город_"&amp;(MOD(A2226-1,5)+1)&amp;"_"&amp;(MOD(INT((A2226-1)/5),5)+1)&amp;"_"&amp;(MOD(INT((A2226-1)/25),10)+1)</f>
        <v>Город_5_5_9</v>
      </c>
      <c r="I2226" s="10" t="str">
        <f aca="false">CHOOSE(MOD(A2226-1,4)+1,"Электроника","Одежда","Продукты","Мебель")</f>
        <v>Электроника</v>
      </c>
      <c r="J2226" s="10" t="str">
        <f aca="false">CHOOSE(MOD(INT((A2226-1)/4),4)+1,CHOOSE(MOD(A2226-1,4)+1,"Смартфоны","Ноутбуки","Аксессуары","Аудио"),CHOOSE(MOD(A2226-1,4)+1,"Верхняя одежда","Спортивная","Повседневная","Обувь"),CHOOSE(MOD(A2226-1,4)+1,"Молочные","Мясные","Бакалея","Напитки"),CHOOSE(MOD(A2226-1,4)+1,"Мягкая мебель","Корпусная","Офисная","Кухонная"))</f>
        <v>Смартфоны</v>
      </c>
      <c r="K2226" s="12" t="n">
        <f aca="false">1000+MOD(A2226*317+A2226*A2226*7,49001)</f>
        <v>30979</v>
      </c>
      <c r="L2226" s="12" t="n">
        <f aca="false">1+MOD(A2226*131,100)</f>
        <v>76</v>
      </c>
      <c r="M2226" s="12" t="n">
        <f aca="false">INT(K2226*(0.6+MOD(A2226*43,21)/100))</f>
        <v>24783</v>
      </c>
      <c r="N2226" s="12" t="n">
        <f aca="false">K2226-M2226</f>
        <v>6196</v>
      </c>
    </row>
    <row r="2227" customFormat="false" ht="12.8" hidden="false" customHeight="false" outlineLevel="0" collapsed="false">
      <c r="A2227" s="10" t="n">
        <f aca="false">A2226+1</f>
        <v>2226</v>
      </c>
      <c r="B2227" s="11" t="n">
        <f aca="false">B2226+1</f>
        <v>47152</v>
      </c>
      <c r="C2227" s="10" t="n">
        <f aca="false">YEAR(B2227)</f>
        <v>2029</v>
      </c>
      <c r="D2227" s="10" t="n">
        <f aca="false">INT((MONTH(B2227)-1)/3)+1</f>
        <v>1</v>
      </c>
      <c r="E2227" s="10" t="n">
        <f aca="false">MONTH(B2227)</f>
        <v>2</v>
      </c>
      <c r="F2227" s="10" t="str">
        <f aca="false">CHOOSE(MOD(A2227-1,5)+1,"Центр","Юг","Север","Запад","Восток")</f>
        <v>Центр</v>
      </c>
      <c r="G2227" s="10" t="str">
        <f aca="false">"Округ_"&amp;(MOD(A2227-1,5)+1)&amp;"_"&amp;(MOD(INT((A2227-1)/5),5)+1)</f>
        <v>Округ_1_1</v>
      </c>
      <c r="H2227" s="10" t="str">
        <f aca="false">"Город_"&amp;(MOD(A2227-1,5)+1)&amp;"_"&amp;(MOD(INT((A2227-1)/5),5)+1)&amp;"_"&amp;(MOD(INT((A2227-1)/25),10)+1)</f>
        <v>Город_1_1_10</v>
      </c>
      <c r="I2227" s="10" t="str">
        <f aca="false">CHOOSE(MOD(A2227-1,4)+1,"Электроника","Одежда","Продукты","Мебель")</f>
        <v>Одежда</v>
      </c>
      <c r="J2227" s="10" t="str">
        <f aca="false">CHOOSE(MOD(INT((A2227-1)/4),4)+1,CHOOSE(MOD(A2227-1,4)+1,"Смартфоны","Ноутбуки","Аксессуары","Аудио"),CHOOSE(MOD(A2227-1,4)+1,"Верхняя одежда","Спортивная","Повседневная","Обувь"),CHOOSE(MOD(A2227-1,4)+1,"Молочные","Мясные","Бакалея","Напитки"),CHOOSE(MOD(A2227-1,4)+1,"Мягкая мебель","Корпусная","Офисная","Кухонная"))</f>
        <v>Ноутбуки</v>
      </c>
      <c r="K2227" s="12" t="n">
        <f aca="false">1000+MOD(A2227*317+A2227*A2227*7,49001)</f>
        <v>13452</v>
      </c>
      <c r="L2227" s="12" t="n">
        <f aca="false">1+MOD(A2227*131,100)</f>
        <v>7</v>
      </c>
      <c r="M2227" s="12" t="n">
        <f aca="false">INT(K2227*(0.6+MOD(A2227*43,21)/100))</f>
        <v>8071</v>
      </c>
      <c r="N2227" s="12" t="n">
        <f aca="false">K2227-M2227</f>
        <v>5381</v>
      </c>
    </row>
    <row r="2228" customFormat="false" ht="12.8" hidden="false" customHeight="false" outlineLevel="0" collapsed="false">
      <c r="A2228" s="10" t="n">
        <f aca="false">A2227+1</f>
        <v>2227</v>
      </c>
      <c r="B2228" s="11" t="n">
        <f aca="false">B2227+1</f>
        <v>47153</v>
      </c>
      <c r="C2228" s="10" t="n">
        <f aca="false">YEAR(B2228)</f>
        <v>2029</v>
      </c>
      <c r="D2228" s="10" t="n">
        <f aca="false">INT((MONTH(B2228)-1)/3)+1</f>
        <v>1</v>
      </c>
      <c r="E2228" s="10" t="n">
        <f aca="false">MONTH(B2228)</f>
        <v>2</v>
      </c>
      <c r="F2228" s="10" t="str">
        <f aca="false">CHOOSE(MOD(A2228-1,5)+1,"Центр","Юг","Север","Запад","Восток")</f>
        <v>Юг</v>
      </c>
      <c r="G2228" s="10" t="str">
        <f aca="false">"Округ_"&amp;(MOD(A2228-1,5)+1)&amp;"_"&amp;(MOD(INT((A2228-1)/5),5)+1)</f>
        <v>Округ_2_1</v>
      </c>
      <c r="H2228" s="10" t="str">
        <f aca="false">"Город_"&amp;(MOD(A2228-1,5)+1)&amp;"_"&amp;(MOD(INT((A2228-1)/5),5)+1)&amp;"_"&amp;(MOD(INT((A2228-1)/25),10)+1)</f>
        <v>Город_2_1_10</v>
      </c>
      <c r="I2228" s="10" t="str">
        <f aca="false">CHOOSE(MOD(A2228-1,4)+1,"Электроника","Одежда","Продукты","Мебель")</f>
        <v>Продукты</v>
      </c>
      <c r="J2228" s="10" t="str">
        <f aca="false">CHOOSE(MOD(INT((A2228-1)/4),4)+1,CHOOSE(MOD(A2228-1,4)+1,"Смартфоны","Ноутбуки","Аксессуары","Аудио"),CHOOSE(MOD(A2228-1,4)+1,"Верхняя одежда","Спортивная","Повседневная","Обувь"),CHOOSE(MOD(A2228-1,4)+1,"Молочные","Мясные","Бакалея","Напитки"),CHOOSE(MOD(A2228-1,4)+1,"Мягкая мебель","Корпусная","Офисная","Кухонная"))</f>
        <v>Аксессуары</v>
      </c>
      <c r="K2228" s="12" t="n">
        <f aca="false">1000+MOD(A2228*317+A2228*A2228*7,49001)</f>
        <v>44940</v>
      </c>
      <c r="L2228" s="12" t="n">
        <f aca="false">1+MOD(A2228*131,100)</f>
        <v>38</v>
      </c>
      <c r="M2228" s="12" t="n">
        <f aca="false">INT(K2228*(0.6+MOD(A2228*43,21)/100))</f>
        <v>27413</v>
      </c>
      <c r="N2228" s="12" t="n">
        <f aca="false">K2228-M2228</f>
        <v>17527</v>
      </c>
    </row>
    <row r="2229" customFormat="false" ht="12.8" hidden="false" customHeight="false" outlineLevel="0" collapsed="false">
      <c r="A2229" s="10" t="n">
        <f aca="false">A2228+1</f>
        <v>2228</v>
      </c>
      <c r="B2229" s="11" t="n">
        <f aca="false">B2228+1</f>
        <v>47154</v>
      </c>
      <c r="C2229" s="10" t="n">
        <f aca="false">YEAR(B2229)</f>
        <v>2029</v>
      </c>
      <c r="D2229" s="10" t="n">
        <f aca="false">INT((MONTH(B2229)-1)/3)+1</f>
        <v>1</v>
      </c>
      <c r="E2229" s="10" t="n">
        <f aca="false">MONTH(B2229)</f>
        <v>2</v>
      </c>
      <c r="F2229" s="10" t="str">
        <f aca="false">CHOOSE(MOD(A2229-1,5)+1,"Центр","Юг","Север","Запад","Восток")</f>
        <v>Север</v>
      </c>
      <c r="G2229" s="10" t="str">
        <f aca="false">"Округ_"&amp;(MOD(A2229-1,5)+1)&amp;"_"&amp;(MOD(INT((A2229-1)/5),5)+1)</f>
        <v>Округ_3_1</v>
      </c>
      <c r="H2229" s="10" t="str">
        <f aca="false">"Город_"&amp;(MOD(A2229-1,5)+1)&amp;"_"&amp;(MOD(INT((A2229-1)/5),5)+1)&amp;"_"&amp;(MOD(INT((A2229-1)/25),10)+1)</f>
        <v>Город_3_1_10</v>
      </c>
      <c r="I2229" s="10" t="str">
        <f aca="false">CHOOSE(MOD(A2229-1,4)+1,"Электроника","Одежда","Продукты","Мебель")</f>
        <v>Мебель</v>
      </c>
      <c r="J2229" s="10" t="str">
        <f aca="false">CHOOSE(MOD(INT((A2229-1)/4),4)+1,CHOOSE(MOD(A2229-1,4)+1,"Смартфоны","Ноутбуки","Аксессуары","Аудио"),CHOOSE(MOD(A2229-1,4)+1,"Верхняя одежда","Спортивная","Повседневная","Обувь"),CHOOSE(MOD(A2229-1,4)+1,"Молочные","Мясные","Бакалея","Напитки"),CHOOSE(MOD(A2229-1,4)+1,"Мягкая мебель","Корпусная","Офисная","Кухонная"))</f>
        <v>Аудио</v>
      </c>
      <c r="K2229" s="12" t="n">
        <f aca="false">1000+MOD(A2229*317+A2229*A2229*7,49001)</f>
        <v>27441</v>
      </c>
      <c r="L2229" s="12" t="n">
        <f aca="false">1+MOD(A2229*131,100)</f>
        <v>69</v>
      </c>
      <c r="M2229" s="12" t="n">
        <f aca="false">INT(K2229*(0.6+MOD(A2229*43,21)/100))</f>
        <v>17013</v>
      </c>
      <c r="N2229" s="12" t="n">
        <f aca="false">K2229-M2229</f>
        <v>10428</v>
      </c>
    </row>
    <row r="2230" customFormat="false" ht="12.8" hidden="false" customHeight="false" outlineLevel="0" collapsed="false">
      <c r="A2230" s="10" t="n">
        <f aca="false">A2229+1</f>
        <v>2229</v>
      </c>
      <c r="B2230" s="11" t="n">
        <f aca="false">B2229+1</f>
        <v>47155</v>
      </c>
      <c r="C2230" s="10" t="n">
        <f aca="false">YEAR(B2230)</f>
        <v>2029</v>
      </c>
      <c r="D2230" s="10" t="n">
        <f aca="false">INT((MONTH(B2230)-1)/3)+1</f>
        <v>1</v>
      </c>
      <c r="E2230" s="10" t="n">
        <f aca="false">MONTH(B2230)</f>
        <v>2</v>
      </c>
      <c r="F2230" s="10" t="str">
        <f aca="false">CHOOSE(MOD(A2230-1,5)+1,"Центр","Юг","Север","Запад","Восток")</f>
        <v>Запад</v>
      </c>
      <c r="G2230" s="10" t="str">
        <f aca="false">"Округ_"&amp;(MOD(A2230-1,5)+1)&amp;"_"&amp;(MOD(INT((A2230-1)/5),5)+1)</f>
        <v>Округ_4_1</v>
      </c>
      <c r="H2230" s="10" t="str">
        <f aca="false">"Город_"&amp;(MOD(A2230-1,5)+1)&amp;"_"&amp;(MOD(INT((A2230-1)/5),5)+1)&amp;"_"&amp;(MOD(INT((A2230-1)/25),10)+1)</f>
        <v>Город_4_1_10</v>
      </c>
      <c r="I2230" s="10" t="str">
        <f aca="false">CHOOSE(MOD(A2230-1,4)+1,"Электроника","Одежда","Продукты","Мебель")</f>
        <v>Электроника</v>
      </c>
      <c r="J2230" s="10" t="str">
        <f aca="false">CHOOSE(MOD(INT((A2230-1)/4),4)+1,CHOOSE(MOD(A2230-1,4)+1,"Смартфоны","Ноутбуки","Аксессуары","Аудио"),CHOOSE(MOD(A2230-1,4)+1,"Верхняя одежда","Спортивная","Повседневная","Обувь"),CHOOSE(MOD(A2230-1,4)+1,"Молочные","Мясные","Бакалея","Напитки"),CHOOSE(MOD(A2230-1,4)+1,"Мягкая мебель","Корпусная","Офисная","Кухонная"))</f>
        <v>Верхняя одежда</v>
      </c>
      <c r="K2230" s="12" t="n">
        <f aca="false">1000+MOD(A2230*317+A2230*A2230*7,49001)</f>
        <v>9956</v>
      </c>
      <c r="L2230" s="12" t="n">
        <f aca="false">1+MOD(A2230*131,100)</f>
        <v>100</v>
      </c>
      <c r="M2230" s="12" t="n">
        <f aca="false">INT(K2230*(0.6+MOD(A2230*43,21)/100))</f>
        <v>6272</v>
      </c>
      <c r="N2230" s="12" t="n">
        <f aca="false">K2230-M2230</f>
        <v>3684</v>
      </c>
    </row>
    <row r="2231" customFormat="false" ht="12.8" hidden="false" customHeight="false" outlineLevel="0" collapsed="false">
      <c r="A2231" s="10" t="n">
        <f aca="false">A2230+1</f>
        <v>2230</v>
      </c>
      <c r="B2231" s="11" t="n">
        <f aca="false">B2230+1</f>
        <v>47156</v>
      </c>
      <c r="C2231" s="10" t="n">
        <f aca="false">YEAR(B2231)</f>
        <v>2029</v>
      </c>
      <c r="D2231" s="10" t="n">
        <f aca="false">INT((MONTH(B2231)-1)/3)+1</f>
        <v>1</v>
      </c>
      <c r="E2231" s="10" t="n">
        <f aca="false">MONTH(B2231)</f>
        <v>2</v>
      </c>
      <c r="F2231" s="10" t="str">
        <f aca="false">CHOOSE(MOD(A2231-1,5)+1,"Центр","Юг","Север","Запад","Восток")</f>
        <v>Восток</v>
      </c>
      <c r="G2231" s="10" t="str">
        <f aca="false">"Округ_"&amp;(MOD(A2231-1,5)+1)&amp;"_"&amp;(MOD(INT((A2231-1)/5),5)+1)</f>
        <v>Округ_5_1</v>
      </c>
      <c r="H2231" s="10" t="str">
        <f aca="false">"Город_"&amp;(MOD(A2231-1,5)+1)&amp;"_"&amp;(MOD(INT((A2231-1)/5),5)+1)&amp;"_"&amp;(MOD(INT((A2231-1)/25),10)+1)</f>
        <v>Город_5_1_10</v>
      </c>
      <c r="I2231" s="10" t="str">
        <f aca="false">CHOOSE(MOD(A2231-1,4)+1,"Электроника","Одежда","Продукты","Мебель")</f>
        <v>Одежда</v>
      </c>
      <c r="J2231" s="10" t="str">
        <f aca="false">CHOOSE(MOD(INT((A2231-1)/4),4)+1,CHOOSE(MOD(A2231-1,4)+1,"Смартфоны","Ноутбуки","Аксессуары","Аудио"),CHOOSE(MOD(A2231-1,4)+1,"Верхняя одежда","Спортивная","Повседневная","Обувь"),CHOOSE(MOD(A2231-1,4)+1,"Молочные","Мясные","Бакалея","Напитки"),CHOOSE(MOD(A2231-1,4)+1,"Мягкая мебель","Корпусная","Офисная","Кухонная"))</f>
        <v>Спортивная</v>
      </c>
      <c r="K2231" s="12" t="n">
        <f aca="false">1000+MOD(A2231*317+A2231*A2231*7,49001)</f>
        <v>41486</v>
      </c>
      <c r="L2231" s="12" t="n">
        <f aca="false">1+MOD(A2231*131,100)</f>
        <v>31</v>
      </c>
      <c r="M2231" s="12" t="n">
        <f aca="false">INT(K2231*(0.6+MOD(A2231*43,21)/100))</f>
        <v>26551</v>
      </c>
      <c r="N2231" s="12" t="n">
        <f aca="false">K2231-M2231</f>
        <v>14935</v>
      </c>
    </row>
    <row r="2232" customFormat="false" ht="12.8" hidden="false" customHeight="false" outlineLevel="0" collapsed="false">
      <c r="A2232" s="10" t="n">
        <f aca="false">A2231+1</f>
        <v>2231</v>
      </c>
      <c r="B2232" s="11" t="n">
        <f aca="false">B2231+1</f>
        <v>47157</v>
      </c>
      <c r="C2232" s="10" t="n">
        <f aca="false">YEAR(B2232)</f>
        <v>2029</v>
      </c>
      <c r="D2232" s="10" t="n">
        <f aca="false">INT((MONTH(B2232)-1)/3)+1</f>
        <v>1</v>
      </c>
      <c r="E2232" s="10" t="n">
        <f aca="false">MONTH(B2232)</f>
        <v>2</v>
      </c>
      <c r="F2232" s="10" t="str">
        <f aca="false">CHOOSE(MOD(A2232-1,5)+1,"Центр","Юг","Север","Запад","Восток")</f>
        <v>Центр</v>
      </c>
      <c r="G2232" s="10" t="str">
        <f aca="false">"Округ_"&amp;(MOD(A2232-1,5)+1)&amp;"_"&amp;(MOD(INT((A2232-1)/5),5)+1)</f>
        <v>Округ_1_2</v>
      </c>
      <c r="H2232" s="10" t="str">
        <f aca="false">"Город_"&amp;(MOD(A2232-1,5)+1)&amp;"_"&amp;(MOD(INT((A2232-1)/5),5)+1)&amp;"_"&amp;(MOD(INT((A2232-1)/25),10)+1)</f>
        <v>Город_1_2_10</v>
      </c>
      <c r="I2232" s="10" t="str">
        <f aca="false">CHOOSE(MOD(A2232-1,4)+1,"Электроника","Одежда","Продукты","Мебель")</f>
        <v>Продукты</v>
      </c>
      <c r="J2232" s="10" t="str">
        <f aca="false">CHOOSE(MOD(INT((A2232-1)/4),4)+1,CHOOSE(MOD(A2232-1,4)+1,"Смартфоны","Ноутбуки","Аксессуары","Аудио"),CHOOSE(MOD(A2232-1,4)+1,"Верхняя одежда","Спортивная","Повседневная","Обувь"),CHOOSE(MOD(A2232-1,4)+1,"Молочные","Мясные","Бакалея","Напитки"),CHOOSE(MOD(A2232-1,4)+1,"Мягкая мебель","Корпусная","Офисная","Кухонная"))</f>
        <v>Повседневная</v>
      </c>
      <c r="K2232" s="12" t="n">
        <f aca="false">1000+MOD(A2232*317+A2232*A2232*7,49001)</f>
        <v>24029</v>
      </c>
      <c r="L2232" s="12" t="n">
        <f aca="false">1+MOD(A2232*131,100)</f>
        <v>62</v>
      </c>
      <c r="M2232" s="12" t="n">
        <f aca="false">INT(K2232*(0.6+MOD(A2232*43,21)/100))</f>
        <v>15618</v>
      </c>
      <c r="N2232" s="12" t="n">
        <f aca="false">K2232-M2232</f>
        <v>8411</v>
      </c>
    </row>
    <row r="2233" customFormat="false" ht="12.8" hidden="false" customHeight="false" outlineLevel="0" collapsed="false">
      <c r="A2233" s="10" t="n">
        <f aca="false">A2232+1</f>
        <v>2232</v>
      </c>
      <c r="B2233" s="11" t="n">
        <f aca="false">B2232+1</f>
        <v>47158</v>
      </c>
      <c r="C2233" s="10" t="n">
        <f aca="false">YEAR(B2233)</f>
        <v>2029</v>
      </c>
      <c r="D2233" s="10" t="n">
        <f aca="false">INT((MONTH(B2233)-1)/3)+1</f>
        <v>1</v>
      </c>
      <c r="E2233" s="10" t="n">
        <f aca="false">MONTH(B2233)</f>
        <v>2</v>
      </c>
      <c r="F2233" s="10" t="str">
        <f aca="false">CHOOSE(MOD(A2233-1,5)+1,"Центр","Юг","Север","Запад","Восток")</f>
        <v>Юг</v>
      </c>
      <c r="G2233" s="10" t="str">
        <f aca="false">"Округ_"&amp;(MOD(A2233-1,5)+1)&amp;"_"&amp;(MOD(INT((A2233-1)/5),5)+1)</f>
        <v>Округ_2_2</v>
      </c>
      <c r="H2233" s="10" t="str">
        <f aca="false">"Город_"&amp;(MOD(A2233-1,5)+1)&amp;"_"&amp;(MOD(INT((A2233-1)/5),5)+1)&amp;"_"&amp;(MOD(INT((A2233-1)/25),10)+1)</f>
        <v>Город_2_2_10</v>
      </c>
      <c r="I2233" s="10" t="str">
        <f aca="false">CHOOSE(MOD(A2233-1,4)+1,"Электроника","Одежда","Продукты","Мебель")</f>
        <v>Мебель</v>
      </c>
      <c r="J2233" s="10" t="str">
        <f aca="false">CHOOSE(MOD(INT((A2233-1)/4),4)+1,CHOOSE(MOD(A2233-1,4)+1,"Смартфоны","Ноутбуки","Аксессуары","Аудио"),CHOOSE(MOD(A2233-1,4)+1,"Верхняя одежда","Спортивная","Повседневная","Обувь"),CHOOSE(MOD(A2233-1,4)+1,"Молочные","Мясные","Бакалея","Напитки"),CHOOSE(MOD(A2233-1,4)+1,"Мягкая мебель","Корпусная","Офисная","Кухонная"))</f>
        <v>Обувь</v>
      </c>
      <c r="K2233" s="12" t="n">
        <f aca="false">1000+MOD(A2233*317+A2233*A2233*7,49001)</f>
        <v>6586</v>
      </c>
      <c r="L2233" s="12" t="n">
        <f aca="false">1+MOD(A2233*131,100)</f>
        <v>93</v>
      </c>
      <c r="M2233" s="12" t="n">
        <f aca="false">INT(K2233*(0.6+MOD(A2233*43,21)/100))</f>
        <v>4346</v>
      </c>
      <c r="N2233" s="12" t="n">
        <f aca="false">K2233-M2233</f>
        <v>2240</v>
      </c>
    </row>
    <row r="2234" customFormat="false" ht="12.8" hidden="false" customHeight="false" outlineLevel="0" collapsed="false">
      <c r="A2234" s="10" t="n">
        <f aca="false">A2233+1</f>
        <v>2233</v>
      </c>
      <c r="B2234" s="11" t="n">
        <f aca="false">B2233+1</f>
        <v>47159</v>
      </c>
      <c r="C2234" s="10" t="n">
        <f aca="false">YEAR(B2234)</f>
        <v>2029</v>
      </c>
      <c r="D2234" s="10" t="n">
        <f aca="false">INT((MONTH(B2234)-1)/3)+1</f>
        <v>1</v>
      </c>
      <c r="E2234" s="10" t="n">
        <f aca="false">MONTH(B2234)</f>
        <v>2</v>
      </c>
      <c r="F2234" s="10" t="str">
        <f aca="false">CHOOSE(MOD(A2234-1,5)+1,"Центр","Юг","Север","Запад","Восток")</f>
        <v>Север</v>
      </c>
      <c r="G2234" s="10" t="str">
        <f aca="false">"Округ_"&amp;(MOD(A2234-1,5)+1)&amp;"_"&amp;(MOD(INT((A2234-1)/5),5)+1)</f>
        <v>Округ_3_2</v>
      </c>
      <c r="H2234" s="10" t="str">
        <f aca="false">"Город_"&amp;(MOD(A2234-1,5)+1)&amp;"_"&amp;(MOD(INT((A2234-1)/5),5)+1)&amp;"_"&amp;(MOD(INT((A2234-1)/25),10)+1)</f>
        <v>Город_3_2_10</v>
      </c>
      <c r="I2234" s="10" t="str">
        <f aca="false">CHOOSE(MOD(A2234-1,4)+1,"Электроника","Одежда","Продукты","Мебель")</f>
        <v>Электроника</v>
      </c>
      <c r="J2234" s="10" t="str">
        <f aca="false">CHOOSE(MOD(INT((A2234-1)/4),4)+1,CHOOSE(MOD(A2234-1,4)+1,"Смартфоны","Ноутбуки","Аксессуары","Аудио"),CHOOSE(MOD(A2234-1,4)+1,"Верхняя одежда","Спортивная","Повседневная","Обувь"),CHOOSE(MOD(A2234-1,4)+1,"Молочные","Мясные","Бакалея","Напитки"),CHOOSE(MOD(A2234-1,4)+1,"Мягкая мебель","Корпусная","Офисная","Кухонная"))</f>
        <v>Молочные</v>
      </c>
      <c r="K2234" s="12" t="n">
        <f aca="false">1000+MOD(A2234*317+A2234*A2234*7,49001)</f>
        <v>38158</v>
      </c>
      <c r="L2234" s="12" t="n">
        <f aca="false">1+MOD(A2234*131,100)</f>
        <v>24</v>
      </c>
      <c r="M2234" s="12" t="n">
        <f aca="false">INT(K2234*(0.6+MOD(A2234*43,21)/100))</f>
        <v>25565</v>
      </c>
      <c r="N2234" s="12" t="n">
        <f aca="false">K2234-M2234</f>
        <v>12593</v>
      </c>
    </row>
    <row r="2235" customFormat="false" ht="12.8" hidden="false" customHeight="false" outlineLevel="0" collapsed="false">
      <c r="A2235" s="10" t="n">
        <f aca="false">A2234+1</f>
        <v>2234</v>
      </c>
      <c r="B2235" s="11" t="n">
        <f aca="false">B2234+1</f>
        <v>47160</v>
      </c>
      <c r="C2235" s="10" t="n">
        <f aca="false">YEAR(B2235)</f>
        <v>2029</v>
      </c>
      <c r="D2235" s="10" t="n">
        <f aca="false">INT((MONTH(B2235)-1)/3)+1</f>
        <v>1</v>
      </c>
      <c r="E2235" s="10" t="n">
        <f aca="false">MONTH(B2235)</f>
        <v>2</v>
      </c>
      <c r="F2235" s="10" t="str">
        <f aca="false">CHOOSE(MOD(A2235-1,5)+1,"Центр","Юг","Север","Запад","Восток")</f>
        <v>Запад</v>
      </c>
      <c r="G2235" s="10" t="str">
        <f aca="false">"Округ_"&amp;(MOD(A2235-1,5)+1)&amp;"_"&amp;(MOD(INT((A2235-1)/5),5)+1)</f>
        <v>Округ_4_2</v>
      </c>
      <c r="H2235" s="10" t="str">
        <f aca="false">"Город_"&amp;(MOD(A2235-1,5)+1)&amp;"_"&amp;(MOD(INT((A2235-1)/5),5)+1)&amp;"_"&amp;(MOD(INT((A2235-1)/25),10)+1)</f>
        <v>Город_4_2_10</v>
      </c>
      <c r="I2235" s="10" t="str">
        <f aca="false">CHOOSE(MOD(A2235-1,4)+1,"Электроника","Одежда","Продукты","Мебель")</f>
        <v>Одежда</v>
      </c>
      <c r="J2235" s="10" t="str">
        <f aca="false">CHOOSE(MOD(INT((A2235-1)/4),4)+1,CHOOSE(MOD(A2235-1,4)+1,"Смартфоны","Ноутбуки","Аксессуары","Аудио"),CHOOSE(MOD(A2235-1,4)+1,"Верхняя одежда","Спортивная","Повседневная","Обувь"),CHOOSE(MOD(A2235-1,4)+1,"Молочные","Мясные","Бакалея","Напитки"),CHOOSE(MOD(A2235-1,4)+1,"Мягкая мебель","Корпусная","Офисная","Кухонная"))</f>
        <v>Мясные</v>
      </c>
      <c r="K2235" s="12" t="n">
        <f aca="false">1000+MOD(A2235*317+A2235*A2235*7,49001)</f>
        <v>20743</v>
      </c>
      <c r="L2235" s="12" t="n">
        <f aca="false">1+MOD(A2235*131,100)</f>
        <v>55</v>
      </c>
      <c r="M2235" s="12" t="n">
        <f aca="false">INT(K2235*(0.6+MOD(A2235*43,21)/100))</f>
        <v>14105</v>
      </c>
      <c r="N2235" s="12" t="n">
        <f aca="false">K2235-M2235</f>
        <v>6638</v>
      </c>
    </row>
    <row r="2236" customFormat="false" ht="12.8" hidden="false" customHeight="false" outlineLevel="0" collapsed="false">
      <c r="A2236" s="10" t="n">
        <f aca="false">A2235+1</f>
        <v>2235</v>
      </c>
      <c r="B2236" s="11" t="n">
        <f aca="false">B2235+1</f>
        <v>47161</v>
      </c>
      <c r="C2236" s="10" t="n">
        <f aca="false">YEAR(B2236)</f>
        <v>2029</v>
      </c>
      <c r="D2236" s="10" t="n">
        <f aca="false">INT((MONTH(B2236)-1)/3)+1</f>
        <v>1</v>
      </c>
      <c r="E2236" s="10" t="n">
        <f aca="false">MONTH(B2236)</f>
        <v>2</v>
      </c>
      <c r="F2236" s="10" t="str">
        <f aca="false">CHOOSE(MOD(A2236-1,5)+1,"Центр","Юг","Север","Запад","Восток")</f>
        <v>Восток</v>
      </c>
      <c r="G2236" s="10" t="str">
        <f aca="false">"Округ_"&amp;(MOD(A2236-1,5)+1)&amp;"_"&amp;(MOD(INT((A2236-1)/5),5)+1)</f>
        <v>Округ_5_2</v>
      </c>
      <c r="H2236" s="10" t="str">
        <f aca="false">"Город_"&amp;(MOD(A2236-1,5)+1)&amp;"_"&amp;(MOD(INT((A2236-1)/5),5)+1)&amp;"_"&amp;(MOD(INT((A2236-1)/25),10)+1)</f>
        <v>Город_5_2_10</v>
      </c>
      <c r="I2236" s="10" t="str">
        <f aca="false">CHOOSE(MOD(A2236-1,4)+1,"Электроника","Одежда","Продукты","Мебель")</f>
        <v>Продукты</v>
      </c>
      <c r="J2236" s="10" t="str">
        <f aca="false">CHOOSE(MOD(INT((A2236-1)/4),4)+1,CHOOSE(MOD(A2236-1,4)+1,"Смартфоны","Ноутбуки","Аксессуары","Аудио"),CHOOSE(MOD(A2236-1,4)+1,"Верхняя одежда","Спортивная","Повседневная","Обувь"),CHOOSE(MOD(A2236-1,4)+1,"Молочные","Мясные","Бакалея","Напитки"),CHOOSE(MOD(A2236-1,4)+1,"Мягкая мебель","Корпусная","Офисная","Кухонная"))</f>
        <v>Бакалея</v>
      </c>
      <c r="K2236" s="12" t="n">
        <f aca="false">1000+MOD(A2236*317+A2236*A2236*7,49001)</f>
        <v>3342</v>
      </c>
      <c r="L2236" s="12" t="n">
        <f aca="false">1+MOD(A2236*131,100)</f>
        <v>86</v>
      </c>
      <c r="M2236" s="12" t="n">
        <f aca="false">INT(K2236*(0.6+MOD(A2236*43,21)/100))</f>
        <v>2305</v>
      </c>
      <c r="N2236" s="12" t="n">
        <f aca="false">K2236-M2236</f>
        <v>1037</v>
      </c>
    </row>
    <row r="2237" customFormat="false" ht="12.8" hidden="false" customHeight="false" outlineLevel="0" collapsed="false">
      <c r="A2237" s="10" t="n">
        <f aca="false">A2236+1</f>
        <v>2236</v>
      </c>
      <c r="B2237" s="11" t="n">
        <f aca="false">B2236+1</f>
        <v>47162</v>
      </c>
      <c r="C2237" s="10" t="n">
        <f aca="false">YEAR(B2237)</f>
        <v>2029</v>
      </c>
      <c r="D2237" s="10" t="n">
        <f aca="false">INT((MONTH(B2237)-1)/3)+1</f>
        <v>1</v>
      </c>
      <c r="E2237" s="10" t="n">
        <f aca="false">MONTH(B2237)</f>
        <v>2</v>
      </c>
      <c r="F2237" s="10" t="str">
        <f aca="false">CHOOSE(MOD(A2237-1,5)+1,"Центр","Юг","Север","Запад","Восток")</f>
        <v>Центр</v>
      </c>
      <c r="G2237" s="10" t="str">
        <f aca="false">"Округ_"&amp;(MOD(A2237-1,5)+1)&amp;"_"&amp;(MOD(INT((A2237-1)/5),5)+1)</f>
        <v>Округ_1_3</v>
      </c>
      <c r="H2237" s="10" t="str">
        <f aca="false">"Город_"&amp;(MOD(A2237-1,5)+1)&amp;"_"&amp;(MOD(INT((A2237-1)/5),5)+1)&amp;"_"&amp;(MOD(INT((A2237-1)/25),10)+1)</f>
        <v>Город_1_3_10</v>
      </c>
      <c r="I2237" s="10" t="str">
        <f aca="false">CHOOSE(MOD(A2237-1,4)+1,"Электроника","Одежда","Продукты","Мебель")</f>
        <v>Мебель</v>
      </c>
      <c r="J2237" s="10" t="str">
        <f aca="false">CHOOSE(MOD(INT((A2237-1)/4),4)+1,CHOOSE(MOD(A2237-1,4)+1,"Смартфоны","Ноутбуки","Аксессуары","Аудио"),CHOOSE(MOD(A2237-1,4)+1,"Верхняя одежда","Спортивная","Повседневная","Обувь"),CHOOSE(MOD(A2237-1,4)+1,"Молочные","Мясные","Бакалея","Напитки"),CHOOSE(MOD(A2237-1,4)+1,"Мягкая мебель","Корпусная","Офисная","Кухонная"))</f>
        <v>Напитки</v>
      </c>
      <c r="K2237" s="12" t="n">
        <f aca="false">1000+MOD(A2237*317+A2237*A2237*7,49001)</f>
        <v>34956</v>
      </c>
      <c r="L2237" s="12" t="n">
        <f aca="false">1+MOD(A2237*131,100)</f>
        <v>17</v>
      </c>
      <c r="M2237" s="12" t="n">
        <f aca="false">INT(K2237*(0.6+MOD(A2237*43,21)/100))</f>
        <v>24469</v>
      </c>
      <c r="N2237" s="12" t="n">
        <f aca="false">K2237-M2237</f>
        <v>10487</v>
      </c>
    </row>
    <row r="2238" customFormat="false" ht="12.8" hidden="false" customHeight="false" outlineLevel="0" collapsed="false">
      <c r="A2238" s="10" t="n">
        <f aca="false">A2237+1</f>
        <v>2237</v>
      </c>
      <c r="B2238" s="11" t="n">
        <f aca="false">B2237+1</f>
        <v>47163</v>
      </c>
      <c r="C2238" s="10" t="n">
        <f aca="false">YEAR(B2238)</f>
        <v>2029</v>
      </c>
      <c r="D2238" s="10" t="n">
        <f aca="false">INT((MONTH(B2238)-1)/3)+1</f>
        <v>1</v>
      </c>
      <c r="E2238" s="10" t="n">
        <f aca="false">MONTH(B2238)</f>
        <v>2</v>
      </c>
      <c r="F2238" s="10" t="str">
        <f aca="false">CHOOSE(MOD(A2238-1,5)+1,"Центр","Юг","Север","Запад","Восток")</f>
        <v>Юг</v>
      </c>
      <c r="G2238" s="10" t="str">
        <f aca="false">"Округ_"&amp;(MOD(A2238-1,5)+1)&amp;"_"&amp;(MOD(INT((A2238-1)/5),5)+1)</f>
        <v>Округ_2_3</v>
      </c>
      <c r="H2238" s="10" t="str">
        <f aca="false">"Город_"&amp;(MOD(A2238-1,5)+1)&amp;"_"&amp;(MOD(INT((A2238-1)/5),5)+1)&amp;"_"&amp;(MOD(INT((A2238-1)/25),10)+1)</f>
        <v>Город_2_3_10</v>
      </c>
      <c r="I2238" s="10" t="str">
        <f aca="false">CHOOSE(MOD(A2238-1,4)+1,"Электроника","Одежда","Продукты","Мебель")</f>
        <v>Электроника</v>
      </c>
      <c r="J2238" s="10" t="str">
        <f aca="false">CHOOSE(MOD(INT((A2238-1)/4),4)+1,CHOOSE(MOD(A2238-1,4)+1,"Смартфоны","Ноутбуки","Аксессуары","Аудио"),CHOOSE(MOD(A2238-1,4)+1,"Верхняя одежда","Спортивная","Повседневная","Обувь"),CHOOSE(MOD(A2238-1,4)+1,"Молочные","Мясные","Бакалея","Напитки"),CHOOSE(MOD(A2238-1,4)+1,"Мягкая мебель","Корпусная","Офисная","Кухонная"))</f>
        <v>Мягкая мебель</v>
      </c>
      <c r="K2238" s="12" t="n">
        <f aca="false">1000+MOD(A2238*317+A2238*A2238*7,49001)</f>
        <v>17583</v>
      </c>
      <c r="L2238" s="12" t="n">
        <f aca="false">1+MOD(A2238*131,100)</f>
        <v>48</v>
      </c>
      <c r="M2238" s="12" t="n">
        <f aca="false">INT(K2238*(0.6+MOD(A2238*43,21)/100))</f>
        <v>12483</v>
      </c>
      <c r="N2238" s="12" t="n">
        <f aca="false">K2238-M2238</f>
        <v>5100</v>
      </c>
    </row>
    <row r="2239" customFormat="false" ht="12.8" hidden="false" customHeight="false" outlineLevel="0" collapsed="false">
      <c r="A2239" s="10" t="n">
        <f aca="false">A2238+1</f>
        <v>2238</v>
      </c>
      <c r="B2239" s="11" t="n">
        <f aca="false">B2238+1</f>
        <v>47164</v>
      </c>
      <c r="C2239" s="10" t="n">
        <f aca="false">YEAR(B2239)</f>
        <v>2029</v>
      </c>
      <c r="D2239" s="10" t="n">
        <f aca="false">INT((MONTH(B2239)-1)/3)+1</f>
        <v>1</v>
      </c>
      <c r="E2239" s="10" t="n">
        <f aca="false">MONTH(B2239)</f>
        <v>2</v>
      </c>
      <c r="F2239" s="10" t="str">
        <f aca="false">CHOOSE(MOD(A2239-1,5)+1,"Центр","Юг","Север","Запад","Восток")</f>
        <v>Север</v>
      </c>
      <c r="G2239" s="10" t="str">
        <f aca="false">"Округ_"&amp;(MOD(A2239-1,5)+1)&amp;"_"&amp;(MOD(INT((A2239-1)/5),5)+1)</f>
        <v>Округ_3_3</v>
      </c>
      <c r="H2239" s="10" t="str">
        <f aca="false">"Город_"&amp;(MOD(A2239-1,5)+1)&amp;"_"&amp;(MOD(INT((A2239-1)/5),5)+1)&amp;"_"&amp;(MOD(INT((A2239-1)/25),10)+1)</f>
        <v>Город_3_3_10</v>
      </c>
      <c r="I2239" s="10" t="str">
        <f aca="false">CHOOSE(MOD(A2239-1,4)+1,"Электроника","Одежда","Продукты","Мебель")</f>
        <v>Одежда</v>
      </c>
      <c r="J2239" s="10" t="str">
        <f aca="false">CHOOSE(MOD(INT((A2239-1)/4),4)+1,CHOOSE(MOD(A2239-1,4)+1,"Смартфоны","Ноутбуки","Аксессуары","Аудио"),CHOOSE(MOD(A2239-1,4)+1,"Верхняя одежда","Спортивная","Повседневная","Обувь"),CHOOSE(MOD(A2239-1,4)+1,"Молочные","Мясные","Бакалея","Напитки"),CHOOSE(MOD(A2239-1,4)+1,"Мягкая мебель","Корпусная","Офисная","Кухонная"))</f>
        <v>Корпусная</v>
      </c>
      <c r="K2239" s="12" t="n">
        <f aca="false">1000+MOD(A2239*317+A2239*A2239*7,49001)</f>
        <v>49225</v>
      </c>
      <c r="L2239" s="12" t="n">
        <f aca="false">1+MOD(A2239*131,100)</f>
        <v>79</v>
      </c>
      <c r="M2239" s="12" t="n">
        <f aca="false">INT(K2239*(0.6+MOD(A2239*43,21)/100))</f>
        <v>35442</v>
      </c>
      <c r="N2239" s="12" t="n">
        <f aca="false">K2239-M2239</f>
        <v>13783</v>
      </c>
    </row>
    <row r="2240" customFormat="false" ht="12.8" hidden="false" customHeight="false" outlineLevel="0" collapsed="false">
      <c r="A2240" s="10" t="n">
        <f aca="false">A2239+1</f>
        <v>2239</v>
      </c>
      <c r="B2240" s="11" t="n">
        <f aca="false">B2239+1</f>
        <v>47165</v>
      </c>
      <c r="C2240" s="10" t="n">
        <f aca="false">YEAR(B2240)</f>
        <v>2029</v>
      </c>
      <c r="D2240" s="10" t="n">
        <f aca="false">INT((MONTH(B2240)-1)/3)+1</f>
        <v>1</v>
      </c>
      <c r="E2240" s="10" t="n">
        <f aca="false">MONTH(B2240)</f>
        <v>2</v>
      </c>
      <c r="F2240" s="10" t="str">
        <f aca="false">CHOOSE(MOD(A2240-1,5)+1,"Центр","Юг","Север","Запад","Восток")</f>
        <v>Запад</v>
      </c>
      <c r="G2240" s="10" t="str">
        <f aca="false">"Округ_"&amp;(MOD(A2240-1,5)+1)&amp;"_"&amp;(MOD(INT((A2240-1)/5),5)+1)</f>
        <v>Округ_4_3</v>
      </c>
      <c r="H2240" s="10" t="str">
        <f aca="false">"Город_"&amp;(MOD(A2240-1,5)+1)&amp;"_"&amp;(MOD(INT((A2240-1)/5),5)+1)&amp;"_"&amp;(MOD(INT((A2240-1)/25),10)+1)</f>
        <v>Город_4_3_10</v>
      </c>
      <c r="I2240" s="10" t="str">
        <f aca="false">CHOOSE(MOD(A2240-1,4)+1,"Электроника","Одежда","Продукты","Мебель")</f>
        <v>Продукты</v>
      </c>
      <c r="J2240" s="10" t="str">
        <f aca="false">CHOOSE(MOD(INT((A2240-1)/4),4)+1,CHOOSE(MOD(A2240-1,4)+1,"Смартфоны","Ноутбуки","Аксессуары","Аудио"),CHOOSE(MOD(A2240-1,4)+1,"Верхняя одежда","Спортивная","Повседневная","Обувь"),CHOOSE(MOD(A2240-1,4)+1,"Молочные","Мясные","Бакалея","Напитки"),CHOOSE(MOD(A2240-1,4)+1,"Мягкая мебель","Корпусная","Офисная","Кухонная"))</f>
        <v>Офисная</v>
      </c>
      <c r="K2240" s="12" t="n">
        <f aca="false">1000+MOD(A2240*317+A2240*A2240*7,49001)</f>
        <v>31880</v>
      </c>
      <c r="L2240" s="12" t="n">
        <f aca="false">1+MOD(A2240*131,100)</f>
        <v>10</v>
      </c>
      <c r="M2240" s="12" t="n">
        <f aca="false">INT(K2240*(0.6+MOD(A2240*43,21)/100))</f>
        <v>23272</v>
      </c>
      <c r="N2240" s="12" t="n">
        <f aca="false">K2240-M2240</f>
        <v>8608</v>
      </c>
    </row>
    <row r="2241" customFormat="false" ht="12.8" hidden="false" customHeight="false" outlineLevel="0" collapsed="false">
      <c r="A2241" s="10" t="n">
        <f aca="false">A2240+1</f>
        <v>2240</v>
      </c>
      <c r="B2241" s="11" t="n">
        <f aca="false">B2240+1</f>
        <v>47166</v>
      </c>
      <c r="C2241" s="10" t="n">
        <f aca="false">YEAR(B2241)</f>
        <v>2029</v>
      </c>
      <c r="D2241" s="10" t="n">
        <f aca="false">INT((MONTH(B2241)-1)/3)+1</f>
        <v>1</v>
      </c>
      <c r="E2241" s="10" t="n">
        <f aca="false">MONTH(B2241)</f>
        <v>2</v>
      </c>
      <c r="F2241" s="10" t="str">
        <f aca="false">CHOOSE(MOD(A2241-1,5)+1,"Центр","Юг","Север","Запад","Восток")</f>
        <v>Восток</v>
      </c>
      <c r="G2241" s="10" t="str">
        <f aca="false">"Округ_"&amp;(MOD(A2241-1,5)+1)&amp;"_"&amp;(MOD(INT((A2241-1)/5),5)+1)</f>
        <v>Округ_5_3</v>
      </c>
      <c r="H2241" s="10" t="str">
        <f aca="false">"Город_"&amp;(MOD(A2241-1,5)+1)&amp;"_"&amp;(MOD(INT((A2241-1)/5),5)+1)&amp;"_"&amp;(MOD(INT((A2241-1)/25),10)+1)</f>
        <v>Город_5_3_10</v>
      </c>
      <c r="I2241" s="10" t="str">
        <f aca="false">CHOOSE(MOD(A2241-1,4)+1,"Электроника","Одежда","Продукты","Мебель")</f>
        <v>Мебель</v>
      </c>
      <c r="J2241" s="10" t="str">
        <f aca="false">CHOOSE(MOD(INT((A2241-1)/4),4)+1,CHOOSE(MOD(A2241-1,4)+1,"Смартфоны","Ноутбуки","Аксессуары","Аудио"),CHOOSE(MOD(A2241-1,4)+1,"Верхняя одежда","Спортивная","Повседневная","Обувь"),CHOOSE(MOD(A2241-1,4)+1,"Молочные","Мясные","Бакалея","Напитки"),CHOOSE(MOD(A2241-1,4)+1,"Мягкая мебель","Корпусная","Офисная","Кухонная"))</f>
        <v>Кухонная</v>
      </c>
      <c r="K2241" s="12" t="n">
        <f aca="false">1000+MOD(A2241*317+A2241*A2241*7,49001)</f>
        <v>14549</v>
      </c>
      <c r="L2241" s="12" t="n">
        <f aca="false">1+MOD(A2241*131,100)</f>
        <v>41</v>
      </c>
      <c r="M2241" s="12" t="n">
        <f aca="false">INT(K2241*(0.6+MOD(A2241*43,21)/100))</f>
        <v>10766</v>
      </c>
      <c r="N2241" s="12" t="n">
        <f aca="false">K2241-M2241</f>
        <v>3783</v>
      </c>
    </row>
    <row r="2242" customFormat="false" ht="12.8" hidden="false" customHeight="false" outlineLevel="0" collapsed="false">
      <c r="A2242" s="10" t="n">
        <f aca="false">A2241+1</f>
        <v>2241</v>
      </c>
      <c r="B2242" s="11" t="n">
        <f aca="false">B2241+1</f>
        <v>47167</v>
      </c>
      <c r="C2242" s="10" t="n">
        <f aca="false">YEAR(B2242)</f>
        <v>2029</v>
      </c>
      <c r="D2242" s="10" t="n">
        <f aca="false">INT((MONTH(B2242)-1)/3)+1</f>
        <v>1</v>
      </c>
      <c r="E2242" s="10" t="n">
        <f aca="false">MONTH(B2242)</f>
        <v>2</v>
      </c>
      <c r="F2242" s="10" t="str">
        <f aca="false">CHOOSE(MOD(A2242-1,5)+1,"Центр","Юг","Север","Запад","Восток")</f>
        <v>Центр</v>
      </c>
      <c r="G2242" s="10" t="str">
        <f aca="false">"Округ_"&amp;(MOD(A2242-1,5)+1)&amp;"_"&amp;(MOD(INT((A2242-1)/5),5)+1)</f>
        <v>Округ_1_4</v>
      </c>
      <c r="H2242" s="10" t="str">
        <f aca="false">"Город_"&amp;(MOD(A2242-1,5)+1)&amp;"_"&amp;(MOD(INT((A2242-1)/5),5)+1)&amp;"_"&amp;(MOD(INT((A2242-1)/25),10)+1)</f>
        <v>Город_1_4_10</v>
      </c>
      <c r="I2242" s="10" t="str">
        <f aca="false">CHOOSE(MOD(A2242-1,4)+1,"Электроника","Одежда","Продукты","Мебель")</f>
        <v>Электроника</v>
      </c>
      <c r="J2242" s="10" t="str">
        <f aca="false">CHOOSE(MOD(INT((A2242-1)/4),4)+1,CHOOSE(MOD(A2242-1,4)+1,"Смартфоны","Ноутбуки","Аксессуары","Аудио"),CHOOSE(MOD(A2242-1,4)+1,"Верхняя одежда","Спортивная","Повседневная","Обувь"),CHOOSE(MOD(A2242-1,4)+1,"Молочные","Мясные","Бакалея","Напитки"),CHOOSE(MOD(A2242-1,4)+1,"Мягкая мебель","Корпусная","Офисная","Кухонная"))</f>
        <v>Смартфоны</v>
      </c>
      <c r="K2242" s="12" t="n">
        <f aca="false">1000+MOD(A2242*317+A2242*A2242*7,49001)</f>
        <v>46233</v>
      </c>
      <c r="L2242" s="12" t="n">
        <f aca="false">1+MOD(A2242*131,100)</f>
        <v>72</v>
      </c>
      <c r="M2242" s="12" t="n">
        <f aca="false">INT(K2242*(0.6+MOD(A2242*43,21)/100))</f>
        <v>34674</v>
      </c>
      <c r="N2242" s="12" t="n">
        <f aca="false">K2242-M2242</f>
        <v>11559</v>
      </c>
    </row>
    <row r="2243" customFormat="false" ht="12.8" hidden="false" customHeight="false" outlineLevel="0" collapsed="false">
      <c r="A2243" s="10" t="n">
        <f aca="false">A2242+1</f>
        <v>2242</v>
      </c>
      <c r="B2243" s="11" t="n">
        <f aca="false">B2242+1</f>
        <v>47168</v>
      </c>
      <c r="C2243" s="10" t="n">
        <f aca="false">YEAR(B2243)</f>
        <v>2029</v>
      </c>
      <c r="D2243" s="10" t="n">
        <f aca="false">INT((MONTH(B2243)-1)/3)+1</f>
        <v>1</v>
      </c>
      <c r="E2243" s="10" t="n">
        <f aca="false">MONTH(B2243)</f>
        <v>2</v>
      </c>
      <c r="F2243" s="10" t="str">
        <f aca="false">CHOOSE(MOD(A2243-1,5)+1,"Центр","Юг","Север","Запад","Восток")</f>
        <v>Юг</v>
      </c>
      <c r="G2243" s="10" t="str">
        <f aca="false">"Округ_"&amp;(MOD(A2243-1,5)+1)&amp;"_"&amp;(MOD(INT((A2243-1)/5),5)+1)</f>
        <v>Округ_2_4</v>
      </c>
      <c r="H2243" s="10" t="str">
        <f aca="false">"Город_"&amp;(MOD(A2243-1,5)+1)&amp;"_"&amp;(MOD(INT((A2243-1)/5),5)+1)&amp;"_"&amp;(MOD(INT((A2243-1)/25),10)+1)</f>
        <v>Город_2_4_10</v>
      </c>
      <c r="I2243" s="10" t="str">
        <f aca="false">CHOOSE(MOD(A2243-1,4)+1,"Электроника","Одежда","Продукты","Мебель")</f>
        <v>Одежда</v>
      </c>
      <c r="J2243" s="10" t="str">
        <f aca="false">CHOOSE(MOD(INT((A2243-1)/4),4)+1,CHOOSE(MOD(A2243-1,4)+1,"Смартфоны","Ноутбуки","Аксессуары","Аудио"),CHOOSE(MOD(A2243-1,4)+1,"Верхняя одежда","Спортивная","Повседневная","Обувь"),CHOOSE(MOD(A2243-1,4)+1,"Молочные","Мясные","Бакалея","Напитки"),CHOOSE(MOD(A2243-1,4)+1,"Мягкая мебель","Корпусная","Офисная","Кухонная"))</f>
        <v>Ноутбуки</v>
      </c>
      <c r="K2243" s="12" t="n">
        <f aca="false">1000+MOD(A2243*317+A2243*A2243*7,49001)</f>
        <v>28930</v>
      </c>
      <c r="L2243" s="12" t="n">
        <f aca="false">1+MOD(A2243*131,100)</f>
        <v>3</v>
      </c>
      <c r="M2243" s="12" t="n">
        <f aca="false">INT(K2243*(0.6+MOD(A2243*43,21)/100))</f>
        <v>21986</v>
      </c>
      <c r="N2243" s="12" t="n">
        <f aca="false">K2243-M2243</f>
        <v>6944</v>
      </c>
    </row>
    <row r="2244" customFormat="false" ht="12.8" hidden="false" customHeight="false" outlineLevel="0" collapsed="false">
      <c r="A2244" s="10" t="n">
        <f aca="false">A2243+1</f>
        <v>2243</v>
      </c>
      <c r="B2244" s="11" t="n">
        <f aca="false">B2243+1</f>
        <v>47169</v>
      </c>
      <c r="C2244" s="10" t="n">
        <f aca="false">YEAR(B2244)</f>
        <v>2029</v>
      </c>
      <c r="D2244" s="10" t="n">
        <f aca="false">INT((MONTH(B2244)-1)/3)+1</f>
        <v>1</v>
      </c>
      <c r="E2244" s="10" t="n">
        <f aca="false">MONTH(B2244)</f>
        <v>2</v>
      </c>
      <c r="F2244" s="10" t="str">
        <f aca="false">CHOOSE(MOD(A2244-1,5)+1,"Центр","Юг","Север","Запад","Восток")</f>
        <v>Север</v>
      </c>
      <c r="G2244" s="10" t="str">
        <f aca="false">"Округ_"&amp;(MOD(A2244-1,5)+1)&amp;"_"&amp;(MOD(INT((A2244-1)/5),5)+1)</f>
        <v>Округ_3_4</v>
      </c>
      <c r="H2244" s="10" t="str">
        <f aca="false">"Город_"&amp;(MOD(A2244-1,5)+1)&amp;"_"&amp;(MOD(INT((A2244-1)/5),5)+1)&amp;"_"&amp;(MOD(INT((A2244-1)/25),10)+1)</f>
        <v>Город_3_4_10</v>
      </c>
      <c r="I2244" s="10" t="str">
        <f aca="false">CHOOSE(MOD(A2244-1,4)+1,"Электроника","Одежда","Продукты","Мебель")</f>
        <v>Продукты</v>
      </c>
      <c r="J2244" s="10" t="str">
        <f aca="false">CHOOSE(MOD(INT((A2244-1)/4),4)+1,CHOOSE(MOD(A2244-1,4)+1,"Смартфоны","Ноутбуки","Аксессуары","Аудио"),CHOOSE(MOD(A2244-1,4)+1,"Верхняя одежда","Спортивная","Повседневная","Обувь"),CHOOSE(MOD(A2244-1,4)+1,"Молочные","Мясные","Бакалея","Напитки"),CHOOSE(MOD(A2244-1,4)+1,"Мягкая мебель","Корпусная","Офисная","Кухонная"))</f>
        <v>Аксессуары</v>
      </c>
      <c r="K2244" s="12" t="n">
        <f aca="false">1000+MOD(A2244*317+A2244*A2244*7,49001)</f>
        <v>11641</v>
      </c>
      <c r="L2244" s="12" t="n">
        <f aca="false">1+MOD(A2244*131,100)</f>
        <v>34</v>
      </c>
      <c r="M2244" s="12" t="n">
        <f aca="false">INT(K2244*(0.6+MOD(A2244*43,21)/100))</f>
        <v>8963</v>
      </c>
      <c r="N2244" s="12" t="n">
        <f aca="false">K2244-M2244</f>
        <v>2678</v>
      </c>
    </row>
    <row r="2245" customFormat="false" ht="12.8" hidden="false" customHeight="false" outlineLevel="0" collapsed="false">
      <c r="A2245" s="10" t="n">
        <f aca="false">A2244+1</f>
        <v>2244</v>
      </c>
      <c r="B2245" s="11" t="n">
        <f aca="false">B2244+1</f>
        <v>47170</v>
      </c>
      <c r="C2245" s="10" t="n">
        <f aca="false">YEAR(B2245)</f>
        <v>2029</v>
      </c>
      <c r="D2245" s="10" t="n">
        <f aca="false">INT((MONTH(B2245)-1)/3)+1</f>
        <v>1</v>
      </c>
      <c r="E2245" s="10" t="n">
        <f aca="false">MONTH(B2245)</f>
        <v>2</v>
      </c>
      <c r="F2245" s="10" t="str">
        <f aca="false">CHOOSE(MOD(A2245-1,5)+1,"Центр","Юг","Север","Запад","Восток")</f>
        <v>Запад</v>
      </c>
      <c r="G2245" s="10" t="str">
        <f aca="false">"Округ_"&amp;(MOD(A2245-1,5)+1)&amp;"_"&amp;(MOD(INT((A2245-1)/5),5)+1)</f>
        <v>Округ_4_4</v>
      </c>
      <c r="H2245" s="10" t="str">
        <f aca="false">"Город_"&amp;(MOD(A2245-1,5)+1)&amp;"_"&amp;(MOD(INT((A2245-1)/5),5)+1)&amp;"_"&amp;(MOD(INT((A2245-1)/25),10)+1)</f>
        <v>Город_4_4_10</v>
      </c>
      <c r="I2245" s="10" t="str">
        <f aca="false">CHOOSE(MOD(A2245-1,4)+1,"Электроника","Одежда","Продукты","Мебель")</f>
        <v>Мебель</v>
      </c>
      <c r="J2245" s="10" t="str">
        <f aca="false">CHOOSE(MOD(INT((A2245-1)/4),4)+1,CHOOSE(MOD(A2245-1,4)+1,"Смартфоны","Ноутбуки","Аксессуары","Аудио"),CHOOSE(MOD(A2245-1,4)+1,"Верхняя одежда","Спортивная","Повседневная","Обувь"),CHOOSE(MOD(A2245-1,4)+1,"Молочные","Мясные","Бакалея","Напитки"),CHOOSE(MOD(A2245-1,4)+1,"Мягкая мебель","Корпусная","Офисная","Кухонная"))</f>
        <v>Аудио</v>
      </c>
      <c r="K2245" s="12" t="n">
        <f aca="false">1000+MOD(A2245*317+A2245*A2245*7,49001)</f>
        <v>43367</v>
      </c>
      <c r="L2245" s="12" t="n">
        <f aca="false">1+MOD(A2245*131,100)</f>
        <v>65</v>
      </c>
      <c r="M2245" s="12" t="n">
        <f aca="false">INT(K2245*(0.6+MOD(A2245*43,21)/100))</f>
        <v>33826</v>
      </c>
      <c r="N2245" s="12" t="n">
        <f aca="false">K2245-M2245</f>
        <v>9541</v>
      </c>
    </row>
    <row r="2246" customFormat="false" ht="12.8" hidden="false" customHeight="false" outlineLevel="0" collapsed="false">
      <c r="A2246" s="10" t="n">
        <f aca="false">A2245+1</f>
        <v>2245</v>
      </c>
      <c r="B2246" s="11" t="n">
        <f aca="false">B2245+1</f>
        <v>47171</v>
      </c>
      <c r="C2246" s="10" t="n">
        <f aca="false">YEAR(B2246)</f>
        <v>2029</v>
      </c>
      <c r="D2246" s="10" t="n">
        <f aca="false">INT((MONTH(B2246)-1)/3)+1</f>
        <v>1</v>
      </c>
      <c r="E2246" s="10" t="n">
        <f aca="false">MONTH(B2246)</f>
        <v>2</v>
      </c>
      <c r="F2246" s="10" t="str">
        <f aca="false">CHOOSE(MOD(A2246-1,5)+1,"Центр","Юг","Север","Запад","Восток")</f>
        <v>Восток</v>
      </c>
      <c r="G2246" s="10" t="str">
        <f aca="false">"Округ_"&amp;(MOD(A2246-1,5)+1)&amp;"_"&amp;(MOD(INT((A2246-1)/5),5)+1)</f>
        <v>Округ_5_4</v>
      </c>
      <c r="H2246" s="10" t="str">
        <f aca="false">"Город_"&amp;(MOD(A2246-1,5)+1)&amp;"_"&amp;(MOD(INT((A2246-1)/5),5)+1)&amp;"_"&amp;(MOD(INT((A2246-1)/25),10)+1)</f>
        <v>Город_5_4_10</v>
      </c>
      <c r="I2246" s="10" t="str">
        <f aca="false">CHOOSE(MOD(A2246-1,4)+1,"Электроника","Одежда","Продукты","Мебель")</f>
        <v>Электроника</v>
      </c>
      <c r="J2246" s="10" t="str">
        <f aca="false">CHOOSE(MOD(INT((A2246-1)/4),4)+1,CHOOSE(MOD(A2246-1,4)+1,"Смартфоны","Ноутбуки","Аксессуары","Аудио"),CHOOSE(MOD(A2246-1,4)+1,"Верхняя одежда","Спортивная","Повседневная","Обувь"),CHOOSE(MOD(A2246-1,4)+1,"Молочные","Мясные","Бакалея","Напитки"),CHOOSE(MOD(A2246-1,4)+1,"Мягкая мебель","Корпусная","Офисная","Кухонная"))</f>
        <v>Верхняя одежда</v>
      </c>
      <c r="K2246" s="12" t="n">
        <f aca="false">1000+MOD(A2246*317+A2246*A2246*7,49001)</f>
        <v>26106</v>
      </c>
      <c r="L2246" s="12" t="n">
        <f aca="false">1+MOD(A2246*131,100)</f>
        <v>96</v>
      </c>
      <c r="M2246" s="12" t="n">
        <f aca="false">INT(K2246*(0.6+MOD(A2246*43,21)/100))</f>
        <v>20623</v>
      </c>
      <c r="N2246" s="12" t="n">
        <f aca="false">K2246-M2246</f>
        <v>5483</v>
      </c>
    </row>
    <row r="2247" customFormat="false" ht="12.8" hidden="false" customHeight="false" outlineLevel="0" collapsed="false">
      <c r="A2247" s="10" t="n">
        <f aca="false">A2246+1</f>
        <v>2246</v>
      </c>
      <c r="B2247" s="11" t="n">
        <f aca="false">B2246+1</f>
        <v>47172</v>
      </c>
      <c r="C2247" s="10" t="n">
        <f aca="false">YEAR(B2247)</f>
        <v>2029</v>
      </c>
      <c r="D2247" s="10" t="n">
        <f aca="false">INT((MONTH(B2247)-1)/3)+1</f>
        <v>1</v>
      </c>
      <c r="E2247" s="10" t="n">
        <f aca="false">MONTH(B2247)</f>
        <v>2</v>
      </c>
      <c r="F2247" s="10" t="str">
        <f aca="false">CHOOSE(MOD(A2247-1,5)+1,"Центр","Юг","Север","Запад","Восток")</f>
        <v>Центр</v>
      </c>
      <c r="G2247" s="10" t="str">
        <f aca="false">"Округ_"&amp;(MOD(A2247-1,5)+1)&amp;"_"&amp;(MOD(INT((A2247-1)/5),5)+1)</f>
        <v>Округ_1_5</v>
      </c>
      <c r="H2247" s="10" t="str">
        <f aca="false">"Город_"&amp;(MOD(A2247-1,5)+1)&amp;"_"&amp;(MOD(INT((A2247-1)/5),5)+1)&amp;"_"&amp;(MOD(INT((A2247-1)/25),10)+1)</f>
        <v>Город_1_5_10</v>
      </c>
      <c r="I2247" s="10" t="str">
        <f aca="false">CHOOSE(MOD(A2247-1,4)+1,"Электроника","Одежда","Продукты","Мебель")</f>
        <v>Одежда</v>
      </c>
      <c r="J2247" s="10" t="str">
        <f aca="false">CHOOSE(MOD(INT((A2247-1)/4),4)+1,CHOOSE(MOD(A2247-1,4)+1,"Смартфоны","Ноутбуки","Аксессуары","Аудио"),CHOOSE(MOD(A2247-1,4)+1,"Верхняя одежда","Спортивная","Повседневная","Обувь"),CHOOSE(MOD(A2247-1,4)+1,"Молочные","Мясные","Бакалея","Напитки"),CHOOSE(MOD(A2247-1,4)+1,"Мягкая мебель","Корпусная","Офисная","Кухонная"))</f>
        <v>Спортивная</v>
      </c>
      <c r="K2247" s="12" t="n">
        <f aca="false">1000+MOD(A2247*317+A2247*A2247*7,49001)</f>
        <v>8859</v>
      </c>
      <c r="L2247" s="12" t="n">
        <f aca="false">1+MOD(A2247*131,100)</f>
        <v>27</v>
      </c>
      <c r="M2247" s="12" t="n">
        <f aca="false">INT(K2247*(0.6+MOD(A2247*43,21)/100))</f>
        <v>7087</v>
      </c>
      <c r="N2247" s="12" t="n">
        <f aca="false">K2247-M2247</f>
        <v>1772</v>
      </c>
    </row>
    <row r="2248" customFormat="false" ht="12.8" hidden="false" customHeight="false" outlineLevel="0" collapsed="false">
      <c r="A2248" s="10" t="n">
        <f aca="false">A2247+1</f>
        <v>2247</v>
      </c>
      <c r="B2248" s="11" t="n">
        <f aca="false">B2247+1</f>
        <v>47173</v>
      </c>
      <c r="C2248" s="10" t="n">
        <f aca="false">YEAR(B2248)</f>
        <v>2029</v>
      </c>
      <c r="D2248" s="10" t="n">
        <f aca="false">INT((MONTH(B2248)-1)/3)+1</f>
        <v>1</v>
      </c>
      <c r="E2248" s="10" t="n">
        <f aca="false">MONTH(B2248)</f>
        <v>2</v>
      </c>
      <c r="F2248" s="10" t="str">
        <f aca="false">CHOOSE(MOD(A2248-1,5)+1,"Центр","Юг","Север","Запад","Восток")</f>
        <v>Юг</v>
      </c>
      <c r="G2248" s="10" t="str">
        <f aca="false">"Округ_"&amp;(MOD(A2248-1,5)+1)&amp;"_"&amp;(MOD(INT((A2248-1)/5),5)+1)</f>
        <v>Округ_2_5</v>
      </c>
      <c r="H2248" s="10" t="str">
        <f aca="false">"Город_"&amp;(MOD(A2248-1,5)+1)&amp;"_"&amp;(MOD(INT((A2248-1)/5),5)+1)&amp;"_"&amp;(MOD(INT((A2248-1)/25),10)+1)</f>
        <v>Город_2_5_10</v>
      </c>
      <c r="I2248" s="10" t="str">
        <f aca="false">CHOOSE(MOD(A2248-1,4)+1,"Электроника","Одежда","Продукты","Мебель")</f>
        <v>Продукты</v>
      </c>
      <c r="J2248" s="10" t="str">
        <f aca="false">CHOOSE(MOD(INT((A2248-1)/4),4)+1,CHOOSE(MOD(A2248-1,4)+1,"Смартфоны","Ноутбуки","Аксессуары","Аудио"),CHOOSE(MOD(A2248-1,4)+1,"Верхняя одежда","Спортивная","Повседневная","Обувь"),CHOOSE(MOD(A2248-1,4)+1,"Молочные","Мясные","Бакалея","Напитки"),CHOOSE(MOD(A2248-1,4)+1,"Мягкая мебель","Корпусная","Офисная","Кухонная"))</f>
        <v>Повседневная</v>
      </c>
      <c r="K2248" s="12" t="n">
        <f aca="false">1000+MOD(A2248*317+A2248*A2248*7,49001)</f>
        <v>40627</v>
      </c>
      <c r="L2248" s="12" t="n">
        <f aca="false">1+MOD(A2248*131,100)</f>
        <v>58</v>
      </c>
      <c r="M2248" s="12" t="n">
        <f aca="false">INT(K2248*(0.6+MOD(A2248*43,21)/100))</f>
        <v>24376</v>
      </c>
      <c r="N2248" s="12" t="n">
        <f aca="false">K2248-M2248</f>
        <v>16251</v>
      </c>
    </row>
    <row r="2249" customFormat="false" ht="12.8" hidden="false" customHeight="false" outlineLevel="0" collapsed="false">
      <c r="A2249" s="10" t="n">
        <f aca="false">A2248+1</f>
        <v>2248</v>
      </c>
      <c r="B2249" s="11" t="n">
        <f aca="false">B2248+1</f>
        <v>47174</v>
      </c>
      <c r="C2249" s="10" t="n">
        <f aca="false">YEAR(B2249)</f>
        <v>2029</v>
      </c>
      <c r="D2249" s="10" t="n">
        <f aca="false">INT((MONTH(B2249)-1)/3)+1</f>
        <v>1</v>
      </c>
      <c r="E2249" s="10" t="n">
        <f aca="false">MONTH(B2249)</f>
        <v>2</v>
      </c>
      <c r="F2249" s="10" t="str">
        <f aca="false">CHOOSE(MOD(A2249-1,5)+1,"Центр","Юг","Север","Запад","Восток")</f>
        <v>Север</v>
      </c>
      <c r="G2249" s="10" t="str">
        <f aca="false">"Округ_"&amp;(MOD(A2249-1,5)+1)&amp;"_"&amp;(MOD(INT((A2249-1)/5),5)+1)</f>
        <v>Округ_3_5</v>
      </c>
      <c r="H2249" s="10" t="str">
        <f aca="false">"Город_"&amp;(MOD(A2249-1,5)+1)&amp;"_"&amp;(MOD(INT((A2249-1)/5),5)+1)&amp;"_"&amp;(MOD(INT((A2249-1)/25),10)+1)</f>
        <v>Город_3_5_10</v>
      </c>
      <c r="I2249" s="10" t="str">
        <f aca="false">CHOOSE(MOD(A2249-1,4)+1,"Электроника","Одежда","Продукты","Мебель")</f>
        <v>Мебель</v>
      </c>
      <c r="J2249" s="10" t="str">
        <f aca="false">CHOOSE(MOD(INT((A2249-1)/4),4)+1,CHOOSE(MOD(A2249-1,4)+1,"Смартфоны","Ноутбуки","Аксессуары","Аудио"),CHOOSE(MOD(A2249-1,4)+1,"Верхняя одежда","Спортивная","Повседневная","Обувь"),CHOOSE(MOD(A2249-1,4)+1,"Молочные","Мясные","Бакалея","Напитки"),CHOOSE(MOD(A2249-1,4)+1,"Мягкая мебель","Корпусная","Офисная","Кухонная"))</f>
        <v>Обувь</v>
      </c>
      <c r="K2249" s="12" t="n">
        <f aca="false">1000+MOD(A2249*317+A2249*A2249*7,49001)</f>
        <v>23408</v>
      </c>
      <c r="L2249" s="12" t="n">
        <f aca="false">1+MOD(A2249*131,100)</f>
        <v>89</v>
      </c>
      <c r="M2249" s="12" t="n">
        <f aca="false">INT(K2249*(0.6+MOD(A2249*43,21)/100))</f>
        <v>14278</v>
      </c>
      <c r="N2249" s="12" t="n">
        <f aca="false">K2249-M2249</f>
        <v>9130</v>
      </c>
    </row>
    <row r="2250" customFormat="false" ht="12.8" hidden="false" customHeight="false" outlineLevel="0" collapsed="false">
      <c r="A2250" s="10" t="n">
        <f aca="false">A2249+1</f>
        <v>2249</v>
      </c>
      <c r="B2250" s="11" t="n">
        <f aca="false">B2249+1</f>
        <v>47175</v>
      </c>
      <c r="C2250" s="10" t="n">
        <f aca="false">YEAR(B2250)</f>
        <v>2029</v>
      </c>
      <c r="D2250" s="10" t="n">
        <f aca="false">INT((MONTH(B2250)-1)/3)+1</f>
        <v>1</v>
      </c>
      <c r="E2250" s="10" t="n">
        <f aca="false">MONTH(B2250)</f>
        <v>2</v>
      </c>
      <c r="F2250" s="10" t="str">
        <f aca="false">CHOOSE(MOD(A2250-1,5)+1,"Центр","Юг","Север","Запад","Восток")</f>
        <v>Запад</v>
      </c>
      <c r="G2250" s="10" t="str">
        <f aca="false">"Округ_"&amp;(MOD(A2250-1,5)+1)&amp;"_"&amp;(MOD(INT((A2250-1)/5),5)+1)</f>
        <v>Округ_4_5</v>
      </c>
      <c r="H2250" s="10" t="str">
        <f aca="false">"Город_"&amp;(MOD(A2250-1,5)+1)&amp;"_"&amp;(MOD(INT((A2250-1)/5),5)+1)&amp;"_"&amp;(MOD(INT((A2250-1)/25),10)+1)</f>
        <v>Город_4_5_10</v>
      </c>
      <c r="I2250" s="10" t="str">
        <f aca="false">CHOOSE(MOD(A2250-1,4)+1,"Электроника","Одежда","Продукты","Мебель")</f>
        <v>Электроника</v>
      </c>
      <c r="J2250" s="10" t="str">
        <f aca="false">CHOOSE(MOD(INT((A2250-1)/4),4)+1,CHOOSE(MOD(A2250-1,4)+1,"Смартфоны","Ноутбуки","Аксессуары","Аудио"),CHOOSE(MOD(A2250-1,4)+1,"Верхняя одежда","Спортивная","Повседневная","Обувь"),CHOOSE(MOD(A2250-1,4)+1,"Молочные","Мясные","Бакалея","Напитки"),CHOOSE(MOD(A2250-1,4)+1,"Мягкая мебель","Корпусная","Офисная","Кухонная"))</f>
        <v>Молочные</v>
      </c>
      <c r="K2250" s="12" t="n">
        <f aca="false">1000+MOD(A2250*317+A2250*A2250*7,49001)</f>
        <v>6203</v>
      </c>
      <c r="L2250" s="12" t="n">
        <f aca="false">1+MOD(A2250*131,100)</f>
        <v>20</v>
      </c>
      <c r="M2250" s="12" t="n">
        <f aca="false">INT(K2250*(0.6+MOD(A2250*43,21)/100))</f>
        <v>3845</v>
      </c>
      <c r="N2250" s="12" t="n">
        <f aca="false">K2250-M2250</f>
        <v>2358</v>
      </c>
    </row>
    <row r="2251" customFormat="false" ht="12.8" hidden="false" customHeight="false" outlineLevel="0" collapsed="false">
      <c r="A2251" s="10" t="n">
        <f aca="false">A2250+1</f>
        <v>2250</v>
      </c>
      <c r="B2251" s="11" t="n">
        <f aca="false">B2250+1</f>
        <v>47176</v>
      </c>
      <c r="C2251" s="10" t="n">
        <f aca="false">YEAR(B2251)</f>
        <v>2029</v>
      </c>
      <c r="D2251" s="10" t="n">
        <f aca="false">INT((MONTH(B2251)-1)/3)+1</f>
        <v>1</v>
      </c>
      <c r="E2251" s="10" t="n">
        <f aca="false">MONTH(B2251)</f>
        <v>2</v>
      </c>
      <c r="F2251" s="10" t="str">
        <f aca="false">CHOOSE(MOD(A2251-1,5)+1,"Центр","Юг","Север","Запад","Восток")</f>
        <v>Восток</v>
      </c>
      <c r="G2251" s="10" t="str">
        <f aca="false">"Округ_"&amp;(MOD(A2251-1,5)+1)&amp;"_"&amp;(MOD(INT((A2251-1)/5),5)+1)</f>
        <v>Округ_5_5</v>
      </c>
      <c r="H2251" s="10" t="str">
        <f aca="false">"Город_"&amp;(MOD(A2251-1,5)+1)&amp;"_"&amp;(MOD(INT((A2251-1)/5),5)+1)&amp;"_"&amp;(MOD(INT((A2251-1)/25),10)+1)</f>
        <v>Город_5_5_10</v>
      </c>
      <c r="I2251" s="10" t="str">
        <f aca="false">CHOOSE(MOD(A2251-1,4)+1,"Электроника","Одежда","Продукты","Мебель")</f>
        <v>Одежда</v>
      </c>
      <c r="J2251" s="10" t="str">
        <f aca="false">CHOOSE(MOD(INT((A2251-1)/4),4)+1,CHOOSE(MOD(A2251-1,4)+1,"Смартфоны","Ноутбуки","Аксессуары","Аудио"),CHOOSE(MOD(A2251-1,4)+1,"Верхняя одежда","Спортивная","Повседневная","Обувь"),CHOOSE(MOD(A2251-1,4)+1,"Молочные","Мясные","Бакалея","Напитки"),CHOOSE(MOD(A2251-1,4)+1,"Мягкая мебель","Корпусная","Офисная","Кухонная"))</f>
        <v>Мясные</v>
      </c>
      <c r="K2251" s="12" t="n">
        <f aca="false">1000+MOD(A2251*317+A2251*A2251*7,49001)</f>
        <v>38013</v>
      </c>
      <c r="L2251" s="12" t="n">
        <f aca="false">1+MOD(A2251*131,100)</f>
        <v>51</v>
      </c>
      <c r="M2251" s="12" t="n">
        <f aca="false">INT(K2251*(0.6+MOD(A2251*43,21)/100))</f>
        <v>23948</v>
      </c>
      <c r="N2251" s="12" t="n">
        <f aca="false">K2251-M2251</f>
        <v>14065</v>
      </c>
    </row>
    <row r="2252" customFormat="false" ht="12.8" hidden="false" customHeight="false" outlineLevel="0" collapsed="false">
      <c r="A2252" s="10" t="n">
        <f aca="false">A2251+1</f>
        <v>2251</v>
      </c>
      <c r="B2252" s="11" t="n">
        <f aca="false">B2251+1</f>
        <v>47177</v>
      </c>
      <c r="C2252" s="10" t="n">
        <f aca="false">YEAR(B2252)</f>
        <v>2029</v>
      </c>
      <c r="D2252" s="10" t="n">
        <f aca="false">INT((MONTH(B2252)-1)/3)+1</f>
        <v>1</v>
      </c>
      <c r="E2252" s="10" t="n">
        <f aca="false">MONTH(B2252)</f>
        <v>2</v>
      </c>
      <c r="F2252" s="10" t="str">
        <f aca="false">CHOOSE(MOD(A2252-1,5)+1,"Центр","Юг","Север","Запад","Восток")</f>
        <v>Центр</v>
      </c>
      <c r="G2252" s="10" t="str">
        <f aca="false">"Округ_"&amp;(MOD(A2252-1,5)+1)&amp;"_"&amp;(MOD(INT((A2252-1)/5),5)+1)</f>
        <v>Округ_1_1</v>
      </c>
      <c r="H2252" s="10" t="str">
        <f aca="false">"Город_"&amp;(MOD(A2252-1,5)+1)&amp;"_"&amp;(MOD(INT((A2252-1)/5),5)+1)&amp;"_"&amp;(MOD(INT((A2252-1)/25),10)+1)</f>
        <v>Город_1_1_1</v>
      </c>
      <c r="I2252" s="10" t="str">
        <f aca="false">CHOOSE(MOD(A2252-1,4)+1,"Электроника","Одежда","Продукты","Мебель")</f>
        <v>Продукты</v>
      </c>
      <c r="J2252" s="10" t="str">
        <f aca="false">CHOOSE(MOD(INT((A2252-1)/4),4)+1,CHOOSE(MOD(A2252-1,4)+1,"Смартфоны","Ноутбуки","Аксессуары","Аудио"),CHOOSE(MOD(A2252-1,4)+1,"Верхняя одежда","Спортивная","Повседневная","Обувь"),CHOOSE(MOD(A2252-1,4)+1,"Молочные","Мясные","Бакалея","Напитки"),CHOOSE(MOD(A2252-1,4)+1,"Мягкая мебель","Корпусная","Офисная","Кухонная"))</f>
        <v>Бакалея</v>
      </c>
      <c r="K2252" s="12" t="n">
        <f aca="false">1000+MOD(A2252*317+A2252*A2252*7,49001)</f>
        <v>20836</v>
      </c>
      <c r="L2252" s="12" t="n">
        <f aca="false">1+MOD(A2252*131,100)</f>
        <v>82</v>
      </c>
      <c r="M2252" s="12" t="n">
        <f aca="false">INT(K2252*(0.6+MOD(A2252*43,21)/100))</f>
        <v>13335</v>
      </c>
      <c r="N2252" s="12" t="n">
        <f aca="false">K2252-M2252</f>
        <v>7501</v>
      </c>
    </row>
    <row r="2253" customFormat="false" ht="12.8" hidden="false" customHeight="false" outlineLevel="0" collapsed="false">
      <c r="A2253" s="10" t="n">
        <f aca="false">A2252+1</f>
        <v>2252</v>
      </c>
      <c r="B2253" s="11" t="n">
        <f aca="false">B2252+1</f>
        <v>47178</v>
      </c>
      <c r="C2253" s="10" t="n">
        <f aca="false">YEAR(B2253)</f>
        <v>2029</v>
      </c>
      <c r="D2253" s="10" t="n">
        <f aca="false">INT((MONTH(B2253)-1)/3)+1</f>
        <v>1</v>
      </c>
      <c r="E2253" s="10" t="n">
        <f aca="false">MONTH(B2253)</f>
        <v>3</v>
      </c>
      <c r="F2253" s="10" t="str">
        <f aca="false">CHOOSE(MOD(A2253-1,5)+1,"Центр","Юг","Север","Запад","Восток")</f>
        <v>Юг</v>
      </c>
      <c r="G2253" s="10" t="str">
        <f aca="false">"Округ_"&amp;(MOD(A2253-1,5)+1)&amp;"_"&amp;(MOD(INT((A2253-1)/5),5)+1)</f>
        <v>Округ_2_1</v>
      </c>
      <c r="H2253" s="10" t="str">
        <f aca="false">"Город_"&amp;(MOD(A2253-1,5)+1)&amp;"_"&amp;(MOD(INT((A2253-1)/5),5)+1)&amp;"_"&amp;(MOD(INT((A2253-1)/25),10)+1)</f>
        <v>Город_2_1_1</v>
      </c>
      <c r="I2253" s="10" t="str">
        <f aca="false">CHOOSE(MOD(A2253-1,4)+1,"Электроника","Одежда","Продукты","Мебель")</f>
        <v>Мебель</v>
      </c>
      <c r="J2253" s="10" t="str">
        <f aca="false">CHOOSE(MOD(INT((A2253-1)/4),4)+1,CHOOSE(MOD(A2253-1,4)+1,"Смартфоны","Ноутбуки","Аксессуары","Аудио"),CHOOSE(MOD(A2253-1,4)+1,"Верхняя одежда","Спортивная","Повседневная","Обувь"),CHOOSE(MOD(A2253-1,4)+1,"Молочные","Мясные","Бакалея","Напитки"),CHOOSE(MOD(A2253-1,4)+1,"Мягкая мебель","Корпусная","Офисная","Кухонная"))</f>
        <v>Напитки</v>
      </c>
      <c r="K2253" s="12" t="n">
        <f aca="false">1000+MOD(A2253*317+A2253*A2253*7,49001)</f>
        <v>3673</v>
      </c>
      <c r="L2253" s="12" t="n">
        <f aca="false">1+MOD(A2253*131,100)</f>
        <v>13</v>
      </c>
      <c r="M2253" s="12" t="n">
        <f aca="false">INT(K2253*(0.6+MOD(A2253*43,21)/100))</f>
        <v>2387</v>
      </c>
      <c r="N2253" s="12" t="n">
        <f aca="false">K2253-M2253</f>
        <v>1286</v>
      </c>
    </row>
    <row r="2254" customFormat="false" ht="12.8" hidden="false" customHeight="false" outlineLevel="0" collapsed="false">
      <c r="A2254" s="10" t="n">
        <f aca="false">A2253+1</f>
        <v>2253</v>
      </c>
      <c r="B2254" s="11" t="n">
        <f aca="false">B2253+1</f>
        <v>47179</v>
      </c>
      <c r="C2254" s="10" t="n">
        <f aca="false">YEAR(B2254)</f>
        <v>2029</v>
      </c>
      <c r="D2254" s="10" t="n">
        <f aca="false">INT((MONTH(B2254)-1)/3)+1</f>
        <v>1</v>
      </c>
      <c r="E2254" s="10" t="n">
        <f aca="false">MONTH(B2254)</f>
        <v>3</v>
      </c>
      <c r="F2254" s="10" t="str">
        <f aca="false">CHOOSE(MOD(A2254-1,5)+1,"Центр","Юг","Север","Запад","Восток")</f>
        <v>Север</v>
      </c>
      <c r="G2254" s="10" t="str">
        <f aca="false">"Округ_"&amp;(MOD(A2254-1,5)+1)&amp;"_"&amp;(MOD(INT((A2254-1)/5),5)+1)</f>
        <v>Округ_3_1</v>
      </c>
      <c r="H2254" s="10" t="str">
        <f aca="false">"Город_"&amp;(MOD(A2254-1,5)+1)&amp;"_"&amp;(MOD(INT((A2254-1)/5),5)+1)&amp;"_"&amp;(MOD(INT((A2254-1)/25),10)+1)</f>
        <v>Город_3_1_1</v>
      </c>
      <c r="I2254" s="10" t="str">
        <f aca="false">CHOOSE(MOD(A2254-1,4)+1,"Электроника","Одежда","Продукты","Мебель")</f>
        <v>Электроника</v>
      </c>
      <c r="J2254" s="10" t="str">
        <f aca="false">CHOOSE(MOD(INT((A2254-1)/4),4)+1,CHOOSE(MOD(A2254-1,4)+1,"Смартфоны","Ноутбуки","Аксессуары","Аудио"),CHOOSE(MOD(A2254-1,4)+1,"Верхняя одежда","Спортивная","Повседневная","Обувь"),CHOOSE(MOD(A2254-1,4)+1,"Молочные","Мясные","Бакалея","Напитки"),CHOOSE(MOD(A2254-1,4)+1,"Мягкая мебель","Корпусная","Офисная","Кухонная"))</f>
        <v>Мягкая мебель</v>
      </c>
      <c r="K2254" s="12" t="n">
        <f aca="false">1000+MOD(A2254*317+A2254*A2254*7,49001)</f>
        <v>35525</v>
      </c>
      <c r="L2254" s="12" t="n">
        <f aca="false">1+MOD(A2254*131,100)</f>
        <v>44</v>
      </c>
      <c r="M2254" s="12" t="n">
        <f aca="false">INT(K2254*(0.6+MOD(A2254*43,21)/100))</f>
        <v>23446</v>
      </c>
      <c r="N2254" s="12" t="n">
        <f aca="false">K2254-M2254</f>
        <v>12079</v>
      </c>
    </row>
    <row r="2255" customFormat="false" ht="12.8" hidden="false" customHeight="false" outlineLevel="0" collapsed="false">
      <c r="A2255" s="10" t="n">
        <f aca="false">A2254+1</f>
        <v>2254</v>
      </c>
      <c r="B2255" s="11" t="n">
        <f aca="false">B2254+1</f>
        <v>47180</v>
      </c>
      <c r="C2255" s="10" t="n">
        <f aca="false">YEAR(B2255)</f>
        <v>2029</v>
      </c>
      <c r="D2255" s="10" t="n">
        <f aca="false">INT((MONTH(B2255)-1)/3)+1</f>
        <v>1</v>
      </c>
      <c r="E2255" s="10" t="n">
        <f aca="false">MONTH(B2255)</f>
        <v>3</v>
      </c>
      <c r="F2255" s="10" t="str">
        <f aca="false">CHOOSE(MOD(A2255-1,5)+1,"Центр","Юг","Север","Запад","Восток")</f>
        <v>Запад</v>
      </c>
      <c r="G2255" s="10" t="str">
        <f aca="false">"Округ_"&amp;(MOD(A2255-1,5)+1)&amp;"_"&amp;(MOD(INT((A2255-1)/5),5)+1)</f>
        <v>Округ_4_1</v>
      </c>
      <c r="H2255" s="10" t="str">
        <f aca="false">"Город_"&amp;(MOD(A2255-1,5)+1)&amp;"_"&amp;(MOD(INT((A2255-1)/5),5)+1)&amp;"_"&amp;(MOD(INT((A2255-1)/25),10)+1)</f>
        <v>Город_4_1_1</v>
      </c>
      <c r="I2255" s="10" t="str">
        <f aca="false">CHOOSE(MOD(A2255-1,4)+1,"Электроника","Одежда","Продукты","Мебель")</f>
        <v>Одежда</v>
      </c>
      <c r="J2255" s="10" t="str">
        <f aca="false">CHOOSE(MOD(INT((A2255-1)/4),4)+1,CHOOSE(MOD(A2255-1,4)+1,"Смартфоны","Ноутбуки","Аксессуары","Аудио"),CHOOSE(MOD(A2255-1,4)+1,"Верхняя одежда","Спортивная","Повседневная","Обувь"),CHOOSE(MOD(A2255-1,4)+1,"Молочные","Мясные","Бакалея","Напитки"),CHOOSE(MOD(A2255-1,4)+1,"Мягкая мебель","Корпусная","Офисная","Кухонная"))</f>
        <v>Корпусная</v>
      </c>
      <c r="K2255" s="12" t="n">
        <f aca="false">1000+MOD(A2255*317+A2255*A2255*7,49001)</f>
        <v>18390</v>
      </c>
      <c r="L2255" s="12" t="n">
        <f aca="false">1+MOD(A2255*131,100)</f>
        <v>75</v>
      </c>
      <c r="M2255" s="12" t="n">
        <f aca="false">INT(K2255*(0.6+MOD(A2255*43,21)/100))</f>
        <v>12321</v>
      </c>
      <c r="N2255" s="12" t="n">
        <f aca="false">K2255-M2255</f>
        <v>6069</v>
      </c>
    </row>
    <row r="2256" customFormat="false" ht="12.8" hidden="false" customHeight="false" outlineLevel="0" collapsed="false">
      <c r="A2256" s="10" t="n">
        <f aca="false">A2255+1</f>
        <v>2255</v>
      </c>
      <c r="B2256" s="11" t="n">
        <f aca="false">B2255+1</f>
        <v>47181</v>
      </c>
      <c r="C2256" s="10" t="n">
        <f aca="false">YEAR(B2256)</f>
        <v>2029</v>
      </c>
      <c r="D2256" s="10" t="n">
        <f aca="false">INT((MONTH(B2256)-1)/3)+1</f>
        <v>1</v>
      </c>
      <c r="E2256" s="10" t="n">
        <f aca="false">MONTH(B2256)</f>
        <v>3</v>
      </c>
      <c r="F2256" s="10" t="str">
        <f aca="false">CHOOSE(MOD(A2256-1,5)+1,"Центр","Юг","Север","Запад","Восток")</f>
        <v>Восток</v>
      </c>
      <c r="G2256" s="10" t="str">
        <f aca="false">"Округ_"&amp;(MOD(A2256-1,5)+1)&amp;"_"&amp;(MOD(INT((A2256-1)/5),5)+1)</f>
        <v>Округ_5_1</v>
      </c>
      <c r="H2256" s="10" t="str">
        <f aca="false">"Город_"&amp;(MOD(A2256-1,5)+1)&amp;"_"&amp;(MOD(INT((A2256-1)/5),5)+1)&amp;"_"&amp;(MOD(INT((A2256-1)/25),10)+1)</f>
        <v>Город_5_1_1</v>
      </c>
      <c r="I2256" s="10" t="str">
        <f aca="false">CHOOSE(MOD(A2256-1,4)+1,"Электроника","Одежда","Продукты","Мебель")</f>
        <v>Продукты</v>
      </c>
      <c r="J2256" s="10" t="str">
        <f aca="false">CHOOSE(MOD(INT((A2256-1)/4),4)+1,CHOOSE(MOD(A2256-1,4)+1,"Смартфоны","Ноутбуки","Аксессуары","Аудио"),CHOOSE(MOD(A2256-1,4)+1,"Верхняя одежда","Спортивная","Повседневная","Обувь"),CHOOSE(MOD(A2256-1,4)+1,"Молочные","Мясные","Бакалея","Напитки"),CHOOSE(MOD(A2256-1,4)+1,"Мягкая мебель","Корпусная","Офисная","Кухонная"))</f>
        <v>Офисная</v>
      </c>
      <c r="K2256" s="12" t="n">
        <f aca="false">1000+MOD(A2256*317+A2256*A2256*7,49001)</f>
        <v>1269</v>
      </c>
      <c r="L2256" s="12" t="n">
        <f aca="false">1+MOD(A2256*131,100)</f>
        <v>6</v>
      </c>
      <c r="M2256" s="12" t="n">
        <f aca="false">INT(K2256*(0.6+MOD(A2256*43,21)/100))</f>
        <v>862</v>
      </c>
      <c r="N2256" s="12" t="n">
        <f aca="false">K2256-M2256</f>
        <v>407</v>
      </c>
    </row>
    <row r="2257" customFormat="false" ht="12.8" hidden="false" customHeight="false" outlineLevel="0" collapsed="false">
      <c r="A2257" s="10" t="n">
        <f aca="false">A2256+1</f>
        <v>2256</v>
      </c>
      <c r="B2257" s="11" t="n">
        <f aca="false">B2256+1</f>
        <v>47182</v>
      </c>
      <c r="C2257" s="10" t="n">
        <f aca="false">YEAR(B2257)</f>
        <v>2029</v>
      </c>
      <c r="D2257" s="10" t="n">
        <f aca="false">INT((MONTH(B2257)-1)/3)+1</f>
        <v>1</v>
      </c>
      <c r="E2257" s="10" t="n">
        <f aca="false">MONTH(B2257)</f>
        <v>3</v>
      </c>
      <c r="F2257" s="10" t="str">
        <f aca="false">CHOOSE(MOD(A2257-1,5)+1,"Центр","Юг","Север","Запад","Восток")</f>
        <v>Центр</v>
      </c>
      <c r="G2257" s="10" t="str">
        <f aca="false">"Округ_"&amp;(MOD(A2257-1,5)+1)&amp;"_"&amp;(MOD(INT((A2257-1)/5),5)+1)</f>
        <v>Округ_1_2</v>
      </c>
      <c r="H2257" s="10" t="str">
        <f aca="false">"Город_"&amp;(MOD(A2257-1,5)+1)&amp;"_"&amp;(MOD(INT((A2257-1)/5),5)+1)&amp;"_"&amp;(MOD(INT((A2257-1)/25),10)+1)</f>
        <v>Город_1_2_1</v>
      </c>
      <c r="I2257" s="10" t="str">
        <f aca="false">CHOOSE(MOD(A2257-1,4)+1,"Электроника","Одежда","Продукты","Мебель")</f>
        <v>Мебель</v>
      </c>
      <c r="J2257" s="10" t="str">
        <f aca="false">CHOOSE(MOD(INT((A2257-1)/4),4)+1,CHOOSE(MOD(A2257-1,4)+1,"Смартфоны","Ноутбуки","Аксессуары","Аудио"),CHOOSE(MOD(A2257-1,4)+1,"Верхняя одежда","Спортивная","Повседневная","Обувь"),CHOOSE(MOD(A2257-1,4)+1,"Молочные","Мясные","Бакалея","Напитки"),CHOOSE(MOD(A2257-1,4)+1,"Мягкая мебель","Корпусная","Офисная","Кухонная"))</f>
        <v>Кухонная</v>
      </c>
      <c r="K2257" s="12" t="n">
        <f aca="false">1000+MOD(A2257*317+A2257*A2257*7,49001)</f>
        <v>33163</v>
      </c>
      <c r="L2257" s="12" t="n">
        <f aca="false">1+MOD(A2257*131,100)</f>
        <v>37</v>
      </c>
      <c r="M2257" s="12" t="n">
        <f aca="false">INT(K2257*(0.6+MOD(A2257*43,21)/100))</f>
        <v>22882</v>
      </c>
      <c r="N2257" s="12" t="n">
        <f aca="false">K2257-M2257</f>
        <v>10281</v>
      </c>
    </row>
    <row r="2258" customFormat="false" ht="12.8" hidden="false" customHeight="false" outlineLevel="0" collapsed="false">
      <c r="A2258" s="10" t="n">
        <f aca="false">A2257+1</f>
        <v>2257</v>
      </c>
      <c r="B2258" s="11" t="n">
        <f aca="false">B2257+1</f>
        <v>47183</v>
      </c>
      <c r="C2258" s="10" t="n">
        <f aca="false">YEAR(B2258)</f>
        <v>2029</v>
      </c>
      <c r="D2258" s="10" t="n">
        <f aca="false">INT((MONTH(B2258)-1)/3)+1</f>
        <v>1</v>
      </c>
      <c r="E2258" s="10" t="n">
        <f aca="false">MONTH(B2258)</f>
        <v>3</v>
      </c>
      <c r="F2258" s="10" t="str">
        <f aca="false">CHOOSE(MOD(A2258-1,5)+1,"Центр","Юг","Север","Запад","Восток")</f>
        <v>Юг</v>
      </c>
      <c r="G2258" s="10" t="str">
        <f aca="false">"Округ_"&amp;(MOD(A2258-1,5)+1)&amp;"_"&amp;(MOD(INT((A2258-1)/5),5)+1)</f>
        <v>Округ_2_2</v>
      </c>
      <c r="H2258" s="10" t="str">
        <f aca="false">"Город_"&amp;(MOD(A2258-1,5)+1)&amp;"_"&amp;(MOD(INT((A2258-1)/5),5)+1)&amp;"_"&amp;(MOD(INT((A2258-1)/25),10)+1)</f>
        <v>Город_2_2_1</v>
      </c>
      <c r="I2258" s="10" t="str">
        <f aca="false">CHOOSE(MOD(A2258-1,4)+1,"Электроника","Одежда","Продукты","Мебель")</f>
        <v>Электроника</v>
      </c>
      <c r="J2258" s="10" t="str">
        <f aca="false">CHOOSE(MOD(INT((A2258-1)/4),4)+1,CHOOSE(MOD(A2258-1,4)+1,"Смартфоны","Ноутбуки","Аксессуары","Аудио"),CHOOSE(MOD(A2258-1,4)+1,"Верхняя одежда","Спортивная","Повседневная","Обувь"),CHOOSE(MOD(A2258-1,4)+1,"Молочные","Мясные","Бакалея","Напитки"),CHOOSE(MOD(A2258-1,4)+1,"Мягкая мебель","Корпусная","Офисная","Кухонная"))</f>
        <v>Смартфоны</v>
      </c>
      <c r="K2258" s="12" t="n">
        <f aca="false">1000+MOD(A2258*317+A2258*A2258*7,49001)</f>
        <v>16070</v>
      </c>
      <c r="L2258" s="12" t="n">
        <f aca="false">1+MOD(A2258*131,100)</f>
        <v>68</v>
      </c>
      <c r="M2258" s="12" t="n">
        <f aca="false">INT(K2258*(0.6+MOD(A2258*43,21)/100))</f>
        <v>11249</v>
      </c>
      <c r="N2258" s="12" t="n">
        <f aca="false">K2258-M2258</f>
        <v>4821</v>
      </c>
    </row>
    <row r="2259" customFormat="false" ht="12.8" hidden="false" customHeight="false" outlineLevel="0" collapsed="false">
      <c r="A2259" s="10" t="n">
        <f aca="false">A2258+1</f>
        <v>2258</v>
      </c>
      <c r="B2259" s="11" t="n">
        <f aca="false">B2258+1</f>
        <v>47184</v>
      </c>
      <c r="C2259" s="10" t="n">
        <f aca="false">YEAR(B2259)</f>
        <v>2029</v>
      </c>
      <c r="D2259" s="10" t="n">
        <f aca="false">INT((MONTH(B2259)-1)/3)+1</f>
        <v>1</v>
      </c>
      <c r="E2259" s="10" t="n">
        <f aca="false">MONTH(B2259)</f>
        <v>3</v>
      </c>
      <c r="F2259" s="10" t="str">
        <f aca="false">CHOOSE(MOD(A2259-1,5)+1,"Центр","Юг","Север","Запад","Восток")</f>
        <v>Север</v>
      </c>
      <c r="G2259" s="10" t="str">
        <f aca="false">"Округ_"&amp;(MOD(A2259-1,5)+1)&amp;"_"&amp;(MOD(INT((A2259-1)/5),5)+1)</f>
        <v>Округ_3_2</v>
      </c>
      <c r="H2259" s="10" t="str">
        <f aca="false">"Город_"&amp;(MOD(A2259-1,5)+1)&amp;"_"&amp;(MOD(INT((A2259-1)/5),5)+1)&amp;"_"&amp;(MOD(INT((A2259-1)/25),10)+1)</f>
        <v>Город_3_2_1</v>
      </c>
      <c r="I2259" s="10" t="str">
        <f aca="false">CHOOSE(MOD(A2259-1,4)+1,"Электроника","Одежда","Продукты","Мебель")</f>
        <v>Одежда</v>
      </c>
      <c r="J2259" s="10" t="str">
        <f aca="false">CHOOSE(MOD(INT((A2259-1)/4),4)+1,CHOOSE(MOD(A2259-1,4)+1,"Смартфоны","Ноутбуки","Аксессуары","Аудио"),CHOOSE(MOD(A2259-1,4)+1,"Верхняя одежда","Спортивная","Повседневная","Обувь"),CHOOSE(MOD(A2259-1,4)+1,"Молочные","Мясные","Бакалея","Напитки"),CHOOSE(MOD(A2259-1,4)+1,"Мягкая мебель","Корпусная","Офисная","Кухонная"))</f>
        <v>Ноутбуки</v>
      </c>
      <c r="K2259" s="12" t="n">
        <f aca="false">1000+MOD(A2259*317+A2259*A2259*7,49001)</f>
        <v>47992</v>
      </c>
      <c r="L2259" s="12" t="n">
        <f aca="false">1+MOD(A2259*131,100)</f>
        <v>99</v>
      </c>
      <c r="M2259" s="12" t="n">
        <f aca="false">INT(K2259*(0.6+MOD(A2259*43,21)/100))</f>
        <v>34074</v>
      </c>
      <c r="N2259" s="12" t="n">
        <f aca="false">K2259-M2259</f>
        <v>13918</v>
      </c>
    </row>
    <row r="2260" customFormat="false" ht="12.8" hidden="false" customHeight="false" outlineLevel="0" collapsed="false">
      <c r="A2260" s="10" t="n">
        <f aca="false">A2259+1</f>
        <v>2259</v>
      </c>
      <c r="B2260" s="11" t="n">
        <f aca="false">B2259+1</f>
        <v>47185</v>
      </c>
      <c r="C2260" s="10" t="n">
        <f aca="false">YEAR(B2260)</f>
        <v>2029</v>
      </c>
      <c r="D2260" s="10" t="n">
        <f aca="false">INT((MONTH(B2260)-1)/3)+1</f>
        <v>1</v>
      </c>
      <c r="E2260" s="10" t="n">
        <f aca="false">MONTH(B2260)</f>
        <v>3</v>
      </c>
      <c r="F2260" s="10" t="str">
        <f aca="false">CHOOSE(MOD(A2260-1,5)+1,"Центр","Юг","Север","Запад","Восток")</f>
        <v>Запад</v>
      </c>
      <c r="G2260" s="10" t="str">
        <f aca="false">"Округ_"&amp;(MOD(A2260-1,5)+1)&amp;"_"&amp;(MOD(INT((A2260-1)/5),5)+1)</f>
        <v>Округ_4_2</v>
      </c>
      <c r="H2260" s="10" t="str">
        <f aca="false">"Город_"&amp;(MOD(A2260-1,5)+1)&amp;"_"&amp;(MOD(INT((A2260-1)/5),5)+1)&amp;"_"&amp;(MOD(INT((A2260-1)/25),10)+1)</f>
        <v>Город_4_2_1</v>
      </c>
      <c r="I2260" s="10" t="str">
        <f aca="false">CHOOSE(MOD(A2260-1,4)+1,"Электроника","Одежда","Продукты","Мебель")</f>
        <v>Продукты</v>
      </c>
      <c r="J2260" s="10" t="str">
        <f aca="false">CHOOSE(MOD(INT((A2260-1)/4),4)+1,CHOOSE(MOD(A2260-1,4)+1,"Смартфоны","Ноутбуки","Аксессуары","Аудио"),CHOOSE(MOD(A2260-1,4)+1,"Верхняя одежда","Спортивная","Повседневная","Обувь"),CHOOSE(MOD(A2260-1,4)+1,"Молочные","Мясные","Бакалея","Напитки"),CHOOSE(MOD(A2260-1,4)+1,"Мягкая мебель","Корпусная","Офисная","Кухонная"))</f>
        <v>Аксессуары</v>
      </c>
      <c r="K2260" s="12" t="n">
        <f aca="false">1000+MOD(A2260*317+A2260*A2260*7,49001)</f>
        <v>30927</v>
      </c>
      <c r="L2260" s="12" t="n">
        <f aca="false">1+MOD(A2260*131,100)</f>
        <v>30</v>
      </c>
      <c r="M2260" s="12" t="n">
        <f aca="false">INT(K2260*(0.6+MOD(A2260*43,21)/100))</f>
        <v>22267</v>
      </c>
      <c r="N2260" s="12" t="n">
        <f aca="false">K2260-M2260</f>
        <v>8660</v>
      </c>
    </row>
    <row r="2261" customFormat="false" ht="12.8" hidden="false" customHeight="false" outlineLevel="0" collapsed="false">
      <c r="A2261" s="10" t="n">
        <f aca="false">A2260+1</f>
        <v>2260</v>
      </c>
      <c r="B2261" s="11" t="n">
        <f aca="false">B2260+1</f>
        <v>47186</v>
      </c>
      <c r="C2261" s="10" t="n">
        <f aca="false">YEAR(B2261)</f>
        <v>2029</v>
      </c>
      <c r="D2261" s="10" t="n">
        <f aca="false">INT((MONTH(B2261)-1)/3)+1</f>
        <v>1</v>
      </c>
      <c r="E2261" s="10" t="n">
        <f aca="false">MONTH(B2261)</f>
        <v>3</v>
      </c>
      <c r="F2261" s="10" t="str">
        <f aca="false">CHOOSE(MOD(A2261-1,5)+1,"Центр","Юг","Север","Запад","Восток")</f>
        <v>Восток</v>
      </c>
      <c r="G2261" s="10" t="str">
        <f aca="false">"Округ_"&amp;(MOD(A2261-1,5)+1)&amp;"_"&amp;(MOD(INT((A2261-1)/5),5)+1)</f>
        <v>Округ_5_2</v>
      </c>
      <c r="H2261" s="10" t="str">
        <f aca="false">"Город_"&amp;(MOD(A2261-1,5)+1)&amp;"_"&amp;(MOD(INT((A2261-1)/5),5)+1)&amp;"_"&amp;(MOD(INT((A2261-1)/25),10)+1)</f>
        <v>Город_5_2_1</v>
      </c>
      <c r="I2261" s="10" t="str">
        <f aca="false">CHOOSE(MOD(A2261-1,4)+1,"Электроника","Одежда","Продукты","Мебель")</f>
        <v>Мебель</v>
      </c>
      <c r="J2261" s="10" t="str">
        <f aca="false">CHOOSE(MOD(INT((A2261-1)/4),4)+1,CHOOSE(MOD(A2261-1,4)+1,"Смартфоны","Ноутбуки","Аксессуары","Аудио"),CHOOSE(MOD(A2261-1,4)+1,"Верхняя одежда","Спортивная","Повседневная","Обувь"),CHOOSE(MOD(A2261-1,4)+1,"Молочные","Мясные","Бакалея","Напитки"),CHOOSE(MOD(A2261-1,4)+1,"Мягкая мебель","Корпусная","Офисная","Кухонная"))</f>
        <v>Аудио</v>
      </c>
      <c r="K2261" s="12" t="n">
        <f aca="false">1000+MOD(A2261*317+A2261*A2261*7,49001)</f>
        <v>13876</v>
      </c>
      <c r="L2261" s="12" t="n">
        <f aca="false">1+MOD(A2261*131,100)</f>
        <v>61</v>
      </c>
      <c r="M2261" s="12" t="n">
        <f aca="false">INT(K2261*(0.6+MOD(A2261*43,21)/100))</f>
        <v>10129</v>
      </c>
      <c r="N2261" s="12" t="n">
        <f aca="false">K2261-M2261</f>
        <v>3747</v>
      </c>
    </row>
    <row r="2262" customFormat="false" ht="12.8" hidden="false" customHeight="false" outlineLevel="0" collapsed="false">
      <c r="A2262" s="10" t="n">
        <f aca="false">A2261+1</f>
        <v>2261</v>
      </c>
      <c r="B2262" s="11" t="n">
        <f aca="false">B2261+1</f>
        <v>47187</v>
      </c>
      <c r="C2262" s="10" t="n">
        <f aca="false">YEAR(B2262)</f>
        <v>2029</v>
      </c>
      <c r="D2262" s="10" t="n">
        <f aca="false">INT((MONTH(B2262)-1)/3)+1</f>
        <v>1</v>
      </c>
      <c r="E2262" s="10" t="n">
        <f aca="false">MONTH(B2262)</f>
        <v>3</v>
      </c>
      <c r="F2262" s="10" t="str">
        <f aca="false">CHOOSE(MOD(A2262-1,5)+1,"Центр","Юг","Север","Запад","Восток")</f>
        <v>Центр</v>
      </c>
      <c r="G2262" s="10" t="str">
        <f aca="false">"Округ_"&amp;(MOD(A2262-1,5)+1)&amp;"_"&amp;(MOD(INT((A2262-1)/5),5)+1)</f>
        <v>Округ_1_3</v>
      </c>
      <c r="H2262" s="10" t="str">
        <f aca="false">"Город_"&amp;(MOD(A2262-1,5)+1)&amp;"_"&amp;(MOD(INT((A2262-1)/5),5)+1)&amp;"_"&amp;(MOD(INT((A2262-1)/25),10)+1)</f>
        <v>Город_1_3_1</v>
      </c>
      <c r="I2262" s="10" t="str">
        <f aca="false">CHOOSE(MOD(A2262-1,4)+1,"Электроника","Одежда","Продукты","Мебель")</f>
        <v>Электроника</v>
      </c>
      <c r="J2262" s="10" t="str">
        <f aca="false">CHOOSE(MOD(INT((A2262-1)/4),4)+1,CHOOSE(MOD(A2262-1,4)+1,"Смартфоны","Ноутбуки","Аксессуары","Аудио"),CHOOSE(MOD(A2262-1,4)+1,"Верхняя одежда","Спортивная","Повседневная","Обувь"),CHOOSE(MOD(A2262-1,4)+1,"Молочные","Мясные","Бакалея","Напитки"),CHOOSE(MOD(A2262-1,4)+1,"Мягкая мебель","Корпусная","Офисная","Кухонная"))</f>
        <v>Верхняя одежда</v>
      </c>
      <c r="K2262" s="12" t="n">
        <f aca="false">1000+MOD(A2262*317+A2262*A2262*7,49001)</f>
        <v>45840</v>
      </c>
      <c r="L2262" s="12" t="n">
        <f aca="false">1+MOD(A2262*131,100)</f>
        <v>92</v>
      </c>
      <c r="M2262" s="12" t="n">
        <f aca="false">INT(K2262*(0.6+MOD(A2262*43,21)/100))</f>
        <v>33921</v>
      </c>
      <c r="N2262" s="12" t="n">
        <f aca="false">K2262-M2262</f>
        <v>11919</v>
      </c>
    </row>
    <row r="2263" customFormat="false" ht="12.8" hidden="false" customHeight="false" outlineLevel="0" collapsed="false">
      <c r="A2263" s="10" t="n">
        <f aca="false">A2262+1</f>
        <v>2262</v>
      </c>
      <c r="B2263" s="11" t="n">
        <f aca="false">B2262+1</f>
        <v>47188</v>
      </c>
      <c r="C2263" s="10" t="n">
        <f aca="false">YEAR(B2263)</f>
        <v>2029</v>
      </c>
      <c r="D2263" s="10" t="n">
        <f aca="false">INT((MONTH(B2263)-1)/3)+1</f>
        <v>1</v>
      </c>
      <c r="E2263" s="10" t="n">
        <f aca="false">MONTH(B2263)</f>
        <v>3</v>
      </c>
      <c r="F2263" s="10" t="str">
        <f aca="false">CHOOSE(MOD(A2263-1,5)+1,"Центр","Юг","Север","Запад","Восток")</f>
        <v>Юг</v>
      </c>
      <c r="G2263" s="10" t="str">
        <f aca="false">"Округ_"&amp;(MOD(A2263-1,5)+1)&amp;"_"&amp;(MOD(INT((A2263-1)/5),5)+1)</f>
        <v>Округ_2_3</v>
      </c>
      <c r="H2263" s="10" t="str">
        <f aca="false">"Город_"&amp;(MOD(A2263-1,5)+1)&amp;"_"&amp;(MOD(INT((A2263-1)/5),5)+1)&amp;"_"&amp;(MOD(INT((A2263-1)/25),10)+1)</f>
        <v>Город_2_3_1</v>
      </c>
      <c r="I2263" s="10" t="str">
        <f aca="false">CHOOSE(MOD(A2263-1,4)+1,"Электроника","Одежда","Продукты","Мебель")</f>
        <v>Одежда</v>
      </c>
      <c r="J2263" s="10" t="str">
        <f aca="false">CHOOSE(MOD(INT((A2263-1)/4),4)+1,CHOOSE(MOD(A2263-1,4)+1,"Смартфоны","Ноутбуки","Аксессуары","Аудио"),CHOOSE(MOD(A2263-1,4)+1,"Верхняя одежда","Спортивная","Повседневная","Обувь"),CHOOSE(MOD(A2263-1,4)+1,"Молочные","Мясные","Бакалея","Напитки"),CHOOSE(MOD(A2263-1,4)+1,"Мягкая мебель","Корпусная","Офисная","Кухонная"))</f>
        <v>Спортивная</v>
      </c>
      <c r="K2263" s="12" t="n">
        <f aca="false">1000+MOD(A2263*317+A2263*A2263*7,49001)</f>
        <v>28817</v>
      </c>
      <c r="L2263" s="12" t="n">
        <f aca="false">1+MOD(A2263*131,100)</f>
        <v>23</v>
      </c>
      <c r="M2263" s="12" t="n">
        <f aca="false">INT(K2263*(0.6+MOD(A2263*43,21)/100))</f>
        <v>21612</v>
      </c>
      <c r="N2263" s="12" t="n">
        <f aca="false">K2263-M2263</f>
        <v>7205</v>
      </c>
    </row>
    <row r="2264" customFormat="false" ht="12.8" hidden="false" customHeight="false" outlineLevel="0" collapsed="false">
      <c r="A2264" s="10" t="n">
        <f aca="false">A2263+1</f>
        <v>2263</v>
      </c>
      <c r="B2264" s="11" t="n">
        <f aca="false">B2263+1</f>
        <v>47189</v>
      </c>
      <c r="C2264" s="10" t="n">
        <f aca="false">YEAR(B2264)</f>
        <v>2029</v>
      </c>
      <c r="D2264" s="10" t="n">
        <f aca="false">INT((MONTH(B2264)-1)/3)+1</f>
        <v>1</v>
      </c>
      <c r="E2264" s="10" t="n">
        <f aca="false">MONTH(B2264)</f>
        <v>3</v>
      </c>
      <c r="F2264" s="10" t="str">
        <f aca="false">CHOOSE(MOD(A2264-1,5)+1,"Центр","Юг","Север","Запад","Восток")</f>
        <v>Север</v>
      </c>
      <c r="G2264" s="10" t="str">
        <f aca="false">"Округ_"&amp;(MOD(A2264-1,5)+1)&amp;"_"&amp;(MOD(INT((A2264-1)/5),5)+1)</f>
        <v>Округ_3_3</v>
      </c>
      <c r="H2264" s="10" t="str">
        <f aca="false">"Город_"&amp;(MOD(A2264-1,5)+1)&amp;"_"&amp;(MOD(INT((A2264-1)/5),5)+1)&amp;"_"&amp;(MOD(INT((A2264-1)/25),10)+1)</f>
        <v>Город_3_3_1</v>
      </c>
      <c r="I2264" s="10" t="str">
        <f aca="false">CHOOSE(MOD(A2264-1,4)+1,"Электроника","Одежда","Продукты","Мебель")</f>
        <v>Продукты</v>
      </c>
      <c r="J2264" s="10" t="str">
        <f aca="false">CHOOSE(MOD(INT((A2264-1)/4),4)+1,CHOOSE(MOD(A2264-1,4)+1,"Смартфоны","Ноутбуки","Аксессуары","Аудио"),CHOOSE(MOD(A2264-1,4)+1,"Верхняя одежда","Спортивная","Повседневная","Обувь"),CHOOSE(MOD(A2264-1,4)+1,"Молочные","Мясные","Бакалея","Напитки"),CHOOSE(MOD(A2264-1,4)+1,"Мягкая мебель","Корпусная","Офисная","Кухонная"))</f>
        <v>Повседневная</v>
      </c>
      <c r="K2264" s="12" t="n">
        <f aca="false">1000+MOD(A2264*317+A2264*A2264*7,49001)</f>
        <v>11808</v>
      </c>
      <c r="L2264" s="12" t="n">
        <f aca="false">1+MOD(A2264*131,100)</f>
        <v>54</v>
      </c>
      <c r="M2264" s="12" t="n">
        <f aca="false">INT(K2264*(0.6+MOD(A2264*43,21)/100))</f>
        <v>8974</v>
      </c>
      <c r="N2264" s="12" t="n">
        <f aca="false">K2264-M2264</f>
        <v>2834</v>
      </c>
    </row>
    <row r="2265" customFormat="false" ht="12.8" hidden="false" customHeight="false" outlineLevel="0" collapsed="false">
      <c r="A2265" s="10" t="n">
        <f aca="false">A2264+1</f>
        <v>2264</v>
      </c>
      <c r="B2265" s="11" t="n">
        <f aca="false">B2264+1</f>
        <v>47190</v>
      </c>
      <c r="C2265" s="10" t="n">
        <f aca="false">YEAR(B2265)</f>
        <v>2029</v>
      </c>
      <c r="D2265" s="10" t="n">
        <f aca="false">INT((MONTH(B2265)-1)/3)+1</f>
        <v>1</v>
      </c>
      <c r="E2265" s="10" t="n">
        <f aca="false">MONTH(B2265)</f>
        <v>3</v>
      </c>
      <c r="F2265" s="10" t="str">
        <f aca="false">CHOOSE(MOD(A2265-1,5)+1,"Центр","Юг","Север","Запад","Восток")</f>
        <v>Запад</v>
      </c>
      <c r="G2265" s="10" t="str">
        <f aca="false">"Округ_"&amp;(MOD(A2265-1,5)+1)&amp;"_"&amp;(MOD(INT((A2265-1)/5),5)+1)</f>
        <v>Округ_4_3</v>
      </c>
      <c r="H2265" s="10" t="str">
        <f aca="false">"Город_"&amp;(MOD(A2265-1,5)+1)&amp;"_"&amp;(MOD(INT((A2265-1)/5),5)+1)&amp;"_"&amp;(MOD(INT((A2265-1)/25),10)+1)</f>
        <v>Город_4_3_1</v>
      </c>
      <c r="I2265" s="10" t="str">
        <f aca="false">CHOOSE(MOD(A2265-1,4)+1,"Электроника","Одежда","Продукты","Мебель")</f>
        <v>Мебель</v>
      </c>
      <c r="J2265" s="10" t="str">
        <f aca="false">CHOOSE(MOD(INT((A2265-1)/4),4)+1,CHOOSE(MOD(A2265-1,4)+1,"Смартфоны","Ноутбуки","Аксессуары","Аудио"),CHOOSE(MOD(A2265-1,4)+1,"Верхняя одежда","Спортивная","Повседневная","Обувь"),CHOOSE(MOD(A2265-1,4)+1,"Молочные","Мясные","Бакалея","Напитки"),CHOOSE(MOD(A2265-1,4)+1,"Мягкая мебель","Корпусная","Офисная","Кухонная"))</f>
        <v>Обувь</v>
      </c>
      <c r="K2265" s="12" t="n">
        <f aca="false">1000+MOD(A2265*317+A2265*A2265*7,49001)</f>
        <v>43814</v>
      </c>
      <c r="L2265" s="12" t="n">
        <f aca="false">1+MOD(A2265*131,100)</f>
        <v>85</v>
      </c>
      <c r="M2265" s="12" t="n">
        <f aca="false">INT(K2265*(0.6+MOD(A2265*43,21)/100))</f>
        <v>33736</v>
      </c>
      <c r="N2265" s="12" t="n">
        <f aca="false">K2265-M2265</f>
        <v>10078</v>
      </c>
    </row>
    <row r="2266" customFormat="false" ht="12.8" hidden="false" customHeight="false" outlineLevel="0" collapsed="false">
      <c r="A2266" s="10" t="n">
        <f aca="false">A2265+1</f>
        <v>2265</v>
      </c>
      <c r="B2266" s="11" t="n">
        <f aca="false">B2265+1</f>
        <v>47191</v>
      </c>
      <c r="C2266" s="10" t="n">
        <f aca="false">YEAR(B2266)</f>
        <v>2029</v>
      </c>
      <c r="D2266" s="10" t="n">
        <f aca="false">INT((MONTH(B2266)-1)/3)+1</f>
        <v>1</v>
      </c>
      <c r="E2266" s="10" t="n">
        <f aca="false">MONTH(B2266)</f>
        <v>3</v>
      </c>
      <c r="F2266" s="10" t="str">
        <f aca="false">CHOOSE(MOD(A2266-1,5)+1,"Центр","Юг","Север","Запад","Восток")</f>
        <v>Восток</v>
      </c>
      <c r="G2266" s="10" t="str">
        <f aca="false">"Округ_"&amp;(MOD(A2266-1,5)+1)&amp;"_"&amp;(MOD(INT((A2266-1)/5),5)+1)</f>
        <v>Округ_5_3</v>
      </c>
      <c r="H2266" s="10" t="str">
        <f aca="false">"Город_"&amp;(MOD(A2266-1,5)+1)&amp;"_"&amp;(MOD(INT((A2266-1)/5),5)+1)&amp;"_"&amp;(MOD(INT((A2266-1)/25),10)+1)</f>
        <v>Город_5_3_1</v>
      </c>
      <c r="I2266" s="10" t="str">
        <f aca="false">CHOOSE(MOD(A2266-1,4)+1,"Электроника","Одежда","Продукты","Мебель")</f>
        <v>Электроника</v>
      </c>
      <c r="J2266" s="10" t="str">
        <f aca="false">CHOOSE(MOD(INT((A2266-1)/4),4)+1,CHOOSE(MOD(A2266-1,4)+1,"Смартфоны","Ноутбуки","Аксессуары","Аудио"),CHOOSE(MOD(A2266-1,4)+1,"Верхняя одежда","Спортивная","Повседневная","Обувь"),CHOOSE(MOD(A2266-1,4)+1,"Молочные","Мясные","Бакалея","Напитки"),CHOOSE(MOD(A2266-1,4)+1,"Мягкая мебель","Корпусная","Офисная","Кухонная"))</f>
        <v>Молочные</v>
      </c>
      <c r="K2266" s="12" t="n">
        <f aca="false">1000+MOD(A2266*317+A2266*A2266*7,49001)</f>
        <v>26833</v>
      </c>
      <c r="L2266" s="12" t="n">
        <f aca="false">1+MOD(A2266*131,100)</f>
        <v>16</v>
      </c>
      <c r="M2266" s="12" t="n">
        <f aca="false">INT(K2266*(0.6+MOD(A2266*43,21)/100))</f>
        <v>20929</v>
      </c>
      <c r="N2266" s="12" t="n">
        <f aca="false">K2266-M2266</f>
        <v>5904</v>
      </c>
    </row>
    <row r="2267" customFormat="false" ht="12.8" hidden="false" customHeight="false" outlineLevel="0" collapsed="false">
      <c r="A2267" s="10" t="n">
        <f aca="false">A2266+1</f>
        <v>2266</v>
      </c>
      <c r="B2267" s="11" t="n">
        <f aca="false">B2266+1</f>
        <v>47192</v>
      </c>
      <c r="C2267" s="10" t="n">
        <f aca="false">YEAR(B2267)</f>
        <v>2029</v>
      </c>
      <c r="D2267" s="10" t="n">
        <f aca="false">INT((MONTH(B2267)-1)/3)+1</f>
        <v>1</v>
      </c>
      <c r="E2267" s="10" t="n">
        <f aca="false">MONTH(B2267)</f>
        <v>3</v>
      </c>
      <c r="F2267" s="10" t="str">
        <f aca="false">CHOOSE(MOD(A2267-1,5)+1,"Центр","Юг","Север","Запад","Восток")</f>
        <v>Центр</v>
      </c>
      <c r="G2267" s="10" t="str">
        <f aca="false">"Округ_"&amp;(MOD(A2267-1,5)+1)&amp;"_"&amp;(MOD(INT((A2267-1)/5),5)+1)</f>
        <v>Округ_1_4</v>
      </c>
      <c r="H2267" s="10" t="str">
        <f aca="false">"Город_"&amp;(MOD(A2267-1,5)+1)&amp;"_"&amp;(MOD(INT((A2267-1)/5),5)+1)&amp;"_"&amp;(MOD(INT((A2267-1)/25),10)+1)</f>
        <v>Город_1_4_1</v>
      </c>
      <c r="I2267" s="10" t="str">
        <f aca="false">CHOOSE(MOD(A2267-1,4)+1,"Электроника","Одежда","Продукты","Мебель")</f>
        <v>Одежда</v>
      </c>
      <c r="J2267" s="10" t="str">
        <f aca="false">CHOOSE(MOD(INT((A2267-1)/4),4)+1,CHOOSE(MOD(A2267-1,4)+1,"Смартфоны","Ноутбуки","Аксессуары","Аудио"),CHOOSE(MOD(A2267-1,4)+1,"Верхняя одежда","Спортивная","Повседневная","Обувь"),CHOOSE(MOD(A2267-1,4)+1,"Молочные","Мясные","Бакалея","Напитки"),CHOOSE(MOD(A2267-1,4)+1,"Мягкая мебель","Корпусная","Офисная","Кухонная"))</f>
        <v>Мясные</v>
      </c>
      <c r="K2267" s="12" t="n">
        <f aca="false">1000+MOD(A2267*317+A2267*A2267*7,49001)</f>
        <v>9866</v>
      </c>
      <c r="L2267" s="12" t="n">
        <f aca="false">1+MOD(A2267*131,100)</f>
        <v>47</v>
      </c>
      <c r="M2267" s="12" t="n">
        <f aca="false">INT(K2267*(0.6+MOD(A2267*43,21)/100))</f>
        <v>7794</v>
      </c>
      <c r="N2267" s="12" t="n">
        <f aca="false">K2267-M2267</f>
        <v>2072</v>
      </c>
    </row>
    <row r="2268" customFormat="false" ht="12.8" hidden="false" customHeight="false" outlineLevel="0" collapsed="false">
      <c r="A2268" s="10" t="n">
        <f aca="false">A2267+1</f>
        <v>2267</v>
      </c>
      <c r="B2268" s="11" t="n">
        <f aca="false">B2267+1</f>
        <v>47193</v>
      </c>
      <c r="C2268" s="10" t="n">
        <f aca="false">YEAR(B2268)</f>
        <v>2029</v>
      </c>
      <c r="D2268" s="10" t="n">
        <f aca="false">INT((MONTH(B2268)-1)/3)+1</f>
        <v>1</v>
      </c>
      <c r="E2268" s="10" t="n">
        <f aca="false">MONTH(B2268)</f>
        <v>3</v>
      </c>
      <c r="F2268" s="10" t="str">
        <f aca="false">CHOOSE(MOD(A2268-1,5)+1,"Центр","Юг","Север","Запад","Восток")</f>
        <v>Юг</v>
      </c>
      <c r="G2268" s="10" t="str">
        <f aca="false">"Округ_"&amp;(MOD(A2268-1,5)+1)&amp;"_"&amp;(MOD(INT((A2268-1)/5),5)+1)</f>
        <v>Округ_2_4</v>
      </c>
      <c r="H2268" s="10" t="str">
        <f aca="false">"Город_"&amp;(MOD(A2268-1,5)+1)&amp;"_"&amp;(MOD(INT((A2268-1)/5),5)+1)&amp;"_"&amp;(MOD(INT((A2268-1)/25),10)+1)</f>
        <v>Город_2_4_1</v>
      </c>
      <c r="I2268" s="10" t="str">
        <f aca="false">CHOOSE(MOD(A2268-1,4)+1,"Электроника","Одежда","Продукты","Мебель")</f>
        <v>Продукты</v>
      </c>
      <c r="J2268" s="10" t="str">
        <f aca="false">CHOOSE(MOD(INT((A2268-1)/4),4)+1,CHOOSE(MOD(A2268-1,4)+1,"Смартфоны","Ноутбуки","Аксессуары","Аудио"),CHOOSE(MOD(A2268-1,4)+1,"Верхняя одежда","Спортивная","Повседневная","Обувь"),CHOOSE(MOD(A2268-1,4)+1,"Молочные","Мясные","Бакалея","Напитки"),CHOOSE(MOD(A2268-1,4)+1,"Мягкая мебель","Корпусная","Офисная","Кухонная"))</f>
        <v>Бакалея</v>
      </c>
      <c r="K2268" s="12" t="n">
        <f aca="false">1000+MOD(A2268*317+A2268*A2268*7,49001)</f>
        <v>41914</v>
      </c>
      <c r="L2268" s="12" t="n">
        <f aca="false">1+MOD(A2268*131,100)</f>
        <v>78</v>
      </c>
      <c r="M2268" s="12" t="n">
        <f aca="false">INT(K2268*(0.6+MOD(A2268*43,21)/100))</f>
        <v>33531</v>
      </c>
      <c r="N2268" s="12" t="n">
        <f aca="false">K2268-M2268</f>
        <v>8383</v>
      </c>
    </row>
    <row r="2269" customFormat="false" ht="12.8" hidden="false" customHeight="false" outlineLevel="0" collapsed="false">
      <c r="A2269" s="10" t="n">
        <f aca="false">A2268+1</f>
        <v>2268</v>
      </c>
      <c r="B2269" s="11" t="n">
        <f aca="false">B2268+1</f>
        <v>47194</v>
      </c>
      <c r="C2269" s="10" t="n">
        <f aca="false">YEAR(B2269)</f>
        <v>2029</v>
      </c>
      <c r="D2269" s="10" t="n">
        <f aca="false">INT((MONTH(B2269)-1)/3)+1</f>
        <v>1</v>
      </c>
      <c r="E2269" s="10" t="n">
        <f aca="false">MONTH(B2269)</f>
        <v>3</v>
      </c>
      <c r="F2269" s="10" t="str">
        <f aca="false">CHOOSE(MOD(A2269-1,5)+1,"Центр","Юг","Север","Запад","Восток")</f>
        <v>Север</v>
      </c>
      <c r="G2269" s="10" t="str">
        <f aca="false">"Округ_"&amp;(MOD(A2269-1,5)+1)&amp;"_"&amp;(MOD(INT((A2269-1)/5),5)+1)</f>
        <v>Округ_3_4</v>
      </c>
      <c r="H2269" s="10" t="str">
        <f aca="false">"Город_"&amp;(MOD(A2269-1,5)+1)&amp;"_"&amp;(MOD(INT((A2269-1)/5),5)+1)&amp;"_"&amp;(MOD(INT((A2269-1)/25),10)+1)</f>
        <v>Город_3_4_1</v>
      </c>
      <c r="I2269" s="10" t="str">
        <f aca="false">CHOOSE(MOD(A2269-1,4)+1,"Электроника","Одежда","Продукты","Мебель")</f>
        <v>Мебель</v>
      </c>
      <c r="J2269" s="10" t="str">
        <f aca="false">CHOOSE(MOD(INT((A2269-1)/4),4)+1,CHOOSE(MOD(A2269-1,4)+1,"Смартфоны","Ноутбуки","Аксессуары","Аудио"),CHOOSE(MOD(A2269-1,4)+1,"Верхняя одежда","Спортивная","Повседневная","Обувь"),CHOOSE(MOD(A2269-1,4)+1,"Молочные","Мясные","Бакалея","Напитки"),CHOOSE(MOD(A2269-1,4)+1,"Мягкая мебель","Корпусная","Офисная","Кухонная"))</f>
        <v>Напитки</v>
      </c>
      <c r="K2269" s="12" t="n">
        <f aca="false">1000+MOD(A2269*317+A2269*A2269*7,49001)</f>
        <v>24975</v>
      </c>
      <c r="L2269" s="12" t="n">
        <f aca="false">1+MOD(A2269*131,100)</f>
        <v>9</v>
      </c>
      <c r="M2269" s="12" t="n">
        <f aca="false">INT(K2269*(0.6+MOD(A2269*43,21)/100))</f>
        <v>14985</v>
      </c>
      <c r="N2269" s="12" t="n">
        <f aca="false">K2269-M2269</f>
        <v>9990</v>
      </c>
    </row>
    <row r="2270" customFormat="false" ht="12.8" hidden="false" customHeight="false" outlineLevel="0" collapsed="false">
      <c r="A2270" s="10" t="n">
        <f aca="false">A2269+1</f>
        <v>2269</v>
      </c>
      <c r="B2270" s="11" t="n">
        <f aca="false">B2269+1</f>
        <v>47195</v>
      </c>
      <c r="C2270" s="10" t="n">
        <f aca="false">YEAR(B2270)</f>
        <v>2029</v>
      </c>
      <c r="D2270" s="10" t="n">
        <f aca="false">INT((MONTH(B2270)-1)/3)+1</f>
        <v>1</v>
      </c>
      <c r="E2270" s="10" t="n">
        <f aca="false">MONTH(B2270)</f>
        <v>3</v>
      </c>
      <c r="F2270" s="10" t="str">
        <f aca="false">CHOOSE(MOD(A2270-1,5)+1,"Центр","Юг","Север","Запад","Восток")</f>
        <v>Запад</v>
      </c>
      <c r="G2270" s="10" t="str">
        <f aca="false">"Округ_"&amp;(MOD(A2270-1,5)+1)&amp;"_"&amp;(MOD(INT((A2270-1)/5),5)+1)</f>
        <v>Округ_4_4</v>
      </c>
      <c r="H2270" s="10" t="str">
        <f aca="false">"Город_"&amp;(MOD(A2270-1,5)+1)&amp;"_"&amp;(MOD(INT((A2270-1)/5),5)+1)&amp;"_"&amp;(MOD(INT((A2270-1)/25),10)+1)</f>
        <v>Город_4_4_1</v>
      </c>
      <c r="I2270" s="10" t="str">
        <f aca="false">CHOOSE(MOD(A2270-1,4)+1,"Электроника","Одежда","Продукты","Мебель")</f>
        <v>Электроника</v>
      </c>
      <c r="J2270" s="10" t="str">
        <f aca="false">CHOOSE(MOD(INT((A2270-1)/4),4)+1,CHOOSE(MOD(A2270-1,4)+1,"Смартфоны","Ноутбуки","Аксессуары","Аудио"),CHOOSE(MOD(A2270-1,4)+1,"Верхняя одежда","Спортивная","Повседневная","Обувь"),CHOOSE(MOD(A2270-1,4)+1,"Молочные","Мясные","Бакалея","Напитки"),CHOOSE(MOD(A2270-1,4)+1,"Мягкая мебель","Корпусная","Офисная","Кухонная"))</f>
        <v>Мягкая мебель</v>
      </c>
      <c r="K2270" s="12" t="n">
        <f aca="false">1000+MOD(A2270*317+A2270*A2270*7,49001)</f>
        <v>8050</v>
      </c>
      <c r="L2270" s="12" t="n">
        <f aca="false">1+MOD(A2270*131,100)</f>
        <v>40</v>
      </c>
      <c r="M2270" s="12" t="n">
        <f aca="false">INT(K2270*(0.6+MOD(A2270*43,21)/100))</f>
        <v>4910</v>
      </c>
      <c r="N2270" s="12" t="n">
        <f aca="false">K2270-M2270</f>
        <v>3140</v>
      </c>
    </row>
    <row r="2271" customFormat="false" ht="12.8" hidden="false" customHeight="false" outlineLevel="0" collapsed="false">
      <c r="A2271" s="10" t="n">
        <f aca="false">A2270+1</f>
        <v>2270</v>
      </c>
      <c r="B2271" s="11" t="n">
        <f aca="false">B2270+1</f>
        <v>47196</v>
      </c>
      <c r="C2271" s="10" t="n">
        <f aca="false">YEAR(B2271)</f>
        <v>2029</v>
      </c>
      <c r="D2271" s="10" t="n">
        <f aca="false">INT((MONTH(B2271)-1)/3)+1</f>
        <v>1</v>
      </c>
      <c r="E2271" s="10" t="n">
        <f aca="false">MONTH(B2271)</f>
        <v>3</v>
      </c>
      <c r="F2271" s="10" t="str">
        <f aca="false">CHOOSE(MOD(A2271-1,5)+1,"Центр","Юг","Север","Запад","Восток")</f>
        <v>Восток</v>
      </c>
      <c r="G2271" s="10" t="str">
        <f aca="false">"Округ_"&amp;(MOD(A2271-1,5)+1)&amp;"_"&amp;(MOD(INT((A2271-1)/5),5)+1)</f>
        <v>Округ_5_4</v>
      </c>
      <c r="H2271" s="10" t="str">
        <f aca="false">"Город_"&amp;(MOD(A2271-1,5)+1)&amp;"_"&amp;(MOD(INT((A2271-1)/5),5)+1)&amp;"_"&amp;(MOD(INT((A2271-1)/25),10)+1)</f>
        <v>Город_5_4_1</v>
      </c>
      <c r="I2271" s="10" t="str">
        <f aca="false">CHOOSE(MOD(A2271-1,4)+1,"Электроника","Одежда","Продукты","Мебель")</f>
        <v>Одежда</v>
      </c>
      <c r="J2271" s="10" t="str">
        <f aca="false">CHOOSE(MOD(INT((A2271-1)/4),4)+1,CHOOSE(MOD(A2271-1,4)+1,"Смартфоны","Ноутбуки","Аксессуары","Аудио"),CHOOSE(MOD(A2271-1,4)+1,"Верхняя одежда","Спортивная","Повседневная","Обувь"),CHOOSE(MOD(A2271-1,4)+1,"Молочные","Мясные","Бакалея","Напитки"),CHOOSE(MOD(A2271-1,4)+1,"Мягкая мебель","Корпусная","Офисная","Кухонная"))</f>
        <v>Корпусная</v>
      </c>
      <c r="K2271" s="12" t="n">
        <f aca="false">1000+MOD(A2271*317+A2271*A2271*7,49001)</f>
        <v>40140</v>
      </c>
      <c r="L2271" s="12" t="n">
        <f aca="false">1+MOD(A2271*131,100)</f>
        <v>71</v>
      </c>
      <c r="M2271" s="12" t="n">
        <f aca="false">INT(K2271*(0.6+MOD(A2271*43,21)/100))</f>
        <v>24886</v>
      </c>
      <c r="N2271" s="12" t="n">
        <f aca="false">K2271-M2271</f>
        <v>15254</v>
      </c>
    </row>
    <row r="2272" customFormat="false" ht="12.8" hidden="false" customHeight="false" outlineLevel="0" collapsed="false">
      <c r="A2272" s="10" t="n">
        <f aca="false">A2271+1</f>
        <v>2271</v>
      </c>
      <c r="B2272" s="11" t="n">
        <f aca="false">B2271+1</f>
        <v>47197</v>
      </c>
      <c r="C2272" s="10" t="n">
        <f aca="false">YEAR(B2272)</f>
        <v>2029</v>
      </c>
      <c r="D2272" s="10" t="n">
        <f aca="false">INT((MONTH(B2272)-1)/3)+1</f>
        <v>1</v>
      </c>
      <c r="E2272" s="10" t="n">
        <f aca="false">MONTH(B2272)</f>
        <v>3</v>
      </c>
      <c r="F2272" s="10" t="str">
        <f aca="false">CHOOSE(MOD(A2272-1,5)+1,"Центр","Юг","Север","Запад","Восток")</f>
        <v>Центр</v>
      </c>
      <c r="G2272" s="10" t="str">
        <f aca="false">"Округ_"&amp;(MOD(A2272-1,5)+1)&amp;"_"&amp;(MOD(INT((A2272-1)/5),5)+1)</f>
        <v>Округ_1_5</v>
      </c>
      <c r="H2272" s="10" t="str">
        <f aca="false">"Город_"&amp;(MOD(A2272-1,5)+1)&amp;"_"&amp;(MOD(INT((A2272-1)/5),5)+1)&amp;"_"&amp;(MOD(INT((A2272-1)/25),10)+1)</f>
        <v>Город_1_5_1</v>
      </c>
      <c r="I2272" s="10" t="str">
        <f aca="false">CHOOSE(MOD(A2272-1,4)+1,"Электроника","Одежда","Продукты","Мебель")</f>
        <v>Продукты</v>
      </c>
      <c r="J2272" s="10" t="str">
        <f aca="false">CHOOSE(MOD(INT((A2272-1)/4),4)+1,CHOOSE(MOD(A2272-1,4)+1,"Смартфоны","Ноутбуки","Аксессуары","Аудио"),CHOOSE(MOD(A2272-1,4)+1,"Верхняя одежда","Спортивная","Повседневная","Обувь"),CHOOSE(MOD(A2272-1,4)+1,"Молочные","Мясные","Бакалея","Напитки"),CHOOSE(MOD(A2272-1,4)+1,"Мягкая мебель","Корпусная","Офисная","Кухонная"))</f>
        <v>Офисная</v>
      </c>
      <c r="K2272" s="12" t="n">
        <f aca="false">1000+MOD(A2272*317+A2272*A2272*7,49001)</f>
        <v>23243</v>
      </c>
      <c r="L2272" s="12" t="n">
        <f aca="false">1+MOD(A2272*131,100)</f>
        <v>2</v>
      </c>
      <c r="M2272" s="12" t="n">
        <f aca="false">INT(K2272*(0.6+MOD(A2272*43,21)/100))</f>
        <v>14643</v>
      </c>
      <c r="N2272" s="12" t="n">
        <f aca="false">K2272-M2272</f>
        <v>8600</v>
      </c>
    </row>
    <row r="2273" customFormat="false" ht="12.8" hidden="false" customHeight="false" outlineLevel="0" collapsed="false">
      <c r="A2273" s="10" t="n">
        <f aca="false">A2272+1</f>
        <v>2272</v>
      </c>
      <c r="B2273" s="11" t="n">
        <f aca="false">B2272+1</f>
        <v>47198</v>
      </c>
      <c r="C2273" s="10" t="n">
        <f aca="false">YEAR(B2273)</f>
        <v>2029</v>
      </c>
      <c r="D2273" s="10" t="n">
        <f aca="false">INT((MONTH(B2273)-1)/3)+1</f>
        <v>1</v>
      </c>
      <c r="E2273" s="10" t="n">
        <f aca="false">MONTH(B2273)</f>
        <v>3</v>
      </c>
      <c r="F2273" s="10" t="str">
        <f aca="false">CHOOSE(MOD(A2273-1,5)+1,"Центр","Юг","Север","Запад","Восток")</f>
        <v>Юг</v>
      </c>
      <c r="G2273" s="10" t="str">
        <f aca="false">"Округ_"&amp;(MOD(A2273-1,5)+1)&amp;"_"&amp;(MOD(INT((A2273-1)/5),5)+1)</f>
        <v>Округ_2_5</v>
      </c>
      <c r="H2273" s="10" t="str">
        <f aca="false">"Город_"&amp;(MOD(A2273-1,5)+1)&amp;"_"&amp;(MOD(INT((A2273-1)/5),5)+1)&amp;"_"&amp;(MOD(INT((A2273-1)/25),10)+1)</f>
        <v>Город_2_5_1</v>
      </c>
      <c r="I2273" s="10" t="str">
        <f aca="false">CHOOSE(MOD(A2273-1,4)+1,"Электроника","Одежда","Продукты","Мебель")</f>
        <v>Мебель</v>
      </c>
      <c r="J2273" s="10" t="str">
        <f aca="false">CHOOSE(MOD(INT((A2273-1)/4),4)+1,CHOOSE(MOD(A2273-1,4)+1,"Смартфоны","Ноутбуки","Аксессуары","Аудио"),CHOOSE(MOD(A2273-1,4)+1,"Верхняя одежда","Спортивная","Повседневная","Обувь"),CHOOSE(MOD(A2273-1,4)+1,"Молочные","Мясные","Бакалея","Напитки"),CHOOSE(MOD(A2273-1,4)+1,"Мягкая мебель","Корпусная","Офисная","Кухонная"))</f>
        <v>Кухонная</v>
      </c>
      <c r="K2273" s="12" t="n">
        <f aca="false">1000+MOD(A2273*317+A2273*A2273*7,49001)</f>
        <v>6360</v>
      </c>
      <c r="L2273" s="12" t="n">
        <f aca="false">1+MOD(A2273*131,100)</f>
        <v>33</v>
      </c>
      <c r="M2273" s="12" t="n">
        <f aca="false">INT(K2273*(0.6+MOD(A2273*43,21)/100))</f>
        <v>4070</v>
      </c>
      <c r="N2273" s="12" t="n">
        <f aca="false">K2273-M2273</f>
        <v>2290</v>
      </c>
    </row>
    <row r="2274" customFormat="false" ht="12.8" hidden="false" customHeight="false" outlineLevel="0" collapsed="false">
      <c r="A2274" s="10" t="n">
        <f aca="false">A2273+1</f>
        <v>2273</v>
      </c>
      <c r="B2274" s="11" t="n">
        <f aca="false">B2273+1</f>
        <v>47199</v>
      </c>
      <c r="C2274" s="10" t="n">
        <f aca="false">YEAR(B2274)</f>
        <v>2029</v>
      </c>
      <c r="D2274" s="10" t="n">
        <f aca="false">INT((MONTH(B2274)-1)/3)+1</f>
        <v>1</v>
      </c>
      <c r="E2274" s="10" t="n">
        <f aca="false">MONTH(B2274)</f>
        <v>3</v>
      </c>
      <c r="F2274" s="10" t="str">
        <f aca="false">CHOOSE(MOD(A2274-1,5)+1,"Центр","Юг","Север","Запад","Восток")</f>
        <v>Север</v>
      </c>
      <c r="G2274" s="10" t="str">
        <f aca="false">"Округ_"&amp;(MOD(A2274-1,5)+1)&amp;"_"&amp;(MOD(INT((A2274-1)/5),5)+1)</f>
        <v>Округ_3_5</v>
      </c>
      <c r="H2274" s="10" t="str">
        <f aca="false">"Город_"&amp;(MOD(A2274-1,5)+1)&amp;"_"&amp;(MOD(INT((A2274-1)/5),5)+1)&amp;"_"&amp;(MOD(INT((A2274-1)/25),10)+1)</f>
        <v>Город_3_5_1</v>
      </c>
      <c r="I2274" s="10" t="str">
        <f aca="false">CHOOSE(MOD(A2274-1,4)+1,"Электроника","Одежда","Продукты","Мебель")</f>
        <v>Электроника</v>
      </c>
      <c r="J2274" s="10" t="str">
        <f aca="false">CHOOSE(MOD(INT((A2274-1)/4),4)+1,CHOOSE(MOD(A2274-1,4)+1,"Смартфоны","Ноутбуки","Аксессуары","Аудио"),CHOOSE(MOD(A2274-1,4)+1,"Верхняя одежда","Спортивная","Повседневная","Обувь"),CHOOSE(MOD(A2274-1,4)+1,"Молочные","Мясные","Бакалея","Напитки"),CHOOSE(MOD(A2274-1,4)+1,"Мягкая мебель","Корпусная","Офисная","Кухонная"))</f>
        <v>Смартфоны</v>
      </c>
      <c r="K2274" s="12" t="n">
        <f aca="false">1000+MOD(A2274*317+A2274*A2274*7,49001)</f>
        <v>38492</v>
      </c>
      <c r="L2274" s="12" t="n">
        <f aca="false">1+MOD(A2274*131,100)</f>
        <v>64</v>
      </c>
      <c r="M2274" s="12" t="n">
        <f aca="false">INT(K2274*(0.6+MOD(A2274*43,21)/100))</f>
        <v>25019</v>
      </c>
      <c r="N2274" s="12" t="n">
        <f aca="false">K2274-M2274</f>
        <v>13473</v>
      </c>
    </row>
    <row r="2275" customFormat="false" ht="12.8" hidden="false" customHeight="false" outlineLevel="0" collapsed="false">
      <c r="A2275" s="10" t="n">
        <f aca="false">A2274+1</f>
        <v>2274</v>
      </c>
      <c r="B2275" s="11" t="n">
        <f aca="false">B2274+1</f>
        <v>47200</v>
      </c>
      <c r="C2275" s="10" t="n">
        <f aca="false">YEAR(B2275)</f>
        <v>2029</v>
      </c>
      <c r="D2275" s="10" t="n">
        <f aca="false">INT((MONTH(B2275)-1)/3)+1</f>
        <v>1</v>
      </c>
      <c r="E2275" s="10" t="n">
        <f aca="false">MONTH(B2275)</f>
        <v>3</v>
      </c>
      <c r="F2275" s="10" t="str">
        <f aca="false">CHOOSE(MOD(A2275-1,5)+1,"Центр","Юг","Север","Запад","Восток")</f>
        <v>Запад</v>
      </c>
      <c r="G2275" s="10" t="str">
        <f aca="false">"Округ_"&amp;(MOD(A2275-1,5)+1)&amp;"_"&amp;(MOD(INT((A2275-1)/5),5)+1)</f>
        <v>Округ_4_5</v>
      </c>
      <c r="H2275" s="10" t="str">
        <f aca="false">"Город_"&amp;(MOD(A2275-1,5)+1)&amp;"_"&amp;(MOD(INT((A2275-1)/5),5)+1)&amp;"_"&amp;(MOD(INT((A2275-1)/25),10)+1)</f>
        <v>Город_4_5_1</v>
      </c>
      <c r="I2275" s="10" t="str">
        <f aca="false">CHOOSE(MOD(A2275-1,4)+1,"Электроника","Одежда","Продукты","Мебель")</f>
        <v>Одежда</v>
      </c>
      <c r="J2275" s="10" t="str">
        <f aca="false">CHOOSE(MOD(INT((A2275-1)/4),4)+1,CHOOSE(MOD(A2275-1,4)+1,"Смартфоны","Ноутбуки","Аксессуары","Аудио"),CHOOSE(MOD(A2275-1,4)+1,"Верхняя одежда","Спортивная","Повседневная","Обувь"),CHOOSE(MOD(A2275-1,4)+1,"Молочные","Мясные","Бакалея","Напитки"),CHOOSE(MOD(A2275-1,4)+1,"Мягкая мебель","Корпусная","Офисная","Кухонная"))</f>
        <v>Ноутбуки</v>
      </c>
      <c r="K2275" s="12" t="n">
        <f aca="false">1000+MOD(A2275*317+A2275*A2275*7,49001)</f>
        <v>21637</v>
      </c>
      <c r="L2275" s="12" t="n">
        <f aca="false">1+MOD(A2275*131,100)</f>
        <v>95</v>
      </c>
      <c r="M2275" s="12" t="n">
        <f aca="false">INT(K2275*(0.6+MOD(A2275*43,21)/100))</f>
        <v>14280</v>
      </c>
      <c r="N2275" s="12" t="n">
        <f aca="false">K2275-M2275</f>
        <v>7357</v>
      </c>
    </row>
    <row r="2276" customFormat="false" ht="12.8" hidden="false" customHeight="false" outlineLevel="0" collapsed="false">
      <c r="A2276" s="10" t="n">
        <f aca="false">A2275+1</f>
        <v>2275</v>
      </c>
      <c r="B2276" s="11" t="n">
        <f aca="false">B2275+1</f>
        <v>47201</v>
      </c>
      <c r="C2276" s="10" t="n">
        <f aca="false">YEAR(B2276)</f>
        <v>2029</v>
      </c>
      <c r="D2276" s="10" t="n">
        <f aca="false">INT((MONTH(B2276)-1)/3)+1</f>
        <v>1</v>
      </c>
      <c r="E2276" s="10" t="n">
        <f aca="false">MONTH(B2276)</f>
        <v>3</v>
      </c>
      <c r="F2276" s="10" t="str">
        <f aca="false">CHOOSE(MOD(A2276-1,5)+1,"Центр","Юг","Север","Запад","Восток")</f>
        <v>Восток</v>
      </c>
      <c r="G2276" s="10" t="str">
        <f aca="false">"Округ_"&amp;(MOD(A2276-1,5)+1)&amp;"_"&amp;(MOD(INT((A2276-1)/5),5)+1)</f>
        <v>Округ_5_5</v>
      </c>
      <c r="H2276" s="10" t="str">
        <f aca="false">"Город_"&amp;(MOD(A2276-1,5)+1)&amp;"_"&amp;(MOD(INT((A2276-1)/5),5)+1)&amp;"_"&amp;(MOD(INT((A2276-1)/25),10)+1)</f>
        <v>Город_5_5_1</v>
      </c>
      <c r="I2276" s="10" t="str">
        <f aca="false">CHOOSE(MOD(A2276-1,4)+1,"Электроника","Одежда","Продукты","Мебель")</f>
        <v>Продукты</v>
      </c>
      <c r="J2276" s="10" t="str">
        <f aca="false">CHOOSE(MOD(INT((A2276-1)/4),4)+1,CHOOSE(MOD(A2276-1,4)+1,"Смартфоны","Ноутбуки","Аксессуары","Аудио"),CHOOSE(MOD(A2276-1,4)+1,"Верхняя одежда","Спортивная","Повседневная","Обувь"),CHOOSE(MOD(A2276-1,4)+1,"Молочные","Мясные","Бакалея","Напитки"),CHOOSE(MOD(A2276-1,4)+1,"Мягкая мебель","Корпусная","Офисная","Кухонная"))</f>
        <v>Аксессуары</v>
      </c>
      <c r="K2276" s="12" t="n">
        <f aca="false">1000+MOD(A2276*317+A2276*A2276*7,49001)</f>
        <v>4796</v>
      </c>
      <c r="L2276" s="12" t="n">
        <f aca="false">1+MOD(A2276*131,100)</f>
        <v>26</v>
      </c>
      <c r="M2276" s="12" t="n">
        <f aca="false">INT(K2276*(0.6+MOD(A2276*43,21)/100))</f>
        <v>3213</v>
      </c>
      <c r="N2276" s="12" t="n">
        <f aca="false">K2276-M2276</f>
        <v>1583</v>
      </c>
    </row>
    <row r="2277" customFormat="false" ht="12.8" hidden="false" customHeight="false" outlineLevel="0" collapsed="false">
      <c r="A2277" s="10" t="n">
        <f aca="false">A2276+1</f>
        <v>2276</v>
      </c>
      <c r="B2277" s="11" t="n">
        <f aca="false">B2276+1</f>
        <v>47202</v>
      </c>
      <c r="C2277" s="10" t="n">
        <f aca="false">YEAR(B2277)</f>
        <v>2029</v>
      </c>
      <c r="D2277" s="10" t="n">
        <f aca="false">INT((MONTH(B2277)-1)/3)+1</f>
        <v>1</v>
      </c>
      <c r="E2277" s="10" t="n">
        <f aca="false">MONTH(B2277)</f>
        <v>3</v>
      </c>
      <c r="F2277" s="10" t="str">
        <f aca="false">CHOOSE(MOD(A2277-1,5)+1,"Центр","Юг","Север","Запад","Восток")</f>
        <v>Центр</v>
      </c>
      <c r="G2277" s="10" t="str">
        <f aca="false">"Округ_"&amp;(MOD(A2277-1,5)+1)&amp;"_"&amp;(MOD(INT((A2277-1)/5),5)+1)</f>
        <v>Округ_1_1</v>
      </c>
      <c r="H2277" s="10" t="str">
        <f aca="false">"Город_"&amp;(MOD(A2277-1,5)+1)&amp;"_"&amp;(MOD(INT((A2277-1)/5),5)+1)&amp;"_"&amp;(MOD(INT((A2277-1)/25),10)+1)</f>
        <v>Город_1_1_2</v>
      </c>
      <c r="I2277" s="10" t="str">
        <f aca="false">CHOOSE(MOD(A2277-1,4)+1,"Электроника","Одежда","Продукты","Мебель")</f>
        <v>Мебель</v>
      </c>
      <c r="J2277" s="10" t="str">
        <f aca="false">CHOOSE(MOD(INT((A2277-1)/4),4)+1,CHOOSE(MOD(A2277-1,4)+1,"Смартфоны","Ноутбуки","Аксессуары","Аудио"),CHOOSE(MOD(A2277-1,4)+1,"Верхняя одежда","Спортивная","Повседневная","Обувь"),CHOOSE(MOD(A2277-1,4)+1,"Молочные","Мясные","Бакалея","Напитки"),CHOOSE(MOD(A2277-1,4)+1,"Мягкая мебель","Корпусная","Офисная","Кухонная"))</f>
        <v>Аудио</v>
      </c>
      <c r="K2277" s="12" t="n">
        <f aca="false">1000+MOD(A2277*317+A2277*A2277*7,49001)</f>
        <v>36970</v>
      </c>
      <c r="L2277" s="12" t="n">
        <f aca="false">1+MOD(A2277*131,100)</f>
        <v>57</v>
      </c>
      <c r="M2277" s="12" t="n">
        <f aca="false">INT(K2277*(0.6+MOD(A2277*43,21)/100))</f>
        <v>25139</v>
      </c>
      <c r="N2277" s="12" t="n">
        <f aca="false">K2277-M2277</f>
        <v>11831</v>
      </c>
    </row>
    <row r="2278" customFormat="false" ht="12.8" hidden="false" customHeight="false" outlineLevel="0" collapsed="false">
      <c r="A2278" s="10" t="n">
        <f aca="false">A2277+1</f>
        <v>2277</v>
      </c>
      <c r="B2278" s="11" t="n">
        <f aca="false">B2277+1</f>
        <v>47203</v>
      </c>
      <c r="C2278" s="10" t="n">
        <f aca="false">YEAR(B2278)</f>
        <v>2029</v>
      </c>
      <c r="D2278" s="10" t="n">
        <f aca="false">INT((MONTH(B2278)-1)/3)+1</f>
        <v>1</v>
      </c>
      <c r="E2278" s="10" t="n">
        <f aca="false">MONTH(B2278)</f>
        <v>3</v>
      </c>
      <c r="F2278" s="10" t="str">
        <f aca="false">CHOOSE(MOD(A2278-1,5)+1,"Центр","Юг","Север","Запад","Восток")</f>
        <v>Юг</v>
      </c>
      <c r="G2278" s="10" t="str">
        <f aca="false">"Округ_"&amp;(MOD(A2278-1,5)+1)&amp;"_"&amp;(MOD(INT((A2278-1)/5),5)+1)</f>
        <v>Округ_2_1</v>
      </c>
      <c r="H2278" s="10" t="str">
        <f aca="false">"Город_"&amp;(MOD(A2278-1,5)+1)&amp;"_"&amp;(MOD(INT((A2278-1)/5),5)+1)&amp;"_"&amp;(MOD(INT((A2278-1)/25),10)+1)</f>
        <v>Город_2_1_2</v>
      </c>
      <c r="I2278" s="10" t="str">
        <f aca="false">CHOOSE(MOD(A2278-1,4)+1,"Электроника","Одежда","Продукты","Мебель")</f>
        <v>Электроника</v>
      </c>
      <c r="J2278" s="10" t="str">
        <f aca="false">CHOOSE(MOD(INT((A2278-1)/4),4)+1,CHOOSE(MOD(A2278-1,4)+1,"Смартфоны","Ноутбуки","Аксессуары","Аудио"),CHOOSE(MOD(A2278-1,4)+1,"Верхняя одежда","Спортивная","Повседневная","Обувь"),CHOOSE(MOD(A2278-1,4)+1,"Молочные","Мясные","Бакалея","Напитки"),CHOOSE(MOD(A2278-1,4)+1,"Мягкая мебель","Корпусная","Офисная","Кухонная"))</f>
        <v>Верхняя одежда</v>
      </c>
      <c r="K2278" s="12" t="n">
        <f aca="false">1000+MOD(A2278*317+A2278*A2278*7,49001)</f>
        <v>20157</v>
      </c>
      <c r="L2278" s="12" t="n">
        <f aca="false">1+MOD(A2278*131,100)</f>
        <v>88</v>
      </c>
      <c r="M2278" s="12" t="n">
        <f aca="false">INT(K2278*(0.6+MOD(A2278*43,21)/100))</f>
        <v>13908</v>
      </c>
      <c r="N2278" s="12" t="n">
        <f aca="false">K2278-M2278</f>
        <v>6249</v>
      </c>
    </row>
    <row r="2279" customFormat="false" ht="12.8" hidden="false" customHeight="false" outlineLevel="0" collapsed="false">
      <c r="A2279" s="10" t="n">
        <f aca="false">A2278+1</f>
        <v>2278</v>
      </c>
      <c r="B2279" s="11" t="n">
        <f aca="false">B2278+1</f>
        <v>47204</v>
      </c>
      <c r="C2279" s="10" t="n">
        <f aca="false">YEAR(B2279)</f>
        <v>2029</v>
      </c>
      <c r="D2279" s="10" t="n">
        <f aca="false">INT((MONTH(B2279)-1)/3)+1</f>
        <v>1</v>
      </c>
      <c r="E2279" s="10" t="n">
        <f aca="false">MONTH(B2279)</f>
        <v>3</v>
      </c>
      <c r="F2279" s="10" t="str">
        <f aca="false">CHOOSE(MOD(A2279-1,5)+1,"Центр","Юг","Север","Запад","Восток")</f>
        <v>Север</v>
      </c>
      <c r="G2279" s="10" t="str">
        <f aca="false">"Округ_"&amp;(MOD(A2279-1,5)+1)&amp;"_"&amp;(MOD(INT((A2279-1)/5),5)+1)</f>
        <v>Округ_3_1</v>
      </c>
      <c r="H2279" s="10" t="str">
        <f aca="false">"Город_"&amp;(MOD(A2279-1,5)+1)&amp;"_"&amp;(MOD(INT((A2279-1)/5),5)+1)&amp;"_"&amp;(MOD(INT((A2279-1)/25),10)+1)</f>
        <v>Город_3_1_2</v>
      </c>
      <c r="I2279" s="10" t="str">
        <f aca="false">CHOOSE(MOD(A2279-1,4)+1,"Электроника","Одежда","Продукты","Мебель")</f>
        <v>Одежда</v>
      </c>
      <c r="J2279" s="10" t="str">
        <f aca="false">CHOOSE(MOD(INT((A2279-1)/4),4)+1,CHOOSE(MOD(A2279-1,4)+1,"Смартфоны","Ноутбуки","Аксессуары","Аудио"),CHOOSE(MOD(A2279-1,4)+1,"Верхняя одежда","Спортивная","Повседневная","Обувь"),CHOOSE(MOD(A2279-1,4)+1,"Молочные","Мясные","Бакалея","Напитки"),CHOOSE(MOD(A2279-1,4)+1,"Мягкая мебель","Корпусная","Офисная","Кухонная"))</f>
        <v>Спортивная</v>
      </c>
      <c r="K2279" s="12" t="n">
        <f aca="false">1000+MOD(A2279*317+A2279*A2279*7,49001)</f>
        <v>3358</v>
      </c>
      <c r="L2279" s="12" t="n">
        <f aca="false">1+MOD(A2279*131,100)</f>
        <v>19</v>
      </c>
      <c r="M2279" s="12" t="n">
        <f aca="false">INT(K2279*(0.6+MOD(A2279*43,21)/100))</f>
        <v>2350</v>
      </c>
      <c r="N2279" s="12" t="n">
        <f aca="false">K2279-M2279</f>
        <v>1008</v>
      </c>
    </row>
    <row r="2280" customFormat="false" ht="12.8" hidden="false" customHeight="false" outlineLevel="0" collapsed="false">
      <c r="A2280" s="10" t="n">
        <f aca="false">A2279+1</f>
        <v>2279</v>
      </c>
      <c r="B2280" s="11" t="n">
        <f aca="false">B2279+1</f>
        <v>47205</v>
      </c>
      <c r="C2280" s="10" t="n">
        <f aca="false">YEAR(B2280)</f>
        <v>2029</v>
      </c>
      <c r="D2280" s="10" t="n">
        <f aca="false">INT((MONTH(B2280)-1)/3)+1</f>
        <v>1</v>
      </c>
      <c r="E2280" s="10" t="n">
        <f aca="false">MONTH(B2280)</f>
        <v>3</v>
      </c>
      <c r="F2280" s="10" t="str">
        <f aca="false">CHOOSE(MOD(A2280-1,5)+1,"Центр","Юг","Север","Запад","Восток")</f>
        <v>Запад</v>
      </c>
      <c r="G2280" s="10" t="str">
        <f aca="false">"Округ_"&amp;(MOD(A2280-1,5)+1)&amp;"_"&amp;(MOD(INT((A2280-1)/5),5)+1)</f>
        <v>Округ_4_1</v>
      </c>
      <c r="H2280" s="10" t="str">
        <f aca="false">"Город_"&amp;(MOD(A2280-1,5)+1)&amp;"_"&amp;(MOD(INT((A2280-1)/5),5)+1)&amp;"_"&amp;(MOD(INT((A2280-1)/25),10)+1)</f>
        <v>Город_4_1_2</v>
      </c>
      <c r="I2280" s="10" t="str">
        <f aca="false">CHOOSE(MOD(A2280-1,4)+1,"Электроника","Одежда","Продукты","Мебель")</f>
        <v>Продукты</v>
      </c>
      <c r="J2280" s="10" t="str">
        <f aca="false">CHOOSE(MOD(INT((A2280-1)/4),4)+1,CHOOSE(MOD(A2280-1,4)+1,"Смартфоны","Ноутбуки","Аксессуары","Аудио"),CHOOSE(MOD(A2280-1,4)+1,"Верхняя одежда","Спортивная","Повседневная","Обувь"),CHOOSE(MOD(A2280-1,4)+1,"Молочные","Мясные","Бакалея","Напитки"),CHOOSE(MOD(A2280-1,4)+1,"Мягкая мебель","Корпусная","Офисная","Кухонная"))</f>
        <v>Повседневная</v>
      </c>
      <c r="K2280" s="12" t="n">
        <f aca="false">1000+MOD(A2280*317+A2280*A2280*7,49001)</f>
        <v>35574</v>
      </c>
      <c r="L2280" s="12" t="n">
        <f aca="false">1+MOD(A2280*131,100)</f>
        <v>50</v>
      </c>
      <c r="M2280" s="12" t="n">
        <f aca="false">INT(K2280*(0.6+MOD(A2280*43,21)/100))</f>
        <v>25257</v>
      </c>
      <c r="N2280" s="12" t="n">
        <f aca="false">K2280-M2280</f>
        <v>10317</v>
      </c>
    </row>
    <row r="2281" customFormat="false" ht="12.8" hidden="false" customHeight="false" outlineLevel="0" collapsed="false">
      <c r="A2281" s="10" t="n">
        <f aca="false">A2280+1</f>
        <v>2280</v>
      </c>
      <c r="B2281" s="11" t="n">
        <f aca="false">B2280+1</f>
        <v>47206</v>
      </c>
      <c r="C2281" s="10" t="n">
        <f aca="false">YEAR(B2281)</f>
        <v>2029</v>
      </c>
      <c r="D2281" s="10" t="n">
        <f aca="false">INT((MONTH(B2281)-1)/3)+1</f>
        <v>1</v>
      </c>
      <c r="E2281" s="10" t="n">
        <f aca="false">MONTH(B2281)</f>
        <v>3</v>
      </c>
      <c r="F2281" s="10" t="str">
        <f aca="false">CHOOSE(MOD(A2281-1,5)+1,"Центр","Юг","Север","Запад","Восток")</f>
        <v>Восток</v>
      </c>
      <c r="G2281" s="10" t="str">
        <f aca="false">"Округ_"&amp;(MOD(A2281-1,5)+1)&amp;"_"&amp;(MOD(INT((A2281-1)/5),5)+1)</f>
        <v>Округ_5_1</v>
      </c>
      <c r="H2281" s="10" t="str">
        <f aca="false">"Город_"&amp;(MOD(A2281-1,5)+1)&amp;"_"&amp;(MOD(INT((A2281-1)/5),5)+1)&amp;"_"&amp;(MOD(INT((A2281-1)/25),10)+1)</f>
        <v>Город_5_1_2</v>
      </c>
      <c r="I2281" s="10" t="str">
        <f aca="false">CHOOSE(MOD(A2281-1,4)+1,"Электроника","Одежда","Продукты","Мебель")</f>
        <v>Мебель</v>
      </c>
      <c r="J2281" s="10" t="str">
        <f aca="false">CHOOSE(MOD(INT((A2281-1)/4),4)+1,CHOOSE(MOD(A2281-1,4)+1,"Смартфоны","Ноутбуки","Аксессуары","Аудио"),CHOOSE(MOD(A2281-1,4)+1,"Верхняя одежда","Спортивная","Повседневная","Обувь"),CHOOSE(MOD(A2281-1,4)+1,"Молочные","Мясные","Бакалея","Напитки"),CHOOSE(MOD(A2281-1,4)+1,"Мягкая мебель","Корпусная","Офисная","Кухонная"))</f>
        <v>Обувь</v>
      </c>
      <c r="K2281" s="12" t="n">
        <f aca="false">1000+MOD(A2281*317+A2281*A2281*7,49001)</f>
        <v>18803</v>
      </c>
      <c r="L2281" s="12" t="n">
        <f aca="false">1+MOD(A2281*131,100)</f>
        <v>81</v>
      </c>
      <c r="M2281" s="12" t="n">
        <f aca="false">INT(K2281*(0.6+MOD(A2281*43,21)/100))</f>
        <v>13538</v>
      </c>
      <c r="N2281" s="12" t="n">
        <f aca="false">K2281-M2281</f>
        <v>5265</v>
      </c>
    </row>
    <row r="2282" customFormat="false" ht="12.8" hidden="false" customHeight="false" outlineLevel="0" collapsed="false">
      <c r="A2282" s="10" t="n">
        <f aca="false">A2281+1</f>
        <v>2281</v>
      </c>
      <c r="B2282" s="11" t="n">
        <f aca="false">B2281+1</f>
        <v>47207</v>
      </c>
      <c r="C2282" s="10" t="n">
        <f aca="false">YEAR(B2282)</f>
        <v>2029</v>
      </c>
      <c r="D2282" s="10" t="n">
        <f aca="false">INT((MONTH(B2282)-1)/3)+1</f>
        <v>1</v>
      </c>
      <c r="E2282" s="10" t="n">
        <f aca="false">MONTH(B2282)</f>
        <v>3</v>
      </c>
      <c r="F2282" s="10" t="str">
        <f aca="false">CHOOSE(MOD(A2282-1,5)+1,"Центр","Юг","Север","Запад","Восток")</f>
        <v>Центр</v>
      </c>
      <c r="G2282" s="10" t="str">
        <f aca="false">"Округ_"&amp;(MOD(A2282-1,5)+1)&amp;"_"&amp;(MOD(INT((A2282-1)/5),5)+1)</f>
        <v>Округ_1_2</v>
      </c>
      <c r="H2282" s="10" t="str">
        <f aca="false">"Город_"&amp;(MOD(A2282-1,5)+1)&amp;"_"&amp;(MOD(INT((A2282-1)/5),5)+1)&amp;"_"&amp;(MOD(INT((A2282-1)/25),10)+1)</f>
        <v>Город_1_2_2</v>
      </c>
      <c r="I2282" s="10" t="str">
        <f aca="false">CHOOSE(MOD(A2282-1,4)+1,"Электроника","Одежда","Продукты","Мебель")</f>
        <v>Электроника</v>
      </c>
      <c r="J2282" s="10" t="str">
        <f aca="false">CHOOSE(MOD(INT((A2282-1)/4),4)+1,CHOOSE(MOD(A2282-1,4)+1,"Смартфоны","Ноутбуки","Аксессуары","Аудио"),CHOOSE(MOD(A2282-1,4)+1,"Верхняя одежда","Спортивная","Повседневная","Обувь"),CHOOSE(MOD(A2282-1,4)+1,"Молочные","Мясные","Бакалея","Напитки"),CHOOSE(MOD(A2282-1,4)+1,"Мягкая мебель","Корпусная","Офисная","Кухонная"))</f>
        <v>Молочные</v>
      </c>
      <c r="K2282" s="12" t="n">
        <f aca="false">1000+MOD(A2282*317+A2282*A2282*7,49001)</f>
        <v>2046</v>
      </c>
      <c r="L2282" s="12" t="n">
        <f aca="false">1+MOD(A2282*131,100)</f>
        <v>12</v>
      </c>
      <c r="M2282" s="12" t="n">
        <f aca="false">INT(K2282*(0.6+MOD(A2282*43,21)/100))</f>
        <v>1493</v>
      </c>
      <c r="N2282" s="12" t="n">
        <f aca="false">K2282-M2282</f>
        <v>553</v>
      </c>
    </row>
    <row r="2283" customFormat="false" ht="12.8" hidden="false" customHeight="false" outlineLevel="0" collapsed="false">
      <c r="A2283" s="10" t="n">
        <f aca="false">A2282+1</f>
        <v>2282</v>
      </c>
      <c r="B2283" s="11" t="n">
        <f aca="false">B2282+1</f>
        <v>47208</v>
      </c>
      <c r="C2283" s="10" t="n">
        <f aca="false">YEAR(B2283)</f>
        <v>2029</v>
      </c>
      <c r="D2283" s="10" t="n">
        <f aca="false">INT((MONTH(B2283)-1)/3)+1</f>
        <v>1</v>
      </c>
      <c r="E2283" s="10" t="n">
        <f aca="false">MONTH(B2283)</f>
        <v>3</v>
      </c>
      <c r="F2283" s="10" t="str">
        <f aca="false">CHOOSE(MOD(A2283-1,5)+1,"Центр","Юг","Север","Запад","Восток")</f>
        <v>Юг</v>
      </c>
      <c r="G2283" s="10" t="str">
        <f aca="false">"Округ_"&amp;(MOD(A2283-1,5)+1)&amp;"_"&amp;(MOD(INT((A2283-1)/5),5)+1)</f>
        <v>Округ_2_2</v>
      </c>
      <c r="H2283" s="10" t="str">
        <f aca="false">"Город_"&amp;(MOD(A2283-1,5)+1)&amp;"_"&amp;(MOD(INT((A2283-1)/5),5)+1)&amp;"_"&amp;(MOD(INT((A2283-1)/25),10)+1)</f>
        <v>Город_2_2_2</v>
      </c>
      <c r="I2283" s="10" t="str">
        <f aca="false">CHOOSE(MOD(A2283-1,4)+1,"Электроника","Одежда","Продукты","Мебель")</f>
        <v>Одежда</v>
      </c>
      <c r="J2283" s="10" t="str">
        <f aca="false">CHOOSE(MOD(INT((A2283-1)/4),4)+1,CHOOSE(MOD(A2283-1,4)+1,"Смартфоны","Ноутбуки","Аксессуары","Аудио"),CHOOSE(MOD(A2283-1,4)+1,"Верхняя одежда","Спортивная","Повседневная","Обувь"),CHOOSE(MOD(A2283-1,4)+1,"Молочные","Мясные","Бакалея","Напитки"),CHOOSE(MOD(A2283-1,4)+1,"Мягкая мебель","Корпусная","Офисная","Кухонная"))</f>
        <v>Мясные</v>
      </c>
      <c r="K2283" s="12" t="n">
        <f aca="false">1000+MOD(A2283*317+A2283*A2283*7,49001)</f>
        <v>34304</v>
      </c>
      <c r="L2283" s="12" t="n">
        <f aca="false">1+MOD(A2283*131,100)</f>
        <v>43</v>
      </c>
      <c r="M2283" s="12" t="n">
        <f aca="false">INT(K2283*(0.6+MOD(A2283*43,21)/100))</f>
        <v>25384</v>
      </c>
      <c r="N2283" s="12" t="n">
        <f aca="false">K2283-M2283</f>
        <v>8920</v>
      </c>
    </row>
    <row r="2284" customFormat="false" ht="12.8" hidden="false" customHeight="false" outlineLevel="0" collapsed="false">
      <c r="A2284" s="10" t="n">
        <f aca="false">A2283+1</f>
        <v>2283</v>
      </c>
      <c r="B2284" s="11" t="n">
        <f aca="false">B2283+1</f>
        <v>47209</v>
      </c>
      <c r="C2284" s="10" t="n">
        <f aca="false">YEAR(B2284)</f>
        <v>2029</v>
      </c>
      <c r="D2284" s="10" t="n">
        <f aca="false">INT((MONTH(B2284)-1)/3)+1</f>
        <v>2</v>
      </c>
      <c r="E2284" s="10" t="n">
        <f aca="false">MONTH(B2284)</f>
        <v>4</v>
      </c>
      <c r="F2284" s="10" t="str">
        <f aca="false">CHOOSE(MOD(A2284-1,5)+1,"Центр","Юг","Север","Запад","Восток")</f>
        <v>Север</v>
      </c>
      <c r="G2284" s="10" t="str">
        <f aca="false">"Округ_"&amp;(MOD(A2284-1,5)+1)&amp;"_"&amp;(MOD(INT((A2284-1)/5),5)+1)</f>
        <v>Округ_3_2</v>
      </c>
      <c r="H2284" s="10" t="str">
        <f aca="false">"Город_"&amp;(MOD(A2284-1,5)+1)&amp;"_"&amp;(MOD(INT((A2284-1)/5),5)+1)&amp;"_"&amp;(MOD(INT((A2284-1)/25),10)+1)</f>
        <v>Город_3_2_2</v>
      </c>
      <c r="I2284" s="10" t="str">
        <f aca="false">CHOOSE(MOD(A2284-1,4)+1,"Электроника","Одежда","Продукты","Мебель")</f>
        <v>Продукты</v>
      </c>
      <c r="J2284" s="10" t="str">
        <f aca="false">CHOOSE(MOD(INT((A2284-1)/4),4)+1,CHOOSE(MOD(A2284-1,4)+1,"Смартфоны","Ноутбуки","Аксессуары","Аудио"),CHOOSE(MOD(A2284-1,4)+1,"Верхняя одежда","Спортивная","Повседневная","Обувь"),CHOOSE(MOD(A2284-1,4)+1,"Молочные","Мясные","Бакалея","Напитки"),CHOOSE(MOD(A2284-1,4)+1,"Мягкая мебель","Корпусная","Офисная","Кухонная"))</f>
        <v>Бакалея</v>
      </c>
      <c r="K2284" s="12" t="n">
        <f aca="false">1000+MOD(A2284*317+A2284*A2284*7,49001)</f>
        <v>17575</v>
      </c>
      <c r="L2284" s="12" t="n">
        <f aca="false">1+MOD(A2284*131,100)</f>
        <v>74</v>
      </c>
      <c r="M2284" s="12" t="n">
        <f aca="false">INT(K2284*(0.6+MOD(A2284*43,21)/100))</f>
        <v>13181</v>
      </c>
      <c r="N2284" s="12" t="n">
        <f aca="false">K2284-M2284</f>
        <v>4394</v>
      </c>
    </row>
    <row r="2285" customFormat="false" ht="12.8" hidden="false" customHeight="false" outlineLevel="0" collapsed="false">
      <c r="A2285" s="10" t="n">
        <f aca="false">A2284+1</f>
        <v>2284</v>
      </c>
      <c r="B2285" s="11" t="n">
        <f aca="false">B2284+1</f>
        <v>47210</v>
      </c>
      <c r="C2285" s="10" t="n">
        <f aca="false">YEAR(B2285)</f>
        <v>2029</v>
      </c>
      <c r="D2285" s="10" t="n">
        <f aca="false">INT((MONTH(B2285)-1)/3)+1</f>
        <v>2</v>
      </c>
      <c r="E2285" s="10" t="n">
        <f aca="false">MONTH(B2285)</f>
        <v>4</v>
      </c>
      <c r="F2285" s="10" t="str">
        <f aca="false">CHOOSE(MOD(A2285-1,5)+1,"Центр","Юг","Север","Запад","Восток")</f>
        <v>Запад</v>
      </c>
      <c r="G2285" s="10" t="str">
        <f aca="false">"Округ_"&amp;(MOD(A2285-1,5)+1)&amp;"_"&amp;(MOD(INT((A2285-1)/5),5)+1)</f>
        <v>Округ_4_2</v>
      </c>
      <c r="H2285" s="10" t="str">
        <f aca="false">"Город_"&amp;(MOD(A2285-1,5)+1)&amp;"_"&amp;(MOD(INT((A2285-1)/5),5)+1)&amp;"_"&amp;(MOD(INT((A2285-1)/25),10)+1)</f>
        <v>Город_4_2_2</v>
      </c>
      <c r="I2285" s="10" t="str">
        <f aca="false">CHOOSE(MOD(A2285-1,4)+1,"Электроника","Одежда","Продукты","Мебель")</f>
        <v>Мебель</v>
      </c>
      <c r="J2285" s="10" t="str">
        <f aca="false">CHOOSE(MOD(INT((A2285-1)/4),4)+1,CHOOSE(MOD(A2285-1,4)+1,"Смартфоны","Ноутбуки","Аксессуары","Аудио"),CHOOSE(MOD(A2285-1,4)+1,"Верхняя одежда","Спортивная","Повседневная","Обувь"),CHOOSE(MOD(A2285-1,4)+1,"Молочные","Мясные","Бакалея","Напитки"),CHOOSE(MOD(A2285-1,4)+1,"Мягкая мебель","Корпусная","Офисная","Кухонная"))</f>
        <v>Напитки</v>
      </c>
      <c r="K2285" s="12" t="n">
        <f aca="false">1000+MOD(A2285*317+A2285*A2285*7,49001)</f>
        <v>49861</v>
      </c>
      <c r="L2285" s="12" t="n">
        <f aca="false">1+MOD(A2285*131,100)</f>
        <v>5</v>
      </c>
      <c r="M2285" s="12" t="n">
        <f aca="false">INT(K2285*(0.6+MOD(A2285*43,21)/100))</f>
        <v>37894</v>
      </c>
      <c r="N2285" s="12" t="n">
        <f aca="false">K2285-M2285</f>
        <v>11967</v>
      </c>
    </row>
    <row r="2286" customFormat="false" ht="12.8" hidden="false" customHeight="false" outlineLevel="0" collapsed="false">
      <c r="A2286" s="10" t="n">
        <f aca="false">A2285+1</f>
        <v>2285</v>
      </c>
      <c r="B2286" s="11" t="n">
        <f aca="false">B2285+1</f>
        <v>47211</v>
      </c>
      <c r="C2286" s="10" t="n">
        <f aca="false">YEAR(B2286)</f>
        <v>2029</v>
      </c>
      <c r="D2286" s="10" t="n">
        <f aca="false">INT((MONTH(B2286)-1)/3)+1</f>
        <v>2</v>
      </c>
      <c r="E2286" s="10" t="n">
        <f aca="false">MONTH(B2286)</f>
        <v>4</v>
      </c>
      <c r="F2286" s="10" t="str">
        <f aca="false">CHOOSE(MOD(A2286-1,5)+1,"Центр","Юг","Север","Запад","Восток")</f>
        <v>Восток</v>
      </c>
      <c r="G2286" s="10" t="str">
        <f aca="false">"Округ_"&amp;(MOD(A2286-1,5)+1)&amp;"_"&amp;(MOD(INT((A2286-1)/5),5)+1)</f>
        <v>Округ_5_2</v>
      </c>
      <c r="H2286" s="10" t="str">
        <f aca="false">"Город_"&amp;(MOD(A2286-1,5)+1)&amp;"_"&amp;(MOD(INT((A2286-1)/5),5)+1)&amp;"_"&amp;(MOD(INT((A2286-1)/25),10)+1)</f>
        <v>Город_5_2_2</v>
      </c>
      <c r="I2286" s="10" t="str">
        <f aca="false">CHOOSE(MOD(A2286-1,4)+1,"Электроника","Одежда","Продукты","Мебель")</f>
        <v>Электроника</v>
      </c>
      <c r="J2286" s="10" t="str">
        <f aca="false">CHOOSE(MOD(INT((A2286-1)/4),4)+1,CHOOSE(MOD(A2286-1,4)+1,"Смартфоны","Ноутбуки","Аксессуары","Аудио"),CHOOSE(MOD(A2286-1,4)+1,"Верхняя одежда","Спортивная","Повседневная","Обувь"),CHOOSE(MOD(A2286-1,4)+1,"Молочные","Мясные","Бакалея","Напитки"),CHOOSE(MOD(A2286-1,4)+1,"Мягкая мебель","Корпусная","Офисная","Кухонная"))</f>
        <v>Мягкая мебель</v>
      </c>
      <c r="K2286" s="12" t="n">
        <f aca="false">1000+MOD(A2286*317+A2286*A2286*7,49001)</f>
        <v>33160</v>
      </c>
      <c r="L2286" s="12" t="n">
        <f aca="false">1+MOD(A2286*131,100)</f>
        <v>36</v>
      </c>
      <c r="M2286" s="12" t="n">
        <f aca="false">INT(K2286*(0.6+MOD(A2286*43,21)/100))</f>
        <v>25533</v>
      </c>
      <c r="N2286" s="12" t="n">
        <f aca="false">K2286-M2286</f>
        <v>7627</v>
      </c>
    </row>
    <row r="2287" customFormat="false" ht="12.8" hidden="false" customHeight="false" outlineLevel="0" collapsed="false">
      <c r="A2287" s="10" t="n">
        <f aca="false">A2286+1</f>
        <v>2286</v>
      </c>
      <c r="B2287" s="11" t="n">
        <f aca="false">B2286+1</f>
        <v>47212</v>
      </c>
      <c r="C2287" s="10" t="n">
        <f aca="false">YEAR(B2287)</f>
        <v>2029</v>
      </c>
      <c r="D2287" s="10" t="n">
        <f aca="false">INT((MONTH(B2287)-1)/3)+1</f>
        <v>2</v>
      </c>
      <c r="E2287" s="10" t="n">
        <f aca="false">MONTH(B2287)</f>
        <v>4</v>
      </c>
      <c r="F2287" s="10" t="str">
        <f aca="false">CHOOSE(MOD(A2287-1,5)+1,"Центр","Юг","Север","Запад","Восток")</f>
        <v>Центр</v>
      </c>
      <c r="G2287" s="10" t="str">
        <f aca="false">"Округ_"&amp;(MOD(A2287-1,5)+1)&amp;"_"&amp;(MOD(INT((A2287-1)/5),5)+1)</f>
        <v>Округ_1_3</v>
      </c>
      <c r="H2287" s="10" t="str">
        <f aca="false">"Город_"&amp;(MOD(A2287-1,5)+1)&amp;"_"&amp;(MOD(INT((A2287-1)/5),5)+1)&amp;"_"&amp;(MOD(INT((A2287-1)/25),10)+1)</f>
        <v>Город_1_3_2</v>
      </c>
      <c r="I2287" s="10" t="str">
        <f aca="false">CHOOSE(MOD(A2287-1,4)+1,"Электроника","Одежда","Продукты","Мебель")</f>
        <v>Одежда</v>
      </c>
      <c r="J2287" s="10" t="str">
        <f aca="false">CHOOSE(MOD(INT((A2287-1)/4),4)+1,CHOOSE(MOD(A2287-1,4)+1,"Смартфоны","Ноутбуки","Аксессуары","Аудио"),CHOOSE(MOD(A2287-1,4)+1,"Верхняя одежда","Спортивная","Повседневная","Обувь"),CHOOSE(MOD(A2287-1,4)+1,"Молочные","Мясные","Бакалея","Напитки"),CHOOSE(MOD(A2287-1,4)+1,"Мягкая мебель","Корпусная","Офисная","Кухонная"))</f>
        <v>Корпусная</v>
      </c>
      <c r="K2287" s="12" t="n">
        <f aca="false">1000+MOD(A2287*317+A2287*A2287*7,49001)</f>
        <v>16473</v>
      </c>
      <c r="L2287" s="12" t="n">
        <f aca="false">1+MOD(A2287*131,100)</f>
        <v>67</v>
      </c>
      <c r="M2287" s="12" t="n">
        <f aca="false">INT(K2287*(0.6+MOD(A2287*43,21)/100))</f>
        <v>12848</v>
      </c>
      <c r="N2287" s="12" t="n">
        <f aca="false">K2287-M2287</f>
        <v>3625</v>
      </c>
    </row>
    <row r="2288" customFormat="false" ht="12.8" hidden="false" customHeight="false" outlineLevel="0" collapsed="false">
      <c r="A2288" s="10" t="n">
        <f aca="false">A2287+1</f>
        <v>2287</v>
      </c>
      <c r="B2288" s="11" t="n">
        <f aca="false">B2287+1</f>
        <v>47213</v>
      </c>
      <c r="C2288" s="10" t="n">
        <f aca="false">YEAR(B2288)</f>
        <v>2029</v>
      </c>
      <c r="D2288" s="10" t="n">
        <f aca="false">INT((MONTH(B2288)-1)/3)+1</f>
        <v>2</v>
      </c>
      <c r="E2288" s="10" t="n">
        <f aca="false">MONTH(B2288)</f>
        <v>4</v>
      </c>
      <c r="F2288" s="10" t="str">
        <f aca="false">CHOOSE(MOD(A2288-1,5)+1,"Центр","Юг","Север","Запад","Восток")</f>
        <v>Юг</v>
      </c>
      <c r="G2288" s="10" t="str">
        <f aca="false">"Округ_"&amp;(MOD(A2288-1,5)+1)&amp;"_"&amp;(MOD(INT((A2288-1)/5),5)+1)</f>
        <v>Округ_2_3</v>
      </c>
      <c r="H2288" s="10" t="str">
        <f aca="false">"Город_"&amp;(MOD(A2288-1,5)+1)&amp;"_"&amp;(MOD(INT((A2288-1)/5),5)+1)&amp;"_"&amp;(MOD(INT((A2288-1)/25),10)+1)</f>
        <v>Город_2_3_2</v>
      </c>
      <c r="I2288" s="10" t="str">
        <f aca="false">CHOOSE(MOD(A2288-1,4)+1,"Электроника","Одежда","Продукты","Мебель")</f>
        <v>Продукты</v>
      </c>
      <c r="J2288" s="10" t="str">
        <f aca="false">CHOOSE(MOD(INT((A2288-1)/4),4)+1,CHOOSE(MOD(A2288-1,4)+1,"Смартфоны","Ноутбуки","Аксессуары","Аудио"),CHOOSE(MOD(A2288-1,4)+1,"Верхняя одежда","Спортивная","Повседневная","Обувь"),CHOOSE(MOD(A2288-1,4)+1,"Молочные","Мясные","Бакалея","Напитки"),CHOOSE(MOD(A2288-1,4)+1,"Мягкая мебель","Корпусная","Офисная","Кухонная"))</f>
        <v>Офисная</v>
      </c>
      <c r="K2288" s="12" t="n">
        <f aca="false">1000+MOD(A2288*317+A2288*A2288*7,49001)</f>
        <v>48801</v>
      </c>
      <c r="L2288" s="12" t="n">
        <f aca="false">1+MOD(A2288*131,100)</f>
        <v>98</v>
      </c>
      <c r="M2288" s="12" t="n">
        <f aca="false">INT(K2288*(0.6+MOD(A2288*43,21)/100))</f>
        <v>38552</v>
      </c>
      <c r="N2288" s="12" t="n">
        <f aca="false">K2288-M2288</f>
        <v>10249</v>
      </c>
    </row>
    <row r="2289" customFormat="false" ht="12.8" hidden="false" customHeight="false" outlineLevel="0" collapsed="false">
      <c r="A2289" s="10" t="n">
        <f aca="false">A2288+1</f>
        <v>2288</v>
      </c>
      <c r="B2289" s="11" t="n">
        <f aca="false">B2288+1</f>
        <v>47214</v>
      </c>
      <c r="C2289" s="10" t="n">
        <f aca="false">YEAR(B2289)</f>
        <v>2029</v>
      </c>
      <c r="D2289" s="10" t="n">
        <f aca="false">INT((MONTH(B2289)-1)/3)+1</f>
        <v>2</v>
      </c>
      <c r="E2289" s="10" t="n">
        <f aca="false">MONTH(B2289)</f>
        <v>4</v>
      </c>
      <c r="F2289" s="10" t="str">
        <f aca="false">CHOOSE(MOD(A2289-1,5)+1,"Центр","Юг","Север","Запад","Восток")</f>
        <v>Север</v>
      </c>
      <c r="G2289" s="10" t="str">
        <f aca="false">"Округ_"&amp;(MOD(A2289-1,5)+1)&amp;"_"&amp;(MOD(INT((A2289-1)/5),5)+1)</f>
        <v>Округ_3_3</v>
      </c>
      <c r="H2289" s="10" t="str">
        <f aca="false">"Город_"&amp;(MOD(A2289-1,5)+1)&amp;"_"&amp;(MOD(INT((A2289-1)/5),5)+1)&amp;"_"&amp;(MOD(INT((A2289-1)/25),10)+1)</f>
        <v>Город_3_3_2</v>
      </c>
      <c r="I2289" s="10" t="str">
        <f aca="false">CHOOSE(MOD(A2289-1,4)+1,"Электроника","Одежда","Продукты","Мебель")</f>
        <v>Мебель</v>
      </c>
      <c r="J2289" s="10" t="str">
        <f aca="false">CHOOSE(MOD(INT((A2289-1)/4),4)+1,CHOOSE(MOD(A2289-1,4)+1,"Смартфоны","Ноутбуки","Аксессуары","Аудио"),CHOOSE(MOD(A2289-1,4)+1,"Верхняя одежда","Спортивная","Повседневная","Обувь"),CHOOSE(MOD(A2289-1,4)+1,"Молочные","Мясные","Бакалея","Напитки"),CHOOSE(MOD(A2289-1,4)+1,"Мягкая мебель","Корпусная","Офисная","Кухонная"))</f>
        <v>Кухонная</v>
      </c>
      <c r="K2289" s="12" t="n">
        <f aca="false">1000+MOD(A2289*317+A2289*A2289*7,49001)</f>
        <v>32142</v>
      </c>
      <c r="L2289" s="12" t="n">
        <f aca="false">1+MOD(A2289*131,100)</f>
        <v>29</v>
      </c>
      <c r="M2289" s="12" t="n">
        <f aca="false">INT(K2289*(0.6+MOD(A2289*43,21)/100))</f>
        <v>25713</v>
      </c>
      <c r="N2289" s="12" t="n">
        <f aca="false">K2289-M2289</f>
        <v>6429</v>
      </c>
    </row>
    <row r="2290" customFormat="false" ht="12.8" hidden="false" customHeight="false" outlineLevel="0" collapsed="false">
      <c r="A2290" s="10" t="n">
        <f aca="false">A2289+1</f>
        <v>2289</v>
      </c>
      <c r="B2290" s="11" t="n">
        <f aca="false">B2289+1</f>
        <v>47215</v>
      </c>
      <c r="C2290" s="10" t="n">
        <f aca="false">YEAR(B2290)</f>
        <v>2029</v>
      </c>
      <c r="D2290" s="10" t="n">
        <f aca="false">INT((MONTH(B2290)-1)/3)+1</f>
        <v>2</v>
      </c>
      <c r="E2290" s="10" t="n">
        <f aca="false">MONTH(B2290)</f>
        <v>4</v>
      </c>
      <c r="F2290" s="10" t="str">
        <f aca="false">CHOOSE(MOD(A2290-1,5)+1,"Центр","Юг","Север","Запад","Восток")</f>
        <v>Запад</v>
      </c>
      <c r="G2290" s="10" t="str">
        <f aca="false">"Округ_"&amp;(MOD(A2290-1,5)+1)&amp;"_"&amp;(MOD(INT((A2290-1)/5),5)+1)</f>
        <v>Округ_4_3</v>
      </c>
      <c r="H2290" s="10" t="str">
        <f aca="false">"Город_"&amp;(MOD(A2290-1,5)+1)&amp;"_"&amp;(MOD(INT((A2290-1)/5),5)+1)&amp;"_"&amp;(MOD(INT((A2290-1)/25),10)+1)</f>
        <v>Город_4_3_2</v>
      </c>
      <c r="I2290" s="10" t="str">
        <f aca="false">CHOOSE(MOD(A2290-1,4)+1,"Электроника","Одежда","Продукты","Мебель")</f>
        <v>Электроника</v>
      </c>
      <c r="J2290" s="10" t="str">
        <f aca="false">CHOOSE(MOD(INT((A2290-1)/4),4)+1,CHOOSE(MOD(A2290-1,4)+1,"Смартфоны","Ноутбуки","Аксессуары","Аудио"),CHOOSE(MOD(A2290-1,4)+1,"Верхняя одежда","Спортивная","Повседневная","Обувь"),CHOOSE(MOD(A2290-1,4)+1,"Молочные","Мясные","Бакалея","Напитки"),CHOOSE(MOD(A2290-1,4)+1,"Мягкая мебель","Корпусная","Офисная","Кухонная"))</f>
        <v>Смартфоны</v>
      </c>
      <c r="K2290" s="12" t="n">
        <f aca="false">1000+MOD(A2290*317+A2290*A2290*7,49001)</f>
        <v>15497</v>
      </c>
      <c r="L2290" s="12" t="n">
        <f aca="false">1+MOD(A2290*131,100)</f>
        <v>60</v>
      </c>
      <c r="M2290" s="12" t="n">
        <f aca="false">INT(K2290*(0.6+MOD(A2290*43,21)/100))</f>
        <v>9298</v>
      </c>
      <c r="N2290" s="12" t="n">
        <f aca="false">K2290-M2290</f>
        <v>6199</v>
      </c>
    </row>
    <row r="2291" customFormat="false" ht="12.8" hidden="false" customHeight="false" outlineLevel="0" collapsed="false">
      <c r="A2291" s="10" t="n">
        <f aca="false">A2290+1</f>
        <v>2290</v>
      </c>
      <c r="B2291" s="11" t="n">
        <f aca="false">B2290+1</f>
        <v>47216</v>
      </c>
      <c r="C2291" s="10" t="n">
        <f aca="false">YEAR(B2291)</f>
        <v>2029</v>
      </c>
      <c r="D2291" s="10" t="n">
        <f aca="false">INT((MONTH(B2291)-1)/3)+1</f>
        <v>2</v>
      </c>
      <c r="E2291" s="10" t="n">
        <f aca="false">MONTH(B2291)</f>
        <v>4</v>
      </c>
      <c r="F2291" s="10" t="str">
        <f aca="false">CHOOSE(MOD(A2291-1,5)+1,"Центр","Юг","Север","Запад","Восток")</f>
        <v>Восток</v>
      </c>
      <c r="G2291" s="10" t="str">
        <f aca="false">"Округ_"&amp;(MOD(A2291-1,5)+1)&amp;"_"&amp;(MOD(INT((A2291-1)/5),5)+1)</f>
        <v>Округ_5_3</v>
      </c>
      <c r="H2291" s="10" t="str">
        <f aca="false">"Город_"&amp;(MOD(A2291-1,5)+1)&amp;"_"&amp;(MOD(INT((A2291-1)/5),5)+1)&amp;"_"&amp;(MOD(INT((A2291-1)/25),10)+1)</f>
        <v>Город_5_3_2</v>
      </c>
      <c r="I2291" s="10" t="str">
        <f aca="false">CHOOSE(MOD(A2291-1,4)+1,"Электроника","Одежда","Продукты","Мебель")</f>
        <v>Одежда</v>
      </c>
      <c r="J2291" s="10" t="str">
        <f aca="false">CHOOSE(MOD(INT((A2291-1)/4),4)+1,CHOOSE(MOD(A2291-1,4)+1,"Смартфоны","Ноутбуки","Аксессуары","Аудио"),CHOOSE(MOD(A2291-1,4)+1,"Верхняя одежда","Спортивная","Повседневная","Обувь"),CHOOSE(MOD(A2291-1,4)+1,"Молочные","Мясные","Бакалея","Напитки"),CHOOSE(MOD(A2291-1,4)+1,"Мягкая мебель","Корпусная","Офисная","Кухонная"))</f>
        <v>Ноутбуки</v>
      </c>
      <c r="K2291" s="12" t="n">
        <f aca="false">1000+MOD(A2291*317+A2291*A2291*7,49001)</f>
        <v>47867</v>
      </c>
      <c r="L2291" s="12" t="n">
        <f aca="false">1+MOD(A2291*131,100)</f>
        <v>91</v>
      </c>
      <c r="M2291" s="12" t="n">
        <f aca="false">INT(K2291*(0.6+MOD(A2291*43,21)/100))</f>
        <v>29198</v>
      </c>
      <c r="N2291" s="12" t="n">
        <f aca="false">K2291-M2291</f>
        <v>18669</v>
      </c>
    </row>
    <row r="2292" customFormat="false" ht="12.8" hidden="false" customHeight="false" outlineLevel="0" collapsed="false">
      <c r="A2292" s="10" t="n">
        <f aca="false">A2291+1</f>
        <v>2291</v>
      </c>
      <c r="B2292" s="11" t="n">
        <f aca="false">B2291+1</f>
        <v>47217</v>
      </c>
      <c r="C2292" s="10" t="n">
        <f aca="false">YEAR(B2292)</f>
        <v>2029</v>
      </c>
      <c r="D2292" s="10" t="n">
        <f aca="false">INT((MONTH(B2292)-1)/3)+1</f>
        <v>2</v>
      </c>
      <c r="E2292" s="10" t="n">
        <f aca="false">MONTH(B2292)</f>
        <v>4</v>
      </c>
      <c r="F2292" s="10" t="str">
        <f aca="false">CHOOSE(MOD(A2292-1,5)+1,"Центр","Юг","Север","Запад","Восток")</f>
        <v>Центр</v>
      </c>
      <c r="G2292" s="10" t="str">
        <f aca="false">"Округ_"&amp;(MOD(A2292-1,5)+1)&amp;"_"&amp;(MOD(INT((A2292-1)/5),5)+1)</f>
        <v>Округ_1_4</v>
      </c>
      <c r="H2292" s="10" t="str">
        <f aca="false">"Город_"&amp;(MOD(A2292-1,5)+1)&amp;"_"&amp;(MOD(INT((A2292-1)/5),5)+1)&amp;"_"&amp;(MOD(INT((A2292-1)/25),10)+1)</f>
        <v>Город_1_4_2</v>
      </c>
      <c r="I2292" s="10" t="str">
        <f aca="false">CHOOSE(MOD(A2292-1,4)+1,"Электроника","Одежда","Продукты","Мебель")</f>
        <v>Продукты</v>
      </c>
      <c r="J2292" s="10" t="str">
        <f aca="false">CHOOSE(MOD(INT((A2292-1)/4),4)+1,CHOOSE(MOD(A2292-1,4)+1,"Смартфоны","Ноутбуки","Аксессуары","Аудио"),CHOOSE(MOD(A2292-1,4)+1,"Верхняя одежда","Спортивная","Повседневная","Обувь"),CHOOSE(MOD(A2292-1,4)+1,"Молочные","Мясные","Бакалея","Напитки"),CHOOSE(MOD(A2292-1,4)+1,"Мягкая мебель","Корпусная","Офисная","Кухонная"))</f>
        <v>Аксессуары</v>
      </c>
      <c r="K2292" s="12" t="n">
        <f aca="false">1000+MOD(A2292*317+A2292*A2292*7,49001)</f>
        <v>31250</v>
      </c>
      <c r="L2292" s="12" t="n">
        <f aca="false">1+MOD(A2292*131,100)</f>
        <v>22</v>
      </c>
      <c r="M2292" s="12" t="n">
        <f aca="false">INT(K2292*(0.6+MOD(A2292*43,21)/100))</f>
        <v>19375</v>
      </c>
      <c r="N2292" s="12" t="n">
        <f aca="false">K2292-M2292</f>
        <v>11875</v>
      </c>
    </row>
    <row r="2293" customFormat="false" ht="12.8" hidden="false" customHeight="false" outlineLevel="0" collapsed="false">
      <c r="A2293" s="10" t="n">
        <f aca="false">A2292+1</f>
        <v>2292</v>
      </c>
      <c r="B2293" s="11" t="n">
        <f aca="false">B2292+1</f>
        <v>47218</v>
      </c>
      <c r="C2293" s="10" t="n">
        <f aca="false">YEAR(B2293)</f>
        <v>2029</v>
      </c>
      <c r="D2293" s="10" t="n">
        <f aca="false">INT((MONTH(B2293)-1)/3)+1</f>
        <v>2</v>
      </c>
      <c r="E2293" s="10" t="n">
        <f aca="false">MONTH(B2293)</f>
        <v>4</v>
      </c>
      <c r="F2293" s="10" t="str">
        <f aca="false">CHOOSE(MOD(A2293-1,5)+1,"Центр","Юг","Север","Запад","Восток")</f>
        <v>Юг</v>
      </c>
      <c r="G2293" s="10" t="str">
        <f aca="false">"Округ_"&amp;(MOD(A2293-1,5)+1)&amp;"_"&amp;(MOD(INT((A2293-1)/5),5)+1)</f>
        <v>Округ_2_4</v>
      </c>
      <c r="H2293" s="10" t="str">
        <f aca="false">"Город_"&amp;(MOD(A2293-1,5)+1)&amp;"_"&amp;(MOD(INT((A2293-1)/5),5)+1)&amp;"_"&amp;(MOD(INT((A2293-1)/25),10)+1)</f>
        <v>Город_2_4_2</v>
      </c>
      <c r="I2293" s="10" t="str">
        <f aca="false">CHOOSE(MOD(A2293-1,4)+1,"Электроника","Одежда","Продукты","Мебель")</f>
        <v>Мебель</v>
      </c>
      <c r="J2293" s="10" t="str">
        <f aca="false">CHOOSE(MOD(INT((A2293-1)/4),4)+1,CHOOSE(MOD(A2293-1,4)+1,"Смартфоны","Ноутбуки","Аксессуары","Аудио"),CHOOSE(MOD(A2293-1,4)+1,"Верхняя одежда","Спортивная","Повседневная","Обувь"),CHOOSE(MOD(A2293-1,4)+1,"Молочные","Мясные","Бакалея","Напитки"),CHOOSE(MOD(A2293-1,4)+1,"Мягкая мебель","Корпусная","Офисная","Кухонная"))</f>
        <v>Аудио</v>
      </c>
      <c r="K2293" s="12" t="n">
        <f aca="false">1000+MOD(A2293*317+A2293*A2293*7,49001)</f>
        <v>14647</v>
      </c>
      <c r="L2293" s="12" t="n">
        <f aca="false">1+MOD(A2293*131,100)</f>
        <v>53</v>
      </c>
      <c r="M2293" s="12" t="n">
        <f aca="false">INT(K2293*(0.6+MOD(A2293*43,21)/100))</f>
        <v>9227</v>
      </c>
      <c r="N2293" s="12" t="n">
        <f aca="false">K2293-M2293</f>
        <v>5420</v>
      </c>
    </row>
    <row r="2294" customFormat="false" ht="12.8" hidden="false" customHeight="false" outlineLevel="0" collapsed="false">
      <c r="A2294" s="10" t="n">
        <f aca="false">A2293+1</f>
        <v>2293</v>
      </c>
      <c r="B2294" s="11" t="n">
        <f aca="false">B2293+1</f>
        <v>47219</v>
      </c>
      <c r="C2294" s="10" t="n">
        <f aca="false">YEAR(B2294)</f>
        <v>2029</v>
      </c>
      <c r="D2294" s="10" t="n">
        <f aca="false">INT((MONTH(B2294)-1)/3)+1</f>
        <v>2</v>
      </c>
      <c r="E2294" s="10" t="n">
        <f aca="false">MONTH(B2294)</f>
        <v>4</v>
      </c>
      <c r="F2294" s="10" t="str">
        <f aca="false">CHOOSE(MOD(A2294-1,5)+1,"Центр","Юг","Север","Запад","Восток")</f>
        <v>Север</v>
      </c>
      <c r="G2294" s="10" t="str">
        <f aca="false">"Округ_"&amp;(MOD(A2294-1,5)+1)&amp;"_"&amp;(MOD(INT((A2294-1)/5),5)+1)</f>
        <v>Округ_3_4</v>
      </c>
      <c r="H2294" s="10" t="str">
        <f aca="false">"Город_"&amp;(MOD(A2294-1,5)+1)&amp;"_"&amp;(MOD(INT((A2294-1)/5),5)+1)&amp;"_"&amp;(MOD(INT((A2294-1)/25),10)+1)</f>
        <v>Город_3_4_2</v>
      </c>
      <c r="I2294" s="10" t="str">
        <f aca="false">CHOOSE(MOD(A2294-1,4)+1,"Электроника","Одежда","Продукты","Мебель")</f>
        <v>Электроника</v>
      </c>
      <c r="J2294" s="10" t="str">
        <f aca="false">CHOOSE(MOD(INT((A2294-1)/4),4)+1,CHOOSE(MOD(A2294-1,4)+1,"Смартфоны","Ноутбуки","Аксессуары","Аудио"),CHOOSE(MOD(A2294-1,4)+1,"Верхняя одежда","Спортивная","Повседневная","Обувь"),CHOOSE(MOD(A2294-1,4)+1,"Молочные","Мясные","Бакалея","Напитки"),CHOOSE(MOD(A2294-1,4)+1,"Мягкая мебель","Корпусная","Офисная","Кухонная"))</f>
        <v>Верхняя одежда</v>
      </c>
      <c r="K2294" s="12" t="n">
        <f aca="false">1000+MOD(A2294*317+A2294*A2294*7,49001)</f>
        <v>47059</v>
      </c>
      <c r="L2294" s="12" t="n">
        <f aca="false">1+MOD(A2294*131,100)</f>
        <v>84</v>
      </c>
      <c r="M2294" s="12" t="n">
        <f aca="false">INT(K2294*(0.6+MOD(A2294*43,21)/100))</f>
        <v>30117</v>
      </c>
      <c r="N2294" s="12" t="n">
        <f aca="false">K2294-M2294</f>
        <v>16942</v>
      </c>
    </row>
    <row r="2295" customFormat="false" ht="12.8" hidden="false" customHeight="false" outlineLevel="0" collapsed="false">
      <c r="A2295" s="10" t="n">
        <f aca="false">A2294+1</f>
        <v>2294</v>
      </c>
      <c r="B2295" s="11" t="n">
        <f aca="false">B2294+1</f>
        <v>47220</v>
      </c>
      <c r="C2295" s="10" t="n">
        <f aca="false">YEAR(B2295)</f>
        <v>2029</v>
      </c>
      <c r="D2295" s="10" t="n">
        <f aca="false">INT((MONTH(B2295)-1)/3)+1</f>
        <v>2</v>
      </c>
      <c r="E2295" s="10" t="n">
        <f aca="false">MONTH(B2295)</f>
        <v>4</v>
      </c>
      <c r="F2295" s="10" t="str">
        <f aca="false">CHOOSE(MOD(A2295-1,5)+1,"Центр","Юг","Север","Запад","Восток")</f>
        <v>Запад</v>
      </c>
      <c r="G2295" s="10" t="str">
        <f aca="false">"Округ_"&amp;(MOD(A2295-1,5)+1)&amp;"_"&amp;(MOD(INT((A2295-1)/5),5)+1)</f>
        <v>Округ_4_4</v>
      </c>
      <c r="H2295" s="10" t="str">
        <f aca="false">"Город_"&amp;(MOD(A2295-1,5)+1)&amp;"_"&amp;(MOD(INT((A2295-1)/5),5)+1)&amp;"_"&amp;(MOD(INT((A2295-1)/25),10)+1)</f>
        <v>Город_4_4_2</v>
      </c>
      <c r="I2295" s="10" t="str">
        <f aca="false">CHOOSE(MOD(A2295-1,4)+1,"Электроника","Одежда","Продукты","Мебель")</f>
        <v>Одежда</v>
      </c>
      <c r="J2295" s="10" t="str">
        <f aca="false">CHOOSE(MOD(INT((A2295-1)/4),4)+1,CHOOSE(MOD(A2295-1,4)+1,"Смартфоны","Ноутбуки","Аксессуары","Аудио"),CHOOSE(MOD(A2295-1,4)+1,"Верхняя одежда","Спортивная","Повседневная","Обувь"),CHOOSE(MOD(A2295-1,4)+1,"Молочные","Мясные","Бакалея","Напитки"),CHOOSE(MOD(A2295-1,4)+1,"Мягкая мебель","Корпусная","Офисная","Кухонная"))</f>
        <v>Спортивная</v>
      </c>
      <c r="K2295" s="12" t="n">
        <f aca="false">1000+MOD(A2295*317+A2295*A2295*7,49001)</f>
        <v>30484</v>
      </c>
      <c r="L2295" s="12" t="n">
        <f aca="false">1+MOD(A2295*131,100)</f>
        <v>15</v>
      </c>
      <c r="M2295" s="12" t="n">
        <f aca="false">INT(K2295*(0.6+MOD(A2295*43,21)/100))</f>
        <v>19814</v>
      </c>
      <c r="N2295" s="12" t="n">
        <f aca="false">K2295-M2295</f>
        <v>10670</v>
      </c>
    </row>
    <row r="2296" customFormat="false" ht="12.8" hidden="false" customHeight="false" outlineLevel="0" collapsed="false">
      <c r="A2296" s="10" t="n">
        <f aca="false">A2295+1</f>
        <v>2295</v>
      </c>
      <c r="B2296" s="11" t="n">
        <f aca="false">B2295+1</f>
        <v>47221</v>
      </c>
      <c r="C2296" s="10" t="n">
        <f aca="false">YEAR(B2296)</f>
        <v>2029</v>
      </c>
      <c r="D2296" s="10" t="n">
        <f aca="false">INT((MONTH(B2296)-1)/3)+1</f>
        <v>2</v>
      </c>
      <c r="E2296" s="10" t="n">
        <f aca="false">MONTH(B2296)</f>
        <v>4</v>
      </c>
      <c r="F2296" s="10" t="str">
        <f aca="false">CHOOSE(MOD(A2296-1,5)+1,"Центр","Юг","Север","Запад","Восток")</f>
        <v>Восток</v>
      </c>
      <c r="G2296" s="10" t="str">
        <f aca="false">"Округ_"&amp;(MOD(A2296-1,5)+1)&amp;"_"&amp;(MOD(INT((A2296-1)/5),5)+1)</f>
        <v>Округ_5_4</v>
      </c>
      <c r="H2296" s="10" t="str">
        <f aca="false">"Город_"&amp;(MOD(A2296-1,5)+1)&amp;"_"&amp;(MOD(INT((A2296-1)/5),5)+1)&amp;"_"&amp;(MOD(INT((A2296-1)/25),10)+1)</f>
        <v>Город_5_4_2</v>
      </c>
      <c r="I2296" s="10" t="str">
        <f aca="false">CHOOSE(MOD(A2296-1,4)+1,"Электроника","Одежда","Продукты","Мебель")</f>
        <v>Продукты</v>
      </c>
      <c r="J2296" s="10" t="str">
        <f aca="false">CHOOSE(MOD(INT((A2296-1)/4),4)+1,CHOOSE(MOD(A2296-1,4)+1,"Смартфоны","Ноутбуки","Аксессуары","Аудио"),CHOOSE(MOD(A2296-1,4)+1,"Верхняя одежда","Спортивная","Повседневная","Обувь"),CHOOSE(MOD(A2296-1,4)+1,"Молочные","Мясные","Бакалея","Напитки"),CHOOSE(MOD(A2296-1,4)+1,"Мягкая мебель","Корпусная","Офисная","Кухонная"))</f>
        <v>Повседневная</v>
      </c>
      <c r="K2296" s="12" t="n">
        <f aca="false">1000+MOD(A2296*317+A2296*A2296*7,49001)</f>
        <v>13923</v>
      </c>
      <c r="L2296" s="12" t="n">
        <f aca="false">1+MOD(A2296*131,100)</f>
        <v>46</v>
      </c>
      <c r="M2296" s="12" t="n">
        <f aca="false">INT(K2296*(0.6+MOD(A2296*43,21)/100))</f>
        <v>9189</v>
      </c>
      <c r="N2296" s="12" t="n">
        <f aca="false">K2296-M2296</f>
        <v>4734</v>
      </c>
    </row>
    <row r="2297" customFormat="false" ht="12.8" hidden="false" customHeight="false" outlineLevel="0" collapsed="false">
      <c r="A2297" s="10" t="n">
        <f aca="false">A2296+1</f>
        <v>2296</v>
      </c>
      <c r="B2297" s="11" t="n">
        <f aca="false">B2296+1</f>
        <v>47222</v>
      </c>
      <c r="C2297" s="10" t="n">
        <f aca="false">YEAR(B2297)</f>
        <v>2029</v>
      </c>
      <c r="D2297" s="10" t="n">
        <f aca="false">INT((MONTH(B2297)-1)/3)+1</f>
        <v>2</v>
      </c>
      <c r="E2297" s="10" t="n">
        <f aca="false">MONTH(B2297)</f>
        <v>4</v>
      </c>
      <c r="F2297" s="10" t="str">
        <f aca="false">CHOOSE(MOD(A2297-1,5)+1,"Центр","Юг","Север","Запад","Восток")</f>
        <v>Центр</v>
      </c>
      <c r="G2297" s="10" t="str">
        <f aca="false">"Округ_"&amp;(MOD(A2297-1,5)+1)&amp;"_"&amp;(MOD(INT((A2297-1)/5),5)+1)</f>
        <v>Округ_1_5</v>
      </c>
      <c r="H2297" s="10" t="str">
        <f aca="false">"Город_"&amp;(MOD(A2297-1,5)+1)&amp;"_"&amp;(MOD(INT((A2297-1)/5),5)+1)&amp;"_"&amp;(MOD(INT((A2297-1)/25),10)+1)</f>
        <v>Город_1_5_2</v>
      </c>
      <c r="I2297" s="10" t="str">
        <f aca="false">CHOOSE(MOD(A2297-1,4)+1,"Электроника","Одежда","Продукты","Мебель")</f>
        <v>Мебель</v>
      </c>
      <c r="J2297" s="10" t="str">
        <f aca="false">CHOOSE(MOD(INT((A2297-1)/4),4)+1,CHOOSE(MOD(A2297-1,4)+1,"Смартфоны","Ноутбуки","Аксессуары","Аудио"),CHOOSE(MOD(A2297-1,4)+1,"Верхняя одежда","Спортивная","Повседневная","Обувь"),CHOOSE(MOD(A2297-1,4)+1,"Молочные","Мясные","Бакалея","Напитки"),CHOOSE(MOD(A2297-1,4)+1,"Мягкая мебель","Корпусная","Офисная","Кухонная"))</f>
        <v>Обувь</v>
      </c>
      <c r="K2297" s="12" t="n">
        <f aca="false">1000+MOD(A2297*317+A2297*A2297*7,49001)</f>
        <v>46377</v>
      </c>
      <c r="L2297" s="12" t="n">
        <f aca="false">1+MOD(A2297*131,100)</f>
        <v>77</v>
      </c>
      <c r="M2297" s="12" t="n">
        <f aca="false">INT(K2297*(0.6+MOD(A2297*43,21)/100))</f>
        <v>31072</v>
      </c>
      <c r="N2297" s="12" t="n">
        <f aca="false">K2297-M2297</f>
        <v>15305</v>
      </c>
    </row>
    <row r="2298" customFormat="false" ht="12.8" hidden="false" customHeight="false" outlineLevel="0" collapsed="false">
      <c r="A2298" s="10" t="n">
        <f aca="false">A2297+1</f>
        <v>2297</v>
      </c>
      <c r="B2298" s="11" t="n">
        <f aca="false">B2297+1</f>
        <v>47223</v>
      </c>
      <c r="C2298" s="10" t="n">
        <f aca="false">YEAR(B2298)</f>
        <v>2029</v>
      </c>
      <c r="D2298" s="10" t="n">
        <f aca="false">INT((MONTH(B2298)-1)/3)+1</f>
        <v>2</v>
      </c>
      <c r="E2298" s="10" t="n">
        <f aca="false">MONTH(B2298)</f>
        <v>4</v>
      </c>
      <c r="F2298" s="10" t="str">
        <f aca="false">CHOOSE(MOD(A2298-1,5)+1,"Центр","Юг","Север","Запад","Восток")</f>
        <v>Юг</v>
      </c>
      <c r="G2298" s="10" t="str">
        <f aca="false">"Округ_"&amp;(MOD(A2298-1,5)+1)&amp;"_"&amp;(MOD(INT((A2298-1)/5),5)+1)</f>
        <v>Округ_2_5</v>
      </c>
      <c r="H2298" s="10" t="str">
        <f aca="false">"Город_"&amp;(MOD(A2298-1,5)+1)&amp;"_"&amp;(MOD(INT((A2298-1)/5),5)+1)&amp;"_"&amp;(MOD(INT((A2298-1)/25),10)+1)</f>
        <v>Город_2_5_2</v>
      </c>
      <c r="I2298" s="10" t="str">
        <f aca="false">CHOOSE(MOD(A2298-1,4)+1,"Электроника","Одежда","Продукты","Мебель")</f>
        <v>Электроника</v>
      </c>
      <c r="J2298" s="10" t="str">
        <f aca="false">CHOOSE(MOD(INT((A2298-1)/4),4)+1,CHOOSE(MOD(A2298-1,4)+1,"Смартфоны","Ноутбуки","Аксессуары","Аудио"),CHOOSE(MOD(A2298-1,4)+1,"Верхняя одежда","Спортивная","Повседневная","Обувь"),CHOOSE(MOD(A2298-1,4)+1,"Молочные","Мясные","Бакалея","Напитки"),CHOOSE(MOD(A2298-1,4)+1,"Мягкая мебель","Корпусная","Офисная","Кухонная"))</f>
        <v>Молочные</v>
      </c>
      <c r="K2298" s="12" t="n">
        <f aca="false">1000+MOD(A2298*317+A2298*A2298*7,49001)</f>
        <v>29844</v>
      </c>
      <c r="L2298" s="12" t="n">
        <f aca="false">1+MOD(A2298*131,100)</f>
        <v>8</v>
      </c>
      <c r="M2298" s="12" t="n">
        <f aca="false">INT(K2298*(0.6+MOD(A2298*43,21)/100))</f>
        <v>20293</v>
      </c>
      <c r="N2298" s="12" t="n">
        <f aca="false">K2298-M2298</f>
        <v>9551</v>
      </c>
    </row>
    <row r="2299" customFormat="false" ht="12.8" hidden="false" customHeight="false" outlineLevel="0" collapsed="false">
      <c r="A2299" s="10" t="n">
        <f aca="false">A2298+1</f>
        <v>2298</v>
      </c>
      <c r="B2299" s="11" t="n">
        <f aca="false">B2298+1</f>
        <v>47224</v>
      </c>
      <c r="C2299" s="10" t="n">
        <f aca="false">YEAR(B2299)</f>
        <v>2029</v>
      </c>
      <c r="D2299" s="10" t="n">
        <f aca="false">INT((MONTH(B2299)-1)/3)+1</f>
        <v>2</v>
      </c>
      <c r="E2299" s="10" t="n">
        <f aca="false">MONTH(B2299)</f>
        <v>4</v>
      </c>
      <c r="F2299" s="10" t="str">
        <f aca="false">CHOOSE(MOD(A2299-1,5)+1,"Центр","Юг","Север","Запад","Восток")</f>
        <v>Север</v>
      </c>
      <c r="G2299" s="10" t="str">
        <f aca="false">"Округ_"&amp;(MOD(A2299-1,5)+1)&amp;"_"&amp;(MOD(INT((A2299-1)/5),5)+1)</f>
        <v>Округ_3_5</v>
      </c>
      <c r="H2299" s="10" t="str">
        <f aca="false">"Город_"&amp;(MOD(A2299-1,5)+1)&amp;"_"&amp;(MOD(INT((A2299-1)/5),5)+1)&amp;"_"&amp;(MOD(INT((A2299-1)/25),10)+1)</f>
        <v>Город_3_5_2</v>
      </c>
      <c r="I2299" s="10" t="str">
        <f aca="false">CHOOSE(MOD(A2299-1,4)+1,"Электроника","Одежда","Продукты","Мебель")</f>
        <v>Одежда</v>
      </c>
      <c r="J2299" s="10" t="str">
        <f aca="false">CHOOSE(MOD(INT((A2299-1)/4),4)+1,CHOOSE(MOD(A2299-1,4)+1,"Смартфоны","Ноутбуки","Аксессуары","Аудио"),CHOOSE(MOD(A2299-1,4)+1,"Верхняя одежда","Спортивная","Повседневная","Обувь"),CHOOSE(MOD(A2299-1,4)+1,"Молочные","Мясные","Бакалея","Напитки"),CHOOSE(MOD(A2299-1,4)+1,"Мягкая мебель","Корпусная","Офисная","Кухонная"))</f>
        <v>Мясные</v>
      </c>
      <c r="K2299" s="12" t="n">
        <f aca="false">1000+MOD(A2299*317+A2299*A2299*7,49001)</f>
        <v>13325</v>
      </c>
      <c r="L2299" s="12" t="n">
        <f aca="false">1+MOD(A2299*131,100)</f>
        <v>39</v>
      </c>
      <c r="M2299" s="12" t="n">
        <f aca="false">INT(K2299*(0.6+MOD(A2299*43,21)/100))</f>
        <v>9194</v>
      </c>
      <c r="N2299" s="12" t="n">
        <f aca="false">K2299-M2299</f>
        <v>4131</v>
      </c>
    </row>
    <row r="2300" customFormat="false" ht="12.8" hidden="false" customHeight="false" outlineLevel="0" collapsed="false">
      <c r="A2300" s="10" t="n">
        <f aca="false">A2299+1</f>
        <v>2299</v>
      </c>
      <c r="B2300" s="11" t="n">
        <f aca="false">B2299+1</f>
        <v>47225</v>
      </c>
      <c r="C2300" s="10" t="n">
        <f aca="false">YEAR(B2300)</f>
        <v>2029</v>
      </c>
      <c r="D2300" s="10" t="n">
        <f aca="false">INT((MONTH(B2300)-1)/3)+1</f>
        <v>2</v>
      </c>
      <c r="E2300" s="10" t="n">
        <f aca="false">MONTH(B2300)</f>
        <v>4</v>
      </c>
      <c r="F2300" s="10" t="str">
        <f aca="false">CHOOSE(MOD(A2300-1,5)+1,"Центр","Юг","Север","Запад","Восток")</f>
        <v>Запад</v>
      </c>
      <c r="G2300" s="10" t="str">
        <f aca="false">"Округ_"&amp;(MOD(A2300-1,5)+1)&amp;"_"&amp;(MOD(INT((A2300-1)/5),5)+1)</f>
        <v>Округ_4_5</v>
      </c>
      <c r="H2300" s="10" t="str">
        <f aca="false">"Город_"&amp;(MOD(A2300-1,5)+1)&amp;"_"&amp;(MOD(INT((A2300-1)/5),5)+1)&amp;"_"&amp;(MOD(INT((A2300-1)/25),10)+1)</f>
        <v>Город_4_5_2</v>
      </c>
      <c r="I2300" s="10" t="str">
        <f aca="false">CHOOSE(MOD(A2300-1,4)+1,"Электроника","Одежда","Продукты","Мебель")</f>
        <v>Продукты</v>
      </c>
      <c r="J2300" s="10" t="str">
        <f aca="false">CHOOSE(MOD(INT((A2300-1)/4),4)+1,CHOOSE(MOD(A2300-1,4)+1,"Смартфоны","Ноутбуки","Аксессуары","Аудио"),CHOOSE(MOD(A2300-1,4)+1,"Верхняя одежда","Спортивная","Повседневная","Обувь"),CHOOSE(MOD(A2300-1,4)+1,"Молочные","Мясные","Бакалея","Напитки"),CHOOSE(MOD(A2300-1,4)+1,"Мягкая мебель","Корпусная","Офисная","Кухонная"))</f>
        <v>Бакалея</v>
      </c>
      <c r="K2300" s="12" t="n">
        <f aca="false">1000+MOD(A2300*317+A2300*A2300*7,49001)</f>
        <v>45821</v>
      </c>
      <c r="L2300" s="12" t="n">
        <f aca="false">1+MOD(A2300*131,100)</f>
        <v>70</v>
      </c>
      <c r="M2300" s="12" t="n">
        <f aca="false">INT(K2300*(0.6+MOD(A2300*43,21)/100))</f>
        <v>32074</v>
      </c>
      <c r="N2300" s="12" t="n">
        <f aca="false">K2300-M2300</f>
        <v>13747</v>
      </c>
    </row>
    <row r="2301" customFormat="false" ht="12.8" hidden="false" customHeight="false" outlineLevel="0" collapsed="false">
      <c r="A2301" s="10" t="n">
        <f aca="false">A2300+1</f>
        <v>2300</v>
      </c>
      <c r="B2301" s="11" t="n">
        <f aca="false">B2300+1</f>
        <v>47226</v>
      </c>
      <c r="C2301" s="10" t="n">
        <f aca="false">YEAR(B2301)</f>
        <v>2029</v>
      </c>
      <c r="D2301" s="10" t="n">
        <f aca="false">INT((MONTH(B2301)-1)/3)+1</f>
        <v>2</v>
      </c>
      <c r="E2301" s="10" t="n">
        <f aca="false">MONTH(B2301)</f>
        <v>4</v>
      </c>
      <c r="F2301" s="10" t="str">
        <f aca="false">CHOOSE(MOD(A2301-1,5)+1,"Центр","Юг","Север","Запад","Восток")</f>
        <v>Восток</v>
      </c>
      <c r="G2301" s="10" t="str">
        <f aca="false">"Округ_"&amp;(MOD(A2301-1,5)+1)&amp;"_"&amp;(MOD(INT((A2301-1)/5),5)+1)</f>
        <v>Округ_5_5</v>
      </c>
      <c r="H2301" s="10" t="str">
        <f aca="false">"Город_"&amp;(MOD(A2301-1,5)+1)&amp;"_"&amp;(MOD(INT((A2301-1)/5),5)+1)&amp;"_"&amp;(MOD(INT((A2301-1)/25),10)+1)</f>
        <v>Город_5_5_2</v>
      </c>
      <c r="I2301" s="10" t="str">
        <f aca="false">CHOOSE(MOD(A2301-1,4)+1,"Электроника","Одежда","Продукты","Мебель")</f>
        <v>Мебель</v>
      </c>
      <c r="J2301" s="10" t="str">
        <f aca="false">CHOOSE(MOD(INT((A2301-1)/4),4)+1,CHOOSE(MOD(A2301-1,4)+1,"Смартфоны","Ноутбуки","Аксессуары","Аудио"),CHOOSE(MOD(A2301-1,4)+1,"Верхняя одежда","Спортивная","Повседневная","Обувь"),CHOOSE(MOD(A2301-1,4)+1,"Молочные","Мясные","Бакалея","Напитки"),CHOOSE(MOD(A2301-1,4)+1,"Мягкая мебель","Корпусная","Офисная","Кухонная"))</f>
        <v>Напитки</v>
      </c>
      <c r="K2301" s="12" t="n">
        <f aca="false">1000+MOD(A2301*317+A2301*A2301*7,49001)</f>
        <v>29330</v>
      </c>
      <c r="L2301" s="12" t="n">
        <f aca="false">1+MOD(A2301*131,100)</f>
        <v>1</v>
      </c>
      <c r="M2301" s="12" t="n">
        <f aca="false">INT(K2301*(0.6+MOD(A2301*43,21)/100))</f>
        <v>20824</v>
      </c>
      <c r="N2301" s="12" t="n">
        <f aca="false">K2301-M2301</f>
        <v>8506</v>
      </c>
    </row>
    <row r="2302" customFormat="false" ht="12.8" hidden="false" customHeight="false" outlineLevel="0" collapsed="false">
      <c r="A2302" s="10" t="n">
        <f aca="false">A2301+1</f>
        <v>2301</v>
      </c>
      <c r="B2302" s="11" t="n">
        <f aca="false">B2301+1</f>
        <v>47227</v>
      </c>
      <c r="C2302" s="10" t="n">
        <f aca="false">YEAR(B2302)</f>
        <v>2029</v>
      </c>
      <c r="D2302" s="10" t="n">
        <f aca="false">INT((MONTH(B2302)-1)/3)+1</f>
        <v>2</v>
      </c>
      <c r="E2302" s="10" t="n">
        <f aca="false">MONTH(B2302)</f>
        <v>4</v>
      </c>
      <c r="F2302" s="10" t="str">
        <f aca="false">CHOOSE(MOD(A2302-1,5)+1,"Центр","Юг","Север","Запад","Восток")</f>
        <v>Центр</v>
      </c>
      <c r="G2302" s="10" t="str">
        <f aca="false">"Округ_"&amp;(MOD(A2302-1,5)+1)&amp;"_"&amp;(MOD(INT((A2302-1)/5),5)+1)</f>
        <v>Округ_1_1</v>
      </c>
      <c r="H2302" s="10" t="str">
        <f aca="false">"Город_"&amp;(MOD(A2302-1,5)+1)&amp;"_"&amp;(MOD(INT((A2302-1)/5),5)+1)&amp;"_"&amp;(MOD(INT((A2302-1)/25),10)+1)</f>
        <v>Город_1_1_3</v>
      </c>
      <c r="I2302" s="10" t="str">
        <f aca="false">CHOOSE(MOD(A2302-1,4)+1,"Электроника","Одежда","Продукты","Мебель")</f>
        <v>Электроника</v>
      </c>
      <c r="J2302" s="10" t="str">
        <f aca="false">CHOOSE(MOD(INT((A2302-1)/4),4)+1,CHOOSE(MOD(A2302-1,4)+1,"Смартфоны","Ноутбуки","Аксессуары","Аудио"),CHOOSE(MOD(A2302-1,4)+1,"Верхняя одежда","Спортивная","Повседневная","Обувь"),CHOOSE(MOD(A2302-1,4)+1,"Молочные","Мясные","Бакалея","Напитки"),CHOOSE(MOD(A2302-1,4)+1,"Мягкая мебель","Корпусная","Офисная","Кухонная"))</f>
        <v>Мягкая мебель</v>
      </c>
      <c r="K2302" s="12" t="n">
        <f aca="false">1000+MOD(A2302*317+A2302*A2302*7,49001)</f>
        <v>12853</v>
      </c>
      <c r="L2302" s="12" t="n">
        <f aca="false">1+MOD(A2302*131,100)</f>
        <v>32</v>
      </c>
      <c r="M2302" s="12" t="n">
        <f aca="false">INT(K2302*(0.6+MOD(A2302*43,21)/100))</f>
        <v>9254</v>
      </c>
      <c r="N2302" s="12" t="n">
        <f aca="false">K2302-M2302</f>
        <v>3599</v>
      </c>
    </row>
    <row r="2303" customFormat="false" ht="12.8" hidden="false" customHeight="false" outlineLevel="0" collapsed="false">
      <c r="A2303" s="10" t="n">
        <f aca="false">A2302+1</f>
        <v>2302</v>
      </c>
      <c r="B2303" s="11" t="n">
        <f aca="false">B2302+1</f>
        <v>47228</v>
      </c>
      <c r="C2303" s="10" t="n">
        <f aca="false">YEAR(B2303)</f>
        <v>2029</v>
      </c>
      <c r="D2303" s="10" t="n">
        <f aca="false">INT((MONTH(B2303)-1)/3)+1</f>
        <v>2</v>
      </c>
      <c r="E2303" s="10" t="n">
        <f aca="false">MONTH(B2303)</f>
        <v>4</v>
      </c>
      <c r="F2303" s="10" t="str">
        <f aca="false">CHOOSE(MOD(A2303-1,5)+1,"Центр","Юг","Север","Запад","Восток")</f>
        <v>Юг</v>
      </c>
      <c r="G2303" s="10" t="str">
        <f aca="false">"Округ_"&amp;(MOD(A2303-1,5)+1)&amp;"_"&amp;(MOD(INT((A2303-1)/5),5)+1)</f>
        <v>Округ_2_1</v>
      </c>
      <c r="H2303" s="10" t="str">
        <f aca="false">"Город_"&amp;(MOD(A2303-1,5)+1)&amp;"_"&amp;(MOD(INT((A2303-1)/5),5)+1)&amp;"_"&amp;(MOD(INT((A2303-1)/25),10)+1)</f>
        <v>Город_2_1_3</v>
      </c>
      <c r="I2303" s="10" t="str">
        <f aca="false">CHOOSE(MOD(A2303-1,4)+1,"Электроника","Одежда","Продукты","Мебель")</f>
        <v>Одежда</v>
      </c>
      <c r="J2303" s="10" t="str">
        <f aca="false">CHOOSE(MOD(INT((A2303-1)/4),4)+1,CHOOSE(MOD(A2303-1,4)+1,"Смартфоны","Ноутбуки","Аксессуары","Аудио"),CHOOSE(MOD(A2303-1,4)+1,"Верхняя одежда","Спортивная","Повседневная","Обувь"),CHOOSE(MOD(A2303-1,4)+1,"Молочные","Мясные","Бакалея","Напитки"),CHOOSE(MOD(A2303-1,4)+1,"Мягкая мебель","Корпусная","Офисная","Кухонная"))</f>
        <v>Корпусная</v>
      </c>
      <c r="K2303" s="12" t="n">
        <f aca="false">1000+MOD(A2303*317+A2303*A2303*7,49001)</f>
        <v>45391</v>
      </c>
      <c r="L2303" s="12" t="n">
        <f aca="false">1+MOD(A2303*131,100)</f>
        <v>63</v>
      </c>
      <c r="M2303" s="12" t="n">
        <f aca="false">INT(K2303*(0.6+MOD(A2303*43,21)/100))</f>
        <v>33135</v>
      </c>
      <c r="N2303" s="12" t="n">
        <f aca="false">K2303-M2303</f>
        <v>12256</v>
      </c>
    </row>
    <row r="2304" customFormat="false" ht="12.8" hidden="false" customHeight="false" outlineLevel="0" collapsed="false">
      <c r="A2304" s="10" t="n">
        <f aca="false">A2303+1</f>
        <v>2303</v>
      </c>
      <c r="B2304" s="11" t="n">
        <f aca="false">B2303+1</f>
        <v>47229</v>
      </c>
      <c r="C2304" s="10" t="n">
        <f aca="false">YEAR(B2304)</f>
        <v>2029</v>
      </c>
      <c r="D2304" s="10" t="n">
        <f aca="false">INT((MONTH(B2304)-1)/3)+1</f>
        <v>2</v>
      </c>
      <c r="E2304" s="10" t="n">
        <f aca="false">MONTH(B2304)</f>
        <v>4</v>
      </c>
      <c r="F2304" s="10" t="str">
        <f aca="false">CHOOSE(MOD(A2304-1,5)+1,"Центр","Юг","Север","Запад","Восток")</f>
        <v>Север</v>
      </c>
      <c r="G2304" s="10" t="str">
        <f aca="false">"Округ_"&amp;(MOD(A2304-1,5)+1)&amp;"_"&amp;(MOD(INT((A2304-1)/5),5)+1)</f>
        <v>Округ_3_1</v>
      </c>
      <c r="H2304" s="10" t="str">
        <f aca="false">"Город_"&amp;(MOD(A2304-1,5)+1)&amp;"_"&amp;(MOD(INT((A2304-1)/5),5)+1)&amp;"_"&amp;(MOD(INT((A2304-1)/25),10)+1)</f>
        <v>Город_3_1_3</v>
      </c>
      <c r="I2304" s="10" t="str">
        <f aca="false">CHOOSE(MOD(A2304-1,4)+1,"Электроника","Одежда","Продукты","Мебель")</f>
        <v>Продукты</v>
      </c>
      <c r="J2304" s="10" t="str">
        <f aca="false">CHOOSE(MOD(INT((A2304-1)/4),4)+1,CHOOSE(MOD(A2304-1,4)+1,"Смартфоны","Ноутбуки","Аксессуары","Аудио"),CHOOSE(MOD(A2304-1,4)+1,"Верхняя одежда","Спортивная","Повседневная","Обувь"),CHOOSE(MOD(A2304-1,4)+1,"Молочные","Мясные","Бакалея","Напитки"),CHOOSE(MOD(A2304-1,4)+1,"Мягкая мебель","Корпусная","Офисная","Кухонная"))</f>
        <v>Офисная</v>
      </c>
      <c r="K2304" s="12" t="n">
        <f aca="false">1000+MOD(A2304*317+A2304*A2304*7,49001)</f>
        <v>28942</v>
      </c>
      <c r="L2304" s="12" t="n">
        <f aca="false">1+MOD(A2304*131,100)</f>
        <v>94</v>
      </c>
      <c r="M2304" s="12" t="n">
        <f aca="false">INT(K2304*(0.6+MOD(A2304*43,21)/100))</f>
        <v>21417</v>
      </c>
      <c r="N2304" s="12" t="n">
        <f aca="false">K2304-M2304</f>
        <v>7525</v>
      </c>
    </row>
    <row r="2305" customFormat="false" ht="12.8" hidden="false" customHeight="false" outlineLevel="0" collapsed="false">
      <c r="A2305" s="10" t="n">
        <f aca="false">A2304+1</f>
        <v>2304</v>
      </c>
      <c r="B2305" s="11" t="n">
        <f aca="false">B2304+1</f>
        <v>47230</v>
      </c>
      <c r="C2305" s="10" t="n">
        <f aca="false">YEAR(B2305)</f>
        <v>2029</v>
      </c>
      <c r="D2305" s="10" t="n">
        <f aca="false">INT((MONTH(B2305)-1)/3)+1</f>
        <v>2</v>
      </c>
      <c r="E2305" s="10" t="n">
        <f aca="false">MONTH(B2305)</f>
        <v>4</v>
      </c>
      <c r="F2305" s="10" t="str">
        <f aca="false">CHOOSE(MOD(A2305-1,5)+1,"Центр","Юг","Север","Запад","Восток")</f>
        <v>Запад</v>
      </c>
      <c r="G2305" s="10" t="str">
        <f aca="false">"Округ_"&amp;(MOD(A2305-1,5)+1)&amp;"_"&amp;(MOD(INT((A2305-1)/5),5)+1)</f>
        <v>Округ_4_1</v>
      </c>
      <c r="H2305" s="10" t="str">
        <f aca="false">"Город_"&amp;(MOD(A2305-1,5)+1)&amp;"_"&amp;(MOD(INT((A2305-1)/5),5)+1)&amp;"_"&amp;(MOD(INT((A2305-1)/25),10)+1)</f>
        <v>Город_4_1_3</v>
      </c>
      <c r="I2305" s="10" t="str">
        <f aca="false">CHOOSE(MOD(A2305-1,4)+1,"Электроника","Одежда","Продукты","Мебель")</f>
        <v>Мебель</v>
      </c>
      <c r="J2305" s="10" t="str">
        <f aca="false">CHOOSE(MOD(INT((A2305-1)/4),4)+1,CHOOSE(MOD(A2305-1,4)+1,"Смартфоны","Ноутбуки","Аксессуары","Аудио"),CHOOSE(MOD(A2305-1,4)+1,"Верхняя одежда","Спортивная","Повседневная","Обувь"),CHOOSE(MOD(A2305-1,4)+1,"Молочные","Мясные","Бакалея","Напитки"),CHOOSE(MOD(A2305-1,4)+1,"Мягкая мебель","Корпусная","Офисная","Кухонная"))</f>
        <v>Кухонная</v>
      </c>
      <c r="K2305" s="12" t="n">
        <f aca="false">1000+MOD(A2305*317+A2305*A2305*7,49001)</f>
        <v>12507</v>
      </c>
      <c r="L2305" s="12" t="n">
        <f aca="false">1+MOD(A2305*131,100)</f>
        <v>25</v>
      </c>
      <c r="M2305" s="12" t="n">
        <f aca="false">INT(K2305*(0.6+MOD(A2305*43,21)/100))</f>
        <v>9380</v>
      </c>
      <c r="N2305" s="12" t="n">
        <f aca="false">K2305-M2305</f>
        <v>3127</v>
      </c>
    </row>
    <row r="2306" customFormat="false" ht="12.8" hidden="false" customHeight="false" outlineLevel="0" collapsed="false">
      <c r="A2306" s="10" t="n">
        <f aca="false">A2305+1</f>
        <v>2305</v>
      </c>
      <c r="B2306" s="11" t="n">
        <f aca="false">B2305+1</f>
        <v>47231</v>
      </c>
      <c r="C2306" s="10" t="n">
        <f aca="false">YEAR(B2306)</f>
        <v>2029</v>
      </c>
      <c r="D2306" s="10" t="n">
        <f aca="false">INT((MONTH(B2306)-1)/3)+1</f>
        <v>2</v>
      </c>
      <c r="E2306" s="10" t="n">
        <f aca="false">MONTH(B2306)</f>
        <v>4</v>
      </c>
      <c r="F2306" s="10" t="str">
        <f aca="false">CHOOSE(MOD(A2306-1,5)+1,"Центр","Юг","Север","Запад","Восток")</f>
        <v>Восток</v>
      </c>
      <c r="G2306" s="10" t="str">
        <f aca="false">"Округ_"&amp;(MOD(A2306-1,5)+1)&amp;"_"&amp;(MOD(INT((A2306-1)/5),5)+1)</f>
        <v>Округ_5_1</v>
      </c>
      <c r="H2306" s="10" t="str">
        <f aca="false">"Город_"&amp;(MOD(A2306-1,5)+1)&amp;"_"&amp;(MOD(INT((A2306-1)/5),5)+1)&amp;"_"&amp;(MOD(INT((A2306-1)/25),10)+1)</f>
        <v>Город_5_1_3</v>
      </c>
      <c r="I2306" s="10" t="str">
        <f aca="false">CHOOSE(MOD(A2306-1,4)+1,"Электроника","Одежда","Продукты","Мебель")</f>
        <v>Электроника</v>
      </c>
      <c r="J2306" s="10" t="str">
        <f aca="false">CHOOSE(MOD(INT((A2306-1)/4),4)+1,CHOOSE(MOD(A2306-1,4)+1,"Смартфоны","Ноутбуки","Аксессуары","Аудио"),CHOOSE(MOD(A2306-1,4)+1,"Верхняя одежда","Спортивная","Повседневная","Обувь"),CHOOSE(MOD(A2306-1,4)+1,"Молочные","Мясные","Бакалея","Напитки"),CHOOSE(MOD(A2306-1,4)+1,"Мягкая мебель","Корпусная","Офисная","Кухонная"))</f>
        <v>Смартфоны</v>
      </c>
      <c r="K2306" s="12" t="n">
        <f aca="false">1000+MOD(A2306*317+A2306*A2306*7,49001)</f>
        <v>45087</v>
      </c>
      <c r="L2306" s="12" t="n">
        <f aca="false">1+MOD(A2306*131,100)</f>
        <v>56</v>
      </c>
      <c r="M2306" s="12" t="n">
        <f aca="false">INT(K2306*(0.6+MOD(A2306*43,21)/100))</f>
        <v>34266</v>
      </c>
      <c r="N2306" s="12" t="n">
        <f aca="false">K2306-M2306</f>
        <v>10821</v>
      </c>
    </row>
    <row r="2307" customFormat="false" ht="12.8" hidden="false" customHeight="false" outlineLevel="0" collapsed="false">
      <c r="A2307" s="10" t="n">
        <f aca="false">A2306+1</f>
        <v>2306</v>
      </c>
      <c r="B2307" s="11" t="n">
        <f aca="false">B2306+1</f>
        <v>47232</v>
      </c>
      <c r="C2307" s="10" t="n">
        <f aca="false">YEAR(B2307)</f>
        <v>2029</v>
      </c>
      <c r="D2307" s="10" t="n">
        <f aca="false">INT((MONTH(B2307)-1)/3)+1</f>
        <v>2</v>
      </c>
      <c r="E2307" s="10" t="n">
        <f aca="false">MONTH(B2307)</f>
        <v>4</v>
      </c>
      <c r="F2307" s="10" t="str">
        <f aca="false">CHOOSE(MOD(A2307-1,5)+1,"Центр","Юг","Север","Запад","Восток")</f>
        <v>Центр</v>
      </c>
      <c r="G2307" s="10" t="str">
        <f aca="false">"Округ_"&amp;(MOD(A2307-1,5)+1)&amp;"_"&amp;(MOD(INT((A2307-1)/5),5)+1)</f>
        <v>Округ_1_2</v>
      </c>
      <c r="H2307" s="10" t="str">
        <f aca="false">"Город_"&amp;(MOD(A2307-1,5)+1)&amp;"_"&amp;(MOD(INT((A2307-1)/5),5)+1)&amp;"_"&amp;(MOD(INT((A2307-1)/25),10)+1)</f>
        <v>Город_1_2_3</v>
      </c>
      <c r="I2307" s="10" t="str">
        <f aca="false">CHOOSE(MOD(A2307-1,4)+1,"Электроника","Одежда","Продукты","Мебель")</f>
        <v>Одежда</v>
      </c>
      <c r="J2307" s="10" t="str">
        <f aca="false">CHOOSE(MOD(INT((A2307-1)/4),4)+1,CHOOSE(MOD(A2307-1,4)+1,"Смартфоны","Ноутбуки","Аксессуары","Аудио"),CHOOSE(MOD(A2307-1,4)+1,"Верхняя одежда","Спортивная","Повседневная","Обувь"),CHOOSE(MOD(A2307-1,4)+1,"Молочные","Мясные","Бакалея","Напитки"),CHOOSE(MOD(A2307-1,4)+1,"Мягкая мебель","Корпусная","Офисная","Кухонная"))</f>
        <v>Ноутбуки</v>
      </c>
      <c r="K2307" s="12" t="n">
        <f aca="false">1000+MOD(A2307*317+A2307*A2307*7,49001)</f>
        <v>28680</v>
      </c>
      <c r="L2307" s="12" t="n">
        <f aca="false">1+MOD(A2307*131,100)</f>
        <v>87</v>
      </c>
      <c r="M2307" s="12" t="n">
        <f aca="false">INT(K2307*(0.6+MOD(A2307*43,21)/100))</f>
        <v>22083</v>
      </c>
      <c r="N2307" s="12" t="n">
        <f aca="false">K2307-M2307</f>
        <v>6597</v>
      </c>
    </row>
    <row r="2308" customFormat="false" ht="12.8" hidden="false" customHeight="false" outlineLevel="0" collapsed="false">
      <c r="A2308" s="10" t="n">
        <f aca="false">A2307+1</f>
        <v>2307</v>
      </c>
      <c r="B2308" s="11" t="n">
        <f aca="false">B2307+1</f>
        <v>47233</v>
      </c>
      <c r="C2308" s="10" t="n">
        <f aca="false">YEAR(B2308)</f>
        <v>2029</v>
      </c>
      <c r="D2308" s="10" t="n">
        <f aca="false">INT((MONTH(B2308)-1)/3)+1</f>
        <v>2</v>
      </c>
      <c r="E2308" s="10" t="n">
        <f aca="false">MONTH(B2308)</f>
        <v>4</v>
      </c>
      <c r="F2308" s="10" t="str">
        <f aca="false">CHOOSE(MOD(A2308-1,5)+1,"Центр","Юг","Север","Запад","Восток")</f>
        <v>Юг</v>
      </c>
      <c r="G2308" s="10" t="str">
        <f aca="false">"Округ_"&amp;(MOD(A2308-1,5)+1)&amp;"_"&amp;(MOD(INT((A2308-1)/5),5)+1)</f>
        <v>Округ_2_2</v>
      </c>
      <c r="H2308" s="10" t="str">
        <f aca="false">"Город_"&amp;(MOD(A2308-1,5)+1)&amp;"_"&amp;(MOD(INT((A2308-1)/5),5)+1)&amp;"_"&amp;(MOD(INT((A2308-1)/25),10)+1)</f>
        <v>Город_2_2_3</v>
      </c>
      <c r="I2308" s="10" t="str">
        <f aca="false">CHOOSE(MOD(A2308-1,4)+1,"Электроника","Одежда","Продукты","Мебель")</f>
        <v>Продукты</v>
      </c>
      <c r="J2308" s="10" t="str">
        <f aca="false">CHOOSE(MOD(INT((A2308-1)/4),4)+1,CHOOSE(MOD(A2308-1,4)+1,"Смартфоны","Ноутбуки","Аксессуары","Аудио"),CHOOSE(MOD(A2308-1,4)+1,"Верхняя одежда","Спортивная","Повседневная","Обувь"),CHOOSE(MOD(A2308-1,4)+1,"Молочные","Мясные","Бакалея","Напитки"),CHOOSE(MOD(A2308-1,4)+1,"Мягкая мебель","Корпусная","Офисная","Кухонная"))</f>
        <v>Аксессуары</v>
      </c>
      <c r="K2308" s="12" t="n">
        <f aca="false">1000+MOD(A2308*317+A2308*A2308*7,49001)</f>
        <v>12287</v>
      </c>
      <c r="L2308" s="12" t="n">
        <f aca="false">1+MOD(A2308*131,100)</f>
        <v>18</v>
      </c>
      <c r="M2308" s="12" t="n">
        <f aca="false">INT(K2308*(0.6+MOD(A2308*43,21)/100))</f>
        <v>9583</v>
      </c>
      <c r="N2308" s="12" t="n">
        <f aca="false">K2308-M2308</f>
        <v>2704</v>
      </c>
    </row>
    <row r="2309" customFormat="false" ht="12.8" hidden="false" customHeight="false" outlineLevel="0" collapsed="false">
      <c r="A2309" s="10" t="n">
        <f aca="false">A2308+1</f>
        <v>2308</v>
      </c>
      <c r="B2309" s="11" t="n">
        <f aca="false">B2308+1</f>
        <v>47234</v>
      </c>
      <c r="C2309" s="10" t="n">
        <f aca="false">YEAR(B2309)</f>
        <v>2029</v>
      </c>
      <c r="D2309" s="10" t="n">
        <f aca="false">INT((MONTH(B2309)-1)/3)+1</f>
        <v>2</v>
      </c>
      <c r="E2309" s="10" t="n">
        <f aca="false">MONTH(B2309)</f>
        <v>4</v>
      </c>
      <c r="F2309" s="10" t="str">
        <f aca="false">CHOOSE(MOD(A2309-1,5)+1,"Центр","Юг","Север","Запад","Восток")</f>
        <v>Север</v>
      </c>
      <c r="G2309" s="10" t="str">
        <f aca="false">"Округ_"&amp;(MOD(A2309-1,5)+1)&amp;"_"&amp;(MOD(INT((A2309-1)/5),5)+1)</f>
        <v>Округ_3_2</v>
      </c>
      <c r="H2309" s="10" t="str">
        <f aca="false">"Город_"&amp;(MOD(A2309-1,5)+1)&amp;"_"&amp;(MOD(INT((A2309-1)/5),5)+1)&amp;"_"&amp;(MOD(INT((A2309-1)/25),10)+1)</f>
        <v>Город_3_2_3</v>
      </c>
      <c r="I2309" s="10" t="str">
        <f aca="false">CHOOSE(MOD(A2309-1,4)+1,"Электроника","Одежда","Продукты","Мебель")</f>
        <v>Мебель</v>
      </c>
      <c r="J2309" s="10" t="str">
        <f aca="false">CHOOSE(MOD(INT((A2309-1)/4),4)+1,CHOOSE(MOD(A2309-1,4)+1,"Смартфоны","Ноутбуки","Аксессуары","Аудио"),CHOOSE(MOD(A2309-1,4)+1,"Верхняя одежда","Спортивная","Повседневная","Обувь"),CHOOSE(MOD(A2309-1,4)+1,"Молочные","Мясные","Бакалея","Напитки"),CHOOSE(MOD(A2309-1,4)+1,"Мягкая мебель","Корпусная","Офисная","Кухонная"))</f>
        <v>Аудио</v>
      </c>
      <c r="K2309" s="12" t="n">
        <f aca="false">1000+MOD(A2309*317+A2309*A2309*7,49001)</f>
        <v>44909</v>
      </c>
      <c r="L2309" s="12" t="n">
        <f aca="false">1+MOD(A2309*131,100)</f>
        <v>49</v>
      </c>
      <c r="M2309" s="12" t="n">
        <f aca="false">INT(K2309*(0.6+MOD(A2309*43,21)/100))</f>
        <v>35478</v>
      </c>
      <c r="N2309" s="12" t="n">
        <f aca="false">K2309-M2309</f>
        <v>9431</v>
      </c>
    </row>
    <row r="2310" customFormat="false" ht="12.8" hidden="false" customHeight="false" outlineLevel="0" collapsed="false">
      <c r="A2310" s="10" t="n">
        <f aca="false">A2309+1</f>
        <v>2309</v>
      </c>
      <c r="B2310" s="11" t="n">
        <f aca="false">B2309+1</f>
        <v>47235</v>
      </c>
      <c r="C2310" s="10" t="n">
        <f aca="false">YEAR(B2310)</f>
        <v>2029</v>
      </c>
      <c r="D2310" s="10" t="n">
        <f aca="false">INT((MONTH(B2310)-1)/3)+1</f>
        <v>2</v>
      </c>
      <c r="E2310" s="10" t="n">
        <f aca="false">MONTH(B2310)</f>
        <v>4</v>
      </c>
      <c r="F2310" s="10" t="str">
        <f aca="false">CHOOSE(MOD(A2310-1,5)+1,"Центр","Юг","Север","Запад","Восток")</f>
        <v>Запад</v>
      </c>
      <c r="G2310" s="10" t="str">
        <f aca="false">"Округ_"&amp;(MOD(A2310-1,5)+1)&amp;"_"&amp;(MOD(INT((A2310-1)/5),5)+1)</f>
        <v>Округ_4_2</v>
      </c>
      <c r="H2310" s="10" t="str">
        <f aca="false">"Город_"&amp;(MOD(A2310-1,5)+1)&amp;"_"&amp;(MOD(INT((A2310-1)/5),5)+1)&amp;"_"&amp;(MOD(INT((A2310-1)/25),10)+1)</f>
        <v>Город_4_2_3</v>
      </c>
      <c r="I2310" s="10" t="str">
        <f aca="false">CHOOSE(MOD(A2310-1,4)+1,"Электроника","Одежда","Продукты","Мебель")</f>
        <v>Электроника</v>
      </c>
      <c r="J2310" s="10" t="str">
        <f aca="false">CHOOSE(MOD(INT((A2310-1)/4),4)+1,CHOOSE(MOD(A2310-1,4)+1,"Смартфоны","Ноутбуки","Аксессуары","Аудио"),CHOOSE(MOD(A2310-1,4)+1,"Верхняя одежда","Спортивная","Повседневная","Обувь"),CHOOSE(MOD(A2310-1,4)+1,"Молочные","Мясные","Бакалея","Напитки"),CHOOSE(MOD(A2310-1,4)+1,"Мягкая мебель","Корпусная","Офисная","Кухонная"))</f>
        <v>Верхняя одежда</v>
      </c>
      <c r="K2310" s="12" t="n">
        <f aca="false">1000+MOD(A2310*317+A2310*A2310*7,49001)</f>
        <v>28544</v>
      </c>
      <c r="L2310" s="12" t="n">
        <f aca="false">1+MOD(A2310*131,100)</f>
        <v>80</v>
      </c>
      <c r="M2310" s="12" t="n">
        <f aca="false">INT(K2310*(0.6+MOD(A2310*43,21)/100))</f>
        <v>22835</v>
      </c>
      <c r="N2310" s="12" t="n">
        <f aca="false">K2310-M2310</f>
        <v>5709</v>
      </c>
    </row>
    <row r="2311" customFormat="false" ht="12.8" hidden="false" customHeight="false" outlineLevel="0" collapsed="false">
      <c r="A2311" s="10" t="n">
        <f aca="false">A2310+1</f>
        <v>2310</v>
      </c>
      <c r="B2311" s="11" t="n">
        <f aca="false">B2310+1</f>
        <v>47236</v>
      </c>
      <c r="C2311" s="10" t="n">
        <f aca="false">YEAR(B2311)</f>
        <v>2029</v>
      </c>
      <c r="D2311" s="10" t="n">
        <f aca="false">INT((MONTH(B2311)-1)/3)+1</f>
        <v>2</v>
      </c>
      <c r="E2311" s="10" t="n">
        <f aca="false">MONTH(B2311)</f>
        <v>4</v>
      </c>
      <c r="F2311" s="10" t="str">
        <f aca="false">CHOOSE(MOD(A2311-1,5)+1,"Центр","Юг","Север","Запад","Восток")</f>
        <v>Восток</v>
      </c>
      <c r="G2311" s="10" t="str">
        <f aca="false">"Округ_"&amp;(MOD(A2311-1,5)+1)&amp;"_"&amp;(MOD(INT((A2311-1)/5),5)+1)</f>
        <v>Округ_5_2</v>
      </c>
      <c r="H2311" s="10" t="str">
        <f aca="false">"Город_"&amp;(MOD(A2311-1,5)+1)&amp;"_"&amp;(MOD(INT((A2311-1)/5),5)+1)&amp;"_"&amp;(MOD(INT((A2311-1)/25),10)+1)</f>
        <v>Город_5_2_3</v>
      </c>
      <c r="I2311" s="10" t="str">
        <f aca="false">CHOOSE(MOD(A2311-1,4)+1,"Электроника","Одежда","Продукты","Мебель")</f>
        <v>Одежда</v>
      </c>
      <c r="J2311" s="10" t="str">
        <f aca="false">CHOOSE(MOD(INT((A2311-1)/4),4)+1,CHOOSE(MOD(A2311-1,4)+1,"Смартфоны","Ноутбуки","Аксессуары","Аудио"),CHOOSE(MOD(A2311-1,4)+1,"Верхняя одежда","Спортивная","Повседневная","Обувь"),CHOOSE(MOD(A2311-1,4)+1,"Молочные","Мясные","Бакалея","Напитки"),CHOOSE(MOD(A2311-1,4)+1,"Мягкая мебель","Корпусная","Офисная","Кухонная"))</f>
        <v>Спортивная</v>
      </c>
      <c r="K2311" s="12" t="n">
        <f aca="false">1000+MOD(A2311*317+A2311*A2311*7,49001)</f>
        <v>12193</v>
      </c>
      <c r="L2311" s="12" t="n">
        <f aca="false">1+MOD(A2311*131,100)</f>
        <v>11</v>
      </c>
      <c r="M2311" s="12" t="n">
        <f aca="false">INT(K2311*(0.6+MOD(A2311*43,21)/100))</f>
        <v>7315</v>
      </c>
      <c r="N2311" s="12" t="n">
        <f aca="false">K2311-M2311</f>
        <v>4878</v>
      </c>
    </row>
    <row r="2312" customFormat="false" ht="12.8" hidden="false" customHeight="false" outlineLevel="0" collapsed="false">
      <c r="A2312" s="10" t="n">
        <f aca="false">A2311+1</f>
        <v>2311</v>
      </c>
      <c r="B2312" s="11" t="n">
        <f aca="false">B2311+1</f>
        <v>47237</v>
      </c>
      <c r="C2312" s="10" t="n">
        <f aca="false">YEAR(B2312)</f>
        <v>2029</v>
      </c>
      <c r="D2312" s="10" t="n">
        <f aca="false">INT((MONTH(B2312)-1)/3)+1</f>
        <v>2</v>
      </c>
      <c r="E2312" s="10" t="n">
        <f aca="false">MONTH(B2312)</f>
        <v>4</v>
      </c>
      <c r="F2312" s="10" t="str">
        <f aca="false">CHOOSE(MOD(A2312-1,5)+1,"Центр","Юг","Север","Запад","Восток")</f>
        <v>Центр</v>
      </c>
      <c r="G2312" s="10" t="str">
        <f aca="false">"Округ_"&amp;(MOD(A2312-1,5)+1)&amp;"_"&amp;(MOD(INT((A2312-1)/5),5)+1)</f>
        <v>Округ_1_3</v>
      </c>
      <c r="H2312" s="10" t="str">
        <f aca="false">"Город_"&amp;(MOD(A2312-1,5)+1)&amp;"_"&amp;(MOD(INT((A2312-1)/5),5)+1)&amp;"_"&amp;(MOD(INT((A2312-1)/25),10)+1)</f>
        <v>Город_1_3_3</v>
      </c>
      <c r="I2312" s="10" t="str">
        <f aca="false">CHOOSE(MOD(A2312-1,4)+1,"Электроника","Одежда","Продукты","Мебель")</f>
        <v>Продукты</v>
      </c>
      <c r="J2312" s="10" t="str">
        <f aca="false">CHOOSE(MOD(INT((A2312-1)/4),4)+1,CHOOSE(MOD(A2312-1,4)+1,"Смартфоны","Ноутбуки","Аксессуары","Аудио"),CHOOSE(MOD(A2312-1,4)+1,"Верхняя одежда","Спортивная","Повседневная","Обувь"),CHOOSE(MOD(A2312-1,4)+1,"Молочные","Мясные","Бакалея","Напитки"),CHOOSE(MOD(A2312-1,4)+1,"Мягкая мебель","Корпусная","Офисная","Кухонная"))</f>
        <v>Повседневная</v>
      </c>
      <c r="K2312" s="12" t="n">
        <f aca="false">1000+MOD(A2312*317+A2312*A2312*7,49001)</f>
        <v>44857</v>
      </c>
      <c r="L2312" s="12" t="n">
        <f aca="false">1+MOD(A2312*131,100)</f>
        <v>42</v>
      </c>
      <c r="M2312" s="12" t="n">
        <f aca="false">INT(K2312*(0.6+MOD(A2312*43,21)/100))</f>
        <v>27362</v>
      </c>
      <c r="N2312" s="12" t="n">
        <f aca="false">K2312-M2312</f>
        <v>17495</v>
      </c>
    </row>
    <row r="2313" customFormat="false" ht="12.8" hidden="false" customHeight="false" outlineLevel="0" collapsed="false">
      <c r="A2313" s="10" t="n">
        <f aca="false">A2312+1</f>
        <v>2312</v>
      </c>
      <c r="B2313" s="11" t="n">
        <f aca="false">B2312+1</f>
        <v>47238</v>
      </c>
      <c r="C2313" s="10" t="n">
        <f aca="false">YEAR(B2313)</f>
        <v>2029</v>
      </c>
      <c r="D2313" s="10" t="n">
        <f aca="false">INT((MONTH(B2313)-1)/3)+1</f>
        <v>2</v>
      </c>
      <c r="E2313" s="10" t="n">
        <f aca="false">MONTH(B2313)</f>
        <v>4</v>
      </c>
      <c r="F2313" s="10" t="str">
        <f aca="false">CHOOSE(MOD(A2313-1,5)+1,"Центр","Юг","Север","Запад","Восток")</f>
        <v>Юг</v>
      </c>
      <c r="G2313" s="10" t="str">
        <f aca="false">"Округ_"&amp;(MOD(A2313-1,5)+1)&amp;"_"&amp;(MOD(INT((A2313-1)/5),5)+1)</f>
        <v>Округ_2_3</v>
      </c>
      <c r="H2313" s="10" t="str">
        <f aca="false">"Город_"&amp;(MOD(A2313-1,5)+1)&amp;"_"&amp;(MOD(INT((A2313-1)/5),5)+1)&amp;"_"&amp;(MOD(INT((A2313-1)/25),10)+1)</f>
        <v>Город_2_3_3</v>
      </c>
      <c r="I2313" s="10" t="str">
        <f aca="false">CHOOSE(MOD(A2313-1,4)+1,"Электроника","Одежда","Продукты","Мебель")</f>
        <v>Мебель</v>
      </c>
      <c r="J2313" s="10" t="str">
        <f aca="false">CHOOSE(MOD(INT((A2313-1)/4),4)+1,CHOOSE(MOD(A2313-1,4)+1,"Смартфоны","Ноутбуки","Аксессуары","Аудио"),CHOOSE(MOD(A2313-1,4)+1,"Верхняя одежда","Спортивная","Повседневная","Обувь"),CHOOSE(MOD(A2313-1,4)+1,"Молочные","Мясные","Бакалея","Напитки"),CHOOSE(MOD(A2313-1,4)+1,"Мягкая мебель","Корпусная","Офисная","Кухонная"))</f>
        <v>Обувь</v>
      </c>
      <c r="K2313" s="12" t="n">
        <f aca="false">1000+MOD(A2313*317+A2313*A2313*7,49001)</f>
        <v>28534</v>
      </c>
      <c r="L2313" s="12" t="n">
        <f aca="false">1+MOD(A2313*131,100)</f>
        <v>73</v>
      </c>
      <c r="M2313" s="12" t="n">
        <f aca="false">INT(K2313*(0.6+MOD(A2313*43,21)/100))</f>
        <v>17691</v>
      </c>
      <c r="N2313" s="12" t="n">
        <f aca="false">K2313-M2313</f>
        <v>10843</v>
      </c>
    </row>
    <row r="2314" customFormat="false" ht="12.8" hidden="false" customHeight="false" outlineLevel="0" collapsed="false">
      <c r="A2314" s="10" t="n">
        <f aca="false">A2313+1</f>
        <v>2313</v>
      </c>
      <c r="B2314" s="11" t="n">
        <f aca="false">B2313+1</f>
        <v>47239</v>
      </c>
      <c r="C2314" s="10" t="n">
        <f aca="false">YEAR(B2314)</f>
        <v>2029</v>
      </c>
      <c r="D2314" s="10" t="n">
        <f aca="false">INT((MONTH(B2314)-1)/3)+1</f>
        <v>2</v>
      </c>
      <c r="E2314" s="10" t="n">
        <f aca="false">MONTH(B2314)</f>
        <v>5</v>
      </c>
      <c r="F2314" s="10" t="str">
        <f aca="false">CHOOSE(MOD(A2314-1,5)+1,"Центр","Юг","Север","Запад","Восток")</f>
        <v>Север</v>
      </c>
      <c r="G2314" s="10" t="str">
        <f aca="false">"Округ_"&amp;(MOD(A2314-1,5)+1)&amp;"_"&amp;(MOD(INT((A2314-1)/5),5)+1)</f>
        <v>Округ_3_3</v>
      </c>
      <c r="H2314" s="10" t="str">
        <f aca="false">"Город_"&amp;(MOD(A2314-1,5)+1)&amp;"_"&amp;(MOD(INT((A2314-1)/5),5)+1)&amp;"_"&amp;(MOD(INT((A2314-1)/25),10)+1)</f>
        <v>Город_3_3_3</v>
      </c>
      <c r="I2314" s="10" t="str">
        <f aca="false">CHOOSE(MOD(A2314-1,4)+1,"Электроника","Одежда","Продукты","Мебель")</f>
        <v>Электроника</v>
      </c>
      <c r="J2314" s="10" t="str">
        <f aca="false">CHOOSE(MOD(INT((A2314-1)/4),4)+1,CHOOSE(MOD(A2314-1,4)+1,"Смартфоны","Ноутбуки","Аксессуары","Аудио"),CHOOSE(MOD(A2314-1,4)+1,"Верхняя одежда","Спортивная","Повседневная","Обувь"),CHOOSE(MOD(A2314-1,4)+1,"Молочные","Мясные","Бакалея","Напитки"),CHOOSE(MOD(A2314-1,4)+1,"Мягкая мебель","Корпусная","Офисная","Кухонная"))</f>
        <v>Молочные</v>
      </c>
      <c r="K2314" s="12" t="n">
        <f aca="false">1000+MOD(A2314*317+A2314*A2314*7,49001)</f>
        <v>12225</v>
      </c>
      <c r="L2314" s="12" t="n">
        <f aca="false">1+MOD(A2314*131,100)</f>
        <v>4</v>
      </c>
      <c r="M2314" s="12" t="n">
        <f aca="false">INT(K2314*(0.6+MOD(A2314*43,21)/100))</f>
        <v>7701</v>
      </c>
      <c r="N2314" s="12" t="n">
        <f aca="false">K2314-M2314</f>
        <v>4524</v>
      </c>
    </row>
    <row r="2315" customFormat="false" ht="12.8" hidden="false" customHeight="false" outlineLevel="0" collapsed="false">
      <c r="A2315" s="10" t="n">
        <f aca="false">A2314+1</f>
        <v>2314</v>
      </c>
      <c r="B2315" s="11" t="n">
        <f aca="false">B2314+1</f>
        <v>47240</v>
      </c>
      <c r="C2315" s="10" t="n">
        <f aca="false">YEAR(B2315)</f>
        <v>2029</v>
      </c>
      <c r="D2315" s="10" t="n">
        <f aca="false">INT((MONTH(B2315)-1)/3)+1</f>
        <v>2</v>
      </c>
      <c r="E2315" s="10" t="n">
        <f aca="false">MONTH(B2315)</f>
        <v>5</v>
      </c>
      <c r="F2315" s="10" t="str">
        <f aca="false">CHOOSE(MOD(A2315-1,5)+1,"Центр","Юг","Север","Запад","Восток")</f>
        <v>Запад</v>
      </c>
      <c r="G2315" s="10" t="str">
        <f aca="false">"Округ_"&amp;(MOD(A2315-1,5)+1)&amp;"_"&amp;(MOD(INT((A2315-1)/5),5)+1)</f>
        <v>Округ_4_3</v>
      </c>
      <c r="H2315" s="10" t="str">
        <f aca="false">"Город_"&amp;(MOD(A2315-1,5)+1)&amp;"_"&amp;(MOD(INT((A2315-1)/5),5)+1)&amp;"_"&amp;(MOD(INT((A2315-1)/25),10)+1)</f>
        <v>Город_4_3_3</v>
      </c>
      <c r="I2315" s="10" t="str">
        <f aca="false">CHOOSE(MOD(A2315-1,4)+1,"Электроника","Одежда","Продукты","Мебель")</f>
        <v>Одежда</v>
      </c>
      <c r="J2315" s="10" t="str">
        <f aca="false">CHOOSE(MOD(INT((A2315-1)/4),4)+1,CHOOSE(MOD(A2315-1,4)+1,"Смартфоны","Ноутбуки","Аксессуары","Аудио"),CHOOSE(MOD(A2315-1,4)+1,"Верхняя одежда","Спортивная","Повседневная","Обувь"),CHOOSE(MOD(A2315-1,4)+1,"Молочные","Мясные","Бакалея","Напитки"),CHOOSE(MOD(A2315-1,4)+1,"Мягкая мебель","Корпусная","Офисная","Кухонная"))</f>
        <v>Мясные</v>
      </c>
      <c r="K2315" s="12" t="n">
        <f aca="false">1000+MOD(A2315*317+A2315*A2315*7,49001)</f>
        <v>44931</v>
      </c>
      <c r="L2315" s="12" t="n">
        <f aca="false">1+MOD(A2315*131,100)</f>
        <v>35</v>
      </c>
      <c r="M2315" s="12" t="n">
        <f aca="false">INT(K2315*(0.6+MOD(A2315*43,21)/100))</f>
        <v>28755</v>
      </c>
      <c r="N2315" s="12" t="n">
        <f aca="false">K2315-M2315</f>
        <v>16176</v>
      </c>
    </row>
    <row r="2316" customFormat="false" ht="12.8" hidden="false" customHeight="false" outlineLevel="0" collapsed="false">
      <c r="A2316" s="10" t="n">
        <f aca="false">A2315+1</f>
        <v>2315</v>
      </c>
      <c r="B2316" s="11" t="n">
        <f aca="false">B2315+1</f>
        <v>47241</v>
      </c>
      <c r="C2316" s="10" t="n">
        <f aca="false">YEAR(B2316)</f>
        <v>2029</v>
      </c>
      <c r="D2316" s="10" t="n">
        <f aca="false">INT((MONTH(B2316)-1)/3)+1</f>
        <v>2</v>
      </c>
      <c r="E2316" s="10" t="n">
        <f aca="false">MONTH(B2316)</f>
        <v>5</v>
      </c>
      <c r="F2316" s="10" t="str">
        <f aca="false">CHOOSE(MOD(A2316-1,5)+1,"Центр","Юг","Север","Запад","Восток")</f>
        <v>Восток</v>
      </c>
      <c r="G2316" s="10" t="str">
        <f aca="false">"Округ_"&amp;(MOD(A2316-1,5)+1)&amp;"_"&amp;(MOD(INT((A2316-1)/5),5)+1)</f>
        <v>Округ_5_3</v>
      </c>
      <c r="H2316" s="10" t="str">
        <f aca="false">"Город_"&amp;(MOD(A2316-1,5)+1)&amp;"_"&amp;(MOD(INT((A2316-1)/5),5)+1)&amp;"_"&amp;(MOD(INT((A2316-1)/25),10)+1)</f>
        <v>Город_5_3_3</v>
      </c>
      <c r="I2316" s="10" t="str">
        <f aca="false">CHOOSE(MOD(A2316-1,4)+1,"Электроника","Одежда","Продукты","Мебель")</f>
        <v>Продукты</v>
      </c>
      <c r="J2316" s="10" t="str">
        <f aca="false">CHOOSE(MOD(INT((A2316-1)/4),4)+1,CHOOSE(MOD(A2316-1,4)+1,"Смартфоны","Ноутбуки","Аксессуары","Аудио"),CHOOSE(MOD(A2316-1,4)+1,"Верхняя одежда","Спортивная","Повседневная","Обувь"),CHOOSE(MOD(A2316-1,4)+1,"Молочные","Мясные","Бакалея","Напитки"),CHOOSE(MOD(A2316-1,4)+1,"Мягкая мебель","Корпусная","Офисная","Кухонная"))</f>
        <v>Бакалея</v>
      </c>
      <c r="K2316" s="12" t="n">
        <f aca="false">1000+MOD(A2316*317+A2316*A2316*7,49001)</f>
        <v>28650</v>
      </c>
      <c r="L2316" s="12" t="n">
        <f aca="false">1+MOD(A2316*131,100)</f>
        <v>66</v>
      </c>
      <c r="M2316" s="12" t="n">
        <f aca="false">INT(K2316*(0.6+MOD(A2316*43,21)/100))</f>
        <v>18622</v>
      </c>
      <c r="N2316" s="12" t="n">
        <f aca="false">K2316-M2316</f>
        <v>10028</v>
      </c>
    </row>
    <row r="2317" customFormat="false" ht="12.8" hidden="false" customHeight="false" outlineLevel="0" collapsed="false">
      <c r="A2317" s="10" t="n">
        <f aca="false">A2316+1</f>
        <v>2316</v>
      </c>
      <c r="B2317" s="11" t="n">
        <f aca="false">B2316+1</f>
        <v>47242</v>
      </c>
      <c r="C2317" s="10" t="n">
        <f aca="false">YEAR(B2317)</f>
        <v>2029</v>
      </c>
      <c r="D2317" s="10" t="n">
        <f aca="false">INT((MONTH(B2317)-1)/3)+1</f>
        <v>2</v>
      </c>
      <c r="E2317" s="10" t="n">
        <f aca="false">MONTH(B2317)</f>
        <v>5</v>
      </c>
      <c r="F2317" s="10" t="str">
        <f aca="false">CHOOSE(MOD(A2317-1,5)+1,"Центр","Юг","Север","Запад","Восток")</f>
        <v>Центр</v>
      </c>
      <c r="G2317" s="10" t="str">
        <f aca="false">"Округ_"&amp;(MOD(A2317-1,5)+1)&amp;"_"&amp;(MOD(INT((A2317-1)/5),5)+1)</f>
        <v>Округ_1_4</v>
      </c>
      <c r="H2317" s="10" t="str">
        <f aca="false">"Город_"&amp;(MOD(A2317-1,5)+1)&amp;"_"&amp;(MOD(INT((A2317-1)/5),5)+1)&amp;"_"&amp;(MOD(INT((A2317-1)/25),10)+1)</f>
        <v>Город_1_4_3</v>
      </c>
      <c r="I2317" s="10" t="str">
        <f aca="false">CHOOSE(MOD(A2317-1,4)+1,"Электроника","Одежда","Продукты","Мебель")</f>
        <v>Мебель</v>
      </c>
      <c r="J2317" s="10" t="str">
        <f aca="false">CHOOSE(MOD(INT((A2317-1)/4),4)+1,CHOOSE(MOD(A2317-1,4)+1,"Смартфоны","Ноутбуки","Аксессуары","Аудио"),CHOOSE(MOD(A2317-1,4)+1,"Верхняя одежда","Спортивная","Повседневная","Обувь"),CHOOSE(MOD(A2317-1,4)+1,"Молочные","Мясные","Бакалея","Напитки"),CHOOSE(MOD(A2317-1,4)+1,"Мягкая мебель","Корпусная","Офисная","Кухонная"))</f>
        <v>Напитки</v>
      </c>
      <c r="K2317" s="12" t="n">
        <f aca="false">1000+MOD(A2317*317+A2317*A2317*7,49001)</f>
        <v>12383</v>
      </c>
      <c r="L2317" s="12" t="n">
        <f aca="false">1+MOD(A2317*131,100)</f>
        <v>97</v>
      </c>
      <c r="M2317" s="12" t="n">
        <f aca="false">INT(K2317*(0.6+MOD(A2317*43,21)/100))</f>
        <v>8172</v>
      </c>
      <c r="N2317" s="12" t="n">
        <f aca="false">K2317-M2317</f>
        <v>4211</v>
      </c>
    </row>
    <row r="2318" customFormat="false" ht="12.8" hidden="false" customHeight="false" outlineLevel="0" collapsed="false">
      <c r="A2318" s="10" t="n">
        <f aca="false">A2317+1</f>
        <v>2317</v>
      </c>
      <c r="B2318" s="11" t="n">
        <f aca="false">B2317+1</f>
        <v>47243</v>
      </c>
      <c r="C2318" s="10" t="n">
        <f aca="false">YEAR(B2318)</f>
        <v>2029</v>
      </c>
      <c r="D2318" s="10" t="n">
        <f aca="false">INT((MONTH(B2318)-1)/3)+1</f>
        <v>2</v>
      </c>
      <c r="E2318" s="10" t="n">
        <f aca="false">MONTH(B2318)</f>
        <v>5</v>
      </c>
      <c r="F2318" s="10" t="str">
        <f aca="false">CHOOSE(MOD(A2318-1,5)+1,"Центр","Юг","Север","Запад","Восток")</f>
        <v>Юг</v>
      </c>
      <c r="G2318" s="10" t="str">
        <f aca="false">"Округ_"&amp;(MOD(A2318-1,5)+1)&amp;"_"&amp;(MOD(INT((A2318-1)/5),5)+1)</f>
        <v>Округ_2_4</v>
      </c>
      <c r="H2318" s="10" t="str">
        <f aca="false">"Город_"&amp;(MOD(A2318-1,5)+1)&amp;"_"&amp;(MOD(INT((A2318-1)/5),5)+1)&amp;"_"&amp;(MOD(INT((A2318-1)/25),10)+1)</f>
        <v>Город_2_4_3</v>
      </c>
      <c r="I2318" s="10" t="str">
        <f aca="false">CHOOSE(MOD(A2318-1,4)+1,"Электроника","Одежда","Продукты","Мебель")</f>
        <v>Электроника</v>
      </c>
      <c r="J2318" s="10" t="str">
        <f aca="false">CHOOSE(MOD(INT((A2318-1)/4),4)+1,CHOOSE(MOD(A2318-1,4)+1,"Смартфоны","Ноутбуки","Аксессуары","Аудио"),CHOOSE(MOD(A2318-1,4)+1,"Верхняя одежда","Спортивная","Повседневная","Обувь"),CHOOSE(MOD(A2318-1,4)+1,"Молочные","Мясные","Бакалея","Напитки"),CHOOSE(MOD(A2318-1,4)+1,"Мягкая мебель","Корпусная","Офисная","Кухонная"))</f>
        <v>Мягкая мебель</v>
      </c>
      <c r="K2318" s="12" t="n">
        <f aca="false">1000+MOD(A2318*317+A2318*A2318*7,49001)</f>
        <v>45131</v>
      </c>
      <c r="L2318" s="12" t="n">
        <f aca="false">1+MOD(A2318*131,100)</f>
        <v>28</v>
      </c>
      <c r="M2318" s="12" t="n">
        <f aca="false">INT(K2318*(0.6+MOD(A2318*43,21)/100))</f>
        <v>30237</v>
      </c>
      <c r="N2318" s="12" t="n">
        <f aca="false">K2318-M2318</f>
        <v>14894</v>
      </c>
    </row>
    <row r="2319" customFormat="false" ht="12.8" hidden="false" customHeight="false" outlineLevel="0" collapsed="false">
      <c r="A2319" s="10" t="n">
        <f aca="false">A2318+1</f>
        <v>2318</v>
      </c>
      <c r="B2319" s="11" t="n">
        <f aca="false">B2318+1</f>
        <v>47244</v>
      </c>
      <c r="C2319" s="10" t="n">
        <f aca="false">YEAR(B2319)</f>
        <v>2029</v>
      </c>
      <c r="D2319" s="10" t="n">
        <f aca="false">INT((MONTH(B2319)-1)/3)+1</f>
        <v>2</v>
      </c>
      <c r="E2319" s="10" t="n">
        <f aca="false">MONTH(B2319)</f>
        <v>5</v>
      </c>
      <c r="F2319" s="10" t="str">
        <f aca="false">CHOOSE(MOD(A2319-1,5)+1,"Центр","Юг","Север","Запад","Восток")</f>
        <v>Север</v>
      </c>
      <c r="G2319" s="10" t="str">
        <f aca="false">"Округ_"&amp;(MOD(A2319-1,5)+1)&amp;"_"&amp;(MOD(INT((A2319-1)/5),5)+1)</f>
        <v>Округ_3_4</v>
      </c>
      <c r="H2319" s="10" t="str">
        <f aca="false">"Город_"&amp;(MOD(A2319-1,5)+1)&amp;"_"&amp;(MOD(INT((A2319-1)/5),5)+1)&amp;"_"&amp;(MOD(INT((A2319-1)/25),10)+1)</f>
        <v>Город_3_4_3</v>
      </c>
      <c r="I2319" s="10" t="str">
        <f aca="false">CHOOSE(MOD(A2319-1,4)+1,"Электроника","Одежда","Продукты","Мебель")</f>
        <v>Одежда</v>
      </c>
      <c r="J2319" s="10" t="str">
        <f aca="false">CHOOSE(MOD(INT((A2319-1)/4),4)+1,CHOOSE(MOD(A2319-1,4)+1,"Смартфоны","Ноутбуки","Аксессуары","Аудио"),CHOOSE(MOD(A2319-1,4)+1,"Верхняя одежда","Спортивная","Повседневная","Обувь"),CHOOSE(MOD(A2319-1,4)+1,"Молочные","Мясные","Бакалея","Напитки"),CHOOSE(MOD(A2319-1,4)+1,"Мягкая мебель","Корпусная","Офисная","Кухонная"))</f>
        <v>Корпусная</v>
      </c>
      <c r="K2319" s="12" t="n">
        <f aca="false">1000+MOD(A2319*317+A2319*A2319*7,49001)</f>
        <v>28892</v>
      </c>
      <c r="L2319" s="12" t="n">
        <f aca="false">1+MOD(A2319*131,100)</f>
        <v>59</v>
      </c>
      <c r="M2319" s="12" t="n">
        <f aca="false">INT(K2319*(0.6+MOD(A2319*43,21)/100))</f>
        <v>19646</v>
      </c>
      <c r="N2319" s="12" t="n">
        <f aca="false">K2319-M2319</f>
        <v>9246</v>
      </c>
    </row>
    <row r="2320" customFormat="false" ht="12.8" hidden="false" customHeight="false" outlineLevel="0" collapsed="false">
      <c r="A2320" s="10" t="n">
        <f aca="false">A2319+1</f>
        <v>2319</v>
      </c>
      <c r="B2320" s="11" t="n">
        <f aca="false">B2319+1</f>
        <v>47245</v>
      </c>
      <c r="C2320" s="10" t="n">
        <f aca="false">YEAR(B2320)</f>
        <v>2029</v>
      </c>
      <c r="D2320" s="10" t="n">
        <f aca="false">INT((MONTH(B2320)-1)/3)+1</f>
        <v>2</v>
      </c>
      <c r="E2320" s="10" t="n">
        <f aca="false">MONTH(B2320)</f>
        <v>5</v>
      </c>
      <c r="F2320" s="10" t="str">
        <f aca="false">CHOOSE(MOD(A2320-1,5)+1,"Центр","Юг","Север","Запад","Восток")</f>
        <v>Запад</v>
      </c>
      <c r="G2320" s="10" t="str">
        <f aca="false">"Округ_"&amp;(MOD(A2320-1,5)+1)&amp;"_"&amp;(MOD(INT((A2320-1)/5),5)+1)</f>
        <v>Округ_4_4</v>
      </c>
      <c r="H2320" s="10" t="str">
        <f aca="false">"Город_"&amp;(MOD(A2320-1,5)+1)&amp;"_"&amp;(MOD(INT((A2320-1)/5),5)+1)&amp;"_"&amp;(MOD(INT((A2320-1)/25),10)+1)</f>
        <v>Город_4_4_3</v>
      </c>
      <c r="I2320" s="10" t="str">
        <f aca="false">CHOOSE(MOD(A2320-1,4)+1,"Электроника","Одежда","Продукты","Мебель")</f>
        <v>Продукты</v>
      </c>
      <c r="J2320" s="10" t="str">
        <f aca="false">CHOOSE(MOD(INT((A2320-1)/4),4)+1,CHOOSE(MOD(A2320-1,4)+1,"Смартфоны","Ноутбуки","Аксессуары","Аудио"),CHOOSE(MOD(A2320-1,4)+1,"Верхняя одежда","Спортивная","Повседневная","Обувь"),CHOOSE(MOD(A2320-1,4)+1,"Молочные","Мясные","Бакалея","Напитки"),CHOOSE(MOD(A2320-1,4)+1,"Мягкая мебель","Корпусная","Офисная","Кухонная"))</f>
        <v>Офисная</v>
      </c>
      <c r="K2320" s="12" t="n">
        <f aca="false">1000+MOD(A2320*317+A2320*A2320*7,49001)</f>
        <v>12667</v>
      </c>
      <c r="L2320" s="12" t="n">
        <f aca="false">1+MOD(A2320*131,100)</f>
        <v>90</v>
      </c>
      <c r="M2320" s="12" t="n">
        <f aca="false">INT(K2320*(0.6+MOD(A2320*43,21)/100))</f>
        <v>8740</v>
      </c>
      <c r="N2320" s="12" t="n">
        <f aca="false">K2320-M2320</f>
        <v>3927</v>
      </c>
    </row>
    <row r="2321" customFormat="false" ht="12.8" hidden="false" customHeight="false" outlineLevel="0" collapsed="false">
      <c r="A2321" s="10" t="n">
        <f aca="false">A2320+1</f>
        <v>2320</v>
      </c>
      <c r="B2321" s="11" t="n">
        <f aca="false">B2320+1</f>
        <v>47246</v>
      </c>
      <c r="C2321" s="10" t="n">
        <f aca="false">YEAR(B2321)</f>
        <v>2029</v>
      </c>
      <c r="D2321" s="10" t="n">
        <f aca="false">INT((MONTH(B2321)-1)/3)+1</f>
        <v>2</v>
      </c>
      <c r="E2321" s="10" t="n">
        <f aca="false">MONTH(B2321)</f>
        <v>5</v>
      </c>
      <c r="F2321" s="10" t="str">
        <f aca="false">CHOOSE(MOD(A2321-1,5)+1,"Центр","Юг","Север","Запад","Восток")</f>
        <v>Восток</v>
      </c>
      <c r="G2321" s="10" t="str">
        <f aca="false">"Округ_"&amp;(MOD(A2321-1,5)+1)&amp;"_"&amp;(MOD(INT((A2321-1)/5),5)+1)</f>
        <v>Округ_5_4</v>
      </c>
      <c r="H2321" s="10" t="str">
        <f aca="false">"Город_"&amp;(MOD(A2321-1,5)+1)&amp;"_"&amp;(MOD(INT((A2321-1)/5),5)+1)&amp;"_"&amp;(MOD(INT((A2321-1)/25),10)+1)</f>
        <v>Город_5_4_3</v>
      </c>
      <c r="I2321" s="10" t="str">
        <f aca="false">CHOOSE(MOD(A2321-1,4)+1,"Электроника","Одежда","Продукты","Мебель")</f>
        <v>Мебель</v>
      </c>
      <c r="J2321" s="10" t="str">
        <f aca="false">CHOOSE(MOD(INT((A2321-1)/4),4)+1,CHOOSE(MOD(A2321-1,4)+1,"Смартфоны","Ноутбуки","Аксессуары","Аудио"),CHOOSE(MOD(A2321-1,4)+1,"Верхняя одежда","Спортивная","Повседневная","Обувь"),CHOOSE(MOD(A2321-1,4)+1,"Молочные","Мясные","Бакалея","Напитки"),CHOOSE(MOD(A2321-1,4)+1,"Мягкая мебель","Корпусная","Офисная","Кухонная"))</f>
        <v>Кухонная</v>
      </c>
      <c r="K2321" s="12" t="n">
        <f aca="false">1000+MOD(A2321*317+A2321*A2321*7,49001)</f>
        <v>45457</v>
      </c>
      <c r="L2321" s="12" t="n">
        <f aca="false">1+MOD(A2321*131,100)</f>
        <v>21</v>
      </c>
      <c r="M2321" s="12" t="n">
        <f aca="false">INT(K2321*(0.6+MOD(A2321*43,21)/100))</f>
        <v>31819</v>
      </c>
      <c r="N2321" s="12" t="n">
        <f aca="false">K2321-M2321</f>
        <v>13638</v>
      </c>
    </row>
    <row r="2322" customFormat="false" ht="12.8" hidden="false" customHeight="false" outlineLevel="0" collapsed="false">
      <c r="A2322" s="10" t="n">
        <f aca="false">A2321+1</f>
        <v>2321</v>
      </c>
      <c r="B2322" s="11" t="n">
        <f aca="false">B2321+1</f>
        <v>47247</v>
      </c>
      <c r="C2322" s="10" t="n">
        <f aca="false">YEAR(B2322)</f>
        <v>2029</v>
      </c>
      <c r="D2322" s="10" t="n">
        <f aca="false">INT((MONTH(B2322)-1)/3)+1</f>
        <v>2</v>
      </c>
      <c r="E2322" s="10" t="n">
        <f aca="false">MONTH(B2322)</f>
        <v>5</v>
      </c>
      <c r="F2322" s="10" t="str">
        <f aca="false">CHOOSE(MOD(A2322-1,5)+1,"Центр","Юг","Север","Запад","Восток")</f>
        <v>Центр</v>
      </c>
      <c r="G2322" s="10" t="str">
        <f aca="false">"Округ_"&amp;(MOD(A2322-1,5)+1)&amp;"_"&amp;(MOD(INT((A2322-1)/5),5)+1)</f>
        <v>Округ_1_5</v>
      </c>
      <c r="H2322" s="10" t="str">
        <f aca="false">"Город_"&amp;(MOD(A2322-1,5)+1)&amp;"_"&amp;(MOD(INT((A2322-1)/5),5)+1)&amp;"_"&amp;(MOD(INT((A2322-1)/25),10)+1)</f>
        <v>Город_1_5_3</v>
      </c>
      <c r="I2322" s="10" t="str">
        <f aca="false">CHOOSE(MOD(A2322-1,4)+1,"Электроника","Одежда","Продукты","Мебель")</f>
        <v>Электроника</v>
      </c>
      <c r="J2322" s="10" t="str">
        <f aca="false">CHOOSE(MOD(INT((A2322-1)/4),4)+1,CHOOSE(MOD(A2322-1,4)+1,"Смартфоны","Ноутбуки","Аксессуары","Аудио"),CHOOSE(MOD(A2322-1,4)+1,"Верхняя одежда","Спортивная","Повседневная","Обувь"),CHOOSE(MOD(A2322-1,4)+1,"Молочные","Мясные","Бакалея","Напитки"),CHOOSE(MOD(A2322-1,4)+1,"Мягкая мебель","Корпусная","Офисная","Кухонная"))</f>
        <v>Смартфоны</v>
      </c>
      <c r="K2322" s="12" t="n">
        <f aca="false">1000+MOD(A2322*317+A2322*A2322*7,49001)</f>
        <v>29260</v>
      </c>
      <c r="L2322" s="12" t="n">
        <f aca="false">1+MOD(A2322*131,100)</f>
        <v>52</v>
      </c>
      <c r="M2322" s="12" t="n">
        <f aca="false">INT(K2322*(0.6+MOD(A2322*43,21)/100))</f>
        <v>20774</v>
      </c>
      <c r="N2322" s="12" t="n">
        <f aca="false">K2322-M2322</f>
        <v>8486</v>
      </c>
    </row>
    <row r="2323" customFormat="false" ht="12.8" hidden="false" customHeight="false" outlineLevel="0" collapsed="false">
      <c r="A2323" s="10" t="n">
        <f aca="false">A2322+1</f>
        <v>2322</v>
      </c>
      <c r="B2323" s="11" t="n">
        <f aca="false">B2322+1</f>
        <v>47248</v>
      </c>
      <c r="C2323" s="10" t="n">
        <f aca="false">YEAR(B2323)</f>
        <v>2029</v>
      </c>
      <c r="D2323" s="10" t="n">
        <f aca="false">INT((MONTH(B2323)-1)/3)+1</f>
        <v>2</v>
      </c>
      <c r="E2323" s="10" t="n">
        <f aca="false">MONTH(B2323)</f>
        <v>5</v>
      </c>
      <c r="F2323" s="10" t="str">
        <f aca="false">CHOOSE(MOD(A2323-1,5)+1,"Центр","Юг","Север","Запад","Восток")</f>
        <v>Юг</v>
      </c>
      <c r="G2323" s="10" t="str">
        <f aca="false">"Округ_"&amp;(MOD(A2323-1,5)+1)&amp;"_"&amp;(MOD(INT((A2323-1)/5),5)+1)</f>
        <v>Округ_2_5</v>
      </c>
      <c r="H2323" s="10" t="str">
        <f aca="false">"Город_"&amp;(MOD(A2323-1,5)+1)&amp;"_"&amp;(MOD(INT((A2323-1)/5),5)+1)&amp;"_"&amp;(MOD(INT((A2323-1)/25),10)+1)</f>
        <v>Город_2_5_3</v>
      </c>
      <c r="I2323" s="10" t="str">
        <f aca="false">CHOOSE(MOD(A2323-1,4)+1,"Электроника","Одежда","Продукты","Мебель")</f>
        <v>Одежда</v>
      </c>
      <c r="J2323" s="10" t="str">
        <f aca="false">CHOOSE(MOD(INT((A2323-1)/4),4)+1,CHOOSE(MOD(A2323-1,4)+1,"Смартфоны","Ноутбуки","Аксессуары","Аудио"),CHOOSE(MOD(A2323-1,4)+1,"Верхняя одежда","Спортивная","Повседневная","Обувь"),CHOOSE(MOD(A2323-1,4)+1,"Молочные","Мясные","Бакалея","Напитки"),CHOOSE(MOD(A2323-1,4)+1,"Мягкая мебель","Корпусная","Офисная","Кухонная"))</f>
        <v>Ноутбуки</v>
      </c>
      <c r="K2323" s="12" t="n">
        <f aca="false">1000+MOD(A2323*317+A2323*A2323*7,49001)</f>
        <v>13077</v>
      </c>
      <c r="L2323" s="12" t="n">
        <f aca="false">1+MOD(A2323*131,100)</f>
        <v>83</v>
      </c>
      <c r="M2323" s="12" t="n">
        <f aca="false">INT(K2323*(0.6+MOD(A2323*43,21)/100))</f>
        <v>9415</v>
      </c>
      <c r="N2323" s="12" t="n">
        <f aca="false">K2323-M2323</f>
        <v>3662</v>
      </c>
    </row>
    <row r="2324" customFormat="false" ht="12.8" hidden="false" customHeight="false" outlineLevel="0" collapsed="false">
      <c r="A2324" s="10" t="n">
        <f aca="false">A2323+1</f>
        <v>2323</v>
      </c>
      <c r="B2324" s="11" t="n">
        <f aca="false">B2323+1</f>
        <v>47249</v>
      </c>
      <c r="C2324" s="10" t="n">
        <f aca="false">YEAR(B2324)</f>
        <v>2029</v>
      </c>
      <c r="D2324" s="10" t="n">
        <f aca="false">INT((MONTH(B2324)-1)/3)+1</f>
        <v>2</v>
      </c>
      <c r="E2324" s="10" t="n">
        <f aca="false">MONTH(B2324)</f>
        <v>5</v>
      </c>
      <c r="F2324" s="10" t="str">
        <f aca="false">CHOOSE(MOD(A2324-1,5)+1,"Центр","Юг","Север","Запад","Восток")</f>
        <v>Север</v>
      </c>
      <c r="G2324" s="10" t="str">
        <f aca="false">"Округ_"&amp;(MOD(A2324-1,5)+1)&amp;"_"&amp;(MOD(INT((A2324-1)/5),5)+1)</f>
        <v>Округ_3_5</v>
      </c>
      <c r="H2324" s="10" t="str">
        <f aca="false">"Город_"&amp;(MOD(A2324-1,5)+1)&amp;"_"&amp;(MOD(INT((A2324-1)/5),5)+1)&amp;"_"&amp;(MOD(INT((A2324-1)/25),10)+1)</f>
        <v>Город_3_5_3</v>
      </c>
      <c r="I2324" s="10" t="str">
        <f aca="false">CHOOSE(MOD(A2324-1,4)+1,"Электроника","Одежда","Продукты","Мебель")</f>
        <v>Продукты</v>
      </c>
      <c r="J2324" s="10" t="str">
        <f aca="false">CHOOSE(MOD(INT((A2324-1)/4),4)+1,CHOOSE(MOD(A2324-1,4)+1,"Смартфоны","Ноутбуки","Аксессуары","Аудио"),CHOOSE(MOD(A2324-1,4)+1,"Верхняя одежда","Спортивная","Повседневная","Обувь"),CHOOSE(MOD(A2324-1,4)+1,"Молочные","Мясные","Бакалея","Напитки"),CHOOSE(MOD(A2324-1,4)+1,"Мягкая мебель","Корпусная","Офисная","Кухонная"))</f>
        <v>Аксессуары</v>
      </c>
      <c r="K2324" s="12" t="n">
        <f aca="false">1000+MOD(A2324*317+A2324*A2324*7,49001)</f>
        <v>45909</v>
      </c>
      <c r="L2324" s="12" t="n">
        <f aca="false">1+MOD(A2324*131,100)</f>
        <v>14</v>
      </c>
      <c r="M2324" s="12" t="n">
        <f aca="false">INT(K2324*(0.6+MOD(A2324*43,21)/100))</f>
        <v>33513</v>
      </c>
      <c r="N2324" s="12" t="n">
        <f aca="false">K2324-M2324</f>
        <v>12396</v>
      </c>
    </row>
    <row r="2325" customFormat="false" ht="12.8" hidden="false" customHeight="false" outlineLevel="0" collapsed="false">
      <c r="A2325" s="10" t="n">
        <f aca="false">A2324+1</f>
        <v>2324</v>
      </c>
      <c r="B2325" s="11" t="n">
        <f aca="false">B2324+1</f>
        <v>47250</v>
      </c>
      <c r="C2325" s="10" t="n">
        <f aca="false">YEAR(B2325)</f>
        <v>2029</v>
      </c>
      <c r="D2325" s="10" t="n">
        <f aca="false">INT((MONTH(B2325)-1)/3)+1</f>
        <v>2</v>
      </c>
      <c r="E2325" s="10" t="n">
        <f aca="false">MONTH(B2325)</f>
        <v>5</v>
      </c>
      <c r="F2325" s="10" t="str">
        <f aca="false">CHOOSE(MOD(A2325-1,5)+1,"Центр","Юг","Север","Запад","Восток")</f>
        <v>Запад</v>
      </c>
      <c r="G2325" s="10" t="str">
        <f aca="false">"Округ_"&amp;(MOD(A2325-1,5)+1)&amp;"_"&amp;(MOD(INT((A2325-1)/5),5)+1)</f>
        <v>Округ_4_5</v>
      </c>
      <c r="H2325" s="10" t="str">
        <f aca="false">"Город_"&amp;(MOD(A2325-1,5)+1)&amp;"_"&amp;(MOD(INT((A2325-1)/5),5)+1)&amp;"_"&amp;(MOD(INT((A2325-1)/25),10)+1)</f>
        <v>Город_4_5_3</v>
      </c>
      <c r="I2325" s="10" t="str">
        <f aca="false">CHOOSE(MOD(A2325-1,4)+1,"Электроника","Одежда","Продукты","Мебель")</f>
        <v>Мебель</v>
      </c>
      <c r="J2325" s="10" t="str">
        <f aca="false">CHOOSE(MOD(INT((A2325-1)/4),4)+1,CHOOSE(MOD(A2325-1,4)+1,"Смартфоны","Ноутбуки","Аксессуары","Аудио"),CHOOSE(MOD(A2325-1,4)+1,"Верхняя одежда","Спортивная","Повседневная","Обувь"),CHOOSE(MOD(A2325-1,4)+1,"Молочные","Мясные","Бакалея","Напитки"),CHOOSE(MOD(A2325-1,4)+1,"Мягкая мебель","Корпусная","Офисная","Кухонная"))</f>
        <v>Аудио</v>
      </c>
      <c r="K2325" s="12" t="n">
        <f aca="false">1000+MOD(A2325*317+A2325*A2325*7,49001)</f>
        <v>29754</v>
      </c>
      <c r="L2325" s="12" t="n">
        <f aca="false">1+MOD(A2325*131,100)</f>
        <v>45</v>
      </c>
      <c r="M2325" s="12" t="n">
        <f aca="false">INT(K2325*(0.6+MOD(A2325*43,21)/100))</f>
        <v>22017</v>
      </c>
      <c r="N2325" s="12" t="n">
        <f aca="false">K2325-M2325</f>
        <v>7737</v>
      </c>
    </row>
    <row r="2326" customFormat="false" ht="12.8" hidden="false" customHeight="false" outlineLevel="0" collapsed="false">
      <c r="A2326" s="10" t="n">
        <f aca="false">A2325+1</f>
        <v>2325</v>
      </c>
      <c r="B2326" s="11" t="n">
        <f aca="false">B2325+1</f>
        <v>47251</v>
      </c>
      <c r="C2326" s="10" t="n">
        <f aca="false">YEAR(B2326)</f>
        <v>2029</v>
      </c>
      <c r="D2326" s="10" t="n">
        <f aca="false">INT((MONTH(B2326)-1)/3)+1</f>
        <v>2</v>
      </c>
      <c r="E2326" s="10" t="n">
        <f aca="false">MONTH(B2326)</f>
        <v>5</v>
      </c>
      <c r="F2326" s="10" t="str">
        <f aca="false">CHOOSE(MOD(A2326-1,5)+1,"Центр","Юг","Север","Запад","Восток")</f>
        <v>Восток</v>
      </c>
      <c r="G2326" s="10" t="str">
        <f aca="false">"Округ_"&amp;(MOD(A2326-1,5)+1)&amp;"_"&amp;(MOD(INT((A2326-1)/5),5)+1)</f>
        <v>Округ_5_5</v>
      </c>
      <c r="H2326" s="10" t="str">
        <f aca="false">"Город_"&amp;(MOD(A2326-1,5)+1)&amp;"_"&amp;(MOD(INT((A2326-1)/5),5)+1)&amp;"_"&amp;(MOD(INT((A2326-1)/25),10)+1)</f>
        <v>Город_5_5_3</v>
      </c>
      <c r="I2326" s="10" t="str">
        <f aca="false">CHOOSE(MOD(A2326-1,4)+1,"Электроника","Одежда","Продукты","Мебель")</f>
        <v>Электроника</v>
      </c>
      <c r="J2326" s="10" t="str">
        <f aca="false">CHOOSE(MOD(INT((A2326-1)/4),4)+1,CHOOSE(MOD(A2326-1,4)+1,"Смартфоны","Ноутбуки","Аксессуары","Аудио"),CHOOSE(MOD(A2326-1,4)+1,"Верхняя одежда","Спортивная","Повседневная","Обувь"),CHOOSE(MOD(A2326-1,4)+1,"Молочные","Мясные","Бакалея","Напитки"),CHOOSE(MOD(A2326-1,4)+1,"Мягкая мебель","Корпусная","Офисная","Кухонная"))</f>
        <v>Верхняя одежда</v>
      </c>
      <c r="K2326" s="12" t="n">
        <f aca="false">1000+MOD(A2326*317+A2326*A2326*7,49001)</f>
        <v>13613</v>
      </c>
      <c r="L2326" s="12" t="n">
        <f aca="false">1+MOD(A2326*131,100)</f>
        <v>76</v>
      </c>
      <c r="M2326" s="12" t="n">
        <f aca="false">INT(K2326*(0.6+MOD(A2326*43,21)/100))</f>
        <v>10209</v>
      </c>
      <c r="N2326" s="12" t="n">
        <f aca="false">K2326-M2326</f>
        <v>3404</v>
      </c>
    </row>
    <row r="2327" customFormat="false" ht="12.8" hidden="false" customHeight="false" outlineLevel="0" collapsed="false">
      <c r="A2327" s="10" t="n">
        <f aca="false">A2326+1</f>
        <v>2326</v>
      </c>
      <c r="B2327" s="11" t="n">
        <f aca="false">B2326+1</f>
        <v>47252</v>
      </c>
      <c r="C2327" s="10" t="n">
        <f aca="false">YEAR(B2327)</f>
        <v>2029</v>
      </c>
      <c r="D2327" s="10" t="n">
        <f aca="false">INT((MONTH(B2327)-1)/3)+1</f>
        <v>2</v>
      </c>
      <c r="E2327" s="10" t="n">
        <f aca="false">MONTH(B2327)</f>
        <v>5</v>
      </c>
      <c r="F2327" s="10" t="str">
        <f aca="false">CHOOSE(MOD(A2327-1,5)+1,"Центр","Юг","Север","Запад","Восток")</f>
        <v>Центр</v>
      </c>
      <c r="G2327" s="10" t="str">
        <f aca="false">"Округ_"&amp;(MOD(A2327-1,5)+1)&amp;"_"&amp;(MOD(INT((A2327-1)/5),5)+1)</f>
        <v>Округ_1_1</v>
      </c>
      <c r="H2327" s="10" t="str">
        <f aca="false">"Город_"&amp;(MOD(A2327-1,5)+1)&amp;"_"&amp;(MOD(INT((A2327-1)/5),5)+1)&amp;"_"&amp;(MOD(INT((A2327-1)/25),10)+1)</f>
        <v>Город_1_1_4</v>
      </c>
      <c r="I2327" s="10" t="str">
        <f aca="false">CHOOSE(MOD(A2327-1,4)+1,"Электроника","Одежда","Продукты","Мебель")</f>
        <v>Одежда</v>
      </c>
      <c r="J2327" s="10" t="str">
        <f aca="false">CHOOSE(MOD(INT((A2327-1)/4),4)+1,CHOOSE(MOD(A2327-1,4)+1,"Смартфоны","Ноутбуки","Аксессуары","Аудио"),CHOOSE(MOD(A2327-1,4)+1,"Верхняя одежда","Спортивная","Повседневная","Обувь"),CHOOSE(MOD(A2327-1,4)+1,"Молочные","Мясные","Бакалея","Напитки"),CHOOSE(MOD(A2327-1,4)+1,"Мягкая мебель","Корпусная","Офисная","Кухонная"))</f>
        <v>Спортивная</v>
      </c>
      <c r="K2327" s="12" t="n">
        <f aca="false">1000+MOD(A2327*317+A2327*A2327*7,49001)</f>
        <v>46487</v>
      </c>
      <c r="L2327" s="12" t="n">
        <f aca="false">1+MOD(A2327*131,100)</f>
        <v>7</v>
      </c>
      <c r="M2327" s="12" t="n">
        <f aca="false">INT(K2327*(0.6+MOD(A2327*43,21)/100))</f>
        <v>35330</v>
      </c>
      <c r="N2327" s="12" t="n">
        <f aca="false">K2327-M2327</f>
        <v>11157</v>
      </c>
    </row>
    <row r="2328" customFormat="false" ht="12.8" hidden="false" customHeight="false" outlineLevel="0" collapsed="false">
      <c r="A2328" s="10" t="n">
        <f aca="false">A2327+1</f>
        <v>2327</v>
      </c>
      <c r="B2328" s="11" t="n">
        <f aca="false">B2327+1</f>
        <v>47253</v>
      </c>
      <c r="C2328" s="10" t="n">
        <f aca="false">YEAR(B2328)</f>
        <v>2029</v>
      </c>
      <c r="D2328" s="10" t="n">
        <f aca="false">INT((MONTH(B2328)-1)/3)+1</f>
        <v>2</v>
      </c>
      <c r="E2328" s="10" t="n">
        <f aca="false">MONTH(B2328)</f>
        <v>5</v>
      </c>
      <c r="F2328" s="10" t="str">
        <f aca="false">CHOOSE(MOD(A2328-1,5)+1,"Центр","Юг","Север","Запад","Восток")</f>
        <v>Юг</v>
      </c>
      <c r="G2328" s="10" t="str">
        <f aca="false">"Округ_"&amp;(MOD(A2328-1,5)+1)&amp;"_"&amp;(MOD(INT((A2328-1)/5),5)+1)</f>
        <v>Округ_2_1</v>
      </c>
      <c r="H2328" s="10" t="str">
        <f aca="false">"Город_"&amp;(MOD(A2328-1,5)+1)&amp;"_"&amp;(MOD(INT((A2328-1)/5),5)+1)&amp;"_"&amp;(MOD(INT((A2328-1)/25),10)+1)</f>
        <v>Город_2_1_4</v>
      </c>
      <c r="I2328" s="10" t="str">
        <f aca="false">CHOOSE(MOD(A2328-1,4)+1,"Электроника","Одежда","Продукты","Мебель")</f>
        <v>Продукты</v>
      </c>
      <c r="J2328" s="10" t="str">
        <f aca="false">CHOOSE(MOD(INT((A2328-1)/4),4)+1,CHOOSE(MOD(A2328-1,4)+1,"Смартфоны","Ноутбуки","Аксессуары","Аудио"),CHOOSE(MOD(A2328-1,4)+1,"Верхняя одежда","Спортивная","Повседневная","Обувь"),CHOOSE(MOD(A2328-1,4)+1,"Молочные","Мясные","Бакалея","Напитки"),CHOOSE(MOD(A2328-1,4)+1,"Мягкая мебель","Корпусная","Офисная","Кухонная"))</f>
        <v>Повседневная</v>
      </c>
      <c r="K2328" s="12" t="n">
        <f aca="false">1000+MOD(A2328*317+A2328*A2328*7,49001)</f>
        <v>30374</v>
      </c>
      <c r="L2328" s="12" t="n">
        <f aca="false">1+MOD(A2328*131,100)</f>
        <v>38</v>
      </c>
      <c r="M2328" s="12" t="n">
        <f aca="false">INT(K2328*(0.6+MOD(A2328*43,21)/100))</f>
        <v>23387</v>
      </c>
      <c r="N2328" s="12" t="n">
        <f aca="false">K2328-M2328</f>
        <v>6987</v>
      </c>
    </row>
    <row r="2329" customFormat="false" ht="12.8" hidden="false" customHeight="false" outlineLevel="0" collapsed="false">
      <c r="A2329" s="10" t="n">
        <f aca="false">A2328+1</f>
        <v>2328</v>
      </c>
      <c r="B2329" s="11" t="n">
        <f aca="false">B2328+1</f>
        <v>47254</v>
      </c>
      <c r="C2329" s="10" t="n">
        <f aca="false">YEAR(B2329)</f>
        <v>2029</v>
      </c>
      <c r="D2329" s="10" t="n">
        <f aca="false">INT((MONTH(B2329)-1)/3)+1</f>
        <v>2</v>
      </c>
      <c r="E2329" s="10" t="n">
        <f aca="false">MONTH(B2329)</f>
        <v>5</v>
      </c>
      <c r="F2329" s="10" t="str">
        <f aca="false">CHOOSE(MOD(A2329-1,5)+1,"Центр","Юг","Север","Запад","Восток")</f>
        <v>Север</v>
      </c>
      <c r="G2329" s="10" t="str">
        <f aca="false">"Округ_"&amp;(MOD(A2329-1,5)+1)&amp;"_"&amp;(MOD(INT((A2329-1)/5),5)+1)</f>
        <v>Округ_3_1</v>
      </c>
      <c r="H2329" s="10" t="str">
        <f aca="false">"Город_"&amp;(MOD(A2329-1,5)+1)&amp;"_"&amp;(MOD(INT((A2329-1)/5),5)+1)&amp;"_"&amp;(MOD(INT((A2329-1)/25),10)+1)</f>
        <v>Город_3_1_4</v>
      </c>
      <c r="I2329" s="10" t="str">
        <f aca="false">CHOOSE(MOD(A2329-1,4)+1,"Электроника","Одежда","Продукты","Мебель")</f>
        <v>Мебель</v>
      </c>
      <c r="J2329" s="10" t="str">
        <f aca="false">CHOOSE(MOD(INT((A2329-1)/4),4)+1,CHOOSE(MOD(A2329-1,4)+1,"Смартфоны","Ноутбуки","Аксессуары","Аудио"),CHOOSE(MOD(A2329-1,4)+1,"Верхняя одежда","Спортивная","Повседневная","Обувь"),CHOOSE(MOD(A2329-1,4)+1,"Молочные","Мясные","Бакалея","Напитки"),CHOOSE(MOD(A2329-1,4)+1,"Мягкая мебель","Корпусная","Офисная","Кухонная"))</f>
        <v>Обувь</v>
      </c>
      <c r="K2329" s="12" t="n">
        <f aca="false">1000+MOD(A2329*317+A2329*A2329*7,49001)</f>
        <v>14275</v>
      </c>
      <c r="L2329" s="12" t="n">
        <f aca="false">1+MOD(A2329*131,100)</f>
        <v>69</v>
      </c>
      <c r="M2329" s="12" t="n">
        <f aca="false">INT(K2329*(0.6+MOD(A2329*43,21)/100))</f>
        <v>11134</v>
      </c>
      <c r="N2329" s="12" t="n">
        <f aca="false">K2329-M2329</f>
        <v>3141</v>
      </c>
    </row>
    <row r="2330" customFormat="false" ht="12.8" hidden="false" customHeight="false" outlineLevel="0" collapsed="false">
      <c r="A2330" s="10" t="n">
        <f aca="false">A2329+1</f>
        <v>2329</v>
      </c>
      <c r="B2330" s="11" t="n">
        <f aca="false">B2329+1</f>
        <v>47255</v>
      </c>
      <c r="C2330" s="10" t="n">
        <f aca="false">YEAR(B2330)</f>
        <v>2029</v>
      </c>
      <c r="D2330" s="10" t="n">
        <f aca="false">INT((MONTH(B2330)-1)/3)+1</f>
        <v>2</v>
      </c>
      <c r="E2330" s="10" t="n">
        <f aca="false">MONTH(B2330)</f>
        <v>5</v>
      </c>
      <c r="F2330" s="10" t="str">
        <f aca="false">CHOOSE(MOD(A2330-1,5)+1,"Центр","Юг","Север","Запад","Восток")</f>
        <v>Запад</v>
      </c>
      <c r="G2330" s="10" t="str">
        <f aca="false">"Округ_"&amp;(MOD(A2330-1,5)+1)&amp;"_"&amp;(MOD(INT((A2330-1)/5),5)+1)</f>
        <v>Округ_4_1</v>
      </c>
      <c r="H2330" s="10" t="str">
        <f aca="false">"Город_"&amp;(MOD(A2330-1,5)+1)&amp;"_"&amp;(MOD(INT((A2330-1)/5),5)+1)&amp;"_"&amp;(MOD(INT((A2330-1)/25),10)+1)</f>
        <v>Город_4_1_4</v>
      </c>
      <c r="I2330" s="10" t="str">
        <f aca="false">CHOOSE(MOD(A2330-1,4)+1,"Электроника","Одежда","Продукты","Мебель")</f>
        <v>Электроника</v>
      </c>
      <c r="J2330" s="10" t="str">
        <f aca="false">CHOOSE(MOD(INT((A2330-1)/4),4)+1,CHOOSE(MOD(A2330-1,4)+1,"Смартфоны","Ноутбуки","Аксессуары","Аудио"),CHOOSE(MOD(A2330-1,4)+1,"Верхняя одежда","Спортивная","Повседневная","Обувь"),CHOOSE(MOD(A2330-1,4)+1,"Молочные","Мясные","Бакалея","Напитки"),CHOOSE(MOD(A2330-1,4)+1,"Мягкая мебель","Корпусная","Офисная","Кухонная"))</f>
        <v>Молочные</v>
      </c>
      <c r="K2330" s="12" t="n">
        <f aca="false">1000+MOD(A2330*317+A2330*A2330*7,49001)</f>
        <v>47191</v>
      </c>
      <c r="L2330" s="12" t="n">
        <f aca="false">1+MOD(A2330*131,100)</f>
        <v>100</v>
      </c>
      <c r="M2330" s="12" t="n">
        <f aca="false">INT(K2330*(0.6+MOD(A2330*43,21)/100))</f>
        <v>37280</v>
      </c>
      <c r="N2330" s="12" t="n">
        <f aca="false">K2330-M2330</f>
        <v>9911</v>
      </c>
    </row>
    <row r="2331" customFormat="false" ht="12.8" hidden="false" customHeight="false" outlineLevel="0" collapsed="false">
      <c r="A2331" s="10" t="n">
        <f aca="false">A2330+1</f>
        <v>2330</v>
      </c>
      <c r="B2331" s="11" t="n">
        <f aca="false">B2330+1</f>
        <v>47256</v>
      </c>
      <c r="C2331" s="10" t="n">
        <f aca="false">YEAR(B2331)</f>
        <v>2029</v>
      </c>
      <c r="D2331" s="10" t="n">
        <f aca="false">INT((MONTH(B2331)-1)/3)+1</f>
        <v>2</v>
      </c>
      <c r="E2331" s="10" t="n">
        <f aca="false">MONTH(B2331)</f>
        <v>5</v>
      </c>
      <c r="F2331" s="10" t="str">
        <f aca="false">CHOOSE(MOD(A2331-1,5)+1,"Центр","Юг","Север","Запад","Восток")</f>
        <v>Восток</v>
      </c>
      <c r="G2331" s="10" t="str">
        <f aca="false">"Округ_"&amp;(MOD(A2331-1,5)+1)&amp;"_"&amp;(MOD(INT((A2331-1)/5),5)+1)</f>
        <v>Округ_5_1</v>
      </c>
      <c r="H2331" s="10" t="str">
        <f aca="false">"Город_"&amp;(MOD(A2331-1,5)+1)&amp;"_"&amp;(MOD(INT((A2331-1)/5),5)+1)&amp;"_"&amp;(MOD(INT((A2331-1)/25),10)+1)</f>
        <v>Город_5_1_4</v>
      </c>
      <c r="I2331" s="10" t="str">
        <f aca="false">CHOOSE(MOD(A2331-1,4)+1,"Электроника","Одежда","Продукты","Мебель")</f>
        <v>Одежда</v>
      </c>
      <c r="J2331" s="10" t="str">
        <f aca="false">CHOOSE(MOD(INT((A2331-1)/4),4)+1,CHOOSE(MOD(A2331-1,4)+1,"Смартфоны","Ноутбуки","Аксессуары","Аудио"),CHOOSE(MOD(A2331-1,4)+1,"Верхняя одежда","Спортивная","Повседневная","Обувь"),CHOOSE(MOD(A2331-1,4)+1,"Молочные","Мясные","Бакалея","Напитки"),CHOOSE(MOD(A2331-1,4)+1,"Мягкая мебель","Корпусная","Офисная","Кухонная"))</f>
        <v>Мясные</v>
      </c>
      <c r="K2331" s="12" t="n">
        <f aca="false">1000+MOD(A2331*317+A2331*A2331*7,49001)</f>
        <v>31120</v>
      </c>
      <c r="L2331" s="12" t="n">
        <f aca="false">1+MOD(A2331*131,100)</f>
        <v>31</v>
      </c>
      <c r="M2331" s="12" t="n">
        <f aca="false">INT(K2331*(0.6+MOD(A2331*43,21)/100))</f>
        <v>24896</v>
      </c>
      <c r="N2331" s="12" t="n">
        <f aca="false">K2331-M2331</f>
        <v>6224</v>
      </c>
    </row>
    <row r="2332" customFormat="false" ht="12.8" hidden="false" customHeight="false" outlineLevel="0" collapsed="false">
      <c r="A2332" s="10" t="n">
        <f aca="false">A2331+1</f>
        <v>2331</v>
      </c>
      <c r="B2332" s="11" t="n">
        <f aca="false">B2331+1</f>
        <v>47257</v>
      </c>
      <c r="C2332" s="10" t="n">
        <f aca="false">YEAR(B2332)</f>
        <v>2029</v>
      </c>
      <c r="D2332" s="10" t="n">
        <f aca="false">INT((MONTH(B2332)-1)/3)+1</f>
        <v>2</v>
      </c>
      <c r="E2332" s="10" t="n">
        <f aca="false">MONTH(B2332)</f>
        <v>5</v>
      </c>
      <c r="F2332" s="10" t="str">
        <f aca="false">CHOOSE(MOD(A2332-1,5)+1,"Центр","Юг","Север","Запад","Восток")</f>
        <v>Центр</v>
      </c>
      <c r="G2332" s="10" t="str">
        <f aca="false">"Округ_"&amp;(MOD(A2332-1,5)+1)&amp;"_"&amp;(MOD(INT((A2332-1)/5),5)+1)</f>
        <v>Округ_1_2</v>
      </c>
      <c r="H2332" s="10" t="str">
        <f aca="false">"Город_"&amp;(MOD(A2332-1,5)+1)&amp;"_"&amp;(MOD(INT((A2332-1)/5),5)+1)&amp;"_"&amp;(MOD(INT((A2332-1)/25),10)+1)</f>
        <v>Город_1_2_4</v>
      </c>
      <c r="I2332" s="10" t="str">
        <f aca="false">CHOOSE(MOD(A2332-1,4)+1,"Электроника","Одежда","Продукты","Мебель")</f>
        <v>Продукты</v>
      </c>
      <c r="J2332" s="10" t="str">
        <f aca="false">CHOOSE(MOD(INT((A2332-1)/4),4)+1,CHOOSE(MOD(A2332-1,4)+1,"Смартфоны","Ноутбуки","Аксессуары","Аудио"),CHOOSE(MOD(A2332-1,4)+1,"Верхняя одежда","Спортивная","Повседневная","Обувь"),CHOOSE(MOD(A2332-1,4)+1,"Молочные","Мясные","Бакалея","Напитки"),CHOOSE(MOD(A2332-1,4)+1,"Мягкая мебель","Корпусная","Офисная","Кухонная"))</f>
        <v>Бакалея</v>
      </c>
      <c r="K2332" s="12" t="n">
        <f aca="false">1000+MOD(A2332*317+A2332*A2332*7,49001)</f>
        <v>15063</v>
      </c>
      <c r="L2332" s="12" t="n">
        <f aca="false">1+MOD(A2332*131,100)</f>
        <v>62</v>
      </c>
      <c r="M2332" s="12" t="n">
        <f aca="false">INT(K2332*(0.6+MOD(A2332*43,21)/100))</f>
        <v>9037</v>
      </c>
      <c r="N2332" s="12" t="n">
        <f aca="false">K2332-M2332</f>
        <v>6026</v>
      </c>
    </row>
    <row r="2333" customFormat="false" ht="12.8" hidden="false" customHeight="false" outlineLevel="0" collapsed="false">
      <c r="A2333" s="10" t="n">
        <f aca="false">A2332+1</f>
        <v>2332</v>
      </c>
      <c r="B2333" s="11" t="n">
        <f aca="false">B2332+1</f>
        <v>47258</v>
      </c>
      <c r="C2333" s="10" t="n">
        <f aca="false">YEAR(B2333)</f>
        <v>2029</v>
      </c>
      <c r="D2333" s="10" t="n">
        <f aca="false">INT((MONTH(B2333)-1)/3)+1</f>
        <v>2</v>
      </c>
      <c r="E2333" s="10" t="n">
        <f aca="false">MONTH(B2333)</f>
        <v>5</v>
      </c>
      <c r="F2333" s="10" t="str">
        <f aca="false">CHOOSE(MOD(A2333-1,5)+1,"Центр","Юг","Север","Запад","Восток")</f>
        <v>Юг</v>
      </c>
      <c r="G2333" s="10" t="str">
        <f aca="false">"Округ_"&amp;(MOD(A2333-1,5)+1)&amp;"_"&amp;(MOD(INT((A2333-1)/5),5)+1)</f>
        <v>Округ_2_2</v>
      </c>
      <c r="H2333" s="10" t="str">
        <f aca="false">"Город_"&amp;(MOD(A2333-1,5)+1)&amp;"_"&amp;(MOD(INT((A2333-1)/5),5)+1)&amp;"_"&amp;(MOD(INT((A2333-1)/25),10)+1)</f>
        <v>Город_2_2_4</v>
      </c>
      <c r="I2333" s="10" t="str">
        <f aca="false">CHOOSE(MOD(A2333-1,4)+1,"Электроника","Одежда","Продукты","Мебель")</f>
        <v>Мебель</v>
      </c>
      <c r="J2333" s="10" t="str">
        <f aca="false">CHOOSE(MOD(INT((A2333-1)/4),4)+1,CHOOSE(MOD(A2333-1,4)+1,"Смартфоны","Ноутбуки","Аксессуары","Аудио"),CHOOSE(MOD(A2333-1,4)+1,"Верхняя одежда","Спортивная","Повседневная","Обувь"),CHOOSE(MOD(A2333-1,4)+1,"Молочные","Мясные","Бакалея","Напитки"),CHOOSE(MOD(A2333-1,4)+1,"Мягкая мебель","Корпусная","Офисная","Кухонная"))</f>
        <v>Напитки</v>
      </c>
      <c r="K2333" s="12" t="n">
        <f aca="false">1000+MOD(A2333*317+A2333*A2333*7,49001)</f>
        <v>48021</v>
      </c>
      <c r="L2333" s="12" t="n">
        <f aca="false">1+MOD(A2333*131,100)</f>
        <v>93</v>
      </c>
      <c r="M2333" s="12" t="n">
        <f aca="false">INT(K2333*(0.6+MOD(A2333*43,21)/100))</f>
        <v>29292</v>
      </c>
      <c r="N2333" s="12" t="n">
        <f aca="false">K2333-M2333</f>
        <v>18729</v>
      </c>
    </row>
    <row r="2334" customFormat="false" ht="12.8" hidden="false" customHeight="false" outlineLevel="0" collapsed="false">
      <c r="A2334" s="10" t="n">
        <f aca="false">A2333+1</f>
        <v>2333</v>
      </c>
      <c r="B2334" s="11" t="n">
        <f aca="false">B2333+1</f>
        <v>47259</v>
      </c>
      <c r="C2334" s="10" t="n">
        <f aca="false">YEAR(B2334)</f>
        <v>2029</v>
      </c>
      <c r="D2334" s="10" t="n">
        <f aca="false">INT((MONTH(B2334)-1)/3)+1</f>
        <v>2</v>
      </c>
      <c r="E2334" s="10" t="n">
        <f aca="false">MONTH(B2334)</f>
        <v>5</v>
      </c>
      <c r="F2334" s="10" t="str">
        <f aca="false">CHOOSE(MOD(A2334-1,5)+1,"Центр","Юг","Север","Запад","Восток")</f>
        <v>Север</v>
      </c>
      <c r="G2334" s="10" t="str">
        <f aca="false">"Округ_"&amp;(MOD(A2334-1,5)+1)&amp;"_"&amp;(MOD(INT((A2334-1)/5),5)+1)</f>
        <v>Округ_3_2</v>
      </c>
      <c r="H2334" s="10" t="str">
        <f aca="false">"Город_"&amp;(MOD(A2334-1,5)+1)&amp;"_"&amp;(MOD(INT((A2334-1)/5),5)+1)&amp;"_"&amp;(MOD(INT((A2334-1)/25),10)+1)</f>
        <v>Город_3_2_4</v>
      </c>
      <c r="I2334" s="10" t="str">
        <f aca="false">CHOOSE(MOD(A2334-1,4)+1,"Электроника","Одежда","Продукты","Мебель")</f>
        <v>Электроника</v>
      </c>
      <c r="J2334" s="10" t="str">
        <f aca="false">CHOOSE(MOD(INT((A2334-1)/4),4)+1,CHOOSE(MOD(A2334-1,4)+1,"Смартфоны","Ноутбуки","Аксессуары","Аудио"),CHOOSE(MOD(A2334-1,4)+1,"Верхняя одежда","Спортивная","Повседневная","Обувь"),CHOOSE(MOD(A2334-1,4)+1,"Молочные","Мясные","Бакалея","Напитки"),CHOOSE(MOD(A2334-1,4)+1,"Мягкая мебель","Корпусная","Офисная","Кухонная"))</f>
        <v>Мягкая мебель</v>
      </c>
      <c r="K2334" s="12" t="n">
        <f aca="false">1000+MOD(A2334*317+A2334*A2334*7,49001)</f>
        <v>31992</v>
      </c>
      <c r="L2334" s="12" t="n">
        <f aca="false">1+MOD(A2334*131,100)</f>
        <v>24</v>
      </c>
      <c r="M2334" s="12" t="n">
        <f aca="false">INT(K2334*(0.6+MOD(A2334*43,21)/100))</f>
        <v>19835</v>
      </c>
      <c r="N2334" s="12" t="n">
        <f aca="false">K2334-M2334</f>
        <v>12157</v>
      </c>
    </row>
    <row r="2335" customFormat="false" ht="12.8" hidden="false" customHeight="false" outlineLevel="0" collapsed="false">
      <c r="A2335" s="10" t="n">
        <f aca="false">A2334+1</f>
        <v>2334</v>
      </c>
      <c r="B2335" s="11" t="n">
        <f aca="false">B2334+1</f>
        <v>47260</v>
      </c>
      <c r="C2335" s="10" t="n">
        <f aca="false">YEAR(B2335)</f>
        <v>2029</v>
      </c>
      <c r="D2335" s="10" t="n">
        <f aca="false">INT((MONTH(B2335)-1)/3)+1</f>
        <v>2</v>
      </c>
      <c r="E2335" s="10" t="n">
        <f aca="false">MONTH(B2335)</f>
        <v>5</v>
      </c>
      <c r="F2335" s="10" t="str">
        <f aca="false">CHOOSE(MOD(A2335-1,5)+1,"Центр","Юг","Север","Запад","Восток")</f>
        <v>Запад</v>
      </c>
      <c r="G2335" s="10" t="str">
        <f aca="false">"Округ_"&amp;(MOD(A2335-1,5)+1)&amp;"_"&amp;(MOD(INT((A2335-1)/5),5)+1)</f>
        <v>Округ_4_2</v>
      </c>
      <c r="H2335" s="10" t="str">
        <f aca="false">"Город_"&amp;(MOD(A2335-1,5)+1)&amp;"_"&amp;(MOD(INT((A2335-1)/5),5)+1)&amp;"_"&amp;(MOD(INT((A2335-1)/25),10)+1)</f>
        <v>Город_4_2_4</v>
      </c>
      <c r="I2335" s="10" t="str">
        <f aca="false">CHOOSE(MOD(A2335-1,4)+1,"Электроника","Одежда","Продукты","Мебель")</f>
        <v>Одежда</v>
      </c>
      <c r="J2335" s="10" t="str">
        <f aca="false">CHOOSE(MOD(INT((A2335-1)/4),4)+1,CHOOSE(MOD(A2335-1,4)+1,"Смартфоны","Ноутбуки","Аксессуары","Аудио"),CHOOSE(MOD(A2335-1,4)+1,"Верхняя одежда","Спортивная","Повседневная","Обувь"),CHOOSE(MOD(A2335-1,4)+1,"Молочные","Мясные","Бакалея","Напитки"),CHOOSE(MOD(A2335-1,4)+1,"Мягкая мебель","Корпусная","Офисная","Кухонная"))</f>
        <v>Корпусная</v>
      </c>
      <c r="K2335" s="12" t="n">
        <f aca="false">1000+MOD(A2335*317+A2335*A2335*7,49001)</f>
        <v>15977</v>
      </c>
      <c r="L2335" s="12" t="n">
        <f aca="false">1+MOD(A2335*131,100)</f>
        <v>55</v>
      </c>
      <c r="M2335" s="12" t="n">
        <f aca="false">INT(K2335*(0.6+MOD(A2335*43,21)/100))</f>
        <v>10065</v>
      </c>
      <c r="N2335" s="12" t="n">
        <f aca="false">K2335-M2335</f>
        <v>5912</v>
      </c>
    </row>
    <row r="2336" customFormat="false" ht="12.8" hidden="false" customHeight="false" outlineLevel="0" collapsed="false">
      <c r="A2336" s="10" t="n">
        <f aca="false">A2335+1</f>
        <v>2335</v>
      </c>
      <c r="B2336" s="11" t="n">
        <f aca="false">B2335+1</f>
        <v>47261</v>
      </c>
      <c r="C2336" s="10" t="n">
        <f aca="false">YEAR(B2336)</f>
        <v>2029</v>
      </c>
      <c r="D2336" s="10" t="n">
        <f aca="false">INT((MONTH(B2336)-1)/3)+1</f>
        <v>2</v>
      </c>
      <c r="E2336" s="10" t="n">
        <f aca="false">MONTH(B2336)</f>
        <v>5</v>
      </c>
      <c r="F2336" s="10" t="str">
        <f aca="false">CHOOSE(MOD(A2336-1,5)+1,"Центр","Юг","Север","Запад","Восток")</f>
        <v>Восток</v>
      </c>
      <c r="G2336" s="10" t="str">
        <f aca="false">"Округ_"&amp;(MOD(A2336-1,5)+1)&amp;"_"&amp;(MOD(INT((A2336-1)/5),5)+1)</f>
        <v>Округ_5_2</v>
      </c>
      <c r="H2336" s="10" t="str">
        <f aca="false">"Город_"&amp;(MOD(A2336-1,5)+1)&amp;"_"&amp;(MOD(INT((A2336-1)/5),5)+1)&amp;"_"&amp;(MOD(INT((A2336-1)/25),10)+1)</f>
        <v>Город_5_2_4</v>
      </c>
      <c r="I2336" s="10" t="str">
        <f aca="false">CHOOSE(MOD(A2336-1,4)+1,"Электроника","Одежда","Продукты","Мебель")</f>
        <v>Продукты</v>
      </c>
      <c r="J2336" s="10" t="str">
        <f aca="false">CHOOSE(MOD(INT((A2336-1)/4),4)+1,CHOOSE(MOD(A2336-1,4)+1,"Смартфоны","Ноутбуки","Аксессуары","Аудио"),CHOOSE(MOD(A2336-1,4)+1,"Верхняя одежда","Спортивная","Повседневная","Обувь"),CHOOSE(MOD(A2336-1,4)+1,"Молочные","Мясные","Бакалея","Напитки"),CHOOSE(MOD(A2336-1,4)+1,"Мягкая мебель","Корпусная","Офисная","Кухонная"))</f>
        <v>Офисная</v>
      </c>
      <c r="K2336" s="12" t="n">
        <f aca="false">1000+MOD(A2336*317+A2336*A2336*7,49001)</f>
        <v>48977</v>
      </c>
      <c r="L2336" s="12" t="n">
        <f aca="false">1+MOD(A2336*131,100)</f>
        <v>86</v>
      </c>
      <c r="M2336" s="12" t="n">
        <f aca="false">INT(K2336*(0.6+MOD(A2336*43,21)/100))</f>
        <v>31345</v>
      </c>
      <c r="N2336" s="12" t="n">
        <f aca="false">K2336-M2336</f>
        <v>17632</v>
      </c>
    </row>
    <row r="2337" customFormat="false" ht="12.8" hidden="false" customHeight="false" outlineLevel="0" collapsed="false">
      <c r="A2337" s="10" t="n">
        <f aca="false">A2336+1</f>
        <v>2336</v>
      </c>
      <c r="B2337" s="11" t="n">
        <f aca="false">B2336+1</f>
        <v>47262</v>
      </c>
      <c r="C2337" s="10" t="n">
        <f aca="false">YEAR(B2337)</f>
        <v>2029</v>
      </c>
      <c r="D2337" s="10" t="n">
        <f aca="false">INT((MONTH(B2337)-1)/3)+1</f>
        <v>2</v>
      </c>
      <c r="E2337" s="10" t="n">
        <f aca="false">MONTH(B2337)</f>
        <v>5</v>
      </c>
      <c r="F2337" s="10" t="str">
        <f aca="false">CHOOSE(MOD(A2337-1,5)+1,"Центр","Юг","Север","Запад","Восток")</f>
        <v>Центр</v>
      </c>
      <c r="G2337" s="10" t="str">
        <f aca="false">"Округ_"&amp;(MOD(A2337-1,5)+1)&amp;"_"&amp;(MOD(INT((A2337-1)/5),5)+1)</f>
        <v>Округ_1_3</v>
      </c>
      <c r="H2337" s="10" t="str">
        <f aca="false">"Город_"&amp;(MOD(A2337-1,5)+1)&amp;"_"&amp;(MOD(INT((A2337-1)/5),5)+1)&amp;"_"&amp;(MOD(INT((A2337-1)/25),10)+1)</f>
        <v>Город_1_3_4</v>
      </c>
      <c r="I2337" s="10" t="str">
        <f aca="false">CHOOSE(MOD(A2337-1,4)+1,"Электроника","Одежда","Продукты","Мебель")</f>
        <v>Мебель</v>
      </c>
      <c r="J2337" s="10" t="str">
        <f aca="false">CHOOSE(MOD(INT((A2337-1)/4),4)+1,CHOOSE(MOD(A2337-1,4)+1,"Смартфоны","Ноутбуки","Аксессуары","Аудио"),CHOOSE(MOD(A2337-1,4)+1,"Верхняя одежда","Спортивная","Повседневная","Обувь"),CHOOSE(MOD(A2337-1,4)+1,"Молочные","Мясные","Бакалея","Напитки"),CHOOSE(MOD(A2337-1,4)+1,"Мягкая мебель","Корпусная","Офисная","Кухонная"))</f>
        <v>Кухонная</v>
      </c>
      <c r="K2337" s="12" t="n">
        <f aca="false">1000+MOD(A2337*317+A2337*A2337*7,49001)</f>
        <v>32990</v>
      </c>
      <c r="L2337" s="12" t="n">
        <f aca="false">1+MOD(A2337*131,100)</f>
        <v>17</v>
      </c>
      <c r="M2337" s="12" t="n">
        <f aca="false">INT(K2337*(0.6+MOD(A2337*43,21)/100))</f>
        <v>21443</v>
      </c>
      <c r="N2337" s="12" t="n">
        <f aca="false">K2337-M2337</f>
        <v>11547</v>
      </c>
    </row>
    <row r="2338" customFormat="false" ht="12.8" hidden="false" customHeight="false" outlineLevel="0" collapsed="false">
      <c r="A2338" s="10" t="n">
        <f aca="false">A2337+1</f>
        <v>2337</v>
      </c>
      <c r="B2338" s="11" t="n">
        <f aca="false">B2337+1</f>
        <v>47263</v>
      </c>
      <c r="C2338" s="10" t="n">
        <f aca="false">YEAR(B2338)</f>
        <v>2029</v>
      </c>
      <c r="D2338" s="10" t="n">
        <f aca="false">INT((MONTH(B2338)-1)/3)+1</f>
        <v>2</v>
      </c>
      <c r="E2338" s="10" t="n">
        <f aca="false">MONTH(B2338)</f>
        <v>5</v>
      </c>
      <c r="F2338" s="10" t="str">
        <f aca="false">CHOOSE(MOD(A2338-1,5)+1,"Центр","Юг","Север","Запад","Восток")</f>
        <v>Юг</v>
      </c>
      <c r="G2338" s="10" t="str">
        <f aca="false">"Округ_"&amp;(MOD(A2338-1,5)+1)&amp;"_"&amp;(MOD(INT((A2338-1)/5),5)+1)</f>
        <v>Округ_2_3</v>
      </c>
      <c r="H2338" s="10" t="str">
        <f aca="false">"Город_"&amp;(MOD(A2338-1,5)+1)&amp;"_"&amp;(MOD(INT((A2338-1)/5),5)+1)&amp;"_"&amp;(MOD(INT((A2338-1)/25),10)+1)</f>
        <v>Город_2_3_4</v>
      </c>
      <c r="I2338" s="10" t="str">
        <f aca="false">CHOOSE(MOD(A2338-1,4)+1,"Электроника","Одежда","Продукты","Мебель")</f>
        <v>Электроника</v>
      </c>
      <c r="J2338" s="10" t="str">
        <f aca="false">CHOOSE(MOD(INT((A2338-1)/4),4)+1,CHOOSE(MOD(A2338-1,4)+1,"Смартфоны","Ноутбуки","Аксессуары","Аудио"),CHOOSE(MOD(A2338-1,4)+1,"Верхняя одежда","Спортивная","Повседневная","Обувь"),CHOOSE(MOD(A2338-1,4)+1,"Молочные","Мясные","Бакалея","Напитки"),CHOOSE(MOD(A2338-1,4)+1,"Мягкая мебель","Корпусная","Офисная","Кухонная"))</f>
        <v>Смартфоны</v>
      </c>
      <c r="K2338" s="12" t="n">
        <f aca="false">1000+MOD(A2338*317+A2338*A2338*7,49001)</f>
        <v>17017</v>
      </c>
      <c r="L2338" s="12" t="n">
        <f aca="false">1+MOD(A2338*131,100)</f>
        <v>48</v>
      </c>
      <c r="M2338" s="12" t="n">
        <f aca="false">INT(K2338*(0.6+MOD(A2338*43,21)/100))</f>
        <v>11231</v>
      </c>
      <c r="N2338" s="12" t="n">
        <f aca="false">K2338-M2338</f>
        <v>5786</v>
      </c>
    </row>
    <row r="2339" customFormat="false" ht="12.8" hidden="false" customHeight="false" outlineLevel="0" collapsed="false">
      <c r="A2339" s="10" t="n">
        <f aca="false">A2338+1</f>
        <v>2338</v>
      </c>
      <c r="B2339" s="11" t="n">
        <f aca="false">B2338+1</f>
        <v>47264</v>
      </c>
      <c r="C2339" s="10" t="n">
        <f aca="false">YEAR(B2339)</f>
        <v>2029</v>
      </c>
      <c r="D2339" s="10" t="n">
        <f aca="false">INT((MONTH(B2339)-1)/3)+1</f>
        <v>2</v>
      </c>
      <c r="E2339" s="10" t="n">
        <f aca="false">MONTH(B2339)</f>
        <v>5</v>
      </c>
      <c r="F2339" s="10" t="str">
        <f aca="false">CHOOSE(MOD(A2339-1,5)+1,"Центр","Юг","Север","Запад","Восток")</f>
        <v>Север</v>
      </c>
      <c r="G2339" s="10" t="str">
        <f aca="false">"Округ_"&amp;(MOD(A2339-1,5)+1)&amp;"_"&amp;(MOD(INT((A2339-1)/5),5)+1)</f>
        <v>Округ_3_3</v>
      </c>
      <c r="H2339" s="10" t="str">
        <f aca="false">"Город_"&amp;(MOD(A2339-1,5)+1)&amp;"_"&amp;(MOD(INT((A2339-1)/5),5)+1)&amp;"_"&amp;(MOD(INT((A2339-1)/25),10)+1)</f>
        <v>Город_3_3_4</v>
      </c>
      <c r="I2339" s="10" t="str">
        <f aca="false">CHOOSE(MOD(A2339-1,4)+1,"Электроника","Одежда","Продукты","Мебель")</f>
        <v>Одежда</v>
      </c>
      <c r="J2339" s="10" t="str">
        <f aca="false">CHOOSE(MOD(INT((A2339-1)/4),4)+1,CHOOSE(MOD(A2339-1,4)+1,"Смартфоны","Ноутбуки","Аксессуары","Аудио"),CHOOSE(MOD(A2339-1,4)+1,"Верхняя одежда","Спортивная","Повседневная","Обувь"),CHOOSE(MOD(A2339-1,4)+1,"Молочные","Мясные","Бакалея","Напитки"),CHOOSE(MOD(A2339-1,4)+1,"Мягкая мебель","Корпусная","Офисная","Кухонная"))</f>
        <v>Ноутбуки</v>
      </c>
      <c r="K2339" s="12" t="n">
        <f aca="false">1000+MOD(A2339*317+A2339*A2339*7,49001)</f>
        <v>1058</v>
      </c>
      <c r="L2339" s="12" t="n">
        <f aca="false">1+MOD(A2339*131,100)</f>
        <v>79</v>
      </c>
      <c r="M2339" s="12" t="n">
        <f aca="false">INT(K2339*(0.6+MOD(A2339*43,21)/100))</f>
        <v>708</v>
      </c>
      <c r="N2339" s="12" t="n">
        <f aca="false">K2339-M2339</f>
        <v>350</v>
      </c>
    </row>
    <row r="2340" customFormat="false" ht="12.8" hidden="false" customHeight="false" outlineLevel="0" collapsed="false">
      <c r="A2340" s="10" t="n">
        <f aca="false">A2339+1</f>
        <v>2339</v>
      </c>
      <c r="B2340" s="11" t="n">
        <f aca="false">B2339+1</f>
        <v>47265</v>
      </c>
      <c r="C2340" s="10" t="n">
        <f aca="false">YEAR(B2340)</f>
        <v>2029</v>
      </c>
      <c r="D2340" s="10" t="n">
        <f aca="false">INT((MONTH(B2340)-1)/3)+1</f>
        <v>2</v>
      </c>
      <c r="E2340" s="10" t="n">
        <f aca="false">MONTH(B2340)</f>
        <v>5</v>
      </c>
      <c r="F2340" s="10" t="str">
        <f aca="false">CHOOSE(MOD(A2340-1,5)+1,"Центр","Юг","Север","Запад","Восток")</f>
        <v>Запад</v>
      </c>
      <c r="G2340" s="10" t="str">
        <f aca="false">"Округ_"&amp;(MOD(A2340-1,5)+1)&amp;"_"&amp;(MOD(INT((A2340-1)/5),5)+1)</f>
        <v>Округ_4_3</v>
      </c>
      <c r="H2340" s="10" t="str">
        <f aca="false">"Город_"&amp;(MOD(A2340-1,5)+1)&amp;"_"&amp;(MOD(INT((A2340-1)/5),5)+1)&amp;"_"&amp;(MOD(INT((A2340-1)/25),10)+1)</f>
        <v>Город_4_3_4</v>
      </c>
      <c r="I2340" s="10" t="str">
        <f aca="false">CHOOSE(MOD(A2340-1,4)+1,"Электроника","Одежда","Продукты","Мебель")</f>
        <v>Продукты</v>
      </c>
      <c r="J2340" s="10" t="str">
        <f aca="false">CHOOSE(MOD(INT((A2340-1)/4),4)+1,CHOOSE(MOD(A2340-1,4)+1,"Смартфоны","Ноутбуки","Аксессуары","Аудио"),CHOOSE(MOD(A2340-1,4)+1,"Верхняя одежда","Спортивная","Повседневная","Обувь"),CHOOSE(MOD(A2340-1,4)+1,"Молочные","Мясные","Бакалея","Напитки"),CHOOSE(MOD(A2340-1,4)+1,"Мягкая мебель","Корпусная","Офисная","Кухонная"))</f>
        <v>Аксессуары</v>
      </c>
      <c r="K2340" s="12" t="n">
        <f aca="false">1000+MOD(A2340*317+A2340*A2340*7,49001)</f>
        <v>34114</v>
      </c>
      <c r="L2340" s="12" t="n">
        <f aca="false">1+MOD(A2340*131,100)</f>
        <v>10</v>
      </c>
      <c r="M2340" s="12" t="n">
        <f aca="false">INT(K2340*(0.6+MOD(A2340*43,21)/100))</f>
        <v>23197</v>
      </c>
      <c r="N2340" s="12" t="n">
        <f aca="false">K2340-M2340</f>
        <v>10917</v>
      </c>
    </row>
    <row r="2341" customFormat="false" ht="12.8" hidden="false" customHeight="false" outlineLevel="0" collapsed="false">
      <c r="A2341" s="10" t="n">
        <f aca="false">A2340+1</f>
        <v>2340</v>
      </c>
      <c r="B2341" s="11" t="n">
        <f aca="false">B2340+1</f>
        <v>47266</v>
      </c>
      <c r="C2341" s="10" t="n">
        <f aca="false">YEAR(B2341)</f>
        <v>2029</v>
      </c>
      <c r="D2341" s="10" t="n">
        <f aca="false">INT((MONTH(B2341)-1)/3)+1</f>
        <v>2</v>
      </c>
      <c r="E2341" s="10" t="n">
        <f aca="false">MONTH(B2341)</f>
        <v>5</v>
      </c>
      <c r="F2341" s="10" t="str">
        <f aca="false">CHOOSE(MOD(A2341-1,5)+1,"Центр","Юг","Север","Запад","Восток")</f>
        <v>Восток</v>
      </c>
      <c r="G2341" s="10" t="str">
        <f aca="false">"Округ_"&amp;(MOD(A2341-1,5)+1)&amp;"_"&amp;(MOD(INT((A2341-1)/5),5)+1)</f>
        <v>Округ_5_3</v>
      </c>
      <c r="H2341" s="10" t="str">
        <f aca="false">"Город_"&amp;(MOD(A2341-1,5)+1)&amp;"_"&amp;(MOD(INT((A2341-1)/5),5)+1)&amp;"_"&amp;(MOD(INT((A2341-1)/25),10)+1)</f>
        <v>Город_5_3_4</v>
      </c>
      <c r="I2341" s="10" t="str">
        <f aca="false">CHOOSE(MOD(A2341-1,4)+1,"Электроника","Одежда","Продукты","Мебель")</f>
        <v>Мебель</v>
      </c>
      <c r="J2341" s="10" t="str">
        <f aca="false">CHOOSE(MOD(INT((A2341-1)/4),4)+1,CHOOSE(MOD(A2341-1,4)+1,"Смартфоны","Ноутбуки","Аксессуары","Аудио"),CHOOSE(MOD(A2341-1,4)+1,"Верхняя одежда","Спортивная","Повседневная","Обувь"),CHOOSE(MOD(A2341-1,4)+1,"Молочные","Мясные","Бакалея","Напитки"),CHOOSE(MOD(A2341-1,4)+1,"Мягкая мебель","Корпусная","Офисная","Кухонная"))</f>
        <v>Аудио</v>
      </c>
      <c r="K2341" s="12" t="n">
        <f aca="false">1000+MOD(A2341*317+A2341*A2341*7,49001)</f>
        <v>18183</v>
      </c>
      <c r="L2341" s="12" t="n">
        <f aca="false">1+MOD(A2341*131,100)</f>
        <v>41</v>
      </c>
      <c r="M2341" s="12" t="n">
        <f aca="false">INT(K2341*(0.6+MOD(A2341*43,21)/100))</f>
        <v>12546</v>
      </c>
      <c r="N2341" s="12" t="n">
        <f aca="false">K2341-M2341</f>
        <v>5637</v>
      </c>
    </row>
    <row r="2342" customFormat="false" ht="12.8" hidden="false" customHeight="false" outlineLevel="0" collapsed="false">
      <c r="A2342" s="10" t="n">
        <f aca="false">A2341+1</f>
        <v>2341</v>
      </c>
      <c r="B2342" s="11" t="n">
        <f aca="false">B2341+1</f>
        <v>47267</v>
      </c>
      <c r="C2342" s="10" t="n">
        <f aca="false">YEAR(B2342)</f>
        <v>2029</v>
      </c>
      <c r="D2342" s="10" t="n">
        <f aca="false">INT((MONTH(B2342)-1)/3)+1</f>
        <v>2</v>
      </c>
      <c r="E2342" s="10" t="n">
        <f aca="false">MONTH(B2342)</f>
        <v>5</v>
      </c>
      <c r="F2342" s="10" t="str">
        <f aca="false">CHOOSE(MOD(A2342-1,5)+1,"Центр","Юг","Север","Запад","Восток")</f>
        <v>Центр</v>
      </c>
      <c r="G2342" s="10" t="str">
        <f aca="false">"Округ_"&amp;(MOD(A2342-1,5)+1)&amp;"_"&amp;(MOD(INT((A2342-1)/5),5)+1)</f>
        <v>Округ_1_4</v>
      </c>
      <c r="H2342" s="10" t="str">
        <f aca="false">"Город_"&amp;(MOD(A2342-1,5)+1)&amp;"_"&amp;(MOD(INT((A2342-1)/5),5)+1)&amp;"_"&amp;(MOD(INT((A2342-1)/25),10)+1)</f>
        <v>Город_1_4_4</v>
      </c>
      <c r="I2342" s="10" t="str">
        <f aca="false">CHOOSE(MOD(A2342-1,4)+1,"Электроника","Одежда","Продукты","Мебель")</f>
        <v>Электроника</v>
      </c>
      <c r="J2342" s="10" t="str">
        <f aca="false">CHOOSE(MOD(INT((A2342-1)/4),4)+1,CHOOSE(MOD(A2342-1,4)+1,"Смартфоны","Ноутбуки","Аксессуары","Аудио"),CHOOSE(MOD(A2342-1,4)+1,"Верхняя одежда","Спортивная","Повседневная","Обувь"),CHOOSE(MOD(A2342-1,4)+1,"Молочные","Мясные","Бакалея","Напитки"),CHOOSE(MOD(A2342-1,4)+1,"Мягкая мебель","Корпусная","Офисная","Кухонная"))</f>
        <v>Верхняя одежда</v>
      </c>
      <c r="K2342" s="12" t="n">
        <f aca="false">1000+MOD(A2342*317+A2342*A2342*7,49001)</f>
        <v>2266</v>
      </c>
      <c r="L2342" s="12" t="n">
        <f aca="false">1+MOD(A2342*131,100)</f>
        <v>72</v>
      </c>
      <c r="M2342" s="12" t="n">
        <f aca="false">INT(K2342*(0.6+MOD(A2342*43,21)/100))</f>
        <v>1586</v>
      </c>
      <c r="N2342" s="12" t="n">
        <f aca="false">K2342-M2342</f>
        <v>680</v>
      </c>
    </row>
    <row r="2343" customFormat="false" ht="12.8" hidden="false" customHeight="false" outlineLevel="0" collapsed="false">
      <c r="A2343" s="10" t="n">
        <f aca="false">A2342+1</f>
        <v>2342</v>
      </c>
      <c r="B2343" s="11" t="n">
        <f aca="false">B2342+1</f>
        <v>47268</v>
      </c>
      <c r="C2343" s="10" t="n">
        <f aca="false">YEAR(B2343)</f>
        <v>2029</v>
      </c>
      <c r="D2343" s="10" t="n">
        <f aca="false">INT((MONTH(B2343)-1)/3)+1</f>
        <v>2</v>
      </c>
      <c r="E2343" s="10" t="n">
        <f aca="false">MONTH(B2343)</f>
        <v>5</v>
      </c>
      <c r="F2343" s="10" t="str">
        <f aca="false">CHOOSE(MOD(A2343-1,5)+1,"Центр","Юг","Север","Запад","Восток")</f>
        <v>Юг</v>
      </c>
      <c r="G2343" s="10" t="str">
        <f aca="false">"Округ_"&amp;(MOD(A2343-1,5)+1)&amp;"_"&amp;(MOD(INT((A2343-1)/5),5)+1)</f>
        <v>Округ_2_4</v>
      </c>
      <c r="H2343" s="10" t="str">
        <f aca="false">"Город_"&amp;(MOD(A2343-1,5)+1)&amp;"_"&amp;(MOD(INT((A2343-1)/5),5)+1)&amp;"_"&amp;(MOD(INT((A2343-1)/25),10)+1)</f>
        <v>Город_2_4_4</v>
      </c>
      <c r="I2343" s="10" t="str">
        <f aca="false">CHOOSE(MOD(A2343-1,4)+1,"Электроника","Одежда","Продукты","Мебель")</f>
        <v>Одежда</v>
      </c>
      <c r="J2343" s="10" t="str">
        <f aca="false">CHOOSE(MOD(INT((A2343-1)/4),4)+1,CHOOSE(MOD(A2343-1,4)+1,"Смартфоны","Ноутбуки","Аксессуары","Аудио"),CHOOSE(MOD(A2343-1,4)+1,"Верхняя одежда","Спортивная","Повседневная","Обувь"),CHOOSE(MOD(A2343-1,4)+1,"Молочные","Мясные","Бакалея","Напитки"),CHOOSE(MOD(A2343-1,4)+1,"Мягкая мебель","Корпусная","Офисная","Кухонная"))</f>
        <v>Спортивная</v>
      </c>
      <c r="K2343" s="12" t="n">
        <f aca="false">1000+MOD(A2343*317+A2343*A2343*7,49001)</f>
        <v>35364</v>
      </c>
      <c r="L2343" s="12" t="n">
        <f aca="false">1+MOD(A2343*131,100)</f>
        <v>3</v>
      </c>
      <c r="M2343" s="12" t="n">
        <f aca="false">INT(K2343*(0.6+MOD(A2343*43,21)/100))</f>
        <v>25108</v>
      </c>
      <c r="N2343" s="12" t="n">
        <f aca="false">K2343-M2343</f>
        <v>10256</v>
      </c>
    </row>
    <row r="2344" customFormat="false" ht="12.8" hidden="false" customHeight="false" outlineLevel="0" collapsed="false">
      <c r="A2344" s="10" t="n">
        <f aca="false">A2343+1</f>
        <v>2343</v>
      </c>
      <c r="B2344" s="11" t="n">
        <f aca="false">B2343+1</f>
        <v>47269</v>
      </c>
      <c r="C2344" s="10" t="n">
        <f aca="false">YEAR(B2344)</f>
        <v>2029</v>
      </c>
      <c r="D2344" s="10" t="n">
        <f aca="false">INT((MONTH(B2344)-1)/3)+1</f>
        <v>2</v>
      </c>
      <c r="E2344" s="10" t="n">
        <f aca="false">MONTH(B2344)</f>
        <v>5</v>
      </c>
      <c r="F2344" s="10" t="str">
        <f aca="false">CHOOSE(MOD(A2344-1,5)+1,"Центр","Юг","Север","Запад","Восток")</f>
        <v>Север</v>
      </c>
      <c r="G2344" s="10" t="str">
        <f aca="false">"Округ_"&amp;(MOD(A2344-1,5)+1)&amp;"_"&amp;(MOD(INT((A2344-1)/5),5)+1)</f>
        <v>Округ_3_4</v>
      </c>
      <c r="H2344" s="10" t="str">
        <f aca="false">"Город_"&amp;(MOD(A2344-1,5)+1)&amp;"_"&amp;(MOD(INT((A2344-1)/5),5)+1)&amp;"_"&amp;(MOD(INT((A2344-1)/25),10)+1)</f>
        <v>Город_3_4_4</v>
      </c>
      <c r="I2344" s="10" t="str">
        <f aca="false">CHOOSE(MOD(A2344-1,4)+1,"Электроника","Одежда","Продукты","Мебель")</f>
        <v>Продукты</v>
      </c>
      <c r="J2344" s="10" t="str">
        <f aca="false">CHOOSE(MOD(INT((A2344-1)/4),4)+1,CHOOSE(MOD(A2344-1,4)+1,"Смартфоны","Ноутбуки","Аксессуары","Аудио"),CHOOSE(MOD(A2344-1,4)+1,"Верхняя одежда","Спортивная","Повседневная","Обувь"),CHOOSE(MOD(A2344-1,4)+1,"Молочные","Мясные","Бакалея","Напитки"),CHOOSE(MOD(A2344-1,4)+1,"Мягкая мебель","Корпусная","Офисная","Кухонная"))</f>
        <v>Повседневная</v>
      </c>
      <c r="K2344" s="12" t="n">
        <f aca="false">1000+MOD(A2344*317+A2344*A2344*7,49001)</f>
        <v>19475</v>
      </c>
      <c r="L2344" s="12" t="n">
        <f aca="false">1+MOD(A2344*131,100)</f>
        <v>34</v>
      </c>
      <c r="M2344" s="12" t="n">
        <f aca="false">INT(K2344*(0.6+MOD(A2344*43,21)/100))</f>
        <v>14022</v>
      </c>
      <c r="N2344" s="12" t="n">
        <f aca="false">K2344-M2344</f>
        <v>5453</v>
      </c>
    </row>
    <row r="2345" customFormat="false" ht="12.8" hidden="false" customHeight="false" outlineLevel="0" collapsed="false">
      <c r="A2345" s="10" t="n">
        <f aca="false">A2344+1</f>
        <v>2344</v>
      </c>
      <c r="B2345" s="11" t="n">
        <f aca="false">B2344+1</f>
        <v>47270</v>
      </c>
      <c r="C2345" s="10" t="n">
        <f aca="false">YEAR(B2345)</f>
        <v>2029</v>
      </c>
      <c r="D2345" s="10" t="n">
        <f aca="false">INT((MONTH(B2345)-1)/3)+1</f>
        <v>2</v>
      </c>
      <c r="E2345" s="10" t="n">
        <f aca="false">MONTH(B2345)</f>
        <v>6</v>
      </c>
      <c r="F2345" s="10" t="str">
        <f aca="false">CHOOSE(MOD(A2345-1,5)+1,"Центр","Юг","Север","Запад","Восток")</f>
        <v>Запад</v>
      </c>
      <c r="G2345" s="10" t="str">
        <f aca="false">"Округ_"&amp;(MOD(A2345-1,5)+1)&amp;"_"&amp;(MOD(INT((A2345-1)/5),5)+1)</f>
        <v>Округ_4_4</v>
      </c>
      <c r="H2345" s="10" t="str">
        <f aca="false">"Город_"&amp;(MOD(A2345-1,5)+1)&amp;"_"&amp;(MOD(INT((A2345-1)/5),5)+1)&amp;"_"&amp;(MOD(INT((A2345-1)/25),10)+1)</f>
        <v>Город_4_4_4</v>
      </c>
      <c r="I2345" s="10" t="str">
        <f aca="false">CHOOSE(MOD(A2345-1,4)+1,"Электроника","Одежда","Продукты","Мебель")</f>
        <v>Мебель</v>
      </c>
      <c r="J2345" s="10" t="str">
        <f aca="false">CHOOSE(MOD(INT((A2345-1)/4),4)+1,CHOOSE(MOD(A2345-1,4)+1,"Смартфоны","Ноутбуки","Аксессуары","Аудио"),CHOOSE(MOD(A2345-1,4)+1,"Верхняя одежда","Спортивная","Повседневная","Обувь"),CHOOSE(MOD(A2345-1,4)+1,"Молочные","Мясные","Бакалея","Напитки"),CHOOSE(MOD(A2345-1,4)+1,"Мягкая мебель","Корпусная","Офисная","Кухонная"))</f>
        <v>Обувь</v>
      </c>
      <c r="K2345" s="12" t="n">
        <f aca="false">1000+MOD(A2345*317+A2345*A2345*7,49001)</f>
        <v>3600</v>
      </c>
      <c r="L2345" s="12" t="n">
        <f aca="false">1+MOD(A2345*131,100)</f>
        <v>65</v>
      </c>
      <c r="M2345" s="12" t="n">
        <f aca="false">INT(K2345*(0.6+MOD(A2345*43,21)/100))</f>
        <v>2628</v>
      </c>
      <c r="N2345" s="12" t="n">
        <f aca="false">K2345-M2345</f>
        <v>972</v>
      </c>
    </row>
    <row r="2346" customFormat="false" ht="12.8" hidden="false" customHeight="false" outlineLevel="0" collapsed="false">
      <c r="A2346" s="10" t="n">
        <f aca="false">A2345+1</f>
        <v>2345</v>
      </c>
      <c r="B2346" s="11" t="n">
        <f aca="false">B2345+1</f>
        <v>47271</v>
      </c>
      <c r="C2346" s="10" t="n">
        <f aca="false">YEAR(B2346)</f>
        <v>2029</v>
      </c>
      <c r="D2346" s="10" t="n">
        <f aca="false">INT((MONTH(B2346)-1)/3)+1</f>
        <v>2</v>
      </c>
      <c r="E2346" s="10" t="n">
        <f aca="false">MONTH(B2346)</f>
        <v>6</v>
      </c>
      <c r="F2346" s="10" t="str">
        <f aca="false">CHOOSE(MOD(A2346-1,5)+1,"Центр","Юг","Север","Запад","Восток")</f>
        <v>Восток</v>
      </c>
      <c r="G2346" s="10" t="str">
        <f aca="false">"Округ_"&amp;(MOD(A2346-1,5)+1)&amp;"_"&amp;(MOD(INT((A2346-1)/5),5)+1)</f>
        <v>Округ_5_4</v>
      </c>
      <c r="H2346" s="10" t="str">
        <f aca="false">"Город_"&amp;(MOD(A2346-1,5)+1)&amp;"_"&amp;(MOD(INT((A2346-1)/5),5)+1)&amp;"_"&amp;(MOD(INT((A2346-1)/25),10)+1)</f>
        <v>Город_5_4_4</v>
      </c>
      <c r="I2346" s="10" t="str">
        <f aca="false">CHOOSE(MOD(A2346-1,4)+1,"Электроника","Одежда","Продукты","Мебель")</f>
        <v>Электроника</v>
      </c>
      <c r="J2346" s="10" t="str">
        <f aca="false">CHOOSE(MOD(INT((A2346-1)/4),4)+1,CHOOSE(MOD(A2346-1,4)+1,"Смартфоны","Ноутбуки","Аксессуары","Аудио"),CHOOSE(MOD(A2346-1,4)+1,"Верхняя одежда","Спортивная","Повседневная","Обувь"),CHOOSE(MOD(A2346-1,4)+1,"Молочные","Мясные","Бакалея","Напитки"),CHOOSE(MOD(A2346-1,4)+1,"Мягкая мебель","Корпусная","Офисная","Кухонная"))</f>
        <v>Молочные</v>
      </c>
      <c r="K2346" s="12" t="n">
        <f aca="false">1000+MOD(A2346*317+A2346*A2346*7,49001)</f>
        <v>36740</v>
      </c>
      <c r="L2346" s="12" t="n">
        <f aca="false">1+MOD(A2346*131,100)</f>
        <v>96</v>
      </c>
      <c r="M2346" s="12" t="n">
        <f aca="false">INT(K2346*(0.6+MOD(A2346*43,21)/100))</f>
        <v>27187</v>
      </c>
      <c r="N2346" s="12" t="n">
        <f aca="false">K2346-M2346</f>
        <v>9553</v>
      </c>
    </row>
    <row r="2347" customFormat="false" ht="12.8" hidden="false" customHeight="false" outlineLevel="0" collapsed="false">
      <c r="A2347" s="10" t="n">
        <f aca="false">A2346+1</f>
        <v>2346</v>
      </c>
      <c r="B2347" s="11" t="n">
        <f aca="false">B2346+1</f>
        <v>47272</v>
      </c>
      <c r="C2347" s="10" t="n">
        <f aca="false">YEAR(B2347)</f>
        <v>2029</v>
      </c>
      <c r="D2347" s="10" t="n">
        <f aca="false">INT((MONTH(B2347)-1)/3)+1</f>
        <v>2</v>
      </c>
      <c r="E2347" s="10" t="n">
        <f aca="false">MONTH(B2347)</f>
        <v>6</v>
      </c>
      <c r="F2347" s="10" t="str">
        <f aca="false">CHOOSE(MOD(A2347-1,5)+1,"Центр","Юг","Север","Запад","Восток")</f>
        <v>Центр</v>
      </c>
      <c r="G2347" s="10" t="str">
        <f aca="false">"Округ_"&amp;(MOD(A2347-1,5)+1)&amp;"_"&amp;(MOD(INT((A2347-1)/5),5)+1)</f>
        <v>Округ_1_5</v>
      </c>
      <c r="H2347" s="10" t="str">
        <f aca="false">"Город_"&amp;(MOD(A2347-1,5)+1)&amp;"_"&amp;(MOD(INT((A2347-1)/5),5)+1)&amp;"_"&amp;(MOD(INT((A2347-1)/25),10)+1)</f>
        <v>Город_1_5_4</v>
      </c>
      <c r="I2347" s="10" t="str">
        <f aca="false">CHOOSE(MOD(A2347-1,4)+1,"Электроника","Одежда","Продукты","Мебель")</f>
        <v>Одежда</v>
      </c>
      <c r="J2347" s="10" t="str">
        <f aca="false">CHOOSE(MOD(INT((A2347-1)/4),4)+1,CHOOSE(MOD(A2347-1,4)+1,"Смартфоны","Ноутбуки","Аксессуары","Аудио"),CHOOSE(MOD(A2347-1,4)+1,"Верхняя одежда","Спортивная","Повседневная","Обувь"),CHOOSE(MOD(A2347-1,4)+1,"Молочные","Мясные","Бакалея","Напитки"),CHOOSE(MOD(A2347-1,4)+1,"Мягкая мебель","Корпусная","Офисная","Кухонная"))</f>
        <v>Мясные</v>
      </c>
      <c r="K2347" s="12" t="n">
        <f aca="false">1000+MOD(A2347*317+A2347*A2347*7,49001)</f>
        <v>20893</v>
      </c>
      <c r="L2347" s="12" t="n">
        <f aca="false">1+MOD(A2347*131,100)</f>
        <v>27</v>
      </c>
      <c r="M2347" s="12" t="n">
        <f aca="false">INT(K2347*(0.6+MOD(A2347*43,21)/100))</f>
        <v>15669</v>
      </c>
      <c r="N2347" s="12" t="n">
        <f aca="false">K2347-M2347</f>
        <v>5224</v>
      </c>
    </row>
    <row r="2348" customFormat="false" ht="12.8" hidden="false" customHeight="false" outlineLevel="0" collapsed="false">
      <c r="A2348" s="10" t="n">
        <f aca="false">A2347+1</f>
        <v>2347</v>
      </c>
      <c r="B2348" s="11" t="n">
        <f aca="false">B2347+1</f>
        <v>47273</v>
      </c>
      <c r="C2348" s="10" t="n">
        <f aca="false">YEAR(B2348)</f>
        <v>2029</v>
      </c>
      <c r="D2348" s="10" t="n">
        <f aca="false">INT((MONTH(B2348)-1)/3)+1</f>
        <v>2</v>
      </c>
      <c r="E2348" s="10" t="n">
        <f aca="false">MONTH(B2348)</f>
        <v>6</v>
      </c>
      <c r="F2348" s="10" t="str">
        <f aca="false">CHOOSE(MOD(A2348-1,5)+1,"Центр","Юг","Север","Запад","Восток")</f>
        <v>Юг</v>
      </c>
      <c r="G2348" s="10" t="str">
        <f aca="false">"Округ_"&amp;(MOD(A2348-1,5)+1)&amp;"_"&amp;(MOD(INT((A2348-1)/5),5)+1)</f>
        <v>Округ_2_5</v>
      </c>
      <c r="H2348" s="10" t="str">
        <f aca="false">"Город_"&amp;(MOD(A2348-1,5)+1)&amp;"_"&amp;(MOD(INT((A2348-1)/5),5)+1)&amp;"_"&amp;(MOD(INT((A2348-1)/25),10)+1)</f>
        <v>Город_2_5_4</v>
      </c>
      <c r="I2348" s="10" t="str">
        <f aca="false">CHOOSE(MOD(A2348-1,4)+1,"Электроника","Одежда","Продукты","Мебель")</f>
        <v>Продукты</v>
      </c>
      <c r="J2348" s="10" t="str">
        <f aca="false">CHOOSE(MOD(INT((A2348-1)/4),4)+1,CHOOSE(MOD(A2348-1,4)+1,"Смартфоны","Ноутбуки","Аксессуары","Аудио"),CHOOSE(MOD(A2348-1,4)+1,"Верхняя одежда","Спортивная","Повседневная","Обувь"),CHOOSE(MOD(A2348-1,4)+1,"Молочные","Мясные","Бакалея","Напитки"),CHOOSE(MOD(A2348-1,4)+1,"Мягкая мебель","Корпусная","Офисная","Кухонная"))</f>
        <v>Бакалея</v>
      </c>
      <c r="K2348" s="12" t="n">
        <f aca="false">1000+MOD(A2348*317+A2348*A2348*7,49001)</f>
        <v>5060</v>
      </c>
      <c r="L2348" s="12" t="n">
        <f aca="false">1+MOD(A2348*131,100)</f>
        <v>58</v>
      </c>
      <c r="M2348" s="12" t="n">
        <f aca="false">INT(K2348*(0.6+MOD(A2348*43,21)/100))</f>
        <v>3845</v>
      </c>
      <c r="N2348" s="12" t="n">
        <f aca="false">K2348-M2348</f>
        <v>1215</v>
      </c>
    </row>
    <row r="2349" customFormat="false" ht="12.8" hidden="false" customHeight="false" outlineLevel="0" collapsed="false">
      <c r="A2349" s="10" t="n">
        <f aca="false">A2348+1</f>
        <v>2348</v>
      </c>
      <c r="B2349" s="11" t="n">
        <f aca="false">B2348+1</f>
        <v>47274</v>
      </c>
      <c r="C2349" s="10" t="n">
        <f aca="false">YEAR(B2349)</f>
        <v>2029</v>
      </c>
      <c r="D2349" s="10" t="n">
        <f aca="false">INT((MONTH(B2349)-1)/3)+1</f>
        <v>2</v>
      </c>
      <c r="E2349" s="10" t="n">
        <f aca="false">MONTH(B2349)</f>
        <v>6</v>
      </c>
      <c r="F2349" s="10" t="str">
        <f aca="false">CHOOSE(MOD(A2349-1,5)+1,"Центр","Юг","Север","Запад","Восток")</f>
        <v>Север</v>
      </c>
      <c r="G2349" s="10" t="str">
        <f aca="false">"Округ_"&amp;(MOD(A2349-1,5)+1)&amp;"_"&amp;(MOD(INT((A2349-1)/5),5)+1)</f>
        <v>Округ_3_5</v>
      </c>
      <c r="H2349" s="10" t="str">
        <f aca="false">"Город_"&amp;(MOD(A2349-1,5)+1)&amp;"_"&amp;(MOD(INT((A2349-1)/5),5)+1)&amp;"_"&amp;(MOD(INT((A2349-1)/25),10)+1)</f>
        <v>Город_3_5_4</v>
      </c>
      <c r="I2349" s="10" t="str">
        <f aca="false">CHOOSE(MOD(A2349-1,4)+1,"Электроника","Одежда","Продукты","Мебель")</f>
        <v>Мебель</v>
      </c>
      <c r="J2349" s="10" t="str">
        <f aca="false">CHOOSE(MOD(INT((A2349-1)/4),4)+1,CHOOSE(MOD(A2349-1,4)+1,"Смартфоны","Ноутбуки","Аксессуары","Аудио"),CHOOSE(MOD(A2349-1,4)+1,"Верхняя одежда","Спортивная","Повседневная","Обувь"),CHOOSE(MOD(A2349-1,4)+1,"Молочные","Мясные","Бакалея","Напитки"),CHOOSE(MOD(A2349-1,4)+1,"Мягкая мебель","Корпусная","Офисная","Кухонная"))</f>
        <v>Напитки</v>
      </c>
      <c r="K2349" s="12" t="n">
        <f aca="false">1000+MOD(A2349*317+A2349*A2349*7,49001)</f>
        <v>38242</v>
      </c>
      <c r="L2349" s="12" t="n">
        <f aca="false">1+MOD(A2349*131,100)</f>
        <v>89</v>
      </c>
      <c r="M2349" s="12" t="n">
        <f aca="false">INT(K2349*(0.6+MOD(A2349*43,21)/100))</f>
        <v>29446</v>
      </c>
      <c r="N2349" s="12" t="n">
        <f aca="false">K2349-M2349</f>
        <v>8796</v>
      </c>
    </row>
    <row r="2350" customFormat="false" ht="12.8" hidden="false" customHeight="false" outlineLevel="0" collapsed="false">
      <c r="A2350" s="10" t="n">
        <f aca="false">A2349+1</f>
        <v>2349</v>
      </c>
      <c r="B2350" s="11" t="n">
        <f aca="false">B2349+1</f>
        <v>47275</v>
      </c>
      <c r="C2350" s="10" t="n">
        <f aca="false">YEAR(B2350)</f>
        <v>2029</v>
      </c>
      <c r="D2350" s="10" t="n">
        <f aca="false">INT((MONTH(B2350)-1)/3)+1</f>
        <v>2</v>
      </c>
      <c r="E2350" s="10" t="n">
        <f aca="false">MONTH(B2350)</f>
        <v>6</v>
      </c>
      <c r="F2350" s="10" t="str">
        <f aca="false">CHOOSE(MOD(A2350-1,5)+1,"Центр","Юг","Север","Запад","Восток")</f>
        <v>Запад</v>
      </c>
      <c r="G2350" s="10" t="str">
        <f aca="false">"Округ_"&amp;(MOD(A2350-1,5)+1)&amp;"_"&amp;(MOD(INT((A2350-1)/5),5)+1)</f>
        <v>Округ_4_5</v>
      </c>
      <c r="H2350" s="10" t="str">
        <f aca="false">"Город_"&amp;(MOD(A2350-1,5)+1)&amp;"_"&amp;(MOD(INT((A2350-1)/5),5)+1)&amp;"_"&amp;(MOD(INT((A2350-1)/25),10)+1)</f>
        <v>Город_4_5_4</v>
      </c>
      <c r="I2350" s="10" t="str">
        <f aca="false">CHOOSE(MOD(A2350-1,4)+1,"Электроника","Одежда","Продукты","Мебель")</f>
        <v>Электроника</v>
      </c>
      <c r="J2350" s="10" t="str">
        <f aca="false">CHOOSE(MOD(INT((A2350-1)/4),4)+1,CHOOSE(MOD(A2350-1,4)+1,"Смартфоны","Ноутбуки","Аксессуары","Аудио"),CHOOSE(MOD(A2350-1,4)+1,"Верхняя одежда","Спортивная","Повседневная","Обувь"),CHOOSE(MOD(A2350-1,4)+1,"Молочные","Мясные","Бакалея","Напитки"),CHOOSE(MOD(A2350-1,4)+1,"Мягкая мебель","Корпусная","Офисная","Кухонная"))</f>
        <v>Мягкая мебель</v>
      </c>
      <c r="K2350" s="12" t="n">
        <f aca="false">1000+MOD(A2350*317+A2350*A2350*7,49001)</f>
        <v>22437</v>
      </c>
      <c r="L2350" s="12" t="n">
        <f aca="false">1+MOD(A2350*131,100)</f>
        <v>20</v>
      </c>
      <c r="M2350" s="12" t="n">
        <f aca="false">INT(K2350*(0.6+MOD(A2350*43,21)/100))</f>
        <v>17500</v>
      </c>
      <c r="N2350" s="12" t="n">
        <f aca="false">K2350-M2350</f>
        <v>4937</v>
      </c>
    </row>
    <row r="2351" customFormat="false" ht="12.8" hidden="false" customHeight="false" outlineLevel="0" collapsed="false">
      <c r="A2351" s="10" t="n">
        <f aca="false">A2350+1</f>
        <v>2350</v>
      </c>
      <c r="B2351" s="11" t="n">
        <f aca="false">B2350+1</f>
        <v>47276</v>
      </c>
      <c r="C2351" s="10" t="n">
        <f aca="false">YEAR(B2351)</f>
        <v>2029</v>
      </c>
      <c r="D2351" s="10" t="n">
        <f aca="false">INT((MONTH(B2351)-1)/3)+1</f>
        <v>2</v>
      </c>
      <c r="E2351" s="10" t="n">
        <f aca="false">MONTH(B2351)</f>
        <v>6</v>
      </c>
      <c r="F2351" s="10" t="str">
        <f aca="false">CHOOSE(MOD(A2351-1,5)+1,"Центр","Юг","Север","Запад","Восток")</f>
        <v>Восток</v>
      </c>
      <c r="G2351" s="10" t="str">
        <f aca="false">"Округ_"&amp;(MOD(A2351-1,5)+1)&amp;"_"&amp;(MOD(INT((A2351-1)/5),5)+1)</f>
        <v>Округ_5_5</v>
      </c>
      <c r="H2351" s="10" t="str">
        <f aca="false">"Город_"&amp;(MOD(A2351-1,5)+1)&amp;"_"&amp;(MOD(INT((A2351-1)/5),5)+1)&amp;"_"&amp;(MOD(INT((A2351-1)/25),10)+1)</f>
        <v>Город_5_5_4</v>
      </c>
      <c r="I2351" s="10" t="str">
        <f aca="false">CHOOSE(MOD(A2351-1,4)+1,"Электроника","Одежда","Продукты","Мебель")</f>
        <v>Одежда</v>
      </c>
      <c r="J2351" s="10" t="str">
        <f aca="false">CHOOSE(MOD(INT((A2351-1)/4),4)+1,CHOOSE(MOD(A2351-1,4)+1,"Смартфоны","Ноутбуки","Аксессуары","Аудио"),CHOOSE(MOD(A2351-1,4)+1,"Верхняя одежда","Спортивная","Повседневная","Обувь"),CHOOSE(MOD(A2351-1,4)+1,"Молочные","Мясные","Бакалея","Напитки"),CHOOSE(MOD(A2351-1,4)+1,"Мягкая мебель","Корпусная","Офисная","Кухонная"))</f>
        <v>Корпусная</v>
      </c>
      <c r="K2351" s="12" t="n">
        <f aca="false">1000+MOD(A2351*317+A2351*A2351*7,49001)</f>
        <v>6646</v>
      </c>
      <c r="L2351" s="12" t="n">
        <f aca="false">1+MOD(A2351*131,100)</f>
        <v>51</v>
      </c>
      <c r="M2351" s="12" t="n">
        <f aca="false">INT(K2351*(0.6+MOD(A2351*43,21)/100))</f>
        <v>5250</v>
      </c>
      <c r="N2351" s="12" t="n">
        <f aca="false">K2351-M2351</f>
        <v>1396</v>
      </c>
    </row>
    <row r="2352" customFormat="false" ht="12.8" hidden="false" customHeight="false" outlineLevel="0" collapsed="false">
      <c r="A2352" s="10" t="n">
        <f aca="false">A2351+1</f>
        <v>2351</v>
      </c>
      <c r="B2352" s="11" t="n">
        <f aca="false">B2351+1</f>
        <v>47277</v>
      </c>
      <c r="C2352" s="10" t="n">
        <f aca="false">YEAR(B2352)</f>
        <v>2029</v>
      </c>
      <c r="D2352" s="10" t="n">
        <f aca="false">INT((MONTH(B2352)-1)/3)+1</f>
        <v>2</v>
      </c>
      <c r="E2352" s="10" t="n">
        <f aca="false">MONTH(B2352)</f>
        <v>6</v>
      </c>
      <c r="F2352" s="10" t="str">
        <f aca="false">CHOOSE(MOD(A2352-1,5)+1,"Центр","Юг","Север","Запад","Восток")</f>
        <v>Центр</v>
      </c>
      <c r="G2352" s="10" t="str">
        <f aca="false">"Округ_"&amp;(MOD(A2352-1,5)+1)&amp;"_"&amp;(MOD(INT((A2352-1)/5),5)+1)</f>
        <v>Округ_1_1</v>
      </c>
      <c r="H2352" s="10" t="str">
        <f aca="false">"Город_"&amp;(MOD(A2352-1,5)+1)&amp;"_"&amp;(MOD(INT((A2352-1)/5),5)+1)&amp;"_"&amp;(MOD(INT((A2352-1)/25),10)+1)</f>
        <v>Город_1_1_5</v>
      </c>
      <c r="I2352" s="10" t="str">
        <f aca="false">CHOOSE(MOD(A2352-1,4)+1,"Электроника","Одежда","Продукты","Мебель")</f>
        <v>Продукты</v>
      </c>
      <c r="J2352" s="10" t="str">
        <f aca="false">CHOOSE(MOD(INT((A2352-1)/4),4)+1,CHOOSE(MOD(A2352-1,4)+1,"Смартфоны","Ноутбуки","Аксессуары","Аудио"),CHOOSE(MOD(A2352-1,4)+1,"Верхняя одежда","Спортивная","Повседневная","Обувь"),CHOOSE(MOD(A2352-1,4)+1,"Молочные","Мясные","Бакалея","Напитки"),CHOOSE(MOD(A2352-1,4)+1,"Мягкая мебель","Корпусная","Офисная","Кухонная"))</f>
        <v>Офисная</v>
      </c>
      <c r="K2352" s="12" t="n">
        <f aca="false">1000+MOD(A2352*317+A2352*A2352*7,49001)</f>
        <v>39870</v>
      </c>
      <c r="L2352" s="12" t="n">
        <f aca="false">1+MOD(A2352*131,100)</f>
        <v>82</v>
      </c>
      <c r="M2352" s="12" t="n">
        <f aca="false">INT(K2352*(0.6+MOD(A2352*43,21)/100))</f>
        <v>31896</v>
      </c>
      <c r="N2352" s="12" t="n">
        <f aca="false">K2352-M2352</f>
        <v>7974</v>
      </c>
    </row>
    <row r="2353" customFormat="false" ht="12.8" hidden="false" customHeight="false" outlineLevel="0" collapsed="false">
      <c r="A2353" s="10" t="n">
        <f aca="false">A2352+1</f>
        <v>2352</v>
      </c>
      <c r="B2353" s="11" t="n">
        <f aca="false">B2352+1</f>
        <v>47278</v>
      </c>
      <c r="C2353" s="10" t="n">
        <f aca="false">YEAR(B2353)</f>
        <v>2029</v>
      </c>
      <c r="D2353" s="10" t="n">
        <f aca="false">INT((MONTH(B2353)-1)/3)+1</f>
        <v>2</v>
      </c>
      <c r="E2353" s="10" t="n">
        <f aca="false">MONTH(B2353)</f>
        <v>6</v>
      </c>
      <c r="F2353" s="10" t="str">
        <f aca="false">CHOOSE(MOD(A2353-1,5)+1,"Центр","Юг","Север","Запад","Восток")</f>
        <v>Юг</v>
      </c>
      <c r="G2353" s="10" t="str">
        <f aca="false">"Округ_"&amp;(MOD(A2353-1,5)+1)&amp;"_"&amp;(MOD(INT((A2353-1)/5),5)+1)</f>
        <v>Округ_2_1</v>
      </c>
      <c r="H2353" s="10" t="str">
        <f aca="false">"Город_"&amp;(MOD(A2353-1,5)+1)&amp;"_"&amp;(MOD(INT((A2353-1)/5),5)+1)&amp;"_"&amp;(MOD(INT((A2353-1)/25),10)+1)</f>
        <v>Город_2_1_5</v>
      </c>
      <c r="I2353" s="10" t="str">
        <f aca="false">CHOOSE(MOD(A2353-1,4)+1,"Электроника","Одежда","Продукты","Мебель")</f>
        <v>Мебель</v>
      </c>
      <c r="J2353" s="10" t="str">
        <f aca="false">CHOOSE(MOD(INT((A2353-1)/4),4)+1,CHOOSE(MOD(A2353-1,4)+1,"Смартфоны","Ноутбуки","Аксессуары","Аудио"),CHOOSE(MOD(A2353-1,4)+1,"Верхняя одежда","Спортивная","Повседневная","Обувь"),CHOOSE(MOD(A2353-1,4)+1,"Молочные","Мясные","Бакалея","Напитки"),CHOOSE(MOD(A2353-1,4)+1,"Мягкая мебель","Корпусная","Офисная","Кухонная"))</f>
        <v>Кухонная</v>
      </c>
      <c r="K2353" s="12" t="n">
        <f aca="false">1000+MOD(A2353*317+A2353*A2353*7,49001)</f>
        <v>24107</v>
      </c>
      <c r="L2353" s="12" t="n">
        <f aca="false">1+MOD(A2353*131,100)</f>
        <v>13</v>
      </c>
      <c r="M2353" s="12" t="n">
        <f aca="false">INT(K2353*(0.6+MOD(A2353*43,21)/100))</f>
        <v>14464</v>
      </c>
      <c r="N2353" s="12" t="n">
        <f aca="false">K2353-M2353</f>
        <v>9643</v>
      </c>
    </row>
    <row r="2354" customFormat="false" ht="12.8" hidden="false" customHeight="false" outlineLevel="0" collapsed="false">
      <c r="A2354" s="10" t="n">
        <f aca="false">A2353+1</f>
        <v>2353</v>
      </c>
      <c r="B2354" s="11" t="n">
        <f aca="false">B2353+1</f>
        <v>47279</v>
      </c>
      <c r="C2354" s="10" t="n">
        <f aca="false">YEAR(B2354)</f>
        <v>2029</v>
      </c>
      <c r="D2354" s="10" t="n">
        <f aca="false">INT((MONTH(B2354)-1)/3)+1</f>
        <v>2</v>
      </c>
      <c r="E2354" s="10" t="n">
        <f aca="false">MONTH(B2354)</f>
        <v>6</v>
      </c>
      <c r="F2354" s="10" t="str">
        <f aca="false">CHOOSE(MOD(A2354-1,5)+1,"Центр","Юг","Север","Запад","Восток")</f>
        <v>Север</v>
      </c>
      <c r="G2354" s="10" t="str">
        <f aca="false">"Округ_"&amp;(MOD(A2354-1,5)+1)&amp;"_"&amp;(MOD(INT((A2354-1)/5),5)+1)</f>
        <v>Округ_3_1</v>
      </c>
      <c r="H2354" s="10" t="str">
        <f aca="false">"Город_"&amp;(MOD(A2354-1,5)+1)&amp;"_"&amp;(MOD(INT((A2354-1)/5),5)+1)&amp;"_"&amp;(MOD(INT((A2354-1)/25),10)+1)</f>
        <v>Город_3_1_5</v>
      </c>
      <c r="I2354" s="10" t="str">
        <f aca="false">CHOOSE(MOD(A2354-1,4)+1,"Электроника","Одежда","Продукты","Мебель")</f>
        <v>Электроника</v>
      </c>
      <c r="J2354" s="10" t="str">
        <f aca="false">CHOOSE(MOD(INT((A2354-1)/4),4)+1,CHOOSE(MOD(A2354-1,4)+1,"Смартфоны","Ноутбуки","Аксессуары","Аудио"),CHOOSE(MOD(A2354-1,4)+1,"Верхняя одежда","Спортивная","Повседневная","Обувь"),CHOOSE(MOD(A2354-1,4)+1,"Молочные","Мясные","Бакалея","Напитки"),CHOOSE(MOD(A2354-1,4)+1,"Мягкая мебель","Корпусная","Офисная","Кухонная"))</f>
        <v>Смартфоны</v>
      </c>
      <c r="K2354" s="12" t="n">
        <f aca="false">1000+MOD(A2354*317+A2354*A2354*7,49001)</f>
        <v>8358</v>
      </c>
      <c r="L2354" s="12" t="n">
        <f aca="false">1+MOD(A2354*131,100)</f>
        <v>44</v>
      </c>
      <c r="M2354" s="12" t="n">
        <f aca="false">INT(K2354*(0.6+MOD(A2354*43,21)/100))</f>
        <v>5098</v>
      </c>
      <c r="N2354" s="12" t="n">
        <f aca="false">K2354-M2354</f>
        <v>3260</v>
      </c>
    </row>
    <row r="2355" customFormat="false" ht="12.8" hidden="false" customHeight="false" outlineLevel="0" collapsed="false">
      <c r="A2355" s="10" t="n">
        <f aca="false">A2354+1</f>
        <v>2354</v>
      </c>
      <c r="B2355" s="11" t="n">
        <f aca="false">B2354+1</f>
        <v>47280</v>
      </c>
      <c r="C2355" s="10" t="n">
        <f aca="false">YEAR(B2355)</f>
        <v>2029</v>
      </c>
      <c r="D2355" s="10" t="n">
        <f aca="false">INT((MONTH(B2355)-1)/3)+1</f>
        <v>2</v>
      </c>
      <c r="E2355" s="10" t="n">
        <f aca="false">MONTH(B2355)</f>
        <v>6</v>
      </c>
      <c r="F2355" s="10" t="str">
        <f aca="false">CHOOSE(MOD(A2355-1,5)+1,"Центр","Юг","Север","Запад","Восток")</f>
        <v>Запад</v>
      </c>
      <c r="G2355" s="10" t="str">
        <f aca="false">"Округ_"&amp;(MOD(A2355-1,5)+1)&amp;"_"&amp;(MOD(INT((A2355-1)/5),5)+1)</f>
        <v>Округ_4_1</v>
      </c>
      <c r="H2355" s="10" t="str">
        <f aca="false">"Город_"&amp;(MOD(A2355-1,5)+1)&amp;"_"&amp;(MOD(INT((A2355-1)/5),5)+1)&amp;"_"&amp;(MOD(INT((A2355-1)/25),10)+1)</f>
        <v>Город_4_1_5</v>
      </c>
      <c r="I2355" s="10" t="str">
        <f aca="false">CHOOSE(MOD(A2355-1,4)+1,"Электроника","Одежда","Продукты","Мебель")</f>
        <v>Одежда</v>
      </c>
      <c r="J2355" s="10" t="str">
        <f aca="false">CHOOSE(MOD(INT((A2355-1)/4),4)+1,CHOOSE(MOD(A2355-1,4)+1,"Смартфоны","Ноутбуки","Аксессуары","Аудио"),CHOOSE(MOD(A2355-1,4)+1,"Верхняя одежда","Спортивная","Повседневная","Обувь"),CHOOSE(MOD(A2355-1,4)+1,"Молочные","Мясные","Бакалея","Напитки"),CHOOSE(MOD(A2355-1,4)+1,"Мягкая мебель","Корпусная","Офисная","Кухонная"))</f>
        <v>Ноутбуки</v>
      </c>
      <c r="K2355" s="12" t="n">
        <f aca="false">1000+MOD(A2355*317+A2355*A2355*7,49001)</f>
        <v>41624</v>
      </c>
      <c r="L2355" s="12" t="n">
        <f aca="false">1+MOD(A2355*131,100)</f>
        <v>75</v>
      </c>
      <c r="M2355" s="12" t="n">
        <f aca="false">INT(K2355*(0.6+MOD(A2355*43,21)/100))</f>
        <v>25806</v>
      </c>
      <c r="N2355" s="12" t="n">
        <f aca="false">K2355-M2355</f>
        <v>15818</v>
      </c>
    </row>
    <row r="2356" customFormat="false" ht="12.8" hidden="false" customHeight="false" outlineLevel="0" collapsed="false">
      <c r="A2356" s="10" t="n">
        <f aca="false">A2355+1</f>
        <v>2355</v>
      </c>
      <c r="B2356" s="11" t="n">
        <f aca="false">B2355+1</f>
        <v>47281</v>
      </c>
      <c r="C2356" s="10" t="n">
        <f aca="false">YEAR(B2356)</f>
        <v>2029</v>
      </c>
      <c r="D2356" s="10" t="n">
        <f aca="false">INT((MONTH(B2356)-1)/3)+1</f>
        <v>2</v>
      </c>
      <c r="E2356" s="10" t="n">
        <f aca="false">MONTH(B2356)</f>
        <v>6</v>
      </c>
      <c r="F2356" s="10" t="str">
        <f aca="false">CHOOSE(MOD(A2356-1,5)+1,"Центр","Юг","Север","Запад","Восток")</f>
        <v>Восток</v>
      </c>
      <c r="G2356" s="10" t="str">
        <f aca="false">"Округ_"&amp;(MOD(A2356-1,5)+1)&amp;"_"&amp;(MOD(INT((A2356-1)/5),5)+1)</f>
        <v>Округ_5_1</v>
      </c>
      <c r="H2356" s="10" t="str">
        <f aca="false">"Город_"&amp;(MOD(A2356-1,5)+1)&amp;"_"&amp;(MOD(INT((A2356-1)/5),5)+1)&amp;"_"&amp;(MOD(INT((A2356-1)/25),10)+1)</f>
        <v>Город_5_1_5</v>
      </c>
      <c r="I2356" s="10" t="str">
        <f aca="false">CHOOSE(MOD(A2356-1,4)+1,"Электроника","Одежда","Продукты","Мебель")</f>
        <v>Продукты</v>
      </c>
      <c r="J2356" s="10" t="str">
        <f aca="false">CHOOSE(MOD(INT((A2356-1)/4),4)+1,CHOOSE(MOD(A2356-1,4)+1,"Смартфоны","Ноутбуки","Аксессуары","Аудио"),CHOOSE(MOD(A2356-1,4)+1,"Верхняя одежда","Спортивная","Повседневная","Обувь"),CHOOSE(MOD(A2356-1,4)+1,"Молочные","Мясные","Бакалея","Напитки"),CHOOSE(MOD(A2356-1,4)+1,"Мягкая мебель","Корпусная","Офисная","Кухонная"))</f>
        <v>Аксессуары</v>
      </c>
      <c r="K2356" s="12" t="n">
        <f aca="false">1000+MOD(A2356*317+A2356*A2356*7,49001)</f>
        <v>25903</v>
      </c>
      <c r="L2356" s="12" t="n">
        <f aca="false">1+MOD(A2356*131,100)</f>
        <v>6</v>
      </c>
      <c r="M2356" s="12" t="n">
        <f aca="false">INT(K2356*(0.6+MOD(A2356*43,21)/100))</f>
        <v>16318</v>
      </c>
      <c r="N2356" s="12" t="n">
        <f aca="false">K2356-M2356</f>
        <v>9585</v>
      </c>
    </row>
    <row r="2357" customFormat="false" ht="12.8" hidden="false" customHeight="false" outlineLevel="0" collapsed="false">
      <c r="A2357" s="10" t="n">
        <f aca="false">A2356+1</f>
        <v>2356</v>
      </c>
      <c r="B2357" s="11" t="n">
        <f aca="false">B2356+1</f>
        <v>47282</v>
      </c>
      <c r="C2357" s="10" t="n">
        <f aca="false">YEAR(B2357)</f>
        <v>2029</v>
      </c>
      <c r="D2357" s="10" t="n">
        <f aca="false">INT((MONTH(B2357)-1)/3)+1</f>
        <v>2</v>
      </c>
      <c r="E2357" s="10" t="n">
        <f aca="false">MONTH(B2357)</f>
        <v>6</v>
      </c>
      <c r="F2357" s="10" t="str">
        <f aca="false">CHOOSE(MOD(A2357-1,5)+1,"Центр","Юг","Север","Запад","Восток")</f>
        <v>Центр</v>
      </c>
      <c r="G2357" s="10" t="str">
        <f aca="false">"Округ_"&amp;(MOD(A2357-1,5)+1)&amp;"_"&amp;(MOD(INT((A2357-1)/5),5)+1)</f>
        <v>Округ_1_2</v>
      </c>
      <c r="H2357" s="10" t="str">
        <f aca="false">"Город_"&amp;(MOD(A2357-1,5)+1)&amp;"_"&amp;(MOD(INT((A2357-1)/5),5)+1)&amp;"_"&amp;(MOD(INT((A2357-1)/25),10)+1)</f>
        <v>Город_1_2_5</v>
      </c>
      <c r="I2357" s="10" t="str">
        <f aca="false">CHOOSE(MOD(A2357-1,4)+1,"Электроника","Одежда","Продукты","Мебель")</f>
        <v>Мебель</v>
      </c>
      <c r="J2357" s="10" t="str">
        <f aca="false">CHOOSE(MOD(INT((A2357-1)/4),4)+1,CHOOSE(MOD(A2357-1,4)+1,"Смартфоны","Ноутбуки","Аксессуары","Аудио"),CHOOSE(MOD(A2357-1,4)+1,"Верхняя одежда","Спортивная","Повседневная","Обувь"),CHOOSE(MOD(A2357-1,4)+1,"Молочные","Мясные","Бакалея","Напитки"),CHOOSE(MOD(A2357-1,4)+1,"Мягкая мебель","Корпусная","Офисная","Кухонная"))</f>
        <v>Аудио</v>
      </c>
      <c r="K2357" s="12" t="n">
        <f aca="false">1000+MOD(A2357*317+A2357*A2357*7,49001)</f>
        <v>10196</v>
      </c>
      <c r="L2357" s="12" t="n">
        <f aca="false">1+MOD(A2357*131,100)</f>
        <v>37</v>
      </c>
      <c r="M2357" s="12" t="n">
        <f aca="false">INT(K2357*(0.6+MOD(A2357*43,21)/100))</f>
        <v>6525</v>
      </c>
      <c r="N2357" s="12" t="n">
        <f aca="false">K2357-M2357</f>
        <v>3671</v>
      </c>
    </row>
    <row r="2358" customFormat="false" ht="12.8" hidden="false" customHeight="false" outlineLevel="0" collapsed="false">
      <c r="A2358" s="10" t="n">
        <f aca="false">A2357+1</f>
        <v>2357</v>
      </c>
      <c r="B2358" s="11" t="n">
        <f aca="false">B2357+1</f>
        <v>47283</v>
      </c>
      <c r="C2358" s="10" t="n">
        <f aca="false">YEAR(B2358)</f>
        <v>2029</v>
      </c>
      <c r="D2358" s="10" t="n">
        <f aca="false">INT((MONTH(B2358)-1)/3)+1</f>
        <v>2</v>
      </c>
      <c r="E2358" s="10" t="n">
        <f aca="false">MONTH(B2358)</f>
        <v>6</v>
      </c>
      <c r="F2358" s="10" t="str">
        <f aca="false">CHOOSE(MOD(A2358-1,5)+1,"Центр","Юг","Север","Запад","Восток")</f>
        <v>Юг</v>
      </c>
      <c r="G2358" s="10" t="str">
        <f aca="false">"Округ_"&amp;(MOD(A2358-1,5)+1)&amp;"_"&amp;(MOD(INT((A2358-1)/5),5)+1)</f>
        <v>Округ_2_2</v>
      </c>
      <c r="H2358" s="10" t="str">
        <f aca="false">"Город_"&amp;(MOD(A2358-1,5)+1)&amp;"_"&amp;(MOD(INT((A2358-1)/5),5)+1)&amp;"_"&amp;(MOD(INT((A2358-1)/25),10)+1)</f>
        <v>Город_2_2_5</v>
      </c>
      <c r="I2358" s="10" t="str">
        <f aca="false">CHOOSE(MOD(A2358-1,4)+1,"Электроника","Одежда","Продукты","Мебель")</f>
        <v>Электроника</v>
      </c>
      <c r="J2358" s="10" t="str">
        <f aca="false">CHOOSE(MOD(INT((A2358-1)/4),4)+1,CHOOSE(MOD(A2358-1,4)+1,"Смартфоны","Ноутбуки","Аксессуары","Аудио"),CHOOSE(MOD(A2358-1,4)+1,"Верхняя одежда","Спортивная","Повседневная","Обувь"),CHOOSE(MOD(A2358-1,4)+1,"Молочные","Мясные","Бакалея","Напитки"),CHOOSE(MOD(A2358-1,4)+1,"Мягкая мебель","Корпусная","Офисная","Кухонная"))</f>
        <v>Верхняя одежда</v>
      </c>
      <c r="K2358" s="12" t="n">
        <f aca="false">1000+MOD(A2358*317+A2358*A2358*7,49001)</f>
        <v>43504</v>
      </c>
      <c r="L2358" s="12" t="n">
        <f aca="false">1+MOD(A2358*131,100)</f>
        <v>68</v>
      </c>
      <c r="M2358" s="12" t="n">
        <f aca="false">INT(K2358*(0.6+MOD(A2358*43,21)/100))</f>
        <v>28277</v>
      </c>
      <c r="N2358" s="12" t="n">
        <f aca="false">K2358-M2358</f>
        <v>15227</v>
      </c>
    </row>
    <row r="2359" customFormat="false" ht="12.8" hidden="false" customHeight="false" outlineLevel="0" collapsed="false">
      <c r="A2359" s="10" t="n">
        <f aca="false">A2358+1</f>
        <v>2358</v>
      </c>
      <c r="B2359" s="11" t="n">
        <f aca="false">B2358+1</f>
        <v>47284</v>
      </c>
      <c r="C2359" s="10" t="n">
        <f aca="false">YEAR(B2359)</f>
        <v>2029</v>
      </c>
      <c r="D2359" s="10" t="n">
        <f aca="false">INT((MONTH(B2359)-1)/3)+1</f>
        <v>2</v>
      </c>
      <c r="E2359" s="10" t="n">
        <f aca="false">MONTH(B2359)</f>
        <v>6</v>
      </c>
      <c r="F2359" s="10" t="str">
        <f aca="false">CHOOSE(MOD(A2359-1,5)+1,"Центр","Юг","Север","Запад","Восток")</f>
        <v>Север</v>
      </c>
      <c r="G2359" s="10" t="str">
        <f aca="false">"Округ_"&amp;(MOD(A2359-1,5)+1)&amp;"_"&amp;(MOD(INT((A2359-1)/5),5)+1)</f>
        <v>Округ_3_2</v>
      </c>
      <c r="H2359" s="10" t="str">
        <f aca="false">"Город_"&amp;(MOD(A2359-1,5)+1)&amp;"_"&amp;(MOD(INT((A2359-1)/5),5)+1)&amp;"_"&amp;(MOD(INT((A2359-1)/25),10)+1)</f>
        <v>Город_3_2_5</v>
      </c>
      <c r="I2359" s="10" t="str">
        <f aca="false">CHOOSE(MOD(A2359-1,4)+1,"Электроника","Одежда","Продукты","Мебель")</f>
        <v>Одежда</v>
      </c>
      <c r="J2359" s="10" t="str">
        <f aca="false">CHOOSE(MOD(INT((A2359-1)/4),4)+1,CHOOSE(MOD(A2359-1,4)+1,"Смартфоны","Ноутбуки","Аксессуары","Аудио"),CHOOSE(MOD(A2359-1,4)+1,"Верхняя одежда","Спортивная","Повседневная","Обувь"),CHOOSE(MOD(A2359-1,4)+1,"Молочные","Мясные","Бакалея","Напитки"),CHOOSE(MOD(A2359-1,4)+1,"Мягкая мебель","Корпусная","Офисная","Кухонная"))</f>
        <v>Спортивная</v>
      </c>
      <c r="K2359" s="12" t="n">
        <f aca="false">1000+MOD(A2359*317+A2359*A2359*7,49001)</f>
        <v>27825</v>
      </c>
      <c r="L2359" s="12" t="n">
        <f aca="false">1+MOD(A2359*131,100)</f>
        <v>99</v>
      </c>
      <c r="M2359" s="12" t="n">
        <f aca="false">INT(K2359*(0.6+MOD(A2359*43,21)/100))</f>
        <v>18364</v>
      </c>
      <c r="N2359" s="12" t="n">
        <f aca="false">K2359-M2359</f>
        <v>9461</v>
      </c>
    </row>
    <row r="2360" customFormat="false" ht="12.8" hidden="false" customHeight="false" outlineLevel="0" collapsed="false">
      <c r="A2360" s="10" t="n">
        <f aca="false">A2359+1</f>
        <v>2359</v>
      </c>
      <c r="B2360" s="11" t="n">
        <f aca="false">B2359+1</f>
        <v>47285</v>
      </c>
      <c r="C2360" s="10" t="n">
        <f aca="false">YEAR(B2360)</f>
        <v>2029</v>
      </c>
      <c r="D2360" s="10" t="n">
        <f aca="false">INT((MONTH(B2360)-1)/3)+1</f>
        <v>2</v>
      </c>
      <c r="E2360" s="10" t="n">
        <f aca="false">MONTH(B2360)</f>
        <v>6</v>
      </c>
      <c r="F2360" s="10" t="str">
        <f aca="false">CHOOSE(MOD(A2360-1,5)+1,"Центр","Юг","Север","Запад","Восток")</f>
        <v>Запад</v>
      </c>
      <c r="G2360" s="10" t="str">
        <f aca="false">"Округ_"&amp;(MOD(A2360-1,5)+1)&amp;"_"&amp;(MOD(INT((A2360-1)/5),5)+1)</f>
        <v>Округ_4_2</v>
      </c>
      <c r="H2360" s="10" t="str">
        <f aca="false">"Город_"&amp;(MOD(A2360-1,5)+1)&amp;"_"&amp;(MOD(INT((A2360-1)/5),5)+1)&amp;"_"&amp;(MOD(INT((A2360-1)/25),10)+1)</f>
        <v>Город_4_2_5</v>
      </c>
      <c r="I2360" s="10" t="str">
        <f aca="false">CHOOSE(MOD(A2360-1,4)+1,"Электроника","Одежда","Продукты","Мебель")</f>
        <v>Продукты</v>
      </c>
      <c r="J2360" s="10" t="str">
        <f aca="false">CHOOSE(MOD(INT((A2360-1)/4),4)+1,CHOOSE(MOD(A2360-1,4)+1,"Смартфоны","Ноутбуки","Аксессуары","Аудио"),CHOOSE(MOD(A2360-1,4)+1,"Верхняя одежда","Спортивная","Повседневная","Обувь"),CHOOSE(MOD(A2360-1,4)+1,"Молочные","Мясные","Бакалея","Напитки"),CHOOSE(MOD(A2360-1,4)+1,"Мягкая мебель","Корпусная","Офисная","Кухонная"))</f>
        <v>Повседневная</v>
      </c>
      <c r="K2360" s="12" t="n">
        <f aca="false">1000+MOD(A2360*317+A2360*A2360*7,49001)</f>
        <v>12160</v>
      </c>
      <c r="L2360" s="12" t="n">
        <f aca="false">1+MOD(A2360*131,100)</f>
        <v>30</v>
      </c>
      <c r="M2360" s="12" t="n">
        <f aca="false">INT(K2360*(0.6+MOD(A2360*43,21)/100))</f>
        <v>8147</v>
      </c>
      <c r="N2360" s="12" t="n">
        <f aca="false">K2360-M2360</f>
        <v>4013</v>
      </c>
    </row>
    <row r="2361" customFormat="false" ht="12.8" hidden="false" customHeight="false" outlineLevel="0" collapsed="false">
      <c r="A2361" s="10" t="n">
        <f aca="false">A2360+1</f>
        <v>2360</v>
      </c>
      <c r="B2361" s="11" t="n">
        <f aca="false">B2360+1</f>
        <v>47286</v>
      </c>
      <c r="C2361" s="10" t="n">
        <f aca="false">YEAR(B2361)</f>
        <v>2029</v>
      </c>
      <c r="D2361" s="10" t="n">
        <f aca="false">INT((MONTH(B2361)-1)/3)+1</f>
        <v>2</v>
      </c>
      <c r="E2361" s="10" t="n">
        <f aca="false">MONTH(B2361)</f>
        <v>6</v>
      </c>
      <c r="F2361" s="10" t="str">
        <f aca="false">CHOOSE(MOD(A2361-1,5)+1,"Центр","Юг","Север","Запад","Восток")</f>
        <v>Восток</v>
      </c>
      <c r="G2361" s="10" t="str">
        <f aca="false">"Округ_"&amp;(MOD(A2361-1,5)+1)&amp;"_"&amp;(MOD(INT((A2361-1)/5),5)+1)</f>
        <v>Округ_5_2</v>
      </c>
      <c r="H2361" s="10" t="str">
        <f aca="false">"Город_"&amp;(MOD(A2361-1,5)+1)&amp;"_"&amp;(MOD(INT((A2361-1)/5),5)+1)&amp;"_"&amp;(MOD(INT((A2361-1)/25),10)+1)</f>
        <v>Город_5_2_5</v>
      </c>
      <c r="I2361" s="10" t="str">
        <f aca="false">CHOOSE(MOD(A2361-1,4)+1,"Электроника","Одежда","Продукты","Мебель")</f>
        <v>Мебель</v>
      </c>
      <c r="J2361" s="10" t="str">
        <f aca="false">CHOOSE(MOD(INT((A2361-1)/4),4)+1,CHOOSE(MOD(A2361-1,4)+1,"Смартфоны","Ноутбуки","Аксессуары","Аудио"),CHOOSE(MOD(A2361-1,4)+1,"Верхняя одежда","Спортивная","Повседневная","Обувь"),CHOOSE(MOD(A2361-1,4)+1,"Молочные","Мясные","Бакалея","Напитки"),CHOOSE(MOD(A2361-1,4)+1,"Мягкая мебель","Корпусная","Офисная","Кухонная"))</f>
        <v>Обувь</v>
      </c>
      <c r="K2361" s="12" t="n">
        <f aca="false">1000+MOD(A2361*317+A2361*A2361*7,49001)</f>
        <v>45510</v>
      </c>
      <c r="L2361" s="12" t="n">
        <f aca="false">1+MOD(A2361*131,100)</f>
        <v>61</v>
      </c>
      <c r="M2361" s="12" t="n">
        <f aca="false">INT(K2361*(0.6+MOD(A2361*43,21)/100))</f>
        <v>30946</v>
      </c>
      <c r="N2361" s="12" t="n">
        <f aca="false">K2361-M2361</f>
        <v>14564</v>
      </c>
    </row>
    <row r="2362" customFormat="false" ht="12.8" hidden="false" customHeight="false" outlineLevel="0" collapsed="false">
      <c r="A2362" s="10" t="n">
        <f aca="false">A2361+1</f>
        <v>2361</v>
      </c>
      <c r="B2362" s="11" t="n">
        <f aca="false">B2361+1</f>
        <v>47287</v>
      </c>
      <c r="C2362" s="10" t="n">
        <f aca="false">YEAR(B2362)</f>
        <v>2029</v>
      </c>
      <c r="D2362" s="10" t="n">
        <f aca="false">INT((MONTH(B2362)-1)/3)+1</f>
        <v>2</v>
      </c>
      <c r="E2362" s="10" t="n">
        <f aca="false">MONTH(B2362)</f>
        <v>6</v>
      </c>
      <c r="F2362" s="10" t="str">
        <f aca="false">CHOOSE(MOD(A2362-1,5)+1,"Центр","Юг","Север","Запад","Восток")</f>
        <v>Центр</v>
      </c>
      <c r="G2362" s="10" t="str">
        <f aca="false">"Округ_"&amp;(MOD(A2362-1,5)+1)&amp;"_"&amp;(MOD(INT((A2362-1)/5),5)+1)</f>
        <v>Округ_1_3</v>
      </c>
      <c r="H2362" s="10" t="str">
        <f aca="false">"Город_"&amp;(MOD(A2362-1,5)+1)&amp;"_"&amp;(MOD(INT((A2362-1)/5),5)+1)&amp;"_"&amp;(MOD(INT((A2362-1)/25),10)+1)</f>
        <v>Город_1_3_5</v>
      </c>
      <c r="I2362" s="10" t="str">
        <f aca="false">CHOOSE(MOD(A2362-1,4)+1,"Электроника","Одежда","Продукты","Мебель")</f>
        <v>Электроника</v>
      </c>
      <c r="J2362" s="10" t="str">
        <f aca="false">CHOOSE(MOD(INT((A2362-1)/4),4)+1,CHOOSE(MOD(A2362-1,4)+1,"Смартфоны","Ноутбуки","Аксессуары","Аудио"),CHOOSE(MOD(A2362-1,4)+1,"Верхняя одежда","Спортивная","Повседневная","Обувь"),CHOOSE(MOD(A2362-1,4)+1,"Молочные","Мясные","Бакалея","Напитки"),CHOOSE(MOD(A2362-1,4)+1,"Мягкая мебель","Корпусная","Офисная","Кухонная"))</f>
        <v>Молочные</v>
      </c>
      <c r="K2362" s="12" t="n">
        <f aca="false">1000+MOD(A2362*317+A2362*A2362*7,49001)</f>
        <v>29873</v>
      </c>
      <c r="L2362" s="12" t="n">
        <f aca="false">1+MOD(A2362*131,100)</f>
        <v>92</v>
      </c>
      <c r="M2362" s="12" t="n">
        <f aca="false">INT(K2362*(0.6+MOD(A2362*43,21)/100))</f>
        <v>20612</v>
      </c>
      <c r="N2362" s="12" t="n">
        <f aca="false">K2362-M2362</f>
        <v>9261</v>
      </c>
    </row>
    <row r="2363" customFormat="false" ht="12.8" hidden="false" customHeight="false" outlineLevel="0" collapsed="false">
      <c r="A2363" s="10" t="n">
        <f aca="false">A2362+1</f>
        <v>2362</v>
      </c>
      <c r="B2363" s="11" t="n">
        <f aca="false">B2362+1</f>
        <v>47288</v>
      </c>
      <c r="C2363" s="10" t="n">
        <f aca="false">YEAR(B2363)</f>
        <v>2029</v>
      </c>
      <c r="D2363" s="10" t="n">
        <f aca="false">INT((MONTH(B2363)-1)/3)+1</f>
        <v>2</v>
      </c>
      <c r="E2363" s="10" t="n">
        <f aca="false">MONTH(B2363)</f>
        <v>6</v>
      </c>
      <c r="F2363" s="10" t="str">
        <f aca="false">CHOOSE(MOD(A2363-1,5)+1,"Центр","Юг","Север","Запад","Восток")</f>
        <v>Юг</v>
      </c>
      <c r="G2363" s="10" t="str">
        <f aca="false">"Округ_"&amp;(MOD(A2363-1,5)+1)&amp;"_"&amp;(MOD(INT((A2363-1)/5),5)+1)</f>
        <v>Округ_2_3</v>
      </c>
      <c r="H2363" s="10" t="str">
        <f aca="false">"Город_"&amp;(MOD(A2363-1,5)+1)&amp;"_"&amp;(MOD(INT((A2363-1)/5),5)+1)&amp;"_"&amp;(MOD(INT((A2363-1)/25),10)+1)</f>
        <v>Город_2_3_5</v>
      </c>
      <c r="I2363" s="10" t="str">
        <f aca="false">CHOOSE(MOD(A2363-1,4)+1,"Электроника","Одежда","Продукты","Мебель")</f>
        <v>Одежда</v>
      </c>
      <c r="J2363" s="10" t="str">
        <f aca="false">CHOOSE(MOD(INT((A2363-1)/4),4)+1,CHOOSE(MOD(A2363-1,4)+1,"Смартфоны","Ноутбуки","Аксессуары","Аудио"),CHOOSE(MOD(A2363-1,4)+1,"Верхняя одежда","Спортивная","Повседневная","Обувь"),CHOOSE(MOD(A2363-1,4)+1,"Молочные","Мясные","Бакалея","Напитки"),CHOOSE(MOD(A2363-1,4)+1,"Мягкая мебель","Корпусная","Офисная","Кухонная"))</f>
        <v>Мясные</v>
      </c>
      <c r="K2363" s="12" t="n">
        <f aca="false">1000+MOD(A2363*317+A2363*A2363*7,49001)</f>
        <v>14250</v>
      </c>
      <c r="L2363" s="12" t="n">
        <f aca="false">1+MOD(A2363*131,100)</f>
        <v>23</v>
      </c>
      <c r="M2363" s="12" t="n">
        <f aca="false">INT(K2363*(0.6+MOD(A2363*43,21)/100))</f>
        <v>9975</v>
      </c>
      <c r="N2363" s="12" t="n">
        <f aca="false">K2363-M2363</f>
        <v>4275</v>
      </c>
    </row>
    <row r="2364" customFormat="false" ht="12.8" hidden="false" customHeight="false" outlineLevel="0" collapsed="false">
      <c r="A2364" s="10" t="n">
        <f aca="false">A2363+1</f>
        <v>2363</v>
      </c>
      <c r="B2364" s="11" t="n">
        <f aca="false">B2363+1</f>
        <v>47289</v>
      </c>
      <c r="C2364" s="10" t="n">
        <f aca="false">YEAR(B2364)</f>
        <v>2029</v>
      </c>
      <c r="D2364" s="10" t="n">
        <f aca="false">INT((MONTH(B2364)-1)/3)+1</f>
        <v>2</v>
      </c>
      <c r="E2364" s="10" t="n">
        <f aca="false">MONTH(B2364)</f>
        <v>6</v>
      </c>
      <c r="F2364" s="10" t="str">
        <f aca="false">CHOOSE(MOD(A2364-1,5)+1,"Центр","Юг","Север","Запад","Восток")</f>
        <v>Север</v>
      </c>
      <c r="G2364" s="10" t="str">
        <f aca="false">"Округ_"&amp;(MOD(A2364-1,5)+1)&amp;"_"&amp;(MOD(INT((A2364-1)/5),5)+1)</f>
        <v>Округ_3_3</v>
      </c>
      <c r="H2364" s="10" t="str">
        <f aca="false">"Город_"&amp;(MOD(A2364-1,5)+1)&amp;"_"&amp;(MOD(INT((A2364-1)/5),5)+1)&amp;"_"&amp;(MOD(INT((A2364-1)/25),10)+1)</f>
        <v>Город_3_3_5</v>
      </c>
      <c r="I2364" s="10" t="str">
        <f aca="false">CHOOSE(MOD(A2364-1,4)+1,"Электроника","Одежда","Продукты","Мебель")</f>
        <v>Продукты</v>
      </c>
      <c r="J2364" s="10" t="str">
        <f aca="false">CHOOSE(MOD(INT((A2364-1)/4),4)+1,CHOOSE(MOD(A2364-1,4)+1,"Смартфоны","Ноутбуки","Аксессуары","Аудио"),CHOOSE(MOD(A2364-1,4)+1,"Верхняя одежда","Спортивная","Повседневная","Обувь"),CHOOSE(MOD(A2364-1,4)+1,"Молочные","Мясные","Бакалея","Напитки"),CHOOSE(MOD(A2364-1,4)+1,"Мягкая мебель","Корпусная","Офисная","Кухонная"))</f>
        <v>Бакалея</v>
      </c>
      <c r="K2364" s="12" t="n">
        <f aca="false">1000+MOD(A2364*317+A2364*A2364*7,49001)</f>
        <v>47642</v>
      </c>
      <c r="L2364" s="12" t="n">
        <f aca="false">1+MOD(A2364*131,100)</f>
        <v>54</v>
      </c>
      <c r="M2364" s="12" t="n">
        <f aca="false">INT(K2364*(0.6+MOD(A2364*43,21)/100))</f>
        <v>33825</v>
      </c>
      <c r="N2364" s="12" t="n">
        <f aca="false">K2364-M2364</f>
        <v>13817</v>
      </c>
    </row>
    <row r="2365" customFormat="false" ht="12.8" hidden="false" customHeight="false" outlineLevel="0" collapsed="false">
      <c r="A2365" s="10" t="n">
        <f aca="false">A2364+1</f>
        <v>2364</v>
      </c>
      <c r="B2365" s="11" t="n">
        <f aca="false">B2364+1</f>
        <v>47290</v>
      </c>
      <c r="C2365" s="10" t="n">
        <f aca="false">YEAR(B2365)</f>
        <v>2029</v>
      </c>
      <c r="D2365" s="10" t="n">
        <f aca="false">INT((MONTH(B2365)-1)/3)+1</f>
        <v>2</v>
      </c>
      <c r="E2365" s="10" t="n">
        <f aca="false">MONTH(B2365)</f>
        <v>6</v>
      </c>
      <c r="F2365" s="10" t="str">
        <f aca="false">CHOOSE(MOD(A2365-1,5)+1,"Центр","Юг","Север","Запад","Восток")</f>
        <v>Запад</v>
      </c>
      <c r="G2365" s="10" t="str">
        <f aca="false">"Округ_"&amp;(MOD(A2365-1,5)+1)&amp;"_"&amp;(MOD(INT((A2365-1)/5),5)+1)</f>
        <v>Округ_4_3</v>
      </c>
      <c r="H2365" s="10" t="str">
        <f aca="false">"Город_"&amp;(MOD(A2365-1,5)+1)&amp;"_"&amp;(MOD(INT((A2365-1)/5),5)+1)&amp;"_"&amp;(MOD(INT((A2365-1)/25),10)+1)</f>
        <v>Город_4_3_5</v>
      </c>
      <c r="I2365" s="10" t="str">
        <f aca="false">CHOOSE(MOD(A2365-1,4)+1,"Электроника","Одежда","Продукты","Мебель")</f>
        <v>Мебель</v>
      </c>
      <c r="J2365" s="10" t="str">
        <f aca="false">CHOOSE(MOD(INT((A2365-1)/4),4)+1,CHOOSE(MOD(A2365-1,4)+1,"Смартфоны","Ноутбуки","Аксессуары","Аудио"),CHOOSE(MOD(A2365-1,4)+1,"Верхняя одежда","Спортивная","Повседневная","Обувь"),CHOOSE(MOD(A2365-1,4)+1,"Молочные","Мясные","Бакалея","Напитки"),CHOOSE(MOD(A2365-1,4)+1,"Мягкая мебель","Корпусная","Офисная","Кухонная"))</f>
        <v>Напитки</v>
      </c>
      <c r="K2365" s="12" t="n">
        <f aca="false">1000+MOD(A2365*317+A2365*A2365*7,49001)</f>
        <v>32047</v>
      </c>
      <c r="L2365" s="12" t="n">
        <f aca="false">1+MOD(A2365*131,100)</f>
        <v>85</v>
      </c>
      <c r="M2365" s="12" t="n">
        <f aca="false">INT(K2365*(0.6+MOD(A2365*43,21)/100))</f>
        <v>23073</v>
      </c>
      <c r="N2365" s="12" t="n">
        <f aca="false">K2365-M2365</f>
        <v>8974</v>
      </c>
    </row>
    <row r="2366" customFormat="false" ht="12.8" hidden="false" customHeight="false" outlineLevel="0" collapsed="false">
      <c r="A2366" s="10" t="n">
        <f aca="false">A2365+1</f>
        <v>2365</v>
      </c>
      <c r="B2366" s="11" t="n">
        <f aca="false">B2365+1</f>
        <v>47291</v>
      </c>
      <c r="C2366" s="10" t="n">
        <f aca="false">YEAR(B2366)</f>
        <v>2029</v>
      </c>
      <c r="D2366" s="10" t="n">
        <f aca="false">INT((MONTH(B2366)-1)/3)+1</f>
        <v>2</v>
      </c>
      <c r="E2366" s="10" t="n">
        <f aca="false">MONTH(B2366)</f>
        <v>6</v>
      </c>
      <c r="F2366" s="10" t="str">
        <f aca="false">CHOOSE(MOD(A2366-1,5)+1,"Центр","Юг","Север","Запад","Восток")</f>
        <v>Восток</v>
      </c>
      <c r="G2366" s="10" t="str">
        <f aca="false">"Округ_"&amp;(MOD(A2366-1,5)+1)&amp;"_"&amp;(MOD(INT((A2366-1)/5),5)+1)</f>
        <v>Округ_5_3</v>
      </c>
      <c r="H2366" s="10" t="str">
        <f aca="false">"Город_"&amp;(MOD(A2366-1,5)+1)&amp;"_"&amp;(MOD(INT((A2366-1)/5),5)+1)&amp;"_"&amp;(MOD(INT((A2366-1)/25),10)+1)</f>
        <v>Город_5_3_5</v>
      </c>
      <c r="I2366" s="10" t="str">
        <f aca="false">CHOOSE(MOD(A2366-1,4)+1,"Электроника","Одежда","Продукты","Мебель")</f>
        <v>Электроника</v>
      </c>
      <c r="J2366" s="10" t="str">
        <f aca="false">CHOOSE(MOD(INT((A2366-1)/4),4)+1,CHOOSE(MOD(A2366-1,4)+1,"Смартфоны","Ноутбуки","Аксессуары","Аудио"),CHOOSE(MOD(A2366-1,4)+1,"Верхняя одежда","Спортивная","Повседневная","Обувь"),CHOOSE(MOD(A2366-1,4)+1,"Молочные","Мясные","Бакалея","Напитки"),CHOOSE(MOD(A2366-1,4)+1,"Мягкая мебель","Корпусная","Офисная","Кухонная"))</f>
        <v>Мягкая мебель</v>
      </c>
      <c r="K2366" s="12" t="n">
        <f aca="false">1000+MOD(A2366*317+A2366*A2366*7,49001)</f>
        <v>16466</v>
      </c>
      <c r="L2366" s="12" t="n">
        <f aca="false">1+MOD(A2366*131,100)</f>
        <v>16</v>
      </c>
      <c r="M2366" s="12" t="n">
        <f aca="false">INT(K2366*(0.6+MOD(A2366*43,21)/100))</f>
        <v>12020</v>
      </c>
      <c r="N2366" s="12" t="n">
        <f aca="false">K2366-M2366</f>
        <v>4446</v>
      </c>
    </row>
    <row r="2367" customFormat="false" ht="12.8" hidden="false" customHeight="false" outlineLevel="0" collapsed="false">
      <c r="A2367" s="10" t="n">
        <f aca="false">A2366+1</f>
        <v>2366</v>
      </c>
      <c r="B2367" s="11" t="n">
        <f aca="false">B2366+1</f>
        <v>47292</v>
      </c>
      <c r="C2367" s="10" t="n">
        <f aca="false">YEAR(B2367)</f>
        <v>2029</v>
      </c>
      <c r="D2367" s="10" t="n">
        <f aca="false">INT((MONTH(B2367)-1)/3)+1</f>
        <v>2</v>
      </c>
      <c r="E2367" s="10" t="n">
        <f aca="false">MONTH(B2367)</f>
        <v>6</v>
      </c>
      <c r="F2367" s="10" t="str">
        <f aca="false">CHOOSE(MOD(A2367-1,5)+1,"Центр","Юг","Север","Запад","Восток")</f>
        <v>Центр</v>
      </c>
      <c r="G2367" s="10" t="str">
        <f aca="false">"Округ_"&amp;(MOD(A2367-1,5)+1)&amp;"_"&amp;(MOD(INT((A2367-1)/5),5)+1)</f>
        <v>Округ_1_4</v>
      </c>
      <c r="H2367" s="10" t="str">
        <f aca="false">"Город_"&amp;(MOD(A2367-1,5)+1)&amp;"_"&amp;(MOD(INT((A2367-1)/5),5)+1)&amp;"_"&amp;(MOD(INT((A2367-1)/25),10)+1)</f>
        <v>Город_1_4_5</v>
      </c>
      <c r="I2367" s="10" t="str">
        <f aca="false">CHOOSE(MOD(A2367-1,4)+1,"Электроника","Одежда","Продукты","Мебель")</f>
        <v>Одежда</v>
      </c>
      <c r="J2367" s="10" t="str">
        <f aca="false">CHOOSE(MOD(INT((A2367-1)/4),4)+1,CHOOSE(MOD(A2367-1,4)+1,"Смартфоны","Ноутбуки","Аксессуары","Аудио"),CHOOSE(MOD(A2367-1,4)+1,"Верхняя одежда","Спортивная","Повседневная","Обувь"),CHOOSE(MOD(A2367-1,4)+1,"Молочные","Мясные","Бакалея","Напитки"),CHOOSE(MOD(A2367-1,4)+1,"Мягкая мебель","Корпусная","Офисная","Кухонная"))</f>
        <v>Корпусная</v>
      </c>
      <c r="K2367" s="12" t="n">
        <f aca="false">1000+MOD(A2367*317+A2367*A2367*7,49001)</f>
        <v>49900</v>
      </c>
      <c r="L2367" s="12" t="n">
        <f aca="false">1+MOD(A2367*131,100)</f>
        <v>47</v>
      </c>
      <c r="M2367" s="12" t="n">
        <f aca="false">INT(K2367*(0.6+MOD(A2367*43,21)/100))</f>
        <v>36926</v>
      </c>
      <c r="N2367" s="12" t="n">
        <f aca="false">K2367-M2367</f>
        <v>12974</v>
      </c>
    </row>
    <row r="2368" customFormat="false" ht="12.8" hidden="false" customHeight="false" outlineLevel="0" collapsed="false">
      <c r="A2368" s="10" t="n">
        <f aca="false">A2367+1</f>
        <v>2367</v>
      </c>
      <c r="B2368" s="11" t="n">
        <f aca="false">B2367+1</f>
        <v>47293</v>
      </c>
      <c r="C2368" s="10" t="n">
        <f aca="false">YEAR(B2368)</f>
        <v>2029</v>
      </c>
      <c r="D2368" s="10" t="n">
        <f aca="false">INT((MONTH(B2368)-1)/3)+1</f>
        <v>2</v>
      </c>
      <c r="E2368" s="10" t="n">
        <f aca="false">MONTH(B2368)</f>
        <v>6</v>
      </c>
      <c r="F2368" s="10" t="str">
        <f aca="false">CHOOSE(MOD(A2368-1,5)+1,"Центр","Юг","Север","Запад","Восток")</f>
        <v>Юг</v>
      </c>
      <c r="G2368" s="10" t="str">
        <f aca="false">"Округ_"&amp;(MOD(A2368-1,5)+1)&amp;"_"&amp;(MOD(INT((A2368-1)/5),5)+1)</f>
        <v>Округ_2_4</v>
      </c>
      <c r="H2368" s="10" t="str">
        <f aca="false">"Город_"&amp;(MOD(A2368-1,5)+1)&amp;"_"&amp;(MOD(INT((A2368-1)/5),5)+1)&amp;"_"&amp;(MOD(INT((A2368-1)/25),10)+1)</f>
        <v>Город_2_4_5</v>
      </c>
      <c r="I2368" s="10" t="str">
        <f aca="false">CHOOSE(MOD(A2368-1,4)+1,"Электроника","Одежда","Продукты","Мебель")</f>
        <v>Продукты</v>
      </c>
      <c r="J2368" s="10" t="str">
        <f aca="false">CHOOSE(MOD(INT((A2368-1)/4),4)+1,CHOOSE(MOD(A2368-1,4)+1,"Смартфоны","Ноутбуки","Аксессуары","Аудио"),CHOOSE(MOD(A2368-1,4)+1,"Верхняя одежда","Спортивная","Повседневная","Обувь"),CHOOSE(MOD(A2368-1,4)+1,"Молочные","Мясные","Бакалея","Напитки"),CHOOSE(MOD(A2368-1,4)+1,"Мягкая мебель","Корпусная","Офисная","Кухонная"))</f>
        <v>Офисная</v>
      </c>
      <c r="K2368" s="12" t="n">
        <f aca="false">1000+MOD(A2368*317+A2368*A2368*7,49001)</f>
        <v>34347</v>
      </c>
      <c r="L2368" s="12" t="n">
        <f aca="false">1+MOD(A2368*131,100)</f>
        <v>78</v>
      </c>
      <c r="M2368" s="12" t="n">
        <f aca="false">INT(K2368*(0.6+MOD(A2368*43,21)/100))</f>
        <v>25760</v>
      </c>
      <c r="N2368" s="12" t="n">
        <f aca="false">K2368-M2368</f>
        <v>8587</v>
      </c>
    </row>
    <row r="2369" customFormat="false" ht="12.8" hidden="false" customHeight="false" outlineLevel="0" collapsed="false">
      <c r="A2369" s="10" t="n">
        <f aca="false">A2368+1</f>
        <v>2368</v>
      </c>
      <c r="B2369" s="11" t="n">
        <f aca="false">B2368+1</f>
        <v>47294</v>
      </c>
      <c r="C2369" s="10" t="n">
        <f aca="false">YEAR(B2369)</f>
        <v>2029</v>
      </c>
      <c r="D2369" s="10" t="n">
        <f aca="false">INT((MONTH(B2369)-1)/3)+1</f>
        <v>2</v>
      </c>
      <c r="E2369" s="10" t="n">
        <f aca="false">MONTH(B2369)</f>
        <v>6</v>
      </c>
      <c r="F2369" s="10" t="str">
        <f aca="false">CHOOSE(MOD(A2369-1,5)+1,"Центр","Юг","Север","Запад","Восток")</f>
        <v>Север</v>
      </c>
      <c r="G2369" s="10" t="str">
        <f aca="false">"Округ_"&amp;(MOD(A2369-1,5)+1)&amp;"_"&amp;(MOD(INT((A2369-1)/5),5)+1)</f>
        <v>Округ_3_4</v>
      </c>
      <c r="H2369" s="10" t="str">
        <f aca="false">"Город_"&amp;(MOD(A2369-1,5)+1)&amp;"_"&amp;(MOD(INT((A2369-1)/5),5)+1)&amp;"_"&amp;(MOD(INT((A2369-1)/25),10)+1)</f>
        <v>Город_3_4_5</v>
      </c>
      <c r="I2369" s="10" t="str">
        <f aca="false">CHOOSE(MOD(A2369-1,4)+1,"Электроника","Одежда","Продукты","Мебель")</f>
        <v>Мебель</v>
      </c>
      <c r="J2369" s="10" t="str">
        <f aca="false">CHOOSE(MOD(INT((A2369-1)/4),4)+1,CHOOSE(MOD(A2369-1,4)+1,"Смартфоны","Ноутбуки","Аксессуары","Аудио"),CHOOSE(MOD(A2369-1,4)+1,"Верхняя одежда","Спортивная","Повседневная","Обувь"),CHOOSE(MOD(A2369-1,4)+1,"Молочные","Мясные","Бакалея","Напитки"),CHOOSE(MOD(A2369-1,4)+1,"Мягкая мебель","Корпусная","Офисная","Кухонная"))</f>
        <v>Кухонная</v>
      </c>
      <c r="K2369" s="12" t="n">
        <f aca="false">1000+MOD(A2369*317+A2369*A2369*7,49001)</f>
        <v>18808</v>
      </c>
      <c r="L2369" s="12" t="n">
        <f aca="false">1+MOD(A2369*131,100)</f>
        <v>9</v>
      </c>
      <c r="M2369" s="12" t="n">
        <f aca="false">INT(K2369*(0.6+MOD(A2369*43,21)/100))</f>
        <v>14294</v>
      </c>
      <c r="N2369" s="12" t="n">
        <f aca="false">K2369-M2369</f>
        <v>4514</v>
      </c>
    </row>
    <row r="2370" customFormat="false" ht="12.8" hidden="false" customHeight="false" outlineLevel="0" collapsed="false">
      <c r="A2370" s="10" t="n">
        <f aca="false">A2369+1</f>
        <v>2369</v>
      </c>
      <c r="B2370" s="11" t="n">
        <f aca="false">B2369+1</f>
        <v>47295</v>
      </c>
      <c r="C2370" s="10" t="n">
        <f aca="false">YEAR(B2370)</f>
        <v>2029</v>
      </c>
      <c r="D2370" s="10" t="n">
        <f aca="false">INT((MONTH(B2370)-1)/3)+1</f>
        <v>2</v>
      </c>
      <c r="E2370" s="10" t="n">
        <f aca="false">MONTH(B2370)</f>
        <v>6</v>
      </c>
      <c r="F2370" s="10" t="str">
        <f aca="false">CHOOSE(MOD(A2370-1,5)+1,"Центр","Юг","Север","Запад","Восток")</f>
        <v>Запад</v>
      </c>
      <c r="G2370" s="10" t="str">
        <f aca="false">"Округ_"&amp;(MOD(A2370-1,5)+1)&amp;"_"&amp;(MOD(INT((A2370-1)/5),5)+1)</f>
        <v>Округ_4_4</v>
      </c>
      <c r="H2370" s="10" t="str">
        <f aca="false">"Город_"&amp;(MOD(A2370-1,5)+1)&amp;"_"&amp;(MOD(INT((A2370-1)/5),5)+1)&amp;"_"&amp;(MOD(INT((A2370-1)/25),10)+1)</f>
        <v>Город_4_4_5</v>
      </c>
      <c r="I2370" s="10" t="str">
        <f aca="false">CHOOSE(MOD(A2370-1,4)+1,"Электроника","Одежда","Продукты","Мебель")</f>
        <v>Электроника</v>
      </c>
      <c r="J2370" s="10" t="str">
        <f aca="false">CHOOSE(MOD(INT((A2370-1)/4),4)+1,CHOOSE(MOD(A2370-1,4)+1,"Смартфоны","Ноутбуки","Аксессуары","Аудио"),CHOOSE(MOD(A2370-1,4)+1,"Верхняя одежда","Спортивная","Повседневная","Обувь"),CHOOSE(MOD(A2370-1,4)+1,"Молочные","Мясные","Бакалея","Напитки"),CHOOSE(MOD(A2370-1,4)+1,"Мягкая мебель","Корпусная","Офисная","Кухонная"))</f>
        <v>Смартфоны</v>
      </c>
      <c r="K2370" s="12" t="n">
        <f aca="false">1000+MOD(A2370*317+A2370*A2370*7,49001)</f>
        <v>3283</v>
      </c>
      <c r="L2370" s="12" t="n">
        <f aca="false">1+MOD(A2370*131,100)</f>
        <v>40</v>
      </c>
      <c r="M2370" s="12" t="n">
        <f aca="false">INT(K2370*(0.6+MOD(A2370*43,21)/100))</f>
        <v>2527</v>
      </c>
      <c r="N2370" s="12" t="n">
        <f aca="false">K2370-M2370</f>
        <v>756</v>
      </c>
    </row>
    <row r="2371" customFormat="false" ht="12.8" hidden="false" customHeight="false" outlineLevel="0" collapsed="false">
      <c r="A2371" s="10" t="n">
        <f aca="false">A2370+1</f>
        <v>2370</v>
      </c>
      <c r="B2371" s="11" t="n">
        <f aca="false">B2370+1</f>
        <v>47296</v>
      </c>
      <c r="C2371" s="10" t="n">
        <f aca="false">YEAR(B2371)</f>
        <v>2029</v>
      </c>
      <c r="D2371" s="10" t="n">
        <f aca="false">INT((MONTH(B2371)-1)/3)+1</f>
        <v>2</v>
      </c>
      <c r="E2371" s="10" t="n">
        <f aca="false">MONTH(B2371)</f>
        <v>6</v>
      </c>
      <c r="F2371" s="10" t="str">
        <f aca="false">CHOOSE(MOD(A2371-1,5)+1,"Центр","Юг","Север","Запад","Восток")</f>
        <v>Восток</v>
      </c>
      <c r="G2371" s="10" t="str">
        <f aca="false">"Округ_"&amp;(MOD(A2371-1,5)+1)&amp;"_"&amp;(MOD(INT((A2371-1)/5),5)+1)</f>
        <v>Округ_5_4</v>
      </c>
      <c r="H2371" s="10" t="str">
        <f aca="false">"Город_"&amp;(MOD(A2371-1,5)+1)&amp;"_"&amp;(MOD(INT((A2371-1)/5),5)+1)&amp;"_"&amp;(MOD(INT((A2371-1)/25),10)+1)</f>
        <v>Город_5_4_5</v>
      </c>
      <c r="I2371" s="10" t="str">
        <f aca="false">CHOOSE(MOD(A2371-1,4)+1,"Электроника","Одежда","Продукты","Мебель")</f>
        <v>Одежда</v>
      </c>
      <c r="J2371" s="10" t="str">
        <f aca="false">CHOOSE(MOD(INT((A2371-1)/4),4)+1,CHOOSE(MOD(A2371-1,4)+1,"Смартфоны","Ноутбуки","Аксессуары","Аудио"),CHOOSE(MOD(A2371-1,4)+1,"Верхняя одежда","Спортивная","Повседневная","Обувь"),CHOOSE(MOD(A2371-1,4)+1,"Молочные","Мясные","Бакалея","Напитки"),CHOOSE(MOD(A2371-1,4)+1,"Мягкая мебель","Корпусная","Офисная","Кухонная"))</f>
        <v>Ноутбуки</v>
      </c>
      <c r="K2371" s="12" t="n">
        <f aca="false">1000+MOD(A2371*317+A2371*A2371*7,49001)</f>
        <v>36773</v>
      </c>
      <c r="L2371" s="12" t="n">
        <f aca="false">1+MOD(A2371*131,100)</f>
        <v>71</v>
      </c>
      <c r="M2371" s="12" t="n">
        <f aca="false">INT(K2371*(0.6+MOD(A2371*43,21)/100))</f>
        <v>28682</v>
      </c>
      <c r="N2371" s="12" t="n">
        <f aca="false">K2371-M2371</f>
        <v>8091</v>
      </c>
    </row>
    <row r="2372" customFormat="false" ht="12.8" hidden="false" customHeight="false" outlineLevel="0" collapsed="false">
      <c r="A2372" s="10" t="n">
        <f aca="false">A2371+1</f>
        <v>2371</v>
      </c>
      <c r="B2372" s="11" t="n">
        <f aca="false">B2371+1</f>
        <v>47297</v>
      </c>
      <c r="C2372" s="10" t="n">
        <f aca="false">YEAR(B2372)</f>
        <v>2029</v>
      </c>
      <c r="D2372" s="10" t="n">
        <f aca="false">INT((MONTH(B2372)-1)/3)+1</f>
        <v>2</v>
      </c>
      <c r="E2372" s="10" t="n">
        <f aca="false">MONTH(B2372)</f>
        <v>6</v>
      </c>
      <c r="F2372" s="10" t="str">
        <f aca="false">CHOOSE(MOD(A2372-1,5)+1,"Центр","Юг","Север","Запад","Восток")</f>
        <v>Центр</v>
      </c>
      <c r="G2372" s="10" t="str">
        <f aca="false">"Округ_"&amp;(MOD(A2372-1,5)+1)&amp;"_"&amp;(MOD(INT((A2372-1)/5),5)+1)</f>
        <v>Округ_1_5</v>
      </c>
      <c r="H2372" s="10" t="str">
        <f aca="false">"Город_"&amp;(MOD(A2372-1,5)+1)&amp;"_"&amp;(MOD(INT((A2372-1)/5),5)+1)&amp;"_"&amp;(MOD(INT((A2372-1)/25),10)+1)</f>
        <v>Город_1_5_5</v>
      </c>
      <c r="I2372" s="10" t="str">
        <f aca="false">CHOOSE(MOD(A2372-1,4)+1,"Электроника","Одежда","Продукты","Мебель")</f>
        <v>Продукты</v>
      </c>
      <c r="J2372" s="10" t="str">
        <f aca="false">CHOOSE(MOD(INT((A2372-1)/4),4)+1,CHOOSE(MOD(A2372-1,4)+1,"Смартфоны","Ноутбуки","Аксессуары","Аудио"),CHOOSE(MOD(A2372-1,4)+1,"Верхняя одежда","Спортивная","Повседневная","Обувь"),CHOOSE(MOD(A2372-1,4)+1,"Молочные","Мясные","Бакалея","Напитки"),CHOOSE(MOD(A2372-1,4)+1,"Мягкая мебель","Корпусная","Офисная","Кухонная"))</f>
        <v>Аксессуары</v>
      </c>
      <c r="K2372" s="12" t="n">
        <f aca="false">1000+MOD(A2372*317+A2372*A2372*7,49001)</f>
        <v>21276</v>
      </c>
      <c r="L2372" s="12" t="n">
        <f aca="false">1+MOD(A2372*131,100)</f>
        <v>2</v>
      </c>
      <c r="M2372" s="12" t="n">
        <f aca="false">INT(K2372*(0.6+MOD(A2372*43,21)/100))</f>
        <v>16808</v>
      </c>
      <c r="N2372" s="12" t="n">
        <f aca="false">K2372-M2372</f>
        <v>4468</v>
      </c>
    </row>
    <row r="2373" customFormat="false" ht="12.8" hidden="false" customHeight="false" outlineLevel="0" collapsed="false">
      <c r="A2373" s="10" t="n">
        <f aca="false">A2372+1</f>
        <v>2372</v>
      </c>
      <c r="B2373" s="11" t="n">
        <f aca="false">B2372+1</f>
        <v>47298</v>
      </c>
      <c r="C2373" s="10" t="n">
        <f aca="false">YEAR(B2373)</f>
        <v>2029</v>
      </c>
      <c r="D2373" s="10" t="n">
        <f aca="false">INT((MONTH(B2373)-1)/3)+1</f>
        <v>2</v>
      </c>
      <c r="E2373" s="10" t="n">
        <f aca="false">MONTH(B2373)</f>
        <v>6</v>
      </c>
      <c r="F2373" s="10" t="str">
        <f aca="false">CHOOSE(MOD(A2373-1,5)+1,"Центр","Юг","Север","Запад","Восток")</f>
        <v>Юг</v>
      </c>
      <c r="G2373" s="10" t="str">
        <f aca="false">"Округ_"&amp;(MOD(A2373-1,5)+1)&amp;"_"&amp;(MOD(INT((A2373-1)/5),5)+1)</f>
        <v>Округ_2_5</v>
      </c>
      <c r="H2373" s="10" t="str">
        <f aca="false">"Город_"&amp;(MOD(A2373-1,5)+1)&amp;"_"&amp;(MOD(INT((A2373-1)/5),5)+1)&amp;"_"&amp;(MOD(INT((A2373-1)/25),10)+1)</f>
        <v>Город_2_5_5</v>
      </c>
      <c r="I2373" s="10" t="str">
        <f aca="false">CHOOSE(MOD(A2373-1,4)+1,"Электроника","Одежда","Продукты","Мебель")</f>
        <v>Мебель</v>
      </c>
      <c r="J2373" s="10" t="str">
        <f aca="false">CHOOSE(MOD(INT((A2373-1)/4),4)+1,CHOOSE(MOD(A2373-1,4)+1,"Смартфоны","Ноутбуки","Аксессуары","Аудио"),CHOOSE(MOD(A2373-1,4)+1,"Верхняя одежда","Спортивная","Повседневная","Обувь"),CHOOSE(MOD(A2373-1,4)+1,"Молочные","Мясные","Бакалея","Напитки"),CHOOSE(MOD(A2373-1,4)+1,"Мягкая мебель","Корпусная","Офисная","Кухонная"))</f>
        <v>Аудио</v>
      </c>
      <c r="K2373" s="12" t="n">
        <f aca="false">1000+MOD(A2373*317+A2373*A2373*7,49001)</f>
        <v>5793</v>
      </c>
      <c r="L2373" s="12" t="n">
        <f aca="false">1+MOD(A2373*131,100)</f>
        <v>33</v>
      </c>
      <c r="M2373" s="12" t="n">
        <f aca="false">INT(K2373*(0.6+MOD(A2373*43,21)/100))</f>
        <v>4634</v>
      </c>
      <c r="N2373" s="12" t="n">
        <f aca="false">K2373-M2373</f>
        <v>1159</v>
      </c>
    </row>
    <row r="2374" customFormat="false" ht="12.8" hidden="false" customHeight="false" outlineLevel="0" collapsed="false">
      <c r="A2374" s="10" t="n">
        <f aca="false">A2373+1</f>
        <v>2373</v>
      </c>
      <c r="B2374" s="11" t="n">
        <f aca="false">B2373+1</f>
        <v>47299</v>
      </c>
      <c r="C2374" s="10" t="n">
        <f aca="false">YEAR(B2374)</f>
        <v>2029</v>
      </c>
      <c r="D2374" s="10" t="n">
        <f aca="false">INT((MONTH(B2374)-1)/3)+1</f>
        <v>2</v>
      </c>
      <c r="E2374" s="10" t="n">
        <f aca="false">MONTH(B2374)</f>
        <v>6</v>
      </c>
      <c r="F2374" s="10" t="str">
        <f aca="false">CHOOSE(MOD(A2374-1,5)+1,"Центр","Юг","Север","Запад","Восток")</f>
        <v>Север</v>
      </c>
      <c r="G2374" s="10" t="str">
        <f aca="false">"Округ_"&amp;(MOD(A2374-1,5)+1)&amp;"_"&amp;(MOD(INT((A2374-1)/5),5)+1)</f>
        <v>Округ_3_5</v>
      </c>
      <c r="H2374" s="10" t="str">
        <f aca="false">"Город_"&amp;(MOD(A2374-1,5)+1)&amp;"_"&amp;(MOD(INT((A2374-1)/5),5)+1)&amp;"_"&amp;(MOD(INT((A2374-1)/25),10)+1)</f>
        <v>Город_3_5_5</v>
      </c>
      <c r="I2374" s="10" t="str">
        <f aca="false">CHOOSE(MOD(A2374-1,4)+1,"Электроника","Одежда","Продукты","Мебель")</f>
        <v>Электроника</v>
      </c>
      <c r="J2374" s="10" t="str">
        <f aca="false">CHOOSE(MOD(INT((A2374-1)/4),4)+1,CHOOSE(MOD(A2374-1,4)+1,"Смартфоны","Ноутбуки","Аксессуары","Аудио"),CHOOSE(MOD(A2374-1,4)+1,"Верхняя одежда","Спортивная","Повседневная","Обувь"),CHOOSE(MOD(A2374-1,4)+1,"Молочные","Мясные","Бакалея","Напитки"),CHOOSE(MOD(A2374-1,4)+1,"Мягкая мебель","Корпусная","Офисная","Кухонная"))</f>
        <v>Верхняя одежда</v>
      </c>
      <c r="K2374" s="12" t="n">
        <f aca="false">1000+MOD(A2374*317+A2374*A2374*7,49001)</f>
        <v>39325</v>
      </c>
      <c r="L2374" s="12" t="n">
        <f aca="false">1+MOD(A2374*131,100)</f>
        <v>64</v>
      </c>
      <c r="M2374" s="12" t="n">
        <f aca="false">INT(K2374*(0.6+MOD(A2374*43,21)/100))</f>
        <v>23595</v>
      </c>
      <c r="N2374" s="12" t="n">
        <f aca="false">K2374-M2374</f>
        <v>15730</v>
      </c>
    </row>
    <row r="2375" customFormat="false" ht="12.8" hidden="false" customHeight="false" outlineLevel="0" collapsed="false">
      <c r="A2375" s="10" t="n">
        <f aca="false">A2374+1</f>
        <v>2374</v>
      </c>
      <c r="B2375" s="11" t="n">
        <f aca="false">B2374+1</f>
        <v>47300</v>
      </c>
      <c r="C2375" s="10" t="n">
        <f aca="false">YEAR(B2375)</f>
        <v>2029</v>
      </c>
      <c r="D2375" s="10" t="n">
        <f aca="false">INT((MONTH(B2375)-1)/3)+1</f>
        <v>3</v>
      </c>
      <c r="E2375" s="10" t="n">
        <f aca="false">MONTH(B2375)</f>
        <v>7</v>
      </c>
      <c r="F2375" s="10" t="str">
        <f aca="false">CHOOSE(MOD(A2375-1,5)+1,"Центр","Юг","Север","Запад","Восток")</f>
        <v>Запад</v>
      </c>
      <c r="G2375" s="10" t="str">
        <f aca="false">"Округ_"&amp;(MOD(A2375-1,5)+1)&amp;"_"&amp;(MOD(INT((A2375-1)/5),5)+1)</f>
        <v>Округ_4_5</v>
      </c>
      <c r="H2375" s="10" t="str">
        <f aca="false">"Город_"&amp;(MOD(A2375-1,5)+1)&amp;"_"&amp;(MOD(INT((A2375-1)/5),5)+1)&amp;"_"&amp;(MOD(INT((A2375-1)/25),10)+1)</f>
        <v>Город_4_5_5</v>
      </c>
      <c r="I2375" s="10" t="str">
        <f aca="false">CHOOSE(MOD(A2375-1,4)+1,"Электроника","Одежда","Продукты","Мебель")</f>
        <v>Одежда</v>
      </c>
      <c r="J2375" s="10" t="str">
        <f aca="false">CHOOSE(MOD(INT((A2375-1)/4),4)+1,CHOOSE(MOD(A2375-1,4)+1,"Смартфоны","Ноутбуки","Аксессуары","Аудио"),CHOOSE(MOD(A2375-1,4)+1,"Верхняя одежда","Спортивная","Повседневная","Обувь"),CHOOSE(MOD(A2375-1,4)+1,"Молочные","Мясные","Бакалея","Напитки"),CHOOSE(MOD(A2375-1,4)+1,"Мягкая мебель","Корпусная","Офисная","Кухонная"))</f>
        <v>Спортивная</v>
      </c>
      <c r="K2375" s="12" t="n">
        <f aca="false">1000+MOD(A2375*317+A2375*A2375*7,49001)</f>
        <v>23870</v>
      </c>
      <c r="L2375" s="12" t="n">
        <f aca="false">1+MOD(A2375*131,100)</f>
        <v>95</v>
      </c>
      <c r="M2375" s="12" t="n">
        <f aca="false">INT(K2375*(0.6+MOD(A2375*43,21)/100))</f>
        <v>14560</v>
      </c>
      <c r="N2375" s="12" t="n">
        <f aca="false">K2375-M2375</f>
        <v>9310</v>
      </c>
    </row>
    <row r="2376" customFormat="false" ht="12.8" hidden="false" customHeight="false" outlineLevel="0" collapsed="false">
      <c r="A2376" s="10" t="n">
        <f aca="false">A2375+1</f>
        <v>2375</v>
      </c>
      <c r="B2376" s="11" t="n">
        <f aca="false">B2375+1</f>
        <v>47301</v>
      </c>
      <c r="C2376" s="10" t="n">
        <f aca="false">YEAR(B2376)</f>
        <v>2029</v>
      </c>
      <c r="D2376" s="10" t="n">
        <f aca="false">INT((MONTH(B2376)-1)/3)+1</f>
        <v>3</v>
      </c>
      <c r="E2376" s="10" t="n">
        <f aca="false">MONTH(B2376)</f>
        <v>7</v>
      </c>
      <c r="F2376" s="10" t="str">
        <f aca="false">CHOOSE(MOD(A2376-1,5)+1,"Центр","Юг","Север","Запад","Восток")</f>
        <v>Восток</v>
      </c>
      <c r="G2376" s="10" t="str">
        <f aca="false">"Округ_"&amp;(MOD(A2376-1,5)+1)&amp;"_"&amp;(MOD(INT((A2376-1)/5),5)+1)</f>
        <v>Округ_5_5</v>
      </c>
      <c r="H2376" s="10" t="str">
        <f aca="false">"Город_"&amp;(MOD(A2376-1,5)+1)&amp;"_"&amp;(MOD(INT((A2376-1)/5),5)+1)&amp;"_"&amp;(MOD(INT((A2376-1)/25),10)+1)</f>
        <v>Город_5_5_5</v>
      </c>
      <c r="I2376" s="10" t="str">
        <f aca="false">CHOOSE(MOD(A2376-1,4)+1,"Электроника","Одежда","Продукты","Мебель")</f>
        <v>Продукты</v>
      </c>
      <c r="J2376" s="10" t="str">
        <f aca="false">CHOOSE(MOD(INT((A2376-1)/4),4)+1,CHOOSE(MOD(A2376-1,4)+1,"Смартфоны","Ноутбуки","Аксессуары","Аудио"),CHOOSE(MOD(A2376-1,4)+1,"Верхняя одежда","Спортивная","Повседневная","Обувь"),CHOOSE(MOD(A2376-1,4)+1,"Молочные","Мясные","Бакалея","Напитки"),CHOOSE(MOD(A2376-1,4)+1,"Мягкая мебель","Корпусная","Офисная","Кухонная"))</f>
        <v>Повседневная</v>
      </c>
      <c r="K2376" s="12" t="n">
        <f aca="false">1000+MOD(A2376*317+A2376*A2376*7,49001)</f>
        <v>8429</v>
      </c>
      <c r="L2376" s="12" t="n">
        <f aca="false">1+MOD(A2376*131,100)</f>
        <v>26</v>
      </c>
      <c r="M2376" s="12" t="n">
        <f aca="false">INT(K2376*(0.6+MOD(A2376*43,21)/100))</f>
        <v>5225</v>
      </c>
      <c r="N2376" s="12" t="n">
        <f aca="false">K2376-M2376</f>
        <v>3204</v>
      </c>
    </row>
    <row r="2377" customFormat="false" ht="12.8" hidden="false" customHeight="false" outlineLevel="0" collapsed="false">
      <c r="A2377" s="10" t="n">
        <f aca="false">A2376+1</f>
        <v>2376</v>
      </c>
      <c r="B2377" s="11" t="n">
        <f aca="false">B2376+1</f>
        <v>47302</v>
      </c>
      <c r="C2377" s="10" t="n">
        <f aca="false">YEAR(B2377)</f>
        <v>2029</v>
      </c>
      <c r="D2377" s="10" t="n">
        <f aca="false">INT((MONTH(B2377)-1)/3)+1</f>
        <v>3</v>
      </c>
      <c r="E2377" s="10" t="n">
        <f aca="false">MONTH(B2377)</f>
        <v>7</v>
      </c>
      <c r="F2377" s="10" t="str">
        <f aca="false">CHOOSE(MOD(A2377-1,5)+1,"Центр","Юг","Север","Запад","Восток")</f>
        <v>Центр</v>
      </c>
      <c r="G2377" s="10" t="str">
        <f aca="false">"Округ_"&amp;(MOD(A2377-1,5)+1)&amp;"_"&amp;(MOD(INT((A2377-1)/5),5)+1)</f>
        <v>Округ_1_1</v>
      </c>
      <c r="H2377" s="10" t="str">
        <f aca="false">"Город_"&amp;(MOD(A2377-1,5)+1)&amp;"_"&amp;(MOD(INT((A2377-1)/5),5)+1)&amp;"_"&amp;(MOD(INT((A2377-1)/25),10)+1)</f>
        <v>Город_1_1_6</v>
      </c>
      <c r="I2377" s="10" t="str">
        <f aca="false">CHOOSE(MOD(A2377-1,4)+1,"Электроника","Одежда","Продукты","Мебель")</f>
        <v>Мебель</v>
      </c>
      <c r="J2377" s="10" t="str">
        <f aca="false">CHOOSE(MOD(INT((A2377-1)/4),4)+1,CHOOSE(MOD(A2377-1,4)+1,"Смартфоны","Ноутбуки","Аксессуары","Аудио"),CHOOSE(MOD(A2377-1,4)+1,"Верхняя одежда","Спортивная","Повседневная","Обувь"),CHOOSE(MOD(A2377-1,4)+1,"Молочные","Мясные","Бакалея","Напитки"),CHOOSE(MOD(A2377-1,4)+1,"Мягкая мебель","Корпусная","Офисная","Кухонная"))</f>
        <v>Обувь</v>
      </c>
      <c r="K2377" s="12" t="n">
        <f aca="false">1000+MOD(A2377*317+A2377*A2377*7,49001)</f>
        <v>42003</v>
      </c>
      <c r="L2377" s="12" t="n">
        <f aca="false">1+MOD(A2377*131,100)</f>
        <v>57</v>
      </c>
      <c r="M2377" s="12" t="n">
        <f aca="false">INT(K2377*(0.6+MOD(A2377*43,21)/100))</f>
        <v>26461</v>
      </c>
      <c r="N2377" s="12" t="n">
        <f aca="false">K2377-M2377</f>
        <v>15542</v>
      </c>
    </row>
    <row r="2378" customFormat="false" ht="12.8" hidden="false" customHeight="false" outlineLevel="0" collapsed="false">
      <c r="A2378" s="10" t="n">
        <f aca="false">A2377+1</f>
        <v>2377</v>
      </c>
      <c r="B2378" s="11" t="n">
        <f aca="false">B2377+1</f>
        <v>47303</v>
      </c>
      <c r="C2378" s="10" t="n">
        <f aca="false">YEAR(B2378)</f>
        <v>2029</v>
      </c>
      <c r="D2378" s="10" t="n">
        <f aca="false">INT((MONTH(B2378)-1)/3)+1</f>
        <v>3</v>
      </c>
      <c r="E2378" s="10" t="n">
        <f aca="false">MONTH(B2378)</f>
        <v>7</v>
      </c>
      <c r="F2378" s="10" t="str">
        <f aca="false">CHOOSE(MOD(A2378-1,5)+1,"Центр","Юг","Север","Запад","Восток")</f>
        <v>Юг</v>
      </c>
      <c r="G2378" s="10" t="str">
        <f aca="false">"Округ_"&amp;(MOD(A2378-1,5)+1)&amp;"_"&amp;(MOD(INT((A2378-1)/5),5)+1)</f>
        <v>Округ_2_1</v>
      </c>
      <c r="H2378" s="10" t="str">
        <f aca="false">"Город_"&amp;(MOD(A2378-1,5)+1)&amp;"_"&amp;(MOD(INT((A2378-1)/5),5)+1)&amp;"_"&amp;(MOD(INT((A2378-1)/25),10)+1)</f>
        <v>Город_2_1_6</v>
      </c>
      <c r="I2378" s="10" t="str">
        <f aca="false">CHOOSE(MOD(A2378-1,4)+1,"Электроника","Одежда","Продукты","Мебель")</f>
        <v>Электроника</v>
      </c>
      <c r="J2378" s="10" t="str">
        <f aca="false">CHOOSE(MOD(INT((A2378-1)/4),4)+1,CHOOSE(MOD(A2378-1,4)+1,"Смартфоны","Ноутбуки","Аксессуары","Аудио"),CHOOSE(MOD(A2378-1,4)+1,"Верхняя одежда","Спортивная","Повседневная","Обувь"),CHOOSE(MOD(A2378-1,4)+1,"Молочные","Мясные","Бакалея","Напитки"),CHOOSE(MOD(A2378-1,4)+1,"Мягкая мебель","Корпусная","Офисная","Кухонная"))</f>
        <v>Молочные</v>
      </c>
      <c r="K2378" s="12" t="n">
        <f aca="false">1000+MOD(A2378*317+A2378*A2378*7,49001)</f>
        <v>26590</v>
      </c>
      <c r="L2378" s="12" t="n">
        <f aca="false">1+MOD(A2378*131,100)</f>
        <v>88</v>
      </c>
      <c r="M2378" s="12" t="n">
        <f aca="false">INT(K2378*(0.6+MOD(A2378*43,21)/100))</f>
        <v>17017</v>
      </c>
      <c r="N2378" s="12" t="n">
        <f aca="false">K2378-M2378</f>
        <v>9573</v>
      </c>
    </row>
    <row r="2379" customFormat="false" ht="12.8" hidden="false" customHeight="false" outlineLevel="0" collapsed="false">
      <c r="A2379" s="10" t="n">
        <f aca="false">A2378+1</f>
        <v>2378</v>
      </c>
      <c r="B2379" s="11" t="n">
        <f aca="false">B2378+1</f>
        <v>47304</v>
      </c>
      <c r="C2379" s="10" t="n">
        <f aca="false">YEAR(B2379)</f>
        <v>2029</v>
      </c>
      <c r="D2379" s="10" t="n">
        <f aca="false">INT((MONTH(B2379)-1)/3)+1</f>
        <v>3</v>
      </c>
      <c r="E2379" s="10" t="n">
        <f aca="false">MONTH(B2379)</f>
        <v>7</v>
      </c>
      <c r="F2379" s="10" t="str">
        <f aca="false">CHOOSE(MOD(A2379-1,5)+1,"Центр","Юг","Север","Запад","Восток")</f>
        <v>Север</v>
      </c>
      <c r="G2379" s="10" t="str">
        <f aca="false">"Округ_"&amp;(MOD(A2379-1,5)+1)&amp;"_"&amp;(MOD(INT((A2379-1)/5),5)+1)</f>
        <v>Округ_3_1</v>
      </c>
      <c r="H2379" s="10" t="str">
        <f aca="false">"Город_"&amp;(MOD(A2379-1,5)+1)&amp;"_"&amp;(MOD(INT((A2379-1)/5),5)+1)&amp;"_"&amp;(MOD(INT((A2379-1)/25),10)+1)</f>
        <v>Город_3_1_6</v>
      </c>
      <c r="I2379" s="10" t="str">
        <f aca="false">CHOOSE(MOD(A2379-1,4)+1,"Электроника","Одежда","Продукты","Мебель")</f>
        <v>Одежда</v>
      </c>
      <c r="J2379" s="10" t="str">
        <f aca="false">CHOOSE(MOD(INT((A2379-1)/4),4)+1,CHOOSE(MOD(A2379-1,4)+1,"Смартфоны","Ноутбуки","Аксессуары","Аудио"),CHOOSE(MOD(A2379-1,4)+1,"Верхняя одежда","Спортивная","Повседневная","Обувь"),CHOOSE(MOD(A2379-1,4)+1,"Молочные","Мясные","Бакалея","Напитки"),CHOOSE(MOD(A2379-1,4)+1,"Мягкая мебель","Корпусная","Офисная","Кухонная"))</f>
        <v>Мясные</v>
      </c>
      <c r="K2379" s="12" t="n">
        <f aca="false">1000+MOD(A2379*317+A2379*A2379*7,49001)</f>
        <v>11191</v>
      </c>
      <c r="L2379" s="12" t="n">
        <f aca="false">1+MOD(A2379*131,100)</f>
        <v>19</v>
      </c>
      <c r="M2379" s="12" t="n">
        <f aca="false">INT(K2379*(0.6+MOD(A2379*43,21)/100))</f>
        <v>7274</v>
      </c>
      <c r="N2379" s="12" t="n">
        <f aca="false">K2379-M2379</f>
        <v>3917</v>
      </c>
    </row>
    <row r="2380" customFormat="false" ht="12.8" hidden="false" customHeight="false" outlineLevel="0" collapsed="false">
      <c r="A2380" s="10" t="n">
        <f aca="false">A2379+1</f>
        <v>2379</v>
      </c>
      <c r="B2380" s="11" t="n">
        <f aca="false">B2379+1</f>
        <v>47305</v>
      </c>
      <c r="C2380" s="10" t="n">
        <f aca="false">YEAR(B2380)</f>
        <v>2029</v>
      </c>
      <c r="D2380" s="10" t="n">
        <f aca="false">INT((MONTH(B2380)-1)/3)+1</f>
        <v>3</v>
      </c>
      <c r="E2380" s="10" t="n">
        <f aca="false">MONTH(B2380)</f>
        <v>7</v>
      </c>
      <c r="F2380" s="10" t="str">
        <f aca="false">CHOOSE(MOD(A2380-1,5)+1,"Центр","Юг","Север","Запад","Восток")</f>
        <v>Запад</v>
      </c>
      <c r="G2380" s="10" t="str">
        <f aca="false">"Округ_"&amp;(MOD(A2380-1,5)+1)&amp;"_"&amp;(MOD(INT((A2380-1)/5),5)+1)</f>
        <v>Округ_4_1</v>
      </c>
      <c r="H2380" s="10" t="str">
        <f aca="false">"Город_"&amp;(MOD(A2380-1,5)+1)&amp;"_"&amp;(MOD(INT((A2380-1)/5),5)+1)&amp;"_"&amp;(MOD(INT((A2380-1)/25),10)+1)</f>
        <v>Город_4_1_6</v>
      </c>
      <c r="I2380" s="10" t="str">
        <f aca="false">CHOOSE(MOD(A2380-1,4)+1,"Электроника","Одежда","Продукты","Мебель")</f>
        <v>Продукты</v>
      </c>
      <c r="J2380" s="10" t="str">
        <f aca="false">CHOOSE(MOD(INT((A2380-1)/4),4)+1,CHOOSE(MOD(A2380-1,4)+1,"Смартфоны","Ноутбуки","Аксессуары","Аудио"),CHOOSE(MOD(A2380-1,4)+1,"Верхняя одежда","Спортивная","Повседневная","Обувь"),CHOOSE(MOD(A2380-1,4)+1,"Молочные","Мясные","Бакалея","Напитки"),CHOOSE(MOD(A2380-1,4)+1,"Мягкая мебель","Корпусная","Офисная","Кухонная"))</f>
        <v>Бакалея</v>
      </c>
      <c r="K2380" s="12" t="n">
        <f aca="false">1000+MOD(A2380*317+A2380*A2380*7,49001)</f>
        <v>44807</v>
      </c>
      <c r="L2380" s="12" t="n">
        <f aca="false">1+MOD(A2380*131,100)</f>
        <v>50</v>
      </c>
      <c r="M2380" s="12" t="n">
        <f aca="false">INT(K2380*(0.6+MOD(A2380*43,21)/100))</f>
        <v>29572</v>
      </c>
      <c r="N2380" s="12" t="n">
        <f aca="false">K2380-M2380</f>
        <v>15235</v>
      </c>
    </row>
    <row r="2381" customFormat="false" ht="12.8" hidden="false" customHeight="false" outlineLevel="0" collapsed="false">
      <c r="A2381" s="10" t="n">
        <f aca="false">A2380+1</f>
        <v>2380</v>
      </c>
      <c r="B2381" s="11" t="n">
        <f aca="false">B2380+1</f>
        <v>47306</v>
      </c>
      <c r="C2381" s="10" t="n">
        <f aca="false">YEAR(B2381)</f>
        <v>2029</v>
      </c>
      <c r="D2381" s="10" t="n">
        <f aca="false">INT((MONTH(B2381)-1)/3)+1</f>
        <v>3</v>
      </c>
      <c r="E2381" s="10" t="n">
        <f aca="false">MONTH(B2381)</f>
        <v>7</v>
      </c>
      <c r="F2381" s="10" t="str">
        <f aca="false">CHOOSE(MOD(A2381-1,5)+1,"Центр","Юг","Север","Запад","Восток")</f>
        <v>Восток</v>
      </c>
      <c r="G2381" s="10" t="str">
        <f aca="false">"Округ_"&amp;(MOD(A2381-1,5)+1)&amp;"_"&amp;(MOD(INT((A2381-1)/5),5)+1)</f>
        <v>Округ_5_1</v>
      </c>
      <c r="H2381" s="10" t="str">
        <f aca="false">"Город_"&amp;(MOD(A2381-1,5)+1)&amp;"_"&amp;(MOD(INT((A2381-1)/5),5)+1)&amp;"_"&amp;(MOD(INT((A2381-1)/25),10)+1)</f>
        <v>Город_5_1_6</v>
      </c>
      <c r="I2381" s="10" t="str">
        <f aca="false">CHOOSE(MOD(A2381-1,4)+1,"Электроника","Одежда","Продукты","Мебель")</f>
        <v>Мебель</v>
      </c>
      <c r="J2381" s="10" t="str">
        <f aca="false">CHOOSE(MOD(INT((A2381-1)/4),4)+1,CHOOSE(MOD(A2381-1,4)+1,"Смартфоны","Ноутбуки","Аксессуары","Аудио"),CHOOSE(MOD(A2381-1,4)+1,"Верхняя одежда","Спортивная","Повседневная","Обувь"),CHOOSE(MOD(A2381-1,4)+1,"Молочные","Мясные","Бакалея","Напитки"),CHOOSE(MOD(A2381-1,4)+1,"Мягкая мебель","Корпусная","Офисная","Кухонная"))</f>
        <v>Напитки</v>
      </c>
      <c r="K2381" s="12" t="n">
        <f aca="false">1000+MOD(A2381*317+A2381*A2381*7,49001)</f>
        <v>29436</v>
      </c>
      <c r="L2381" s="12" t="n">
        <f aca="false">1+MOD(A2381*131,100)</f>
        <v>81</v>
      </c>
      <c r="M2381" s="12" t="n">
        <f aca="false">INT(K2381*(0.6+MOD(A2381*43,21)/100))</f>
        <v>19722</v>
      </c>
      <c r="N2381" s="12" t="n">
        <f aca="false">K2381-M2381</f>
        <v>9714</v>
      </c>
    </row>
    <row r="2382" customFormat="false" ht="12.8" hidden="false" customHeight="false" outlineLevel="0" collapsed="false">
      <c r="A2382" s="10" t="n">
        <f aca="false">A2381+1</f>
        <v>2381</v>
      </c>
      <c r="B2382" s="11" t="n">
        <f aca="false">B2381+1</f>
        <v>47307</v>
      </c>
      <c r="C2382" s="10" t="n">
        <f aca="false">YEAR(B2382)</f>
        <v>2029</v>
      </c>
      <c r="D2382" s="10" t="n">
        <f aca="false">INT((MONTH(B2382)-1)/3)+1</f>
        <v>3</v>
      </c>
      <c r="E2382" s="10" t="n">
        <f aca="false">MONTH(B2382)</f>
        <v>7</v>
      </c>
      <c r="F2382" s="10" t="str">
        <f aca="false">CHOOSE(MOD(A2382-1,5)+1,"Центр","Юг","Север","Запад","Восток")</f>
        <v>Центр</v>
      </c>
      <c r="G2382" s="10" t="str">
        <f aca="false">"Округ_"&amp;(MOD(A2382-1,5)+1)&amp;"_"&amp;(MOD(INT((A2382-1)/5),5)+1)</f>
        <v>Округ_1_2</v>
      </c>
      <c r="H2382" s="10" t="str">
        <f aca="false">"Город_"&amp;(MOD(A2382-1,5)+1)&amp;"_"&amp;(MOD(INT((A2382-1)/5),5)+1)&amp;"_"&amp;(MOD(INT((A2382-1)/25),10)+1)</f>
        <v>Город_1_2_6</v>
      </c>
      <c r="I2382" s="10" t="str">
        <f aca="false">CHOOSE(MOD(A2382-1,4)+1,"Электроника","Одежда","Продукты","Мебель")</f>
        <v>Электроника</v>
      </c>
      <c r="J2382" s="10" t="str">
        <f aca="false">CHOOSE(MOD(INT((A2382-1)/4),4)+1,CHOOSE(MOD(A2382-1,4)+1,"Смартфоны","Ноутбуки","Аксессуары","Аудио"),CHOOSE(MOD(A2382-1,4)+1,"Верхняя одежда","Спортивная","Повседневная","Обувь"),CHOOSE(MOD(A2382-1,4)+1,"Молочные","Мясные","Бакалея","Напитки"),CHOOSE(MOD(A2382-1,4)+1,"Мягкая мебель","Корпусная","Офисная","Кухонная"))</f>
        <v>Мягкая мебель</v>
      </c>
      <c r="K2382" s="12" t="n">
        <f aca="false">1000+MOD(A2382*317+A2382*A2382*7,49001)</f>
        <v>14079</v>
      </c>
      <c r="L2382" s="12" t="n">
        <f aca="false">1+MOD(A2382*131,100)</f>
        <v>12</v>
      </c>
      <c r="M2382" s="12" t="n">
        <f aca="false">INT(K2382*(0.6+MOD(A2382*43,21)/100))</f>
        <v>9573</v>
      </c>
      <c r="N2382" s="12" t="n">
        <f aca="false">K2382-M2382</f>
        <v>4506</v>
      </c>
    </row>
    <row r="2383" customFormat="false" ht="12.8" hidden="false" customHeight="false" outlineLevel="0" collapsed="false">
      <c r="A2383" s="10" t="n">
        <f aca="false">A2382+1</f>
        <v>2382</v>
      </c>
      <c r="B2383" s="11" t="n">
        <f aca="false">B2382+1</f>
        <v>47308</v>
      </c>
      <c r="C2383" s="10" t="n">
        <f aca="false">YEAR(B2383)</f>
        <v>2029</v>
      </c>
      <c r="D2383" s="10" t="n">
        <f aca="false">INT((MONTH(B2383)-1)/3)+1</f>
        <v>3</v>
      </c>
      <c r="E2383" s="10" t="n">
        <f aca="false">MONTH(B2383)</f>
        <v>7</v>
      </c>
      <c r="F2383" s="10" t="str">
        <f aca="false">CHOOSE(MOD(A2383-1,5)+1,"Центр","Юг","Север","Запад","Восток")</f>
        <v>Юг</v>
      </c>
      <c r="G2383" s="10" t="str">
        <f aca="false">"Округ_"&amp;(MOD(A2383-1,5)+1)&amp;"_"&amp;(MOD(INT((A2383-1)/5),5)+1)</f>
        <v>Округ_2_2</v>
      </c>
      <c r="H2383" s="10" t="str">
        <f aca="false">"Город_"&amp;(MOD(A2383-1,5)+1)&amp;"_"&amp;(MOD(INT((A2383-1)/5),5)+1)&amp;"_"&amp;(MOD(INT((A2383-1)/25),10)+1)</f>
        <v>Город_2_2_6</v>
      </c>
      <c r="I2383" s="10" t="str">
        <f aca="false">CHOOSE(MOD(A2383-1,4)+1,"Электроника","Одежда","Продукты","Мебель")</f>
        <v>Одежда</v>
      </c>
      <c r="J2383" s="10" t="str">
        <f aca="false">CHOOSE(MOD(INT((A2383-1)/4),4)+1,CHOOSE(MOD(A2383-1,4)+1,"Смартфоны","Ноутбуки","Аксессуары","Аудио"),CHOOSE(MOD(A2383-1,4)+1,"Верхняя одежда","Спортивная","Повседневная","Обувь"),CHOOSE(MOD(A2383-1,4)+1,"Молочные","Мясные","Бакалея","Напитки"),CHOOSE(MOD(A2383-1,4)+1,"Мягкая мебель","Корпусная","Офисная","Кухонная"))</f>
        <v>Корпусная</v>
      </c>
      <c r="K2383" s="12" t="n">
        <f aca="false">1000+MOD(A2383*317+A2383*A2383*7,49001)</f>
        <v>47737</v>
      </c>
      <c r="L2383" s="12" t="n">
        <f aca="false">1+MOD(A2383*131,100)</f>
        <v>43</v>
      </c>
      <c r="M2383" s="12" t="n">
        <f aca="false">INT(K2383*(0.6+MOD(A2383*43,21)/100))</f>
        <v>32938</v>
      </c>
      <c r="N2383" s="12" t="n">
        <f aca="false">K2383-M2383</f>
        <v>14799</v>
      </c>
    </row>
    <row r="2384" customFormat="false" ht="12.8" hidden="false" customHeight="false" outlineLevel="0" collapsed="false">
      <c r="A2384" s="10" t="n">
        <f aca="false">A2383+1</f>
        <v>2383</v>
      </c>
      <c r="B2384" s="11" t="n">
        <f aca="false">B2383+1</f>
        <v>47309</v>
      </c>
      <c r="C2384" s="10" t="n">
        <f aca="false">YEAR(B2384)</f>
        <v>2029</v>
      </c>
      <c r="D2384" s="10" t="n">
        <f aca="false">INT((MONTH(B2384)-1)/3)+1</f>
        <v>3</v>
      </c>
      <c r="E2384" s="10" t="n">
        <f aca="false">MONTH(B2384)</f>
        <v>7</v>
      </c>
      <c r="F2384" s="10" t="str">
        <f aca="false">CHOOSE(MOD(A2384-1,5)+1,"Центр","Юг","Север","Запад","Восток")</f>
        <v>Север</v>
      </c>
      <c r="G2384" s="10" t="str">
        <f aca="false">"Округ_"&amp;(MOD(A2384-1,5)+1)&amp;"_"&amp;(MOD(INT((A2384-1)/5),5)+1)</f>
        <v>Округ_3_2</v>
      </c>
      <c r="H2384" s="10" t="str">
        <f aca="false">"Город_"&amp;(MOD(A2384-1,5)+1)&amp;"_"&amp;(MOD(INT((A2384-1)/5),5)+1)&amp;"_"&amp;(MOD(INT((A2384-1)/25),10)+1)</f>
        <v>Город_3_2_6</v>
      </c>
      <c r="I2384" s="10" t="str">
        <f aca="false">CHOOSE(MOD(A2384-1,4)+1,"Электроника","Одежда","Продукты","Мебель")</f>
        <v>Продукты</v>
      </c>
      <c r="J2384" s="10" t="str">
        <f aca="false">CHOOSE(MOD(INT((A2384-1)/4),4)+1,CHOOSE(MOD(A2384-1,4)+1,"Смартфоны","Ноутбуки","Аксессуары","Аудио"),CHOOSE(MOD(A2384-1,4)+1,"Верхняя одежда","Спортивная","Повседневная","Обувь"),CHOOSE(MOD(A2384-1,4)+1,"Молочные","Мясные","Бакалея","Напитки"),CHOOSE(MOD(A2384-1,4)+1,"Мягкая мебель","Корпусная","Офисная","Кухонная"))</f>
        <v>Офисная</v>
      </c>
      <c r="K2384" s="12" t="n">
        <f aca="false">1000+MOD(A2384*317+A2384*A2384*7,49001)</f>
        <v>32408</v>
      </c>
      <c r="L2384" s="12" t="n">
        <f aca="false">1+MOD(A2384*131,100)</f>
        <v>74</v>
      </c>
      <c r="M2384" s="12" t="n">
        <f aca="false">INT(K2384*(0.6+MOD(A2384*43,21)/100))</f>
        <v>22685</v>
      </c>
      <c r="N2384" s="12" t="n">
        <f aca="false">K2384-M2384</f>
        <v>9723</v>
      </c>
    </row>
    <row r="2385" customFormat="false" ht="12.8" hidden="false" customHeight="false" outlineLevel="0" collapsed="false">
      <c r="A2385" s="10" t="n">
        <f aca="false">A2384+1</f>
        <v>2384</v>
      </c>
      <c r="B2385" s="11" t="n">
        <f aca="false">B2384+1</f>
        <v>47310</v>
      </c>
      <c r="C2385" s="10" t="n">
        <f aca="false">YEAR(B2385)</f>
        <v>2029</v>
      </c>
      <c r="D2385" s="10" t="n">
        <f aca="false">INT((MONTH(B2385)-1)/3)+1</f>
        <v>3</v>
      </c>
      <c r="E2385" s="10" t="n">
        <f aca="false">MONTH(B2385)</f>
        <v>7</v>
      </c>
      <c r="F2385" s="10" t="str">
        <f aca="false">CHOOSE(MOD(A2385-1,5)+1,"Центр","Юг","Север","Запад","Восток")</f>
        <v>Запад</v>
      </c>
      <c r="G2385" s="10" t="str">
        <f aca="false">"Округ_"&amp;(MOD(A2385-1,5)+1)&amp;"_"&amp;(MOD(INT((A2385-1)/5),5)+1)</f>
        <v>Округ_4_2</v>
      </c>
      <c r="H2385" s="10" t="str">
        <f aca="false">"Город_"&amp;(MOD(A2385-1,5)+1)&amp;"_"&amp;(MOD(INT((A2385-1)/5),5)+1)&amp;"_"&amp;(MOD(INT((A2385-1)/25),10)+1)</f>
        <v>Город_4_2_6</v>
      </c>
      <c r="I2385" s="10" t="str">
        <f aca="false">CHOOSE(MOD(A2385-1,4)+1,"Электроника","Одежда","Продукты","Мебель")</f>
        <v>Мебель</v>
      </c>
      <c r="J2385" s="10" t="str">
        <f aca="false">CHOOSE(MOD(INT((A2385-1)/4),4)+1,CHOOSE(MOD(A2385-1,4)+1,"Смартфоны","Ноутбуки","Аксессуары","Аудио"),CHOOSE(MOD(A2385-1,4)+1,"Верхняя одежда","Спортивная","Повседневная","Обувь"),CHOOSE(MOD(A2385-1,4)+1,"Молочные","Мясные","Бакалея","Напитки"),CHOOSE(MOD(A2385-1,4)+1,"Мягкая мебель","Корпусная","Офисная","Кухонная"))</f>
        <v>Кухонная</v>
      </c>
      <c r="K2385" s="12" t="n">
        <f aca="false">1000+MOD(A2385*317+A2385*A2385*7,49001)</f>
        <v>17093</v>
      </c>
      <c r="L2385" s="12" t="n">
        <f aca="false">1+MOD(A2385*131,100)</f>
        <v>5</v>
      </c>
      <c r="M2385" s="12" t="n">
        <f aca="false">INT(K2385*(0.6+MOD(A2385*43,21)/100))</f>
        <v>12136</v>
      </c>
      <c r="N2385" s="12" t="n">
        <f aca="false">K2385-M2385</f>
        <v>4957</v>
      </c>
    </row>
    <row r="2386" customFormat="false" ht="12.8" hidden="false" customHeight="false" outlineLevel="0" collapsed="false">
      <c r="A2386" s="10" t="n">
        <f aca="false">A2385+1</f>
        <v>2385</v>
      </c>
      <c r="B2386" s="11" t="n">
        <f aca="false">B2385+1</f>
        <v>47311</v>
      </c>
      <c r="C2386" s="10" t="n">
        <f aca="false">YEAR(B2386)</f>
        <v>2029</v>
      </c>
      <c r="D2386" s="10" t="n">
        <f aca="false">INT((MONTH(B2386)-1)/3)+1</f>
        <v>3</v>
      </c>
      <c r="E2386" s="10" t="n">
        <f aca="false">MONTH(B2386)</f>
        <v>7</v>
      </c>
      <c r="F2386" s="10" t="str">
        <f aca="false">CHOOSE(MOD(A2386-1,5)+1,"Центр","Юг","Север","Запад","Восток")</f>
        <v>Восток</v>
      </c>
      <c r="G2386" s="10" t="str">
        <f aca="false">"Округ_"&amp;(MOD(A2386-1,5)+1)&amp;"_"&amp;(MOD(INT((A2386-1)/5),5)+1)</f>
        <v>Округ_5_2</v>
      </c>
      <c r="H2386" s="10" t="str">
        <f aca="false">"Город_"&amp;(MOD(A2386-1,5)+1)&amp;"_"&amp;(MOD(INT((A2386-1)/5),5)+1)&amp;"_"&amp;(MOD(INT((A2386-1)/25),10)+1)</f>
        <v>Город_5_2_6</v>
      </c>
      <c r="I2386" s="10" t="str">
        <f aca="false">CHOOSE(MOD(A2386-1,4)+1,"Электроника","Одежда","Продукты","Мебель")</f>
        <v>Электроника</v>
      </c>
      <c r="J2386" s="10" t="str">
        <f aca="false">CHOOSE(MOD(INT((A2386-1)/4),4)+1,CHOOSE(MOD(A2386-1,4)+1,"Смартфоны","Ноутбуки","Аксессуары","Аудио"),CHOOSE(MOD(A2386-1,4)+1,"Верхняя одежда","Спортивная","Повседневная","Обувь"),CHOOSE(MOD(A2386-1,4)+1,"Молочные","Мясные","Бакалея","Напитки"),CHOOSE(MOD(A2386-1,4)+1,"Мягкая мебель","Корпусная","Офисная","Кухонная"))</f>
        <v>Смартфоны</v>
      </c>
      <c r="K2386" s="12" t="n">
        <f aca="false">1000+MOD(A2386*317+A2386*A2386*7,49001)</f>
        <v>1792</v>
      </c>
      <c r="L2386" s="12" t="n">
        <f aca="false">1+MOD(A2386*131,100)</f>
        <v>36</v>
      </c>
      <c r="M2386" s="12" t="n">
        <f aca="false">INT(K2386*(0.6+MOD(A2386*43,21)/100))</f>
        <v>1290</v>
      </c>
      <c r="N2386" s="12" t="n">
        <f aca="false">K2386-M2386</f>
        <v>502</v>
      </c>
    </row>
    <row r="2387" customFormat="false" ht="12.8" hidden="false" customHeight="false" outlineLevel="0" collapsed="false">
      <c r="A2387" s="10" t="n">
        <f aca="false">A2386+1</f>
        <v>2386</v>
      </c>
      <c r="B2387" s="11" t="n">
        <f aca="false">B2386+1</f>
        <v>47312</v>
      </c>
      <c r="C2387" s="10" t="n">
        <f aca="false">YEAR(B2387)</f>
        <v>2029</v>
      </c>
      <c r="D2387" s="10" t="n">
        <f aca="false">INT((MONTH(B2387)-1)/3)+1</f>
        <v>3</v>
      </c>
      <c r="E2387" s="10" t="n">
        <f aca="false">MONTH(B2387)</f>
        <v>7</v>
      </c>
      <c r="F2387" s="10" t="str">
        <f aca="false">CHOOSE(MOD(A2387-1,5)+1,"Центр","Юг","Север","Запад","Восток")</f>
        <v>Центр</v>
      </c>
      <c r="G2387" s="10" t="str">
        <f aca="false">"Округ_"&amp;(MOD(A2387-1,5)+1)&amp;"_"&amp;(MOD(INT((A2387-1)/5),5)+1)</f>
        <v>Округ_1_3</v>
      </c>
      <c r="H2387" s="10" t="str">
        <f aca="false">"Город_"&amp;(MOD(A2387-1,5)+1)&amp;"_"&amp;(MOD(INT((A2387-1)/5),5)+1)&amp;"_"&amp;(MOD(INT((A2387-1)/25),10)+1)</f>
        <v>Город_1_3_6</v>
      </c>
      <c r="I2387" s="10" t="str">
        <f aca="false">CHOOSE(MOD(A2387-1,4)+1,"Электроника","Одежда","Продукты","Мебель")</f>
        <v>Одежда</v>
      </c>
      <c r="J2387" s="10" t="str">
        <f aca="false">CHOOSE(MOD(INT((A2387-1)/4),4)+1,CHOOSE(MOD(A2387-1,4)+1,"Смартфоны","Ноутбуки","Аксессуары","Аудио"),CHOOSE(MOD(A2387-1,4)+1,"Верхняя одежда","Спортивная","Повседневная","Обувь"),CHOOSE(MOD(A2387-1,4)+1,"Молочные","Мясные","Бакалея","Напитки"),CHOOSE(MOD(A2387-1,4)+1,"Мягкая мебель","Корпусная","Офисная","Кухонная"))</f>
        <v>Ноутбуки</v>
      </c>
      <c r="K2387" s="12" t="n">
        <f aca="false">1000+MOD(A2387*317+A2387*A2387*7,49001)</f>
        <v>35506</v>
      </c>
      <c r="L2387" s="12" t="n">
        <f aca="false">1+MOD(A2387*131,100)</f>
        <v>67</v>
      </c>
      <c r="M2387" s="12" t="n">
        <f aca="false">INT(K2387*(0.6+MOD(A2387*43,21)/100))</f>
        <v>25919</v>
      </c>
      <c r="N2387" s="12" t="n">
        <f aca="false">K2387-M2387</f>
        <v>9587</v>
      </c>
    </row>
    <row r="2388" customFormat="false" ht="12.8" hidden="false" customHeight="false" outlineLevel="0" collapsed="false">
      <c r="A2388" s="10" t="n">
        <f aca="false">A2387+1</f>
        <v>2387</v>
      </c>
      <c r="B2388" s="11" t="n">
        <f aca="false">B2387+1</f>
        <v>47313</v>
      </c>
      <c r="C2388" s="10" t="n">
        <f aca="false">YEAR(B2388)</f>
        <v>2029</v>
      </c>
      <c r="D2388" s="10" t="n">
        <f aca="false">INT((MONTH(B2388)-1)/3)+1</f>
        <v>3</v>
      </c>
      <c r="E2388" s="10" t="n">
        <f aca="false">MONTH(B2388)</f>
        <v>7</v>
      </c>
      <c r="F2388" s="10" t="str">
        <f aca="false">CHOOSE(MOD(A2388-1,5)+1,"Центр","Юг","Север","Запад","Восток")</f>
        <v>Юг</v>
      </c>
      <c r="G2388" s="10" t="str">
        <f aca="false">"Округ_"&amp;(MOD(A2388-1,5)+1)&amp;"_"&amp;(MOD(INT((A2388-1)/5),5)+1)</f>
        <v>Округ_2_3</v>
      </c>
      <c r="H2388" s="10" t="str">
        <f aca="false">"Город_"&amp;(MOD(A2388-1,5)+1)&amp;"_"&amp;(MOD(INT((A2388-1)/5),5)+1)&amp;"_"&amp;(MOD(INT((A2388-1)/25),10)+1)</f>
        <v>Город_2_3_6</v>
      </c>
      <c r="I2388" s="10" t="str">
        <f aca="false">CHOOSE(MOD(A2388-1,4)+1,"Электроника","Одежда","Продукты","Мебель")</f>
        <v>Продукты</v>
      </c>
      <c r="J2388" s="10" t="str">
        <f aca="false">CHOOSE(MOD(INT((A2388-1)/4),4)+1,CHOOSE(MOD(A2388-1,4)+1,"Смартфоны","Ноутбуки","Аксессуары","Аудио"),CHOOSE(MOD(A2388-1,4)+1,"Верхняя одежда","Спортивная","Повседневная","Обувь"),CHOOSE(MOD(A2388-1,4)+1,"Молочные","Мясные","Бакалея","Напитки"),CHOOSE(MOD(A2388-1,4)+1,"Мягкая мебель","Корпусная","Офисная","Кухонная"))</f>
        <v>Аксессуары</v>
      </c>
      <c r="K2388" s="12" t="n">
        <f aca="false">1000+MOD(A2388*317+A2388*A2388*7,49001)</f>
        <v>20233</v>
      </c>
      <c r="L2388" s="12" t="n">
        <f aca="false">1+MOD(A2388*131,100)</f>
        <v>98</v>
      </c>
      <c r="M2388" s="12" t="n">
        <f aca="false">INT(K2388*(0.6+MOD(A2388*43,21)/100))</f>
        <v>14972</v>
      </c>
      <c r="N2388" s="12" t="n">
        <f aca="false">K2388-M2388</f>
        <v>5261</v>
      </c>
    </row>
    <row r="2389" customFormat="false" ht="12.8" hidden="false" customHeight="false" outlineLevel="0" collapsed="false">
      <c r="A2389" s="10" t="n">
        <f aca="false">A2388+1</f>
        <v>2388</v>
      </c>
      <c r="B2389" s="11" t="n">
        <f aca="false">B2388+1</f>
        <v>47314</v>
      </c>
      <c r="C2389" s="10" t="n">
        <f aca="false">YEAR(B2389)</f>
        <v>2029</v>
      </c>
      <c r="D2389" s="10" t="n">
        <f aca="false">INT((MONTH(B2389)-1)/3)+1</f>
        <v>3</v>
      </c>
      <c r="E2389" s="10" t="n">
        <f aca="false">MONTH(B2389)</f>
        <v>7</v>
      </c>
      <c r="F2389" s="10" t="str">
        <f aca="false">CHOOSE(MOD(A2389-1,5)+1,"Центр","Юг","Север","Запад","Восток")</f>
        <v>Север</v>
      </c>
      <c r="G2389" s="10" t="str">
        <f aca="false">"Округ_"&amp;(MOD(A2389-1,5)+1)&amp;"_"&amp;(MOD(INT((A2389-1)/5),5)+1)</f>
        <v>Округ_3_3</v>
      </c>
      <c r="H2389" s="10" t="str">
        <f aca="false">"Город_"&amp;(MOD(A2389-1,5)+1)&amp;"_"&amp;(MOD(INT((A2389-1)/5),5)+1)&amp;"_"&amp;(MOD(INT((A2389-1)/25),10)+1)</f>
        <v>Город_3_3_6</v>
      </c>
      <c r="I2389" s="10" t="str">
        <f aca="false">CHOOSE(MOD(A2389-1,4)+1,"Электроника","Одежда","Продукты","Мебель")</f>
        <v>Мебель</v>
      </c>
      <c r="J2389" s="10" t="str">
        <f aca="false">CHOOSE(MOD(INT((A2389-1)/4),4)+1,CHOOSE(MOD(A2389-1,4)+1,"Смартфоны","Ноутбуки","Аксессуары","Аудио"),CHOOSE(MOD(A2389-1,4)+1,"Верхняя одежда","Спортивная","Повседневная","Обувь"),CHOOSE(MOD(A2389-1,4)+1,"Молочные","Мясные","Бакалея","Напитки"),CHOOSE(MOD(A2389-1,4)+1,"Мягкая мебель","Корпусная","Офисная","Кухонная"))</f>
        <v>Аудио</v>
      </c>
      <c r="K2389" s="12" t="n">
        <f aca="false">1000+MOD(A2389*317+A2389*A2389*7,49001)</f>
        <v>4974</v>
      </c>
      <c r="L2389" s="12" t="n">
        <f aca="false">1+MOD(A2389*131,100)</f>
        <v>29</v>
      </c>
      <c r="M2389" s="12" t="n">
        <f aca="false">INT(K2389*(0.6+MOD(A2389*43,21)/100))</f>
        <v>3730</v>
      </c>
      <c r="N2389" s="12" t="n">
        <f aca="false">K2389-M2389</f>
        <v>1244</v>
      </c>
    </row>
    <row r="2390" customFormat="false" ht="12.8" hidden="false" customHeight="false" outlineLevel="0" collapsed="false">
      <c r="A2390" s="10" t="n">
        <f aca="false">A2389+1</f>
        <v>2389</v>
      </c>
      <c r="B2390" s="11" t="n">
        <f aca="false">B2389+1</f>
        <v>47315</v>
      </c>
      <c r="C2390" s="10" t="n">
        <f aca="false">YEAR(B2390)</f>
        <v>2029</v>
      </c>
      <c r="D2390" s="10" t="n">
        <f aca="false">INT((MONTH(B2390)-1)/3)+1</f>
        <v>3</v>
      </c>
      <c r="E2390" s="10" t="n">
        <f aca="false">MONTH(B2390)</f>
        <v>7</v>
      </c>
      <c r="F2390" s="10" t="str">
        <f aca="false">CHOOSE(MOD(A2390-1,5)+1,"Центр","Юг","Север","Запад","Восток")</f>
        <v>Запад</v>
      </c>
      <c r="G2390" s="10" t="str">
        <f aca="false">"Округ_"&amp;(MOD(A2390-1,5)+1)&amp;"_"&amp;(MOD(INT((A2390-1)/5),5)+1)</f>
        <v>Округ_4_3</v>
      </c>
      <c r="H2390" s="10" t="str">
        <f aca="false">"Город_"&amp;(MOD(A2390-1,5)+1)&amp;"_"&amp;(MOD(INT((A2390-1)/5),5)+1)&amp;"_"&amp;(MOD(INT((A2390-1)/25),10)+1)</f>
        <v>Город_4_3_6</v>
      </c>
      <c r="I2390" s="10" t="str">
        <f aca="false">CHOOSE(MOD(A2390-1,4)+1,"Электроника","Одежда","Продукты","Мебель")</f>
        <v>Электроника</v>
      </c>
      <c r="J2390" s="10" t="str">
        <f aca="false">CHOOSE(MOD(INT((A2390-1)/4),4)+1,CHOOSE(MOD(A2390-1,4)+1,"Смартфоны","Ноутбуки","Аксессуары","Аудио"),CHOOSE(MOD(A2390-1,4)+1,"Верхняя одежда","Спортивная","Повседневная","Обувь"),CHOOSE(MOD(A2390-1,4)+1,"Молочные","Мясные","Бакалея","Напитки"),CHOOSE(MOD(A2390-1,4)+1,"Мягкая мебель","Корпусная","Офисная","Кухонная"))</f>
        <v>Верхняя одежда</v>
      </c>
      <c r="K2390" s="12" t="n">
        <f aca="false">1000+MOD(A2390*317+A2390*A2390*7,49001)</f>
        <v>38730</v>
      </c>
      <c r="L2390" s="12" t="n">
        <f aca="false">1+MOD(A2390*131,100)</f>
        <v>60</v>
      </c>
      <c r="M2390" s="12" t="n">
        <f aca="false">INT(K2390*(0.6+MOD(A2390*43,21)/100))</f>
        <v>29434</v>
      </c>
      <c r="N2390" s="12" t="n">
        <f aca="false">K2390-M2390</f>
        <v>9296</v>
      </c>
    </row>
    <row r="2391" customFormat="false" ht="12.8" hidden="false" customHeight="false" outlineLevel="0" collapsed="false">
      <c r="A2391" s="10" t="n">
        <f aca="false">A2390+1</f>
        <v>2390</v>
      </c>
      <c r="B2391" s="11" t="n">
        <f aca="false">B2390+1</f>
        <v>47316</v>
      </c>
      <c r="C2391" s="10" t="n">
        <f aca="false">YEAR(B2391)</f>
        <v>2029</v>
      </c>
      <c r="D2391" s="10" t="n">
        <f aca="false">INT((MONTH(B2391)-1)/3)+1</f>
        <v>3</v>
      </c>
      <c r="E2391" s="10" t="n">
        <f aca="false">MONTH(B2391)</f>
        <v>7</v>
      </c>
      <c r="F2391" s="10" t="str">
        <f aca="false">CHOOSE(MOD(A2391-1,5)+1,"Центр","Юг","Север","Запад","Восток")</f>
        <v>Восток</v>
      </c>
      <c r="G2391" s="10" t="str">
        <f aca="false">"Округ_"&amp;(MOD(A2391-1,5)+1)&amp;"_"&amp;(MOD(INT((A2391-1)/5),5)+1)</f>
        <v>Округ_5_3</v>
      </c>
      <c r="H2391" s="10" t="str">
        <f aca="false">"Город_"&amp;(MOD(A2391-1,5)+1)&amp;"_"&amp;(MOD(INT((A2391-1)/5),5)+1)&amp;"_"&amp;(MOD(INT((A2391-1)/25),10)+1)</f>
        <v>Город_5_3_6</v>
      </c>
      <c r="I2391" s="10" t="str">
        <f aca="false">CHOOSE(MOD(A2391-1,4)+1,"Электроника","Одежда","Продукты","Мебель")</f>
        <v>Одежда</v>
      </c>
      <c r="J2391" s="10" t="str">
        <f aca="false">CHOOSE(MOD(INT((A2391-1)/4),4)+1,CHOOSE(MOD(A2391-1,4)+1,"Смартфоны","Ноутбуки","Аксессуары","Аудио"),CHOOSE(MOD(A2391-1,4)+1,"Верхняя одежда","Спортивная","Повседневная","Обувь"),CHOOSE(MOD(A2391-1,4)+1,"Молочные","Мясные","Бакалея","Напитки"),CHOOSE(MOD(A2391-1,4)+1,"Мягкая мебель","Корпусная","Офисная","Кухонная"))</f>
        <v>Спортивная</v>
      </c>
      <c r="K2391" s="12" t="n">
        <f aca="false">1000+MOD(A2391*317+A2391*A2391*7,49001)</f>
        <v>23499</v>
      </c>
      <c r="L2391" s="12" t="n">
        <f aca="false">1+MOD(A2391*131,100)</f>
        <v>91</v>
      </c>
      <c r="M2391" s="12" t="n">
        <f aca="false">INT(K2391*(0.6+MOD(A2391*43,21)/100))</f>
        <v>18094</v>
      </c>
      <c r="N2391" s="12" t="n">
        <f aca="false">K2391-M2391</f>
        <v>5405</v>
      </c>
    </row>
    <row r="2392" customFormat="false" ht="12.8" hidden="false" customHeight="false" outlineLevel="0" collapsed="false">
      <c r="A2392" s="10" t="n">
        <f aca="false">A2391+1</f>
        <v>2391</v>
      </c>
      <c r="B2392" s="11" t="n">
        <f aca="false">B2391+1</f>
        <v>47317</v>
      </c>
      <c r="C2392" s="10" t="n">
        <f aca="false">YEAR(B2392)</f>
        <v>2029</v>
      </c>
      <c r="D2392" s="10" t="n">
        <f aca="false">INT((MONTH(B2392)-1)/3)+1</f>
        <v>3</v>
      </c>
      <c r="E2392" s="10" t="n">
        <f aca="false">MONTH(B2392)</f>
        <v>7</v>
      </c>
      <c r="F2392" s="10" t="str">
        <f aca="false">CHOOSE(MOD(A2392-1,5)+1,"Центр","Юг","Север","Запад","Восток")</f>
        <v>Центр</v>
      </c>
      <c r="G2392" s="10" t="str">
        <f aca="false">"Округ_"&amp;(MOD(A2392-1,5)+1)&amp;"_"&amp;(MOD(INT((A2392-1)/5),5)+1)</f>
        <v>Округ_1_4</v>
      </c>
      <c r="H2392" s="10" t="str">
        <f aca="false">"Город_"&amp;(MOD(A2392-1,5)+1)&amp;"_"&amp;(MOD(INT((A2392-1)/5),5)+1)&amp;"_"&amp;(MOD(INT((A2392-1)/25),10)+1)</f>
        <v>Город_1_4_6</v>
      </c>
      <c r="I2392" s="10" t="str">
        <f aca="false">CHOOSE(MOD(A2392-1,4)+1,"Электроника","Одежда","Продукты","Мебель")</f>
        <v>Продукты</v>
      </c>
      <c r="J2392" s="10" t="str">
        <f aca="false">CHOOSE(MOD(INT((A2392-1)/4),4)+1,CHOOSE(MOD(A2392-1,4)+1,"Смартфоны","Ноутбуки","Аксессуары","Аудио"),CHOOSE(MOD(A2392-1,4)+1,"Верхняя одежда","Спортивная","Повседневная","Обувь"),CHOOSE(MOD(A2392-1,4)+1,"Молочные","Мясные","Бакалея","Напитки"),CHOOSE(MOD(A2392-1,4)+1,"Мягкая мебель","Корпусная","Офисная","Кухонная"))</f>
        <v>Повседневная</v>
      </c>
      <c r="K2392" s="12" t="n">
        <f aca="false">1000+MOD(A2392*317+A2392*A2392*7,49001)</f>
        <v>8282</v>
      </c>
      <c r="L2392" s="12" t="n">
        <f aca="false">1+MOD(A2392*131,100)</f>
        <v>22</v>
      </c>
      <c r="M2392" s="12" t="n">
        <f aca="false">INT(K2392*(0.6+MOD(A2392*43,21)/100))</f>
        <v>6459</v>
      </c>
      <c r="N2392" s="12" t="n">
        <f aca="false">K2392-M2392</f>
        <v>1823</v>
      </c>
    </row>
    <row r="2393" customFormat="false" ht="12.8" hidden="false" customHeight="false" outlineLevel="0" collapsed="false">
      <c r="A2393" s="10" t="n">
        <f aca="false">A2392+1</f>
        <v>2392</v>
      </c>
      <c r="B2393" s="11" t="n">
        <f aca="false">B2392+1</f>
        <v>47318</v>
      </c>
      <c r="C2393" s="10" t="n">
        <f aca="false">YEAR(B2393)</f>
        <v>2029</v>
      </c>
      <c r="D2393" s="10" t="n">
        <f aca="false">INT((MONTH(B2393)-1)/3)+1</f>
        <v>3</v>
      </c>
      <c r="E2393" s="10" t="n">
        <f aca="false">MONTH(B2393)</f>
        <v>7</v>
      </c>
      <c r="F2393" s="10" t="str">
        <f aca="false">CHOOSE(MOD(A2393-1,5)+1,"Центр","Юг","Север","Запад","Восток")</f>
        <v>Юг</v>
      </c>
      <c r="G2393" s="10" t="str">
        <f aca="false">"Округ_"&amp;(MOD(A2393-1,5)+1)&amp;"_"&amp;(MOD(INT((A2393-1)/5),5)+1)</f>
        <v>Округ_2_4</v>
      </c>
      <c r="H2393" s="10" t="str">
        <f aca="false">"Город_"&amp;(MOD(A2393-1,5)+1)&amp;"_"&amp;(MOD(INT((A2393-1)/5),5)+1)&amp;"_"&amp;(MOD(INT((A2393-1)/25),10)+1)</f>
        <v>Город_2_4_6</v>
      </c>
      <c r="I2393" s="10" t="str">
        <f aca="false">CHOOSE(MOD(A2393-1,4)+1,"Электроника","Одежда","Продукты","Мебель")</f>
        <v>Мебель</v>
      </c>
      <c r="J2393" s="10" t="str">
        <f aca="false">CHOOSE(MOD(INT((A2393-1)/4),4)+1,CHOOSE(MOD(A2393-1,4)+1,"Смартфоны","Ноутбуки","Аксессуары","Аудио"),CHOOSE(MOD(A2393-1,4)+1,"Верхняя одежда","Спортивная","Повседневная","Обувь"),CHOOSE(MOD(A2393-1,4)+1,"Молочные","Мясные","Бакалея","Напитки"),CHOOSE(MOD(A2393-1,4)+1,"Мягкая мебель","Корпусная","Офисная","Кухонная"))</f>
        <v>Обувь</v>
      </c>
      <c r="K2393" s="12" t="n">
        <f aca="false">1000+MOD(A2393*317+A2393*A2393*7,49001)</f>
        <v>42080</v>
      </c>
      <c r="L2393" s="12" t="n">
        <f aca="false">1+MOD(A2393*131,100)</f>
        <v>53</v>
      </c>
      <c r="M2393" s="12" t="n">
        <f aca="false">INT(K2393*(0.6+MOD(A2393*43,21)/100))</f>
        <v>33243</v>
      </c>
      <c r="N2393" s="12" t="n">
        <f aca="false">K2393-M2393</f>
        <v>8837</v>
      </c>
    </row>
    <row r="2394" customFormat="false" ht="12.8" hidden="false" customHeight="false" outlineLevel="0" collapsed="false">
      <c r="A2394" s="10" t="n">
        <f aca="false">A2393+1</f>
        <v>2393</v>
      </c>
      <c r="B2394" s="11" t="n">
        <f aca="false">B2393+1</f>
        <v>47319</v>
      </c>
      <c r="C2394" s="10" t="n">
        <f aca="false">YEAR(B2394)</f>
        <v>2029</v>
      </c>
      <c r="D2394" s="10" t="n">
        <f aca="false">INT((MONTH(B2394)-1)/3)+1</f>
        <v>3</v>
      </c>
      <c r="E2394" s="10" t="n">
        <f aca="false">MONTH(B2394)</f>
        <v>7</v>
      </c>
      <c r="F2394" s="10" t="str">
        <f aca="false">CHOOSE(MOD(A2394-1,5)+1,"Центр","Юг","Север","Запад","Восток")</f>
        <v>Север</v>
      </c>
      <c r="G2394" s="10" t="str">
        <f aca="false">"Округ_"&amp;(MOD(A2394-1,5)+1)&amp;"_"&amp;(MOD(INT((A2394-1)/5),5)+1)</f>
        <v>Округ_3_4</v>
      </c>
      <c r="H2394" s="10" t="str">
        <f aca="false">"Город_"&amp;(MOD(A2394-1,5)+1)&amp;"_"&amp;(MOD(INT((A2394-1)/5),5)+1)&amp;"_"&amp;(MOD(INT((A2394-1)/25),10)+1)</f>
        <v>Город_3_4_6</v>
      </c>
      <c r="I2394" s="10" t="str">
        <f aca="false">CHOOSE(MOD(A2394-1,4)+1,"Электроника","Одежда","Продукты","Мебель")</f>
        <v>Электроника</v>
      </c>
      <c r="J2394" s="10" t="str">
        <f aca="false">CHOOSE(MOD(INT((A2394-1)/4),4)+1,CHOOSE(MOD(A2394-1,4)+1,"Смартфоны","Ноутбуки","Аксессуары","Аудио"),CHOOSE(MOD(A2394-1,4)+1,"Верхняя одежда","Спортивная","Повседневная","Обувь"),CHOOSE(MOD(A2394-1,4)+1,"Молочные","Мясные","Бакалея","Напитки"),CHOOSE(MOD(A2394-1,4)+1,"Мягкая мебель","Корпусная","Офисная","Кухонная"))</f>
        <v>Молочные</v>
      </c>
      <c r="K2394" s="12" t="n">
        <f aca="false">1000+MOD(A2394*317+A2394*A2394*7,49001)</f>
        <v>26891</v>
      </c>
      <c r="L2394" s="12" t="n">
        <f aca="false">1+MOD(A2394*131,100)</f>
        <v>84</v>
      </c>
      <c r="M2394" s="12" t="n">
        <f aca="false">INT(K2394*(0.6+MOD(A2394*43,21)/100))</f>
        <v>21512</v>
      </c>
      <c r="N2394" s="12" t="n">
        <f aca="false">K2394-M2394</f>
        <v>5379</v>
      </c>
    </row>
    <row r="2395" customFormat="false" ht="12.8" hidden="false" customHeight="false" outlineLevel="0" collapsed="false">
      <c r="A2395" s="10" t="n">
        <f aca="false">A2394+1</f>
        <v>2394</v>
      </c>
      <c r="B2395" s="11" t="n">
        <f aca="false">B2394+1</f>
        <v>47320</v>
      </c>
      <c r="C2395" s="10" t="n">
        <f aca="false">YEAR(B2395)</f>
        <v>2029</v>
      </c>
      <c r="D2395" s="10" t="n">
        <f aca="false">INT((MONTH(B2395)-1)/3)+1</f>
        <v>3</v>
      </c>
      <c r="E2395" s="10" t="n">
        <f aca="false">MONTH(B2395)</f>
        <v>7</v>
      </c>
      <c r="F2395" s="10" t="str">
        <f aca="false">CHOOSE(MOD(A2395-1,5)+1,"Центр","Юг","Север","Запад","Восток")</f>
        <v>Запад</v>
      </c>
      <c r="G2395" s="10" t="str">
        <f aca="false">"Округ_"&amp;(MOD(A2395-1,5)+1)&amp;"_"&amp;(MOD(INT((A2395-1)/5),5)+1)</f>
        <v>Округ_4_4</v>
      </c>
      <c r="H2395" s="10" t="str">
        <f aca="false">"Город_"&amp;(MOD(A2395-1,5)+1)&amp;"_"&amp;(MOD(INT((A2395-1)/5),5)+1)&amp;"_"&amp;(MOD(INT((A2395-1)/25),10)+1)</f>
        <v>Город_4_4_6</v>
      </c>
      <c r="I2395" s="10" t="str">
        <f aca="false">CHOOSE(MOD(A2395-1,4)+1,"Электроника","Одежда","Продукты","Мебель")</f>
        <v>Одежда</v>
      </c>
      <c r="J2395" s="10" t="str">
        <f aca="false">CHOOSE(MOD(INT((A2395-1)/4),4)+1,CHOOSE(MOD(A2395-1,4)+1,"Смартфоны","Ноутбуки","Аксессуары","Аудио"),CHOOSE(MOD(A2395-1,4)+1,"Верхняя одежда","Спортивная","Повседневная","Обувь"),CHOOSE(MOD(A2395-1,4)+1,"Молочные","Мясные","Бакалея","Напитки"),CHOOSE(MOD(A2395-1,4)+1,"Мягкая мебель","Корпусная","Офисная","Кухонная"))</f>
        <v>Мясные</v>
      </c>
      <c r="K2395" s="12" t="n">
        <f aca="false">1000+MOD(A2395*317+A2395*A2395*7,49001)</f>
        <v>11716</v>
      </c>
      <c r="L2395" s="12" t="n">
        <f aca="false">1+MOD(A2395*131,100)</f>
        <v>15</v>
      </c>
      <c r="M2395" s="12" t="n">
        <f aca="false">INT(K2395*(0.6+MOD(A2395*43,21)/100))</f>
        <v>7029</v>
      </c>
      <c r="N2395" s="12" t="n">
        <f aca="false">K2395-M2395</f>
        <v>4687</v>
      </c>
    </row>
    <row r="2396" customFormat="false" ht="12.8" hidden="false" customHeight="false" outlineLevel="0" collapsed="false">
      <c r="A2396" s="10" t="n">
        <f aca="false">A2395+1</f>
        <v>2395</v>
      </c>
      <c r="B2396" s="11" t="n">
        <f aca="false">B2395+1</f>
        <v>47321</v>
      </c>
      <c r="C2396" s="10" t="n">
        <f aca="false">YEAR(B2396)</f>
        <v>2029</v>
      </c>
      <c r="D2396" s="10" t="n">
        <f aca="false">INT((MONTH(B2396)-1)/3)+1</f>
        <v>3</v>
      </c>
      <c r="E2396" s="10" t="n">
        <f aca="false">MONTH(B2396)</f>
        <v>7</v>
      </c>
      <c r="F2396" s="10" t="str">
        <f aca="false">CHOOSE(MOD(A2396-1,5)+1,"Центр","Юг","Север","Запад","Восток")</f>
        <v>Восток</v>
      </c>
      <c r="G2396" s="10" t="str">
        <f aca="false">"Округ_"&amp;(MOD(A2396-1,5)+1)&amp;"_"&amp;(MOD(INT((A2396-1)/5),5)+1)</f>
        <v>Округ_5_4</v>
      </c>
      <c r="H2396" s="10" t="str">
        <f aca="false">"Город_"&amp;(MOD(A2396-1,5)+1)&amp;"_"&amp;(MOD(INT((A2396-1)/5),5)+1)&amp;"_"&amp;(MOD(INT((A2396-1)/25),10)+1)</f>
        <v>Город_5_4_6</v>
      </c>
      <c r="I2396" s="10" t="str">
        <f aca="false">CHOOSE(MOD(A2396-1,4)+1,"Электроника","Одежда","Продукты","Мебель")</f>
        <v>Продукты</v>
      </c>
      <c r="J2396" s="10" t="str">
        <f aca="false">CHOOSE(MOD(INT((A2396-1)/4),4)+1,CHOOSE(MOD(A2396-1,4)+1,"Смартфоны","Ноутбуки","Аксессуары","Аудио"),CHOOSE(MOD(A2396-1,4)+1,"Верхняя одежда","Спортивная","Повседневная","Обувь"),CHOOSE(MOD(A2396-1,4)+1,"Молочные","Мясные","Бакалея","Напитки"),CHOOSE(MOD(A2396-1,4)+1,"Мягкая мебель","Корпусная","Офисная","Кухонная"))</f>
        <v>Бакалея</v>
      </c>
      <c r="K2396" s="12" t="n">
        <f aca="false">1000+MOD(A2396*317+A2396*A2396*7,49001)</f>
        <v>45556</v>
      </c>
      <c r="L2396" s="12" t="n">
        <f aca="false">1+MOD(A2396*131,100)</f>
        <v>46</v>
      </c>
      <c r="M2396" s="12" t="n">
        <f aca="false">INT(K2396*(0.6+MOD(A2396*43,21)/100))</f>
        <v>27789</v>
      </c>
      <c r="N2396" s="12" t="n">
        <f aca="false">K2396-M2396</f>
        <v>17767</v>
      </c>
    </row>
    <row r="2397" customFormat="false" ht="12.8" hidden="false" customHeight="false" outlineLevel="0" collapsed="false">
      <c r="A2397" s="10" t="n">
        <f aca="false">A2396+1</f>
        <v>2396</v>
      </c>
      <c r="B2397" s="11" t="n">
        <f aca="false">B2396+1</f>
        <v>47322</v>
      </c>
      <c r="C2397" s="10" t="n">
        <f aca="false">YEAR(B2397)</f>
        <v>2029</v>
      </c>
      <c r="D2397" s="10" t="n">
        <f aca="false">INT((MONTH(B2397)-1)/3)+1</f>
        <v>3</v>
      </c>
      <c r="E2397" s="10" t="n">
        <f aca="false">MONTH(B2397)</f>
        <v>7</v>
      </c>
      <c r="F2397" s="10" t="str">
        <f aca="false">CHOOSE(MOD(A2397-1,5)+1,"Центр","Юг","Север","Запад","Восток")</f>
        <v>Центр</v>
      </c>
      <c r="G2397" s="10" t="str">
        <f aca="false">"Округ_"&amp;(MOD(A2397-1,5)+1)&amp;"_"&amp;(MOD(INT((A2397-1)/5),5)+1)</f>
        <v>Округ_1_5</v>
      </c>
      <c r="H2397" s="10" t="str">
        <f aca="false">"Город_"&amp;(MOD(A2397-1,5)+1)&amp;"_"&amp;(MOD(INT((A2397-1)/5),5)+1)&amp;"_"&amp;(MOD(INT((A2397-1)/25),10)+1)</f>
        <v>Город_1_5_6</v>
      </c>
      <c r="I2397" s="10" t="str">
        <f aca="false">CHOOSE(MOD(A2397-1,4)+1,"Электроника","Одежда","Продукты","Мебель")</f>
        <v>Мебель</v>
      </c>
      <c r="J2397" s="10" t="str">
        <f aca="false">CHOOSE(MOD(INT((A2397-1)/4),4)+1,CHOOSE(MOD(A2397-1,4)+1,"Смартфоны","Ноутбуки","Аксессуары","Аудио"),CHOOSE(MOD(A2397-1,4)+1,"Верхняя одежда","Спортивная","Повседневная","Обувь"),CHOOSE(MOD(A2397-1,4)+1,"Молочные","Мясные","Бакалея","Напитки"),CHOOSE(MOD(A2397-1,4)+1,"Мягкая мебель","Корпусная","Офисная","Кухонная"))</f>
        <v>Напитки</v>
      </c>
      <c r="K2397" s="12" t="n">
        <f aca="false">1000+MOD(A2397*317+A2397*A2397*7,49001)</f>
        <v>30409</v>
      </c>
      <c r="L2397" s="12" t="n">
        <f aca="false">1+MOD(A2397*131,100)</f>
        <v>77</v>
      </c>
      <c r="M2397" s="12" t="n">
        <f aca="false">INT(K2397*(0.6+MOD(A2397*43,21)/100))</f>
        <v>18853</v>
      </c>
      <c r="N2397" s="12" t="n">
        <f aca="false">K2397-M2397</f>
        <v>11556</v>
      </c>
    </row>
    <row r="2398" customFormat="false" ht="12.8" hidden="false" customHeight="false" outlineLevel="0" collapsed="false">
      <c r="A2398" s="10" t="n">
        <f aca="false">A2397+1</f>
        <v>2397</v>
      </c>
      <c r="B2398" s="11" t="n">
        <f aca="false">B2397+1</f>
        <v>47323</v>
      </c>
      <c r="C2398" s="10" t="n">
        <f aca="false">YEAR(B2398)</f>
        <v>2029</v>
      </c>
      <c r="D2398" s="10" t="n">
        <f aca="false">INT((MONTH(B2398)-1)/3)+1</f>
        <v>3</v>
      </c>
      <c r="E2398" s="10" t="n">
        <f aca="false">MONTH(B2398)</f>
        <v>7</v>
      </c>
      <c r="F2398" s="10" t="str">
        <f aca="false">CHOOSE(MOD(A2398-1,5)+1,"Центр","Юг","Север","Запад","Восток")</f>
        <v>Юг</v>
      </c>
      <c r="G2398" s="10" t="str">
        <f aca="false">"Округ_"&amp;(MOD(A2398-1,5)+1)&amp;"_"&amp;(MOD(INT((A2398-1)/5),5)+1)</f>
        <v>Округ_2_5</v>
      </c>
      <c r="H2398" s="10" t="str">
        <f aca="false">"Город_"&amp;(MOD(A2398-1,5)+1)&amp;"_"&amp;(MOD(INT((A2398-1)/5),5)+1)&amp;"_"&amp;(MOD(INT((A2398-1)/25),10)+1)</f>
        <v>Город_2_5_6</v>
      </c>
      <c r="I2398" s="10" t="str">
        <f aca="false">CHOOSE(MOD(A2398-1,4)+1,"Электроника","Одежда","Продукты","Мебель")</f>
        <v>Электроника</v>
      </c>
      <c r="J2398" s="10" t="str">
        <f aca="false">CHOOSE(MOD(INT((A2398-1)/4),4)+1,CHOOSE(MOD(A2398-1,4)+1,"Смартфоны","Ноутбуки","Аксессуары","Аудио"),CHOOSE(MOD(A2398-1,4)+1,"Верхняя одежда","Спортивная","Повседневная","Обувь"),CHOOSE(MOD(A2398-1,4)+1,"Молочные","Мясные","Бакалея","Напитки"),CHOOSE(MOD(A2398-1,4)+1,"Мягкая мебель","Корпусная","Офисная","Кухонная"))</f>
        <v>Мягкая мебель</v>
      </c>
      <c r="K2398" s="12" t="n">
        <f aca="false">1000+MOD(A2398*317+A2398*A2398*7,49001)</f>
        <v>15276</v>
      </c>
      <c r="L2398" s="12" t="n">
        <f aca="false">1+MOD(A2398*131,100)</f>
        <v>8</v>
      </c>
      <c r="M2398" s="12" t="n">
        <f aca="false">INT(K2398*(0.6+MOD(A2398*43,21)/100))</f>
        <v>9623</v>
      </c>
      <c r="N2398" s="12" t="n">
        <f aca="false">K2398-M2398</f>
        <v>5653</v>
      </c>
    </row>
    <row r="2399" customFormat="false" ht="12.8" hidden="false" customHeight="false" outlineLevel="0" collapsed="false">
      <c r="A2399" s="10" t="n">
        <f aca="false">A2398+1</f>
        <v>2398</v>
      </c>
      <c r="B2399" s="11" t="n">
        <f aca="false">B2398+1</f>
        <v>47324</v>
      </c>
      <c r="C2399" s="10" t="n">
        <f aca="false">YEAR(B2399)</f>
        <v>2029</v>
      </c>
      <c r="D2399" s="10" t="n">
        <f aca="false">INT((MONTH(B2399)-1)/3)+1</f>
        <v>3</v>
      </c>
      <c r="E2399" s="10" t="n">
        <f aca="false">MONTH(B2399)</f>
        <v>7</v>
      </c>
      <c r="F2399" s="10" t="str">
        <f aca="false">CHOOSE(MOD(A2399-1,5)+1,"Центр","Юг","Север","Запад","Восток")</f>
        <v>Север</v>
      </c>
      <c r="G2399" s="10" t="str">
        <f aca="false">"Округ_"&amp;(MOD(A2399-1,5)+1)&amp;"_"&amp;(MOD(INT((A2399-1)/5),5)+1)</f>
        <v>Округ_3_5</v>
      </c>
      <c r="H2399" s="10" t="str">
        <f aca="false">"Город_"&amp;(MOD(A2399-1,5)+1)&amp;"_"&amp;(MOD(INT((A2399-1)/5),5)+1)&amp;"_"&amp;(MOD(INT((A2399-1)/25),10)+1)</f>
        <v>Город_3_5_6</v>
      </c>
      <c r="I2399" s="10" t="str">
        <f aca="false">CHOOSE(MOD(A2399-1,4)+1,"Электроника","Одежда","Продукты","Мебель")</f>
        <v>Одежда</v>
      </c>
      <c r="J2399" s="10" t="str">
        <f aca="false">CHOOSE(MOD(INT((A2399-1)/4),4)+1,CHOOSE(MOD(A2399-1,4)+1,"Смартфоны","Ноутбуки","Аксессуары","Аудио"),CHOOSE(MOD(A2399-1,4)+1,"Верхняя одежда","Спортивная","Повседневная","Обувь"),CHOOSE(MOD(A2399-1,4)+1,"Молочные","Мясные","Бакалея","Напитки"),CHOOSE(MOD(A2399-1,4)+1,"Мягкая мебель","Корпусная","Офисная","Кухонная"))</f>
        <v>Корпусная</v>
      </c>
      <c r="K2399" s="12" t="n">
        <f aca="false">1000+MOD(A2399*317+A2399*A2399*7,49001)</f>
        <v>49158</v>
      </c>
      <c r="L2399" s="12" t="n">
        <f aca="false">1+MOD(A2399*131,100)</f>
        <v>39</v>
      </c>
      <c r="M2399" s="12" t="n">
        <f aca="false">INT(K2399*(0.6+MOD(A2399*43,21)/100))</f>
        <v>31461</v>
      </c>
      <c r="N2399" s="12" t="n">
        <f aca="false">K2399-M2399</f>
        <v>17697</v>
      </c>
    </row>
    <row r="2400" customFormat="false" ht="12.8" hidden="false" customHeight="false" outlineLevel="0" collapsed="false">
      <c r="A2400" s="10" t="n">
        <f aca="false">A2399+1</f>
        <v>2399</v>
      </c>
      <c r="B2400" s="11" t="n">
        <f aca="false">B2399+1</f>
        <v>47325</v>
      </c>
      <c r="C2400" s="10" t="n">
        <f aca="false">YEAR(B2400)</f>
        <v>2029</v>
      </c>
      <c r="D2400" s="10" t="n">
        <f aca="false">INT((MONTH(B2400)-1)/3)+1</f>
        <v>3</v>
      </c>
      <c r="E2400" s="10" t="n">
        <f aca="false">MONTH(B2400)</f>
        <v>7</v>
      </c>
      <c r="F2400" s="10" t="str">
        <f aca="false">CHOOSE(MOD(A2400-1,5)+1,"Центр","Юг","Север","Запад","Восток")</f>
        <v>Запад</v>
      </c>
      <c r="G2400" s="10" t="str">
        <f aca="false">"Округ_"&amp;(MOD(A2400-1,5)+1)&amp;"_"&amp;(MOD(INT((A2400-1)/5),5)+1)</f>
        <v>Округ_4_5</v>
      </c>
      <c r="H2400" s="10" t="str">
        <f aca="false">"Город_"&amp;(MOD(A2400-1,5)+1)&amp;"_"&amp;(MOD(INT((A2400-1)/5),5)+1)&amp;"_"&amp;(MOD(INT((A2400-1)/25),10)+1)</f>
        <v>Город_4_5_6</v>
      </c>
      <c r="I2400" s="10" t="str">
        <f aca="false">CHOOSE(MOD(A2400-1,4)+1,"Электроника","Одежда","Продукты","Мебель")</f>
        <v>Продукты</v>
      </c>
      <c r="J2400" s="10" t="str">
        <f aca="false">CHOOSE(MOD(INT((A2400-1)/4),4)+1,CHOOSE(MOD(A2400-1,4)+1,"Смартфоны","Ноутбуки","Аксессуары","Аудио"),CHOOSE(MOD(A2400-1,4)+1,"Верхняя одежда","Спортивная","Повседневная","Обувь"),CHOOSE(MOD(A2400-1,4)+1,"Молочные","Мясные","Бакалея","Напитки"),CHOOSE(MOD(A2400-1,4)+1,"Мягкая мебель","Корпусная","Офисная","Кухонная"))</f>
        <v>Офисная</v>
      </c>
      <c r="K2400" s="12" t="n">
        <f aca="false">1000+MOD(A2400*317+A2400*A2400*7,49001)</f>
        <v>34053</v>
      </c>
      <c r="L2400" s="12" t="n">
        <f aca="false">1+MOD(A2400*131,100)</f>
        <v>70</v>
      </c>
      <c r="M2400" s="12" t="n">
        <f aca="false">INT(K2400*(0.6+MOD(A2400*43,21)/100))</f>
        <v>22134</v>
      </c>
      <c r="N2400" s="12" t="n">
        <f aca="false">K2400-M2400</f>
        <v>11919</v>
      </c>
    </row>
    <row r="2401" customFormat="false" ht="12.8" hidden="false" customHeight="false" outlineLevel="0" collapsed="false">
      <c r="A2401" s="10" t="n">
        <f aca="false">A2400+1</f>
        <v>2400</v>
      </c>
      <c r="B2401" s="11" t="n">
        <f aca="false">B2400+1</f>
        <v>47326</v>
      </c>
      <c r="C2401" s="10" t="n">
        <f aca="false">YEAR(B2401)</f>
        <v>2029</v>
      </c>
      <c r="D2401" s="10" t="n">
        <f aca="false">INT((MONTH(B2401)-1)/3)+1</f>
        <v>3</v>
      </c>
      <c r="E2401" s="10" t="n">
        <f aca="false">MONTH(B2401)</f>
        <v>7</v>
      </c>
      <c r="F2401" s="10" t="str">
        <f aca="false">CHOOSE(MOD(A2401-1,5)+1,"Центр","Юг","Север","Запад","Восток")</f>
        <v>Восток</v>
      </c>
      <c r="G2401" s="10" t="str">
        <f aca="false">"Округ_"&amp;(MOD(A2401-1,5)+1)&amp;"_"&amp;(MOD(INT((A2401-1)/5),5)+1)</f>
        <v>Округ_5_5</v>
      </c>
      <c r="H2401" s="10" t="str">
        <f aca="false">"Город_"&amp;(MOD(A2401-1,5)+1)&amp;"_"&amp;(MOD(INT((A2401-1)/5),5)+1)&amp;"_"&amp;(MOD(INT((A2401-1)/25),10)+1)</f>
        <v>Город_5_5_6</v>
      </c>
      <c r="I2401" s="10" t="str">
        <f aca="false">CHOOSE(MOD(A2401-1,4)+1,"Электроника","Одежда","Продукты","Мебель")</f>
        <v>Мебель</v>
      </c>
      <c r="J2401" s="10" t="str">
        <f aca="false">CHOOSE(MOD(INT((A2401-1)/4),4)+1,CHOOSE(MOD(A2401-1,4)+1,"Смартфоны","Ноутбуки","Аксессуары","Аудио"),CHOOSE(MOD(A2401-1,4)+1,"Верхняя одежда","Спортивная","Повседневная","Обувь"),CHOOSE(MOD(A2401-1,4)+1,"Молочные","Мясные","Бакалея","Напитки"),CHOOSE(MOD(A2401-1,4)+1,"Мягкая мебель","Корпусная","Офисная","Кухонная"))</f>
        <v>Кухонная</v>
      </c>
      <c r="K2401" s="12" t="n">
        <f aca="false">1000+MOD(A2401*317+A2401*A2401*7,49001)</f>
        <v>18962</v>
      </c>
      <c r="L2401" s="12" t="n">
        <f aca="false">1+MOD(A2401*131,100)</f>
        <v>1</v>
      </c>
      <c r="M2401" s="12" t="n">
        <f aca="false">INT(K2401*(0.6+MOD(A2401*43,21)/100))</f>
        <v>12514</v>
      </c>
      <c r="N2401" s="12" t="n">
        <f aca="false">K2401-M2401</f>
        <v>6448</v>
      </c>
    </row>
    <row r="2402" customFormat="false" ht="12.8" hidden="false" customHeight="false" outlineLevel="0" collapsed="false">
      <c r="A2402" s="10" t="n">
        <f aca="false">A2401+1</f>
        <v>2401</v>
      </c>
      <c r="B2402" s="11" t="n">
        <f aca="false">B2401+1</f>
        <v>47327</v>
      </c>
      <c r="C2402" s="10" t="n">
        <f aca="false">YEAR(B2402)</f>
        <v>2029</v>
      </c>
      <c r="D2402" s="10" t="n">
        <f aca="false">INT((MONTH(B2402)-1)/3)+1</f>
        <v>3</v>
      </c>
      <c r="E2402" s="10" t="n">
        <f aca="false">MONTH(B2402)</f>
        <v>7</v>
      </c>
      <c r="F2402" s="10" t="str">
        <f aca="false">CHOOSE(MOD(A2402-1,5)+1,"Центр","Юг","Север","Запад","Восток")</f>
        <v>Центр</v>
      </c>
      <c r="G2402" s="10" t="str">
        <f aca="false">"Округ_"&amp;(MOD(A2402-1,5)+1)&amp;"_"&amp;(MOD(INT((A2402-1)/5),5)+1)</f>
        <v>Округ_1_1</v>
      </c>
      <c r="H2402" s="10" t="str">
        <f aca="false">"Город_"&amp;(MOD(A2402-1,5)+1)&amp;"_"&amp;(MOD(INT((A2402-1)/5),5)+1)&amp;"_"&amp;(MOD(INT((A2402-1)/25),10)+1)</f>
        <v>Город_1_1_7</v>
      </c>
      <c r="I2402" s="10" t="str">
        <f aca="false">CHOOSE(MOD(A2402-1,4)+1,"Электроника","Одежда","Продукты","Мебель")</f>
        <v>Электроника</v>
      </c>
      <c r="J2402" s="10" t="str">
        <f aca="false">CHOOSE(MOD(INT((A2402-1)/4),4)+1,CHOOSE(MOD(A2402-1,4)+1,"Смартфоны","Ноутбуки","Аксессуары","Аудио"),CHOOSE(MOD(A2402-1,4)+1,"Верхняя одежда","Спортивная","Повседневная","Обувь"),CHOOSE(MOD(A2402-1,4)+1,"Молочные","Мясные","Бакалея","Напитки"),CHOOSE(MOD(A2402-1,4)+1,"Мягкая мебель","Корпусная","Офисная","Кухонная"))</f>
        <v>Смартфоны</v>
      </c>
      <c r="K2402" s="12" t="n">
        <f aca="false">1000+MOD(A2402*317+A2402*A2402*7,49001)</f>
        <v>3885</v>
      </c>
      <c r="L2402" s="12" t="n">
        <f aca="false">1+MOD(A2402*131,100)</f>
        <v>32</v>
      </c>
      <c r="M2402" s="12" t="n">
        <f aca="false">INT(K2402*(0.6+MOD(A2402*43,21)/100))</f>
        <v>2602</v>
      </c>
      <c r="N2402" s="12" t="n">
        <f aca="false">K2402-M2402</f>
        <v>1283</v>
      </c>
    </row>
    <row r="2403" customFormat="false" ht="12.8" hidden="false" customHeight="false" outlineLevel="0" collapsed="false">
      <c r="A2403" s="10" t="n">
        <f aca="false">A2402+1</f>
        <v>2402</v>
      </c>
      <c r="B2403" s="11" t="n">
        <f aca="false">B2402+1</f>
        <v>47328</v>
      </c>
      <c r="C2403" s="10" t="n">
        <f aca="false">YEAR(B2403)</f>
        <v>2029</v>
      </c>
      <c r="D2403" s="10" t="n">
        <f aca="false">INT((MONTH(B2403)-1)/3)+1</f>
        <v>3</v>
      </c>
      <c r="E2403" s="10" t="n">
        <f aca="false">MONTH(B2403)</f>
        <v>7</v>
      </c>
      <c r="F2403" s="10" t="str">
        <f aca="false">CHOOSE(MOD(A2403-1,5)+1,"Центр","Юг","Север","Запад","Восток")</f>
        <v>Юг</v>
      </c>
      <c r="G2403" s="10" t="str">
        <f aca="false">"Округ_"&amp;(MOD(A2403-1,5)+1)&amp;"_"&amp;(MOD(INT((A2403-1)/5),5)+1)</f>
        <v>Округ_2_1</v>
      </c>
      <c r="H2403" s="10" t="str">
        <f aca="false">"Город_"&amp;(MOD(A2403-1,5)+1)&amp;"_"&amp;(MOD(INT((A2403-1)/5),5)+1)&amp;"_"&amp;(MOD(INT((A2403-1)/25),10)+1)</f>
        <v>Город_2_1_7</v>
      </c>
      <c r="I2403" s="10" t="str">
        <f aca="false">CHOOSE(MOD(A2403-1,4)+1,"Электроника","Одежда","Продукты","Мебель")</f>
        <v>Одежда</v>
      </c>
      <c r="J2403" s="10" t="str">
        <f aca="false">CHOOSE(MOD(INT((A2403-1)/4),4)+1,CHOOSE(MOD(A2403-1,4)+1,"Смартфоны","Ноутбуки","Аксессуары","Аудио"),CHOOSE(MOD(A2403-1,4)+1,"Верхняя одежда","Спортивная","Повседневная","Обувь"),CHOOSE(MOD(A2403-1,4)+1,"Молочные","Мясные","Бакалея","Напитки"),CHOOSE(MOD(A2403-1,4)+1,"Мягкая мебель","Корпусная","Офисная","Кухонная"))</f>
        <v>Ноутбуки</v>
      </c>
      <c r="K2403" s="12" t="n">
        <f aca="false">1000+MOD(A2403*317+A2403*A2403*7,49001)</f>
        <v>37823</v>
      </c>
      <c r="L2403" s="12" t="n">
        <f aca="false">1+MOD(A2403*131,100)</f>
        <v>63</v>
      </c>
      <c r="M2403" s="12" t="n">
        <f aca="false">INT(K2403*(0.6+MOD(A2403*43,21)/100))</f>
        <v>25719</v>
      </c>
      <c r="N2403" s="12" t="n">
        <f aca="false">K2403-M2403</f>
        <v>12104</v>
      </c>
    </row>
    <row r="2404" customFormat="false" ht="12.8" hidden="false" customHeight="false" outlineLevel="0" collapsed="false">
      <c r="A2404" s="10" t="n">
        <f aca="false">A2403+1</f>
        <v>2403</v>
      </c>
      <c r="B2404" s="11" t="n">
        <f aca="false">B2403+1</f>
        <v>47329</v>
      </c>
      <c r="C2404" s="10" t="n">
        <f aca="false">YEAR(B2404)</f>
        <v>2029</v>
      </c>
      <c r="D2404" s="10" t="n">
        <f aca="false">INT((MONTH(B2404)-1)/3)+1</f>
        <v>3</v>
      </c>
      <c r="E2404" s="10" t="n">
        <f aca="false">MONTH(B2404)</f>
        <v>7</v>
      </c>
      <c r="F2404" s="10" t="str">
        <f aca="false">CHOOSE(MOD(A2404-1,5)+1,"Центр","Юг","Север","Запад","Восток")</f>
        <v>Север</v>
      </c>
      <c r="G2404" s="10" t="str">
        <f aca="false">"Округ_"&amp;(MOD(A2404-1,5)+1)&amp;"_"&amp;(MOD(INT((A2404-1)/5),5)+1)</f>
        <v>Округ_3_1</v>
      </c>
      <c r="H2404" s="10" t="str">
        <f aca="false">"Город_"&amp;(MOD(A2404-1,5)+1)&amp;"_"&amp;(MOD(INT((A2404-1)/5),5)+1)&amp;"_"&amp;(MOD(INT((A2404-1)/25),10)+1)</f>
        <v>Город_3_1_7</v>
      </c>
      <c r="I2404" s="10" t="str">
        <f aca="false">CHOOSE(MOD(A2404-1,4)+1,"Электроника","Одежда","Продукты","Мебель")</f>
        <v>Продукты</v>
      </c>
      <c r="J2404" s="10" t="str">
        <f aca="false">CHOOSE(MOD(INT((A2404-1)/4),4)+1,CHOOSE(MOD(A2404-1,4)+1,"Смартфоны","Ноутбуки","Аксессуары","Аудио"),CHOOSE(MOD(A2404-1,4)+1,"Верхняя одежда","Спортивная","Повседневная","Обувь"),CHOOSE(MOD(A2404-1,4)+1,"Молочные","Мясные","Бакалея","Напитки"),CHOOSE(MOD(A2404-1,4)+1,"Мягкая мебель","Корпусная","Офисная","Кухонная"))</f>
        <v>Аксессуары</v>
      </c>
      <c r="K2404" s="12" t="n">
        <f aca="false">1000+MOD(A2404*317+A2404*A2404*7,49001)</f>
        <v>22774</v>
      </c>
      <c r="L2404" s="12" t="n">
        <f aca="false">1+MOD(A2404*131,100)</f>
        <v>94</v>
      </c>
      <c r="M2404" s="12" t="n">
        <f aca="false">INT(K2404*(0.6+MOD(A2404*43,21)/100))</f>
        <v>15714</v>
      </c>
      <c r="N2404" s="12" t="n">
        <f aca="false">K2404-M2404</f>
        <v>7060</v>
      </c>
    </row>
    <row r="2405" customFormat="false" ht="12.8" hidden="false" customHeight="false" outlineLevel="0" collapsed="false">
      <c r="A2405" s="10" t="n">
        <f aca="false">A2404+1</f>
        <v>2404</v>
      </c>
      <c r="B2405" s="11" t="n">
        <f aca="false">B2404+1</f>
        <v>47330</v>
      </c>
      <c r="C2405" s="10" t="n">
        <f aca="false">YEAR(B2405)</f>
        <v>2029</v>
      </c>
      <c r="D2405" s="10" t="n">
        <f aca="false">INT((MONTH(B2405)-1)/3)+1</f>
        <v>3</v>
      </c>
      <c r="E2405" s="10" t="n">
        <f aca="false">MONTH(B2405)</f>
        <v>7</v>
      </c>
      <c r="F2405" s="10" t="str">
        <f aca="false">CHOOSE(MOD(A2405-1,5)+1,"Центр","Юг","Север","Запад","Восток")</f>
        <v>Запад</v>
      </c>
      <c r="G2405" s="10" t="str">
        <f aca="false">"Округ_"&amp;(MOD(A2405-1,5)+1)&amp;"_"&amp;(MOD(INT((A2405-1)/5),5)+1)</f>
        <v>Округ_4_1</v>
      </c>
      <c r="H2405" s="10" t="str">
        <f aca="false">"Город_"&amp;(MOD(A2405-1,5)+1)&amp;"_"&amp;(MOD(INT((A2405-1)/5),5)+1)&amp;"_"&amp;(MOD(INT((A2405-1)/25),10)+1)</f>
        <v>Город_4_1_7</v>
      </c>
      <c r="I2405" s="10" t="str">
        <f aca="false">CHOOSE(MOD(A2405-1,4)+1,"Электроника","Одежда","Продукты","Мебель")</f>
        <v>Мебель</v>
      </c>
      <c r="J2405" s="10" t="str">
        <f aca="false">CHOOSE(MOD(INT((A2405-1)/4),4)+1,CHOOSE(MOD(A2405-1,4)+1,"Смартфоны","Ноутбуки","Аксессуары","Аудио"),CHOOSE(MOD(A2405-1,4)+1,"Верхняя одежда","Спортивная","Повседневная","Обувь"),CHOOSE(MOD(A2405-1,4)+1,"Молочные","Мясные","Бакалея","Напитки"),CHOOSE(MOD(A2405-1,4)+1,"Мягкая мебель","Корпусная","Офисная","Кухонная"))</f>
        <v>Аудио</v>
      </c>
      <c r="K2405" s="12" t="n">
        <f aca="false">1000+MOD(A2405*317+A2405*A2405*7,49001)</f>
        <v>7739</v>
      </c>
      <c r="L2405" s="12" t="n">
        <f aca="false">1+MOD(A2405*131,100)</f>
        <v>25</v>
      </c>
      <c r="M2405" s="12" t="n">
        <f aca="false">INT(K2405*(0.6+MOD(A2405*43,21)/100))</f>
        <v>5417</v>
      </c>
      <c r="N2405" s="12" t="n">
        <f aca="false">K2405-M2405</f>
        <v>2322</v>
      </c>
    </row>
    <row r="2406" customFormat="false" ht="12.8" hidden="false" customHeight="false" outlineLevel="0" collapsed="false">
      <c r="A2406" s="10" t="n">
        <f aca="false">A2405+1</f>
        <v>2405</v>
      </c>
      <c r="B2406" s="11" t="n">
        <f aca="false">B2405+1</f>
        <v>47331</v>
      </c>
      <c r="C2406" s="10" t="n">
        <f aca="false">YEAR(B2406)</f>
        <v>2029</v>
      </c>
      <c r="D2406" s="10" t="n">
        <f aca="false">INT((MONTH(B2406)-1)/3)+1</f>
        <v>3</v>
      </c>
      <c r="E2406" s="10" t="n">
        <f aca="false">MONTH(B2406)</f>
        <v>8</v>
      </c>
      <c r="F2406" s="10" t="str">
        <f aca="false">CHOOSE(MOD(A2406-1,5)+1,"Центр","Юг","Север","Запад","Восток")</f>
        <v>Восток</v>
      </c>
      <c r="G2406" s="10" t="str">
        <f aca="false">"Округ_"&amp;(MOD(A2406-1,5)+1)&amp;"_"&amp;(MOD(INT((A2406-1)/5),5)+1)</f>
        <v>Округ_5_1</v>
      </c>
      <c r="H2406" s="10" t="str">
        <f aca="false">"Город_"&amp;(MOD(A2406-1,5)+1)&amp;"_"&amp;(MOD(INT((A2406-1)/5),5)+1)&amp;"_"&amp;(MOD(INT((A2406-1)/25),10)+1)</f>
        <v>Город_5_1_7</v>
      </c>
      <c r="I2406" s="10" t="str">
        <f aca="false">CHOOSE(MOD(A2406-1,4)+1,"Электроника","Одежда","Продукты","Мебель")</f>
        <v>Электроника</v>
      </c>
      <c r="J2406" s="10" t="str">
        <f aca="false">CHOOSE(MOD(INT((A2406-1)/4),4)+1,CHOOSE(MOD(A2406-1,4)+1,"Смартфоны","Ноутбуки","Аксессуары","Аудио"),CHOOSE(MOD(A2406-1,4)+1,"Верхняя одежда","Спортивная","Повседневная","Обувь"),CHOOSE(MOD(A2406-1,4)+1,"Молочные","Мясные","Бакалея","Напитки"),CHOOSE(MOD(A2406-1,4)+1,"Мягкая мебель","Корпусная","Офисная","Кухонная"))</f>
        <v>Верхняя одежда</v>
      </c>
      <c r="K2406" s="12" t="n">
        <f aca="false">1000+MOD(A2406*317+A2406*A2406*7,49001)</f>
        <v>41719</v>
      </c>
      <c r="L2406" s="12" t="n">
        <f aca="false">1+MOD(A2406*131,100)</f>
        <v>56</v>
      </c>
      <c r="M2406" s="12" t="n">
        <f aca="false">INT(K2406*(0.6+MOD(A2406*43,21)/100))</f>
        <v>29620</v>
      </c>
      <c r="N2406" s="12" t="n">
        <f aca="false">K2406-M2406</f>
        <v>12099</v>
      </c>
    </row>
    <row r="2407" customFormat="false" ht="12.8" hidden="false" customHeight="false" outlineLevel="0" collapsed="false">
      <c r="A2407" s="10" t="n">
        <f aca="false">A2406+1</f>
        <v>2406</v>
      </c>
      <c r="B2407" s="11" t="n">
        <f aca="false">B2406+1</f>
        <v>47332</v>
      </c>
      <c r="C2407" s="10" t="n">
        <f aca="false">YEAR(B2407)</f>
        <v>2029</v>
      </c>
      <c r="D2407" s="10" t="n">
        <f aca="false">INT((MONTH(B2407)-1)/3)+1</f>
        <v>3</v>
      </c>
      <c r="E2407" s="10" t="n">
        <f aca="false">MONTH(B2407)</f>
        <v>8</v>
      </c>
      <c r="F2407" s="10" t="str">
        <f aca="false">CHOOSE(MOD(A2407-1,5)+1,"Центр","Юг","Север","Запад","Восток")</f>
        <v>Центр</v>
      </c>
      <c r="G2407" s="10" t="str">
        <f aca="false">"Округ_"&amp;(MOD(A2407-1,5)+1)&amp;"_"&amp;(MOD(INT((A2407-1)/5),5)+1)</f>
        <v>Округ_1_2</v>
      </c>
      <c r="H2407" s="10" t="str">
        <f aca="false">"Город_"&amp;(MOD(A2407-1,5)+1)&amp;"_"&amp;(MOD(INT((A2407-1)/5),5)+1)&amp;"_"&amp;(MOD(INT((A2407-1)/25),10)+1)</f>
        <v>Город_1_2_7</v>
      </c>
      <c r="I2407" s="10" t="str">
        <f aca="false">CHOOSE(MOD(A2407-1,4)+1,"Электроника","Одежда","Продукты","Мебель")</f>
        <v>Одежда</v>
      </c>
      <c r="J2407" s="10" t="str">
        <f aca="false">CHOOSE(MOD(INT((A2407-1)/4),4)+1,CHOOSE(MOD(A2407-1,4)+1,"Смартфоны","Ноутбуки","Аксессуары","Аудио"),CHOOSE(MOD(A2407-1,4)+1,"Верхняя одежда","Спортивная","Повседневная","Обувь"),CHOOSE(MOD(A2407-1,4)+1,"Молочные","Мясные","Бакалея","Напитки"),CHOOSE(MOD(A2407-1,4)+1,"Мягкая мебель","Корпусная","Офисная","Кухонная"))</f>
        <v>Спортивная</v>
      </c>
      <c r="K2407" s="12" t="n">
        <f aca="false">1000+MOD(A2407*317+A2407*A2407*7,49001)</f>
        <v>26712</v>
      </c>
      <c r="L2407" s="12" t="n">
        <f aca="false">1+MOD(A2407*131,100)</f>
        <v>87</v>
      </c>
      <c r="M2407" s="12" t="n">
        <f aca="false">INT(K2407*(0.6+MOD(A2407*43,21)/100))</f>
        <v>19232</v>
      </c>
      <c r="N2407" s="12" t="n">
        <f aca="false">K2407-M2407</f>
        <v>7480</v>
      </c>
    </row>
    <row r="2408" customFormat="false" ht="12.8" hidden="false" customHeight="false" outlineLevel="0" collapsed="false">
      <c r="A2408" s="10" t="n">
        <f aca="false">A2407+1</f>
        <v>2407</v>
      </c>
      <c r="B2408" s="11" t="n">
        <f aca="false">B2407+1</f>
        <v>47333</v>
      </c>
      <c r="C2408" s="10" t="n">
        <f aca="false">YEAR(B2408)</f>
        <v>2029</v>
      </c>
      <c r="D2408" s="10" t="n">
        <f aca="false">INT((MONTH(B2408)-1)/3)+1</f>
        <v>3</v>
      </c>
      <c r="E2408" s="10" t="n">
        <f aca="false">MONTH(B2408)</f>
        <v>8</v>
      </c>
      <c r="F2408" s="10" t="str">
        <f aca="false">CHOOSE(MOD(A2408-1,5)+1,"Центр","Юг","Север","Запад","Восток")</f>
        <v>Юг</v>
      </c>
      <c r="G2408" s="10" t="str">
        <f aca="false">"Округ_"&amp;(MOD(A2408-1,5)+1)&amp;"_"&amp;(MOD(INT((A2408-1)/5),5)+1)</f>
        <v>Округ_2_2</v>
      </c>
      <c r="H2408" s="10" t="str">
        <f aca="false">"Город_"&amp;(MOD(A2408-1,5)+1)&amp;"_"&amp;(MOD(INT((A2408-1)/5),5)+1)&amp;"_"&amp;(MOD(INT((A2408-1)/25),10)+1)</f>
        <v>Город_2_2_7</v>
      </c>
      <c r="I2408" s="10" t="str">
        <f aca="false">CHOOSE(MOD(A2408-1,4)+1,"Электроника","Одежда","Продукты","Мебель")</f>
        <v>Продукты</v>
      </c>
      <c r="J2408" s="10" t="str">
        <f aca="false">CHOOSE(MOD(INT((A2408-1)/4),4)+1,CHOOSE(MOD(A2408-1,4)+1,"Смартфоны","Ноутбуки","Аксессуары","Аудио"),CHOOSE(MOD(A2408-1,4)+1,"Верхняя одежда","Спортивная","Повседневная","Обувь"),CHOOSE(MOD(A2408-1,4)+1,"Молочные","Мясные","Бакалея","Напитки"),CHOOSE(MOD(A2408-1,4)+1,"Мягкая мебель","Корпусная","Офисная","Кухонная"))</f>
        <v>Повседневная</v>
      </c>
      <c r="K2408" s="12" t="n">
        <f aca="false">1000+MOD(A2408*317+A2408*A2408*7,49001)</f>
        <v>11719</v>
      </c>
      <c r="L2408" s="12" t="n">
        <f aca="false">1+MOD(A2408*131,100)</f>
        <v>18</v>
      </c>
      <c r="M2408" s="12" t="n">
        <f aca="false">INT(K2408*(0.6+MOD(A2408*43,21)/100))</f>
        <v>8554</v>
      </c>
      <c r="N2408" s="12" t="n">
        <f aca="false">K2408-M2408</f>
        <v>3165</v>
      </c>
    </row>
    <row r="2409" customFormat="false" ht="12.8" hidden="false" customHeight="false" outlineLevel="0" collapsed="false">
      <c r="A2409" s="10" t="n">
        <f aca="false">A2408+1</f>
        <v>2408</v>
      </c>
      <c r="B2409" s="11" t="n">
        <f aca="false">B2408+1</f>
        <v>47334</v>
      </c>
      <c r="C2409" s="10" t="n">
        <f aca="false">YEAR(B2409)</f>
        <v>2029</v>
      </c>
      <c r="D2409" s="10" t="n">
        <f aca="false">INT((MONTH(B2409)-1)/3)+1</f>
        <v>3</v>
      </c>
      <c r="E2409" s="10" t="n">
        <f aca="false">MONTH(B2409)</f>
        <v>8</v>
      </c>
      <c r="F2409" s="10" t="str">
        <f aca="false">CHOOSE(MOD(A2409-1,5)+1,"Центр","Юг","Север","Запад","Восток")</f>
        <v>Север</v>
      </c>
      <c r="G2409" s="10" t="str">
        <f aca="false">"Округ_"&amp;(MOD(A2409-1,5)+1)&amp;"_"&amp;(MOD(INT((A2409-1)/5),5)+1)</f>
        <v>Округ_3_2</v>
      </c>
      <c r="H2409" s="10" t="str">
        <f aca="false">"Город_"&amp;(MOD(A2409-1,5)+1)&amp;"_"&amp;(MOD(INT((A2409-1)/5),5)+1)&amp;"_"&amp;(MOD(INT((A2409-1)/25),10)+1)</f>
        <v>Город_3_2_7</v>
      </c>
      <c r="I2409" s="10" t="str">
        <f aca="false">CHOOSE(MOD(A2409-1,4)+1,"Электроника","Одежда","Продукты","Мебель")</f>
        <v>Мебель</v>
      </c>
      <c r="J2409" s="10" t="str">
        <f aca="false">CHOOSE(MOD(INT((A2409-1)/4),4)+1,CHOOSE(MOD(A2409-1,4)+1,"Смартфоны","Ноутбуки","Аксессуары","Аудио"),CHOOSE(MOD(A2409-1,4)+1,"Верхняя одежда","Спортивная","Повседневная","Обувь"),CHOOSE(MOD(A2409-1,4)+1,"Молочные","Мясные","Бакалея","Напитки"),CHOOSE(MOD(A2409-1,4)+1,"Мягкая мебель","Корпусная","Офисная","Кухонная"))</f>
        <v>Обувь</v>
      </c>
      <c r="K2409" s="12" t="n">
        <f aca="false">1000+MOD(A2409*317+A2409*A2409*7,49001)</f>
        <v>45741</v>
      </c>
      <c r="L2409" s="12" t="n">
        <f aca="false">1+MOD(A2409*131,100)</f>
        <v>49</v>
      </c>
      <c r="M2409" s="12" t="n">
        <f aca="false">INT(K2409*(0.6+MOD(A2409*43,21)/100))</f>
        <v>33848</v>
      </c>
      <c r="N2409" s="12" t="n">
        <f aca="false">K2409-M2409</f>
        <v>11893</v>
      </c>
    </row>
    <row r="2410" customFormat="false" ht="12.8" hidden="false" customHeight="false" outlineLevel="0" collapsed="false">
      <c r="A2410" s="10" t="n">
        <f aca="false">A2409+1</f>
        <v>2409</v>
      </c>
      <c r="B2410" s="11" t="n">
        <f aca="false">B2409+1</f>
        <v>47335</v>
      </c>
      <c r="C2410" s="10" t="n">
        <f aca="false">YEAR(B2410)</f>
        <v>2029</v>
      </c>
      <c r="D2410" s="10" t="n">
        <f aca="false">INT((MONTH(B2410)-1)/3)+1</f>
        <v>3</v>
      </c>
      <c r="E2410" s="10" t="n">
        <f aca="false">MONTH(B2410)</f>
        <v>8</v>
      </c>
      <c r="F2410" s="10" t="str">
        <f aca="false">CHOOSE(MOD(A2410-1,5)+1,"Центр","Юг","Север","Запад","Восток")</f>
        <v>Запад</v>
      </c>
      <c r="G2410" s="10" t="str">
        <f aca="false">"Округ_"&amp;(MOD(A2410-1,5)+1)&amp;"_"&amp;(MOD(INT((A2410-1)/5),5)+1)</f>
        <v>Округ_4_2</v>
      </c>
      <c r="H2410" s="10" t="str">
        <f aca="false">"Город_"&amp;(MOD(A2410-1,5)+1)&amp;"_"&amp;(MOD(INT((A2410-1)/5),5)+1)&amp;"_"&amp;(MOD(INT((A2410-1)/25),10)+1)</f>
        <v>Город_4_2_7</v>
      </c>
      <c r="I2410" s="10" t="str">
        <f aca="false">CHOOSE(MOD(A2410-1,4)+1,"Электроника","Одежда","Продукты","Мебель")</f>
        <v>Электроника</v>
      </c>
      <c r="J2410" s="10" t="str">
        <f aca="false">CHOOSE(MOD(INT((A2410-1)/4),4)+1,CHOOSE(MOD(A2410-1,4)+1,"Смартфоны","Ноутбуки","Аксессуары","Аудио"),CHOOSE(MOD(A2410-1,4)+1,"Верхняя одежда","Спортивная","Повседневная","Обувь"),CHOOSE(MOD(A2410-1,4)+1,"Молочные","Мясные","Бакалея","Напитки"),CHOOSE(MOD(A2410-1,4)+1,"Мягкая мебель","Корпусная","Офисная","Кухонная"))</f>
        <v>Молочные</v>
      </c>
      <c r="K2410" s="12" t="n">
        <f aca="false">1000+MOD(A2410*317+A2410*A2410*7,49001)</f>
        <v>30776</v>
      </c>
      <c r="L2410" s="12" t="n">
        <f aca="false">1+MOD(A2410*131,100)</f>
        <v>80</v>
      </c>
      <c r="M2410" s="12" t="n">
        <f aca="false">INT(K2410*(0.6+MOD(A2410*43,21)/100))</f>
        <v>23082</v>
      </c>
      <c r="N2410" s="12" t="n">
        <f aca="false">K2410-M2410</f>
        <v>7694</v>
      </c>
    </row>
    <row r="2411" customFormat="false" ht="12.8" hidden="false" customHeight="false" outlineLevel="0" collapsed="false">
      <c r="A2411" s="10" t="n">
        <f aca="false">A2410+1</f>
        <v>2410</v>
      </c>
      <c r="B2411" s="11" t="n">
        <f aca="false">B2410+1</f>
        <v>47336</v>
      </c>
      <c r="C2411" s="10" t="n">
        <f aca="false">YEAR(B2411)</f>
        <v>2029</v>
      </c>
      <c r="D2411" s="10" t="n">
        <f aca="false">INT((MONTH(B2411)-1)/3)+1</f>
        <v>3</v>
      </c>
      <c r="E2411" s="10" t="n">
        <f aca="false">MONTH(B2411)</f>
        <v>8</v>
      </c>
      <c r="F2411" s="10" t="str">
        <f aca="false">CHOOSE(MOD(A2411-1,5)+1,"Центр","Юг","Север","Запад","Восток")</f>
        <v>Восток</v>
      </c>
      <c r="G2411" s="10" t="str">
        <f aca="false">"Округ_"&amp;(MOD(A2411-1,5)+1)&amp;"_"&amp;(MOD(INT((A2411-1)/5),5)+1)</f>
        <v>Округ_5_2</v>
      </c>
      <c r="H2411" s="10" t="str">
        <f aca="false">"Город_"&amp;(MOD(A2411-1,5)+1)&amp;"_"&amp;(MOD(INT((A2411-1)/5),5)+1)&amp;"_"&amp;(MOD(INT((A2411-1)/25),10)+1)</f>
        <v>Город_5_2_7</v>
      </c>
      <c r="I2411" s="10" t="str">
        <f aca="false">CHOOSE(MOD(A2411-1,4)+1,"Электроника","Одежда","Продукты","Мебель")</f>
        <v>Одежда</v>
      </c>
      <c r="J2411" s="10" t="str">
        <f aca="false">CHOOSE(MOD(INT((A2411-1)/4),4)+1,CHOOSE(MOD(A2411-1,4)+1,"Смартфоны","Ноутбуки","Аксессуары","Аудио"),CHOOSE(MOD(A2411-1,4)+1,"Верхняя одежда","Спортивная","Повседневная","Обувь"),CHOOSE(MOD(A2411-1,4)+1,"Молочные","Мясные","Бакалея","Напитки"),CHOOSE(MOD(A2411-1,4)+1,"Мягкая мебель","Корпусная","Офисная","Кухонная"))</f>
        <v>Мясные</v>
      </c>
      <c r="K2411" s="12" t="n">
        <f aca="false">1000+MOD(A2411*317+A2411*A2411*7,49001)</f>
        <v>15825</v>
      </c>
      <c r="L2411" s="12" t="n">
        <f aca="false">1+MOD(A2411*131,100)</f>
        <v>11</v>
      </c>
      <c r="M2411" s="12" t="n">
        <f aca="false">INT(K2411*(0.6+MOD(A2411*43,21)/100))</f>
        <v>12027</v>
      </c>
      <c r="N2411" s="12" t="n">
        <f aca="false">K2411-M2411</f>
        <v>3798</v>
      </c>
    </row>
    <row r="2412" customFormat="false" ht="12.8" hidden="false" customHeight="false" outlineLevel="0" collapsed="false">
      <c r="A2412" s="10" t="n">
        <f aca="false">A2411+1</f>
        <v>2411</v>
      </c>
      <c r="B2412" s="11" t="n">
        <f aca="false">B2411+1</f>
        <v>47337</v>
      </c>
      <c r="C2412" s="10" t="n">
        <f aca="false">YEAR(B2412)</f>
        <v>2029</v>
      </c>
      <c r="D2412" s="10" t="n">
        <f aca="false">INT((MONTH(B2412)-1)/3)+1</f>
        <v>3</v>
      </c>
      <c r="E2412" s="10" t="n">
        <f aca="false">MONTH(B2412)</f>
        <v>8</v>
      </c>
      <c r="F2412" s="10" t="str">
        <f aca="false">CHOOSE(MOD(A2412-1,5)+1,"Центр","Юг","Север","Запад","Восток")</f>
        <v>Центр</v>
      </c>
      <c r="G2412" s="10" t="str">
        <f aca="false">"Округ_"&amp;(MOD(A2412-1,5)+1)&amp;"_"&amp;(MOD(INT((A2412-1)/5),5)+1)</f>
        <v>Округ_1_3</v>
      </c>
      <c r="H2412" s="10" t="str">
        <f aca="false">"Город_"&amp;(MOD(A2412-1,5)+1)&amp;"_"&amp;(MOD(INT((A2412-1)/5),5)+1)&amp;"_"&amp;(MOD(INT((A2412-1)/25),10)+1)</f>
        <v>Город_1_3_7</v>
      </c>
      <c r="I2412" s="10" t="str">
        <f aca="false">CHOOSE(MOD(A2412-1,4)+1,"Электроника","Одежда","Продукты","Мебель")</f>
        <v>Продукты</v>
      </c>
      <c r="J2412" s="10" t="str">
        <f aca="false">CHOOSE(MOD(INT((A2412-1)/4),4)+1,CHOOSE(MOD(A2412-1,4)+1,"Смартфоны","Ноутбуки","Аксессуары","Аудио"),CHOOSE(MOD(A2412-1,4)+1,"Верхняя одежда","Спортивная","Повседневная","Обувь"),CHOOSE(MOD(A2412-1,4)+1,"Молочные","Мясные","Бакалея","Напитки"),CHOOSE(MOD(A2412-1,4)+1,"Мягкая мебель","Корпусная","Офисная","Кухонная"))</f>
        <v>Бакалея</v>
      </c>
      <c r="K2412" s="12" t="n">
        <f aca="false">1000+MOD(A2412*317+A2412*A2412*7,49001)</f>
        <v>49889</v>
      </c>
      <c r="L2412" s="12" t="n">
        <f aca="false">1+MOD(A2412*131,100)</f>
        <v>42</v>
      </c>
      <c r="M2412" s="12" t="n">
        <f aca="false">INT(K2412*(0.6+MOD(A2412*43,21)/100))</f>
        <v>38414</v>
      </c>
      <c r="N2412" s="12" t="n">
        <f aca="false">K2412-M2412</f>
        <v>11475</v>
      </c>
    </row>
    <row r="2413" customFormat="false" ht="12.8" hidden="false" customHeight="false" outlineLevel="0" collapsed="false">
      <c r="A2413" s="10" t="n">
        <f aca="false">A2412+1</f>
        <v>2412</v>
      </c>
      <c r="B2413" s="11" t="n">
        <f aca="false">B2412+1</f>
        <v>47338</v>
      </c>
      <c r="C2413" s="10" t="n">
        <f aca="false">YEAR(B2413)</f>
        <v>2029</v>
      </c>
      <c r="D2413" s="10" t="n">
        <f aca="false">INT((MONTH(B2413)-1)/3)+1</f>
        <v>3</v>
      </c>
      <c r="E2413" s="10" t="n">
        <f aca="false">MONTH(B2413)</f>
        <v>8</v>
      </c>
      <c r="F2413" s="10" t="str">
        <f aca="false">CHOOSE(MOD(A2413-1,5)+1,"Центр","Юг","Север","Запад","Восток")</f>
        <v>Юг</v>
      </c>
      <c r="G2413" s="10" t="str">
        <f aca="false">"Округ_"&amp;(MOD(A2413-1,5)+1)&amp;"_"&amp;(MOD(INT((A2413-1)/5),5)+1)</f>
        <v>Округ_2_3</v>
      </c>
      <c r="H2413" s="10" t="str">
        <f aca="false">"Город_"&amp;(MOD(A2413-1,5)+1)&amp;"_"&amp;(MOD(INT((A2413-1)/5),5)+1)&amp;"_"&amp;(MOD(INT((A2413-1)/25),10)+1)</f>
        <v>Город_2_3_7</v>
      </c>
      <c r="I2413" s="10" t="str">
        <f aca="false">CHOOSE(MOD(A2413-1,4)+1,"Электроника","Одежда","Продукты","Мебель")</f>
        <v>Мебель</v>
      </c>
      <c r="J2413" s="10" t="str">
        <f aca="false">CHOOSE(MOD(INT((A2413-1)/4),4)+1,CHOOSE(MOD(A2413-1,4)+1,"Смартфоны","Ноутбуки","Аксессуары","Аудио"),CHOOSE(MOD(A2413-1,4)+1,"Верхняя одежда","Спортивная","Повседневная","Обувь"),CHOOSE(MOD(A2413-1,4)+1,"Молочные","Мясные","Бакалея","Напитки"),CHOOSE(MOD(A2413-1,4)+1,"Мягкая мебель","Корпусная","Офисная","Кухонная"))</f>
        <v>Напитки</v>
      </c>
      <c r="K2413" s="12" t="n">
        <f aca="false">1000+MOD(A2413*317+A2413*A2413*7,49001)</f>
        <v>34966</v>
      </c>
      <c r="L2413" s="12" t="n">
        <f aca="false">1+MOD(A2413*131,100)</f>
        <v>73</v>
      </c>
      <c r="M2413" s="12" t="n">
        <f aca="false">INT(K2413*(0.6+MOD(A2413*43,21)/100))</f>
        <v>27273</v>
      </c>
      <c r="N2413" s="12" t="n">
        <f aca="false">K2413-M2413</f>
        <v>7693</v>
      </c>
    </row>
    <row r="2414" customFormat="false" ht="12.8" hidden="false" customHeight="false" outlineLevel="0" collapsed="false">
      <c r="A2414" s="10" t="n">
        <f aca="false">A2413+1</f>
        <v>2413</v>
      </c>
      <c r="B2414" s="11" t="n">
        <f aca="false">B2413+1</f>
        <v>47339</v>
      </c>
      <c r="C2414" s="10" t="n">
        <f aca="false">YEAR(B2414)</f>
        <v>2029</v>
      </c>
      <c r="D2414" s="10" t="n">
        <f aca="false">INT((MONTH(B2414)-1)/3)+1</f>
        <v>3</v>
      </c>
      <c r="E2414" s="10" t="n">
        <f aca="false">MONTH(B2414)</f>
        <v>8</v>
      </c>
      <c r="F2414" s="10" t="str">
        <f aca="false">CHOOSE(MOD(A2414-1,5)+1,"Центр","Юг","Север","Запад","Восток")</f>
        <v>Север</v>
      </c>
      <c r="G2414" s="10" t="str">
        <f aca="false">"Округ_"&amp;(MOD(A2414-1,5)+1)&amp;"_"&amp;(MOD(INT((A2414-1)/5),5)+1)</f>
        <v>Округ_3_3</v>
      </c>
      <c r="H2414" s="10" t="str">
        <f aca="false">"Город_"&amp;(MOD(A2414-1,5)+1)&amp;"_"&amp;(MOD(INT((A2414-1)/5),5)+1)&amp;"_"&amp;(MOD(INT((A2414-1)/25),10)+1)</f>
        <v>Город_3_3_7</v>
      </c>
      <c r="I2414" s="10" t="str">
        <f aca="false">CHOOSE(MOD(A2414-1,4)+1,"Электроника","Одежда","Продукты","Мебель")</f>
        <v>Электроника</v>
      </c>
      <c r="J2414" s="10" t="str">
        <f aca="false">CHOOSE(MOD(INT((A2414-1)/4),4)+1,CHOOSE(MOD(A2414-1,4)+1,"Смартфоны","Ноутбуки","Аксессуары","Аудио"),CHOOSE(MOD(A2414-1,4)+1,"Верхняя одежда","Спортивная","Повседневная","Обувь"),CHOOSE(MOD(A2414-1,4)+1,"Молочные","Мясные","Бакалея","Напитки"),CHOOSE(MOD(A2414-1,4)+1,"Мягкая мебель","Корпусная","Офисная","Кухонная"))</f>
        <v>Мягкая мебель</v>
      </c>
      <c r="K2414" s="12" t="n">
        <f aca="false">1000+MOD(A2414*317+A2414*A2414*7,49001)</f>
        <v>20057</v>
      </c>
      <c r="L2414" s="12" t="n">
        <f aca="false">1+MOD(A2414*131,100)</f>
        <v>4</v>
      </c>
      <c r="M2414" s="12" t="n">
        <f aca="false">INT(K2414*(0.6+MOD(A2414*43,21)/100))</f>
        <v>15845</v>
      </c>
      <c r="N2414" s="12" t="n">
        <f aca="false">K2414-M2414</f>
        <v>4212</v>
      </c>
    </row>
    <row r="2415" customFormat="false" ht="12.8" hidden="false" customHeight="false" outlineLevel="0" collapsed="false">
      <c r="A2415" s="10" t="n">
        <f aca="false">A2414+1</f>
        <v>2414</v>
      </c>
      <c r="B2415" s="11" t="n">
        <f aca="false">B2414+1</f>
        <v>47340</v>
      </c>
      <c r="C2415" s="10" t="n">
        <f aca="false">YEAR(B2415)</f>
        <v>2029</v>
      </c>
      <c r="D2415" s="10" t="n">
        <f aca="false">INT((MONTH(B2415)-1)/3)+1</f>
        <v>3</v>
      </c>
      <c r="E2415" s="10" t="n">
        <f aca="false">MONTH(B2415)</f>
        <v>8</v>
      </c>
      <c r="F2415" s="10" t="str">
        <f aca="false">CHOOSE(MOD(A2415-1,5)+1,"Центр","Юг","Север","Запад","Восток")</f>
        <v>Запад</v>
      </c>
      <c r="G2415" s="10" t="str">
        <f aca="false">"Округ_"&amp;(MOD(A2415-1,5)+1)&amp;"_"&amp;(MOD(INT((A2415-1)/5),5)+1)</f>
        <v>Округ_4_3</v>
      </c>
      <c r="H2415" s="10" t="str">
        <f aca="false">"Город_"&amp;(MOD(A2415-1,5)+1)&amp;"_"&amp;(MOD(INT((A2415-1)/5),5)+1)&amp;"_"&amp;(MOD(INT((A2415-1)/25),10)+1)</f>
        <v>Город_4_3_7</v>
      </c>
      <c r="I2415" s="10" t="str">
        <f aca="false">CHOOSE(MOD(A2415-1,4)+1,"Электроника","Одежда","Продукты","Мебель")</f>
        <v>Одежда</v>
      </c>
      <c r="J2415" s="10" t="str">
        <f aca="false">CHOOSE(MOD(INT((A2415-1)/4),4)+1,CHOOSE(MOD(A2415-1,4)+1,"Смартфоны","Ноутбуки","Аксессуары","Аудио"),CHOOSE(MOD(A2415-1,4)+1,"Верхняя одежда","Спортивная","Повседневная","Обувь"),CHOOSE(MOD(A2415-1,4)+1,"Молочные","Мясные","Бакалея","Напитки"),CHOOSE(MOD(A2415-1,4)+1,"Мягкая мебель","Корпусная","Офисная","Кухонная"))</f>
        <v>Корпусная</v>
      </c>
      <c r="K2415" s="12" t="n">
        <f aca="false">1000+MOD(A2415*317+A2415*A2415*7,49001)</f>
        <v>5162</v>
      </c>
      <c r="L2415" s="12" t="n">
        <f aca="false">1+MOD(A2415*131,100)</f>
        <v>35</v>
      </c>
      <c r="M2415" s="12" t="n">
        <f aca="false">INT(K2415*(0.6+MOD(A2415*43,21)/100))</f>
        <v>4129</v>
      </c>
      <c r="N2415" s="12" t="n">
        <f aca="false">K2415-M2415</f>
        <v>1033</v>
      </c>
    </row>
    <row r="2416" customFormat="false" ht="12.8" hidden="false" customHeight="false" outlineLevel="0" collapsed="false">
      <c r="A2416" s="10" t="n">
        <f aca="false">A2415+1</f>
        <v>2415</v>
      </c>
      <c r="B2416" s="11" t="n">
        <f aca="false">B2415+1</f>
        <v>47341</v>
      </c>
      <c r="C2416" s="10" t="n">
        <f aca="false">YEAR(B2416)</f>
        <v>2029</v>
      </c>
      <c r="D2416" s="10" t="n">
        <f aca="false">INT((MONTH(B2416)-1)/3)+1</f>
        <v>3</v>
      </c>
      <c r="E2416" s="10" t="n">
        <f aca="false">MONTH(B2416)</f>
        <v>8</v>
      </c>
      <c r="F2416" s="10" t="str">
        <f aca="false">CHOOSE(MOD(A2416-1,5)+1,"Центр","Юг","Север","Запад","Восток")</f>
        <v>Восток</v>
      </c>
      <c r="G2416" s="10" t="str">
        <f aca="false">"Округ_"&amp;(MOD(A2416-1,5)+1)&amp;"_"&amp;(MOD(INT((A2416-1)/5),5)+1)</f>
        <v>Округ_5_3</v>
      </c>
      <c r="H2416" s="10" t="str">
        <f aca="false">"Город_"&amp;(MOD(A2416-1,5)+1)&amp;"_"&amp;(MOD(INT((A2416-1)/5),5)+1)&amp;"_"&amp;(MOD(INT((A2416-1)/25),10)+1)</f>
        <v>Город_5_3_7</v>
      </c>
      <c r="I2416" s="10" t="str">
        <f aca="false">CHOOSE(MOD(A2416-1,4)+1,"Электроника","Одежда","Продукты","Мебель")</f>
        <v>Продукты</v>
      </c>
      <c r="J2416" s="10" t="str">
        <f aca="false">CHOOSE(MOD(INT((A2416-1)/4),4)+1,CHOOSE(MOD(A2416-1,4)+1,"Смартфоны","Ноутбуки","Аксессуары","Аудио"),CHOOSE(MOD(A2416-1,4)+1,"Верхняя одежда","Спортивная","Повседневная","Обувь"),CHOOSE(MOD(A2416-1,4)+1,"Молочные","Мясные","Бакалея","Напитки"),CHOOSE(MOD(A2416-1,4)+1,"Мягкая мебель","Корпусная","Офисная","Кухонная"))</f>
        <v>Офисная</v>
      </c>
      <c r="K2416" s="12" t="n">
        <f aca="false">1000+MOD(A2416*317+A2416*A2416*7,49001)</f>
        <v>39282</v>
      </c>
      <c r="L2416" s="12" t="n">
        <f aca="false">1+MOD(A2416*131,100)</f>
        <v>66</v>
      </c>
      <c r="M2416" s="12" t="n">
        <f aca="false">INT(K2416*(0.6+MOD(A2416*43,21)/100))</f>
        <v>23569</v>
      </c>
      <c r="N2416" s="12" t="n">
        <f aca="false">K2416-M2416</f>
        <v>15713</v>
      </c>
    </row>
    <row r="2417" customFormat="false" ht="12.8" hidden="false" customHeight="false" outlineLevel="0" collapsed="false">
      <c r="A2417" s="10" t="n">
        <f aca="false">A2416+1</f>
        <v>2416</v>
      </c>
      <c r="B2417" s="11" t="n">
        <f aca="false">B2416+1</f>
        <v>47342</v>
      </c>
      <c r="C2417" s="10" t="n">
        <f aca="false">YEAR(B2417)</f>
        <v>2029</v>
      </c>
      <c r="D2417" s="10" t="n">
        <f aca="false">INT((MONTH(B2417)-1)/3)+1</f>
        <v>3</v>
      </c>
      <c r="E2417" s="10" t="n">
        <f aca="false">MONTH(B2417)</f>
        <v>8</v>
      </c>
      <c r="F2417" s="10" t="str">
        <f aca="false">CHOOSE(MOD(A2417-1,5)+1,"Центр","Юг","Север","Запад","Восток")</f>
        <v>Центр</v>
      </c>
      <c r="G2417" s="10" t="str">
        <f aca="false">"Округ_"&amp;(MOD(A2417-1,5)+1)&amp;"_"&amp;(MOD(INT((A2417-1)/5),5)+1)</f>
        <v>Округ_1_4</v>
      </c>
      <c r="H2417" s="10" t="str">
        <f aca="false">"Город_"&amp;(MOD(A2417-1,5)+1)&amp;"_"&amp;(MOD(INT((A2417-1)/5),5)+1)&amp;"_"&amp;(MOD(INT((A2417-1)/25),10)+1)</f>
        <v>Город_1_4_7</v>
      </c>
      <c r="I2417" s="10" t="str">
        <f aca="false">CHOOSE(MOD(A2417-1,4)+1,"Электроника","Одежда","Продукты","Мебель")</f>
        <v>Мебель</v>
      </c>
      <c r="J2417" s="10" t="str">
        <f aca="false">CHOOSE(MOD(INT((A2417-1)/4),4)+1,CHOOSE(MOD(A2417-1,4)+1,"Смартфоны","Ноутбуки","Аксессуары","Аудио"),CHOOSE(MOD(A2417-1,4)+1,"Верхняя одежда","Спортивная","Повседневная","Обувь"),CHOOSE(MOD(A2417-1,4)+1,"Молочные","Мясные","Бакалея","Напитки"),CHOOSE(MOD(A2417-1,4)+1,"Мягкая мебель","Корпусная","Офисная","Кухонная"))</f>
        <v>Кухонная</v>
      </c>
      <c r="K2417" s="12" t="n">
        <f aca="false">1000+MOD(A2417*317+A2417*A2417*7,49001)</f>
        <v>24415</v>
      </c>
      <c r="L2417" s="12" t="n">
        <f aca="false">1+MOD(A2417*131,100)</f>
        <v>97</v>
      </c>
      <c r="M2417" s="12" t="n">
        <f aca="false">INT(K2417*(0.6+MOD(A2417*43,21)/100))</f>
        <v>14893</v>
      </c>
      <c r="N2417" s="12" t="n">
        <f aca="false">K2417-M2417</f>
        <v>9522</v>
      </c>
    </row>
    <row r="2418" customFormat="false" ht="12.8" hidden="false" customHeight="false" outlineLevel="0" collapsed="false">
      <c r="A2418" s="10" t="n">
        <f aca="false">A2417+1</f>
        <v>2417</v>
      </c>
      <c r="B2418" s="11" t="n">
        <f aca="false">B2417+1</f>
        <v>47343</v>
      </c>
      <c r="C2418" s="10" t="n">
        <f aca="false">YEAR(B2418)</f>
        <v>2029</v>
      </c>
      <c r="D2418" s="10" t="n">
        <f aca="false">INT((MONTH(B2418)-1)/3)+1</f>
        <v>3</v>
      </c>
      <c r="E2418" s="10" t="n">
        <f aca="false">MONTH(B2418)</f>
        <v>8</v>
      </c>
      <c r="F2418" s="10" t="str">
        <f aca="false">CHOOSE(MOD(A2418-1,5)+1,"Центр","Юг","Север","Запад","Восток")</f>
        <v>Юг</v>
      </c>
      <c r="G2418" s="10" t="str">
        <f aca="false">"Округ_"&amp;(MOD(A2418-1,5)+1)&amp;"_"&amp;(MOD(INT((A2418-1)/5),5)+1)</f>
        <v>Округ_2_4</v>
      </c>
      <c r="H2418" s="10" t="str">
        <f aca="false">"Город_"&amp;(MOD(A2418-1,5)+1)&amp;"_"&amp;(MOD(INT((A2418-1)/5),5)+1)&amp;"_"&amp;(MOD(INT((A2418-1)/25),10)+1)</f>
        <v>Город_2_4_7</v>
      </c>
      <c r="I2418" s="10" t="str">
        <f aca="false">CHOOSE(MOD(A2418-1,4)+1,"Электроника","Одежда","Продукты","Мебель")</f>
        <v>Электроника</v>
      </c>
      <c r="J2418" s="10" t="str">
        <f aca="false">CHOOSE(MOD(INT((A2418-1)/4),4)+1,CHOOSE(MOD(A2418-1,4)+1,"Смартфоны","Ноутбуки","Аксессуары","Аудио"),CHOOSE(MOD(A2418-1,4)+1,"Верхняя одежда","Спортивная","Повседневная","Обувь"),CHOOSE(MOD(A2418-1,4)+1,"Молочные","Мясные","Бакалея","Напитки"),CHOOSE(MOD(A2418-1,4)+1,"Мягкая мебель","Корпусная","Офисная","Кухонная"))</f>
        <v>Смартфоны</v>
      </c>
      <c r="K2418" s="12" t="n">
        <f aca="false">1000+MOD(A2418*317+A2418*A2418*7,49001)</f>
        <v>9562</v>
      </c>
      <c r="L2418" s="12" t="n">
        <f aca="false">1+MOD(A2418*131,100)</f>
        <v>28</v>
      </c>
      <c r="M2418" s="12" t="n">
        <f aca="false">INT(K2418*(0.6+MOD(A2418*43,21)/100))</f>
        <v>5928</v>
      </c>
      <c r="N2418" s="12" t="n">
        <f aca="false">K2418-M2418</f>
        <v>3634</v>
      </c>
    </row>
    <row r="2419" customFormat="false" ht="12.8" hidden="false" customHeight="false" outlineLevel="0" collapsed="false">
      <c r="A2419" s="10" t="n">
        <f aca="false">A2418+1</f>
        <v>2418</v>
      </c>
      <c r="B2419" s="11" t="n">
        <f aca="false">B2418+1</f>
        <v>47344</v>
      </c>
      <c r="C2419" s="10" t="n">
        <f aca="false">YEAR(B2419)</f>
        <v>2029</v>
      </c>
      <c r="D2419" s="10" t="n">
        <f aca="false">INT((MONTH(B2419)-1)/3)+1</f>
        <v>3</v>
      </c>
      <c r="E2419" s="10" t="n">
        <f aca="false">MONTH(B2419)</f>
        <v>8</v>
      </c>
      <c r="F2419" s="10" t="str">
        <f aca="false">CHOOSE(MOD(A2419-1,5)+1,"Центр","Юг","Север","Запад","Восток")</f>
        <v>Север</v>
      </c>
      <c r="G2419" s="10" t="str">
        <f aca="false">"Округ_"&amp;(MOD(A2419-1,5)+1)&amp;"_"&amp;(MOD(INT((A2419-1)/5),5)+1)</f>
        <v>Округ_3_4</v>
      </c>
      <c r="H2419" s="10" t="str">
        <f aca="false">"Город_"&amp;(MOD(A2419-1,5)+1)&amp;"_"&amp;(MOD(INT((A2419-1)/5),5)+1)&amp;"_"&amp;(MOD(INT((A2419-1)/25),10)+1)</f>
        <v>Город_3_4_7</v>
      </c>
      <c r="I2419" s="10" t="str">
        <f aca="false">CHOOSE(MOD(A2419-1,4)+1,"Электроника","Одежда","Продукты","Мебель")</f>
        <v>Одежда</v>
      </c>
      <c r="J2419" s="10" t="str">
        <f aca="false">CHOOSE(MOD(INT((A2419-1)/4),4)+1,CHOOSE(MOD(A2419-1,4)+1,"Смартфоны","Ноутбуки","Аксессуары","Аудио"),CHOOSE(MOD(A2419-1,4)+1,"Верхняя одежда","Спортивная","Повседневная","Обувь"),CHOOSE(MOD(A2419-1,4)+1,"Молочные","Мясные","Бакалея","Напитки"),CHOOSE(MOD(A2419-1,4)+1,"Мягкая мебель","Корпусная","Офисная","Кухонная"))</f>
        <v>Ноутбуки</v>
      </c>
      <c r="K2419" s="12" t="n">
        <f aca="false">1000+MOD(A2419*317+A2419*A2419*7,49001)</f>
        <v>43724</v>
      </c>
      <c r="L2419" s="12" t="n">
        <f aca="false">1+MOD(A2419*131,100)</f>
        <v>59</v>
      </c>
      <c r="M2419" s="12" t="n">
        <f aca="false">INT(K2419*(0.6+MOD(A2419*43,21)/100))</f>
        <v>27546</v>
      </c>
      <c r="N2419" s="12" t="n">
        <f aca="false">K2419-M2419</f>
        <v>16178</v>
      </c>
    </row>
    <row r="2420" customFormat="false" ht="12.8" hidden="false" customHeight="false" outlineLevel="0" collapsed="false">
      <c r="A2420" s="10" t="n">
        <f aca="false">A2419+1</f>
        <v>2419</v>
      </c>
      <c r="B2420" s="11" t="n">
        <f aca="false">B2419+1</f>
        <v>47345</v>
      </c>
      <c r="C2420" s="10" t="n">
        <f aca="false">YEAR(B2420)</f>
        <v>2029</v>
      </c>
      <c r="D2420" s="10" t="n">
        <f aca="false">INT((MONTH(B2420)-1)/3)+1</f>
        <v>3</v>
      </c>
      <c r="E2420" s="10" t="n">
        <f aca="false">MONTH(B2420)</f>
        <v>8</v>
      </c>
      <c r="F2420" s="10" t="str">
        <f aca="false">CHOOSE(MOD(A2420-1,5)+1,"Центр","Юг","Север","Запад","Восток")</f>
        <v>Запад</v>
      </c>
      <c r="G2420" s="10" t="str">
        <f aca="false">"Округ_"&amp;(MOD(A2420-1,5)+1)&amp;"_"&amp;(MOD(INT((A2420-1)/5),5)+1)</f>
        <v>Округ_4_4</v>
      </c>
      <c r="H2420" s="10" t="str">
        <f aca="false">"Город_"&amp;(MOD(A2420-1,5)+1)&amp;"_"&amp;(MOD(INT((A2420-1)/5),5)+1)&amp;"_"&amp;(MOD(INT((A2420-1)/25),10)+1)</f>
        <v>Город_4_4_7</v>
      </c>
      <c r="I2420" s="10" t="str">
        <f aca="false">CHOOSE(MOD(A2420-1,4)+1,"Электроника","Одежда","Продукты","Мебель")</f>
        <v>Продукты</v>
      </c>
      <c r="J2420" s="10" t="str">
        <f aca="false">CHOOSE(MOD(INT((A2420-1)/4),4)+1,CHOOSE(MOD(A2420-1,4)+1,"Смартфоны","Ноутбуки","Аксессуары","Аудио"),CHOOSE(MOD(A2420-1,4)+1,"Верхняя одежда","Спортивная","Повседневная","Обувь"),CHOOSE(MOD(A2420-1,4)+1,"Молочные","Мясные","Бакалея","Напитки"),CHOOSE(MOD(A2420-1,4)+1,"Мягкая мебель","Корпусная","Офисная","Кухонная"))</f>
        <v>Аксессуары</v>
      </c>
      <c r="K2420" s="12" t="n">
        <f aca="false">1000+MOD(A2420*317+A2420*A2420*7,49001)</f>
        <v>28899</v>
      </c>
      <c r="L2420" s="12" t="n">
        <f aca="false">1+MOD(A2420*131,100)</f>
        <v>90</v>
      </c>
      <c r="M2420" s="12" t="n">
        <f aca="false">INT(K2420*(0.6+MOD(A2420*43,21)/100))</f>
        <v>18495</v>
      </c>
      <c r="N2420" s="12" t="n">
        <f aca="false">K2420-M2420</f>
        <v>10404</v>
      </c>
    </row>
    <row r="2421" customFormat="false" ht="12.8" hidden="false" customHeight="false" outlineLevel="0" collapsed="false">
      <c r="A2421" s="10" t="n">
        <f aca="false">A2420+1</f>
        <v>2420</v>
      </c>
      <c r="B2421" s="11" t="n">
        <f aca="false">B2420+1</f>
        <v>47346</v>
      </c>
      <c r="C2421" s="10" t="n">
        <f aca="false">YEAR(B2421)</f>
        <v>2029</v>
      </c>
      <c r="D2421" s="10" t="n">
        <f aca="false">INT((MONTH(B2421)-1)/3)+1</f>
        <v>3</v>
      </c>
      <c r="E2421" s="10" t="n">
        <f aca="false">MONTH(B2421)</f>
        <v>8</v>
      </c>
      <c r="F2421" s="10" t="str">
        <f aca="false">CHOOSE(MOD(A2421-1,5)+1,"Центр","Юг","Север","Запад","Восток")</f>
        <v>Восток</v>
      </c>
      <c r="G2421" s="10" t="str">
        <f aca="false">"Округ_"&amp;(MOD(A2421-1,5)+1)&amp;"_"&amp;(MOD(INT((A2421-1)/5),5)+1)</f>
        <v>Округ_5_4</v>
      </c>
      <c r="H2421" s="10" t="str">
        <f aca="false">"Город_"&amp;(MOD(A2421-1,5)+1)&amp;"_"&amp;(MOD(INT((A2421-1)/5),5)+1)&amp;"_"&amp;(MOD(INT((A2421-1)/25),10)+1)</f>
        <v>Город_5_4_7</v>
      </c>
      <c r="I2421" s="10" t="str">
        <f aca="false">CHOOSE(MOD(A2421-1,4)+1,"Электроника","Одежда","Продукты","Мебель")</f>
        <v>Мебель</v>
      </c>
      <c r="J2421" s="10" t="str">
        <f aca="false">CHOOSE(MOD(INT((A2421-1)/4),4)+1,CHOOSE(MOD(A2421-1,4)+1,"Смартфоны","Ноутбуки","Аксессуары","Аудио"),CHOOSE(MOD(A2421-1,4)+1,"Верхняя одежда","Спортивная","Повседневная","Обувь"),CHOOSE(MOD(A2421-1,4)+1,"Молочные","Мясные","Бакалея","Напитки"),CHOOSE(MOD(A2421-1,4)+1,"Мягкая мебель","Корпусная","Офисная","Кухонная"))</f>
        <v>Аудио</v>
      </c>
      <c r="K2421" s="12" t="n">
        <f aca="false">1000+MOD(A2421*317+A2421*A2421*7,49001)</f>
        <v>14088</v>
      </c>
      <c r="L2421" s="12" t="n">
        <f aca="false">1+MOD(A2421*131,100)</f>
        <v>21</v>
      </c>
      <c r="M2421" s="12" t="n">
        <f aca="false">INT(K2421*(0.6+MOD(A2421*43,21)/100))</f>
        <v>9157</v>
      </c>
      <c r="N2421" s="12" t="n">
        <f aca="false">K2421-M2421</f>
        <v>4931</v>
      </c>
    </row>
    <row r="2422" customFormat="false" ht="12.8" hidden="false" customHeight="false" outlineLevel="0" collapsed="false">
      <c r="A2422" s="10" t="n">
        <f aca="false">A2421+1</f>
        <v>2421</v>
      </c>
      <c r="B2422" s="11" t="n">
        <f aca="false">B2421+1</f>
        <v>47347</v>
      </c>
      <c r="C2422" s="10" t="n">
        <f aca="false">YEAR(B2422)</f>
        <v>2029</v>
      </c>
      <c r="D2422" s="10" t="n">
        <f aca="false">INT((MONTH(B2422)-1)/3)+1</f>
        <v>3</v>
      </c>
      <c r="E2422" s="10" t="n">
        <f aca="false">MONTH(B2422)</f>
        <v>8</v>
      </c>
      <c r="F2422" s="10" t="str">
        <f aca="false">CHOOSE(MOD(A2422-1,5)+1,"Центр","Юг","Север","Запад","Восток")</f>
        <v>Центр</v>
      </c>
      <c r="G2422" s="10" t="str">
        <f aca="false">"Округ_"&amp;(MOD(A2422-1,5)+1)&amp;"_"&amp;(MOD(INT((A2422-1)/5),5)+1)</f>
        <v>Округ_1_5</v>
      </c>
      <c r="H2422" s="10" t="str">
        <f aca="false">"Город_"&amp;(MOD(A2422-1,5)+1)&amp;"_"&amp;(MOD(INT((A2422-1)/5),5)+1)&amp;"_"&amp;(MOD(INT((A2422-1)/25),10)+1)</f>
        <v>Город_1_5_7</v>
      </c>
      <c r="I2422" s="10" t="str">
        <f aca="false">CHOOSE(MOD(A2422-1,4)+1,"Электроника","Одежда","Продукты","Мебель")</f>
        <v>Электроника</v>
      </c>
      <c r="J2422" s="10" t="str">
        <f aca="false">CHOOSE(MOD(INT((A2422-1)/4),4)+1,CHOOSE(MOD(A2422-1,4)+1,"Смартфоны","Ноутбуки","Аксессуары","Аудио"),CHOOSE(MOD(A2422-1,4)+1,"Верхняя одежда","Спортивная","Повседневная","Обувь"),CHOOSE(MOD(A2422-1,4)+1,"Молочные","Мясные","Бакалея","Напитки"),CHOOSE(MOD(A2422-1,4)+1,"Мягкая мебель","Корпусная","Офисная","Кухонная"))</f>
        <v>Верхняя одежда</v>
      </c>
      <c r="K2422" s="12" t="n">
        <f aca="false">1000+MOD(A2422*317+A2422*A2422*7,49001)</f>
        <v>48292</v>
      </c>
      <c r="L2422" s="12" t="n">
        <f aca="false">1+MOD(A2422*131,100)</f>
        <v>52</v>
      </c>
      <c r="M2422" s="12" t="n">
        <f aca="false">INT(K2422*(0.6+MOD(A2422*43,21)/100))</f>
        <v>31872</v>
      </c>
      <c r="N2422" s="12" t="n">
        <f aca="false">K2422-M2422</f>
        <v>16420</v>
      </c>
    </row>
    <row r="2423" customFormat="false" ht="12.8" hidden="false" customHeight="false" outlineLevel="0" collapsed="false">
      <c r="A2423" s="10" t="n">
        <f aca="false">A2422+1</f>
        <v>2422</v>
      </c>
      <c r="B2423" s="11" t="n">
        <f aca="false">B2422+1</f>
        <v>47348</v>
      </c>
      <c r="C2423" s="10" t="n">
        <f aca="false">YEAR(B2423)</f>
        <v>2029</v>
      </c>
      <c r="D2423" s="10" t="n">
        <f aca="false">INT((MONTH(B2423)-1)/3)+1</f>
        <v>3</v>
      </c>
      <c r="E2423" s="10" t="n">
        <f aca="false">MONTH(B2423)</f>
        <v>8</v>
      </c>
      <c r="F2423" s="10" t="str">
        <f aca="false">CHOOSE(MOD(A2423-1,5)+1,"Центр","Юг","Север","Запад","Восток")</f>
        <v>Юг</v>
      </c>
      <c r="G2423" s="10" t="str">
        <f aca="false">"Округ_"&amp;(MOD(A2423-1,5)+1)&amp;"_"&amp;(MOD(INT((A2423-1)/5),5)+1)</f>
        <v>Округ_2_5</v>
      </c>
      <c r="H2423" s="10" t="str">
        <f aca="false">"Город_"&amp;(MOD(A2423-1,5)+1)&amp;"_"&amp;(MOD(INT((A2423-1)/5),5)+1)&amp;"_"&amp;(MOD(INT((A2423-1)/25),10)+1)</f>
        <v>Город_2_5_7</v>
      </c>
      <c r="I2423" s="10" t="str">
        <f aca="false">CHOOSE(MOD(A2423-1,4)+1,"Электроника","Одежда","Продукты","Мебель")</f>
        <v>Одежда</v>
      </c>
      <c r="J2423" s="10" t="str">
        <f aca="false">CHOOSE(MOD(INT((A2423-1)/4),4)+1,CHOOSE(MOD(A2423-1,4)+1,"Смартфоны","Ноутбуки","Аксессуары","Аудио"),CHOOSE(MOD(A2423-1,4)+1,"Верхняя одежда","Спортивная","Повседневная","Обувь"),CHOOSE(MOD(A2423-1,4)+1,"Молочные","Мясные","Бакалея","Напитки"),CHOOSE(MOD(A2423-1,4)+1,"Мягкая мебель","Корпусная","Офисная","Кухонная"))</f>
        <v>Спортивная</v>
      </c>
      <c r="K2423" s="12" t="n">
        <f aca="false">1000+MOD(A2423*317+A2423*A2423*7,49001)</f>
        <v>33509</v>
      </c>
      <c r="L2423" s="12" t="n">
        <f aca="false">1+MOD(A2423*131,100)</f>
        <v>83</v>
      </c>
      <c r="M2423" s="12" t="n">
        <f aca="false">INT(K2423*(0.6+MOD(A2423*43,21)/100))</f>
        <v>22451</v>
      </c>
      <c r="N2423" s="12" t="n">
        <f aca="false">K2423-M2423</f>
        <v>11058</v>
      </c>
    </row>
    <row r="2424" customFormat="false" ht="12.8" hidden="false" customHeight="false" outlineLevel="0" collapsed="false">
      <c r="A2424" s="10" t="n">
        <f aca="false">A2423+1</f>
        <v>2423</v>
      </c>
      <c r="B2424" s="11" t="n">
        <f aca="false">B2423+1</f>
        <v>47349</v>
      </c>
      <c r="C2424" s="10" t="n">
        <f aca="false">YEAR(B2424)</f>
        <v>2029</v>
      </c>
      <c r="D2424" s="10" t="n">
        <f aca="false">INT((MONTH(B2424)-1)/3)+1</f>
        <v>3</v>
      </c>
      <c r="E2424" s="10" t="n">
        <f aca="false">MONTH(B2424)</f>
        <v>8</v>
      </c>
      <c r="F2424" s="10" t="str">
        <f aca="false">CHOOSE(MOD(A2424-1,5)+1,"Центр","Юг","Север","Запад","Восток")</f>
        <v>Север</v>
      </c>
      <c r="G2424" s="10" t="str">
        <f aca="false">"Округ_"&amp;(MOD(A2424-1,5)+1)&amp;"_"&amp;(MOD(INT((A2424-1)/5),5)+1)</f>
        <v>Округ_3_5</v>
      </c>
      <c r="H2424" s="10" t="str">
        <f aca="false">"Город_"&amp;(MOD(A2424-1,5)+1)&amp;"_"&amp;(MOD(INT((A2424-1)/5),5)+1)&amp;"_"&amp;(MOD(INT((A2424-1)/25),10)+1)</f>
        <v>Город_3_5_7</v>
      </c>
      <c r="I2424" s="10" t="str">
        <f aca="false">CHOOSE(MOD(A2424-1,4)+1,"Электроника","Одежда","Продукты","Мебель")</f>
        <v>Продукты</v>
      </c>
      <c r="J2424" s="10" t="str">
        <f aca="false">CHOOSE(MOD(INT((A2424-1)/4),4)+1,CHOOSE(MOD(A2424-1,4)+1,"Смартфоны","Ноутбуки","Аксессуары","Аудио"),CHOOSE(MOD(A2424-1,4)+1,"Верхняя одежда","Спортивная","Повседневная","Обувь"),CHOOSE(MOD(A2424-1,4)+1,"Молочные","Мясные","Бакалея","Напитки"),CHOOSE(MOD(A2424-1,4)+1,"Мягкая мебель","Корпусная","Офисная","Кухонная"))</f>
        <v>Повседневная</v>
      </c>
      <c r="K2424" s="12" t="n">
        <f aca="false">1000+MOD(A2424*317+A2424*A2424*7,49001)</f>
        <v>18740</v>
      </c>
      <c r="L2424" s="12" t="n">
        <f aca="false">1+MOD(A2424*131,100)</f>
        <v>14</v>
      </c>
      <c r="M2424" s="12" t="n">
        <f aca="false">INT(K2424*(0.6+MOD(A2424*43,21)/100))</f>
        <v>12743</v>
      </c>
      <c r="N2424" s="12" t="n">
        <f aca="false">K2424-M2424</f>
        <v>5997</v>
      </c>
    </row>
    <row r="2425" customFormat="false" ht="12.8" hidden="false" customHeight="false" outlineLevel="0" collapsed="false">
      <c r="A2425" s="10" t="n">
        <f aca="false">A2424+1</f>
        <v>2424</v>
      </c>
      <c r="B2425" s="11" t="n">
        <f aca="false">B2424+1</f>
        <v>47350</v>
      </c>
      <c r="C2425" s="10" t="n">
        <f aca="false">YEAR(B2425)</f>
        <v>2029</v>
      </c>
      <c r="D2425" s="10" t="n">
        <f aca="false">INT((MONTH(B2425)-1)/3)+1</f>
        <v>3</v>
      </c>
      <c r="E2425" s="10" t="n">
        <f aca="false">MONTH(B2425)</f>
        <v>8</v>
      </c>
      <c r="F2425" s="10" t="str">
        <f aca="false">CHOOSE(MOD(A2425-1,5)+1,"Центр","Юг","Север","Запад","Восток")</f>
        <v>Запад</v>
      </c>
      <c r="G2425" s="10" t="str">
        <f aca="false">"Округ_"&amp;(MOD(A2425-1,5)+1)&amp;"_"&amp;(MOD(INT((A2425-1)/5),5)+1)</f>
        <v>Округ_4_5</v>
      </c>
      <c r="H2425" s="10" t="str">
        <f aca="false">"Город_"&amp;(MOD(A2425-1,5)+1)&amp;"_"&amp;(MOD(INT((A2425-1)/5),5)+1)&amp;"_"&amp;(MOD(INT((A2425-1)/25),10)+1)</f>
        <v>Город_4_5_7</v>
      </c>
      <c r="I2425" s="10" t="str">
        <f aca="false">CHOOSE(MOD(A2425-1,4)+1,"Электроника","Одежда","Продукты","Мебель")</f>
        <v>Мебель</v>
      </c>
      <c r="J2425" s="10" t="str">
        <f aca="false">CHOOSE(MOD(INT((A2425-1)/4),4)+1,CHOOSE(MOD(A2425-1,4)+1,"Смартфоны","Ноутбуки","Аксессуары","Аудио"),CHOOSE(MOD(A2425-1,4)+1,"Верхняя одежда","Спортивная","Повседневная","Обувь"),CHOOSE(MOD(A2425-1,4)+1,"Молочные","Мясные","Бакалея","Напитки"),CHOOSE(MOD(A2425-1,4)+1,"Мягкая мебель","Корпусная","Офисная","Кухонная"))</f>
        <v>Обувь</v>
      </c>
      <c r="K2425" s="12" t="n">
        <f aca="false">1000+MOD(A2425*317+A2425*A2425*7,49001)</f>
        <v>3985</v>
      </c>
      <c r="L2425" s="12" t="n">
        <f aca="false">1+MOD(A2425*131,100)</f>
        <v>45</v>
      </c>
      <c r="M2425" s="12" t="n">
        <f aca="false">INT(K2425*(0.6+MOD(A2425*43,21)/100))</f>
        <v>2749</v>
      </c>
      <c r="N2425" s="12" t="n">
        <f aca="false">K2425-M2425</f>
        <v>1236</v>
      </c>
    </row>
    <row r="2426" customFormat="false" ht="12.8" hidden="false" customHeight="false" outlineLevel="0" collapsed="false">
      <c r="A2426" s="10" t="n">
        <f aca="false">A2425+1</f>
        <v>2425</v>
      </c>
      <c r="B2426" s="11" t="n">
        <f aca="false">B2425+1</f>
        <v>47351</v>
      </c>
      <c r="C2426" s="10" t="n">
        <f aca="false">YEAR(B2426)</f>
        <v>2029</v>
      </c>
      <c r="D2426" s="10" t="n">
        <f aca="false">INT((MONTH(B2426)-1)/3)+1</f>
        <v>3</v>
      </c>
      <c r="E2426" s="10" t="n">
        <f aca="false">MONTH(B2426)</f>
        <v>8</v>
      </c>
      <c r="F2426" s="10" t="str">
        <f aca="false">CHOOSE(MOD(A2426-1,5)+1,"Центр","Юг","Север","Запад","Восток")</f>
        <v>Восток</v>
      </c>
      <c r="G2426" s="10" t="str">
        <f aca="false">"Округ_"&amp;(MOD(A2426-1,5)+1)&amp;"_"&amp;(MOD(INT((A2426-1)/5),5)+1)</f>
        <v>Округ_5_5</v>
      </c>
      <c r="H2426" s="10" t="str">
        <f aca="false">"Город_"&amp;(MOD(A2426-1,5)+1)&amp;"_"&amp;(MOD(INT((A2426-1)/5),5)+1)&amp;"_"&amp;(MOD(INT((A2426-1)/25),10)+1)</f>
        <v>Город_5_5_7</v>
      </c>
      <c r="I2426" s="10" t="str">
        <f aca="false">CHOOSE(MOD(A2426-1,4)+1,"Электроника","Одежда","Продукты","Мебель")</f>
        <v>Электроника</v>
      </c>
      <c r="J2426" s="10" t="str">
        <f aca="false">CHOOSE(MOD(INT((A2426-1)/4),4)+1,CHOOSE(MOD(A2426-1,4)+1,"Смартфоны","Ноутбуки","Аксессуары","Аудио"),CHOOSE(MOD(A2426-1,4)+1,"Верхняя одежда","Спортивная","Повседневная","Обувь"),CHOOSE(MOD(A2426-1,4)+1,"Молочные","Мясные","Бакалея","Напитки"),CHOOSE(MOD(A2426-1,4)+1,"Мягкая мебель","Корпусная","Офисная","Кухонная"))</f>
        <v>Молочные</v>
      </c>
      <c r="K2426" s="12" t="n">
        <f aca="false">1000+MOD(A2426*317+A2426*A2426*7,49001)</f>
        <v>38245</v>
      </c>
      <c r="L2426" s="12" t="n">
        <f aca="false">1+MOD(A2426*131,100)</f>
        <v>76</v>
      </c>
      <c r="M2426" s="12" t="n">
        <f aca="false">INT(K2426*(0.6+MOD(A2426*43,21)/100))</f>
        <v>26771</v>
      </c>
      <c r="N2426" s="12" t="n">
        <f aca="false">K2426-M2426</f>
        <v>11474</v>
      </c>
    </row>
    <row r="2427" customFormat="false" ht="12.8" hidden="false" customHeight="false" outlineLevel="0" collapsed="false">
      <c r="A2427" s="10" t="n">
        <f aca="false">A2426+1</f>
        <v>2426</v>
      </c>
      <c r="B2427" s="11" t="n">
        <f aca="false">B2426+1</f>
        <v>47352</v>
      </c>
      <c r="C2427" s="10" t="n">
        <f aca="false">YEAR(B2427)</f>
        <v>2029</v>
      </c>
      <c r="D2427" s="10" t="n">
        <f aca="false">INT((MONTH(B2427)-1)/3)+1</f>
        <v>3</v>
      </c>
      <c r="E2427" s="10" t="n">
        <f aca="false">MONTH(B2427)</f>
        <v>8</v>
      </c>
      <c r="F2427" s="10" t="str">
        <f aca="false">CHOOSE(MOD(A2427-1,5)+1,"Центр","Юг","Север","Запад","Восток")</f>
        <v>Центр</v>
      </c>
      <c r="G2427" s="10" t="str">
        <f aca="false">"Округ_"&amp;(MOD(A2427-1,5)+1)&amp;"_"&amp;(MOD(INT((A2427-1)/5),5)+1)</f>
        <v>Округ_1_1</v>
      </c>
      <c r="H2427" s="10" t="str">
        <f aca="false">"Город_"&amp;(MOD(A2427-1,5)+1)&amp;"_"&amp;(MOD(INT((A2427-1)/5),5)+1)&amp;"_"&amp;(MOD(INT((A2427-1)/25),10)+1)</f>
        <v>Город_1_1_8</v>
      </c>
      <c r="I2427" s="10" t="str">
        <f aca="false">CHOOSE(MOD(A2427-1,4)+1,"Электроника","Одежда","Продукты","Мебель")</f>
        <v>Одежда</v>
      </c>
      <c r="J2427" s="10" t="str">
        <f aca="false">CHOOSE(MOD(INT((A2427-1)/4),4)+1,CHOOSE(MOD(A2427-1,4)+1,"Смартфоны","Ноутбуки","Аксессуары","Аудио"),CHOOSE(MOD(A2427-1,4)+1,"Верхняя одежда","Спортивная","Повседневная","Обувь"),CHOOSE(MOD(A2427-1,4)+1,"Молочные","Мясные","Бакалея","Напитки"),CHOOSE(MOD(A2427-1,4)+1,"Мягкая мебель","Корпусная","Офисная","Кухонная"))</f>
        <v>Мясные</v>
      </c>
      <c r="K2427" s="12" t="n">
        <f aca="false">1000+MOD(A2427*317+A2427*A2427*7,49001)</f>
        <v>23518</v>
      </c>
      <c r="L2427" s="12" t="n">
        <f aca="false">1+MOD(A2427*131,100)</f>
        <v>7</v>
      </c>
      <c r="M2427" s="12" t="n">
        <f aca="false">INT(K2427*(0.6+MOD(A2427*43,21)/100))</f>
        <v>16697</v>
      </c>
      <c r="N2427" s="12" t="n">
        <f aca="false">K2427-M2427</f>
        <v>6821</v>
      </c>
    </row>
    <row r="2428" customFormat="false" ht="12.8" hidden="false" customHeight="false" outlineLevel="0" collapsed="false">
      <c r="A2428" s="10" t="n">
        <f aca="false">A2427+1</f>
        <v>2427</v>
      </c>
      <c r="B2428" s="11" t="n">
        <f aca="false">B2427+1</f>
        <v>47353</v>
      </c>
      <c r="C2428" s="10" t="n">
        <f aca="false">YEAR(B2428)</f>
        <v>2029</v>
      </c>
      <c r="D2428" s="10" t="n">
        <f aca="false">INT((MONTH(B2428)-1)/3)+1</f>
        <v>3</v>
      </c>
      <c r="E2428" s="10" t="n">
        <f aca="false">MONTH(B2428)</f>
        <v>8</v>
      </c>
      <c r="F2428" s="10" t="str">
        <f aca="false">CHOOSE(MOD(A2428-1,5)+1,"Центр","Юг","Север","Запад","Восток")</f>
        <v>Юг</v>
      </c>
      <c r="G2428" s="10" t="str">
        <f aca="false">"Округ_"&amp;(MOD(A2428-1,5)+1)&amp;"_"&amp;(MOD(INT((A2428-1)/5),5)+1)</f>
        <v>Округ_2_1</v>
      </c>
      <c r="H2428" s="10" t="str">
        <f aca="false">"Город_"&amp;(MOD(A2428-1,5)+1)&amp;"_"&amp;(MOD(INT((A2428-1)/5),5)+1)&amp;"_"&amp;(MOD(INT((A2428-1)/25),10)+1)</f>
        <v>Город_2_1_8</v>
      </c>
      <c r="I2428" s="10" t="str">
        <f aca="false">CHOOSE(MOD(A2428-1,4)+1,"Электроника","Одежда","Продукты","Мебель")</f>
        <v>Продукты</v>
      </c>
      <c r="J2428" s="10" t="str">
        <f aca="false">CHOOSE(MOD(INT((A2428-1)/4),4)+1,CHOOSE(MOD(A2428-1,4)+1,"Смартфоны","Ноутбуки","Аксессуары","Аудио"),CHOOSE(MOD(A2428-1,4)+1,"Верхняя одежда","Спортивная","Повседневная","Обувь"),CHOOSE(MOD(A2428-1,4)+1,"Молочные","Мясные","Бакалея","Напитки"),CHOOSE(MOD(A2428-1,4)+1,"Мягкая мебель","Корпусная","Офисная","Кухонная"))</f>
        <v>Бакалея</v>
      </c>
      <c r="K2428" s="12" t="n">
        <f aca="false">1000+MOD(A2428*317+A2428*A2428*7,49001)</f>
        <v>8805</v>
      </c>
      <c r="L2428" s="12" t="n">
        <f aca="false">1+MOD(A2428*131,100)</f>
        <v>38</v>
      </c>
      <c r="M2428" s="12" t="n">
        <f aca="false">INT(K2428*(0.6+MOD(A2428*43,21)/100))</f>
        <v>6339</v>
      </c>
      <c r="N2428" s="12" t="n">
        <f aca="false">K2428-M2428</f>
        <v>2466</v>
      </c>
    </row>
    <row r="2429" customFormat="false" ht="12.8" hidden="false" customHeight="false" outlineLevel="0" collapsed="false">
      <c r="A2429" s="10" t="n">
        <f aca="false">A2428+1</f>
        <v>2428</v>
      </c>
      <c r="B2429" s="11" t="n">
        <f aca="false">B2428+1</f>
        <v>47354</v>
      </c>
      <c r="C2429" s="10" t="n">
        <f aca="false">YEAR(B2429)</f>
        <v>2029</v>
      </c>
      <c r="D2429" s="10" t="n">
        <f aca="false">INT((MONTH(B2429)-1)/3)+1</f>
        <v>3</v>
      </c>
      <c r="E2429" s="10" t="n">
        <f aca="false">MONTH(B2429)</f>
        <v>8</v>
      </c>
      <c r="F2429" s="10" t="str">
        <f aca="false">CHOOSE(MOD(A2429-1,5)+1,"Центр","Юг","Север","Запад","Восток")</f>
        <v>Север</v>
      </c>
      <c r="G2429" s="10" t="str">
        <f aca="false">"Округ_"&amp;(MOD(A2429-1,5)+1)&amp;"_"&amp;(MOD(INT((A2429-1)/5),5)+1)</f>
        <v>Округ_3_1</v>
      </c>
      <c r="H2429" s="10" t="str">
        <f aca="false">"Город_"&amp;(MOD(A2429-1,5)+1)&amp;"_"&amp;(MOD(INT((A2429-1)/5),5)+1)&amp;"_"&amp;(MOD(INT((A2429-1)/25),10)+1)</f>
        <v>Город_3_1_8</v>
      </c>
      <c r="I2429" s="10" t="str">
        <f aca="false">CHOOSE(MOD(A2429-1,4)+1,"Электроника","Одежда","Продукты","Мебель")</f>
        <v>Мебель</v>
      </c>
      <c r="J2429" s="10" t="str">
        <f aca="false">CHOOSE(MOD(INT((A2429-1)/4),4)+1,CHOOSE(MOD(A2429-1,4)+1,"Смартфоны","Ноутбуки","Аксессуары","Аудио"),CHOOSE(MOD(A2429-1,4)+1,"Верхняя одежда","Спортивная","Повседневная","Обувь"),CHOOSE(MOD(A2429-1,4)+1,"Молочные","Мясные","Бакалея","Напитки"),CHOOSE(MOD(A2429-1,4)+1,"Мягкая мебель","Корпусная","Офисная","Кухонная"))</f>
        <v>Напитки</v>
      </c>
      <c r="K2429" s="12" t="n">
        <f aca="false">1000+MOD(A2429*317+A2429*A2429*7,49001)</f>
        <v>43107</v>
      </c>
      <c r="L2429" s="12" t="n">
        <f aca="false">1+MOD(A2429*131,100)</f>
        <v>69</v>
      </c>
      <c r="M2429" s="12" t="n">
        <f aca="false">INT(K2429*(0.6+MOD(A2429*43,21)/100))</f>
        <v>31468</v>
      </c>
      <c r="N2429" s="12" t="n">
        <f aca="false">K2429-M2429</f>
        <v>11639</v>
      </c>
    </row>
    <row r="2430" customFormat="false" ht="12.8" hidden="false" customHeight="false" outlineLevel="0" collapsed="false">
      <c r="A2430" s="10" t="n">
        <f aca="false">A2429+1</f>
        <v>2429</v>
      </c>
      <c r="B2430" s="11" t="n">
        <f aca="false">B2429+1</f>
        <v>47355</v>
      </c>
      <c r="C2430" s="10" t="n">
        <f aca="false">YEAR(B2430)</f>
        <v>2029</v>
      </c>
      <c r="D2430" s="10" t="n">
        <f aca="false">INT((MONTH(B2430)-1)/3)+1</f>
        <v>3</v>
      </c>
      <c r="E2430" s="10" t="n">
        <f aca="false">MONTH(B2430)</f>
        <v>8</v>
      </c>
      <c r="F2430" s="10" t="str">
        <f aca="false">CHOOSE(MOD(A2430-1,5)+1,"Центр","Юг","Север","Запад","Восток")</f>
        <v>Запад</v>
      </c>
      <c r="G2430" s="10" t="str">
        <f aca="false">"Округ_"&amp;(MOD(A2430-1,5)+1)&amp;"_"&amp;(MOD(INT((A2430-1)/5),5)+1)</f>
        <v>Округ_4_1</v>
      </c>
      <c r="H2430" s="10" t="str">
        <f aca="false">"Город_"&amp;(MOD(A2430-1,5)+1)&amp;"_"&amp;(MOD(INT((A2430-1)/5),5)+1)&amp;"_"&amp;(MOD(INT((A2430-1)/25),10)+1)</f>
        <v>Город_4_1_8</v>
      </c>
      <c r="I2430" s="10" t="str">
        <f aca="false">CHOOSE(MOD(A2430-1,4)+1,"Электроника","Одежда","Продукты","Мебель")</f>
        <v>Электроника</v>
      </c>
      <c r="J2430" s="10" t="str">
        <f aca="false">CHOOSE(MOD(INT((A2430-1)/4),4)+1,CHOOSE(MOD(A2430-1,4)+1,"Смартфоны","Ноутбуки","Аксессуары","Аудио"),CHOOSE(MOD(A2430-1,4)+1,"Верхняя одежда","Спортивная","Повседневная","Обувь"),CHOOSE(MOD(A2430-1,4)+1,"Молочные","Мясные","Бакалея","Напитки"),CHOOSE(MOD(A2430-1,4)+1,"Мягкая мебель","Корпусная","Офисная","Кухонная"))</f>
        <v>Мягкая мебель</v>
      </c>
      <c r="K2430" s="12" t="n">
        <f aca="false">1000+MOD(A2430*317+A2430*A2430*7,49001)</f>
        <v>28422</v>
      </c>
      <c r="L2430" s="12" t="n">
        <f aca="false">1+MOD(A2430*131,100)</f>
        <v>100</v>
      </c>
      <c r="M2430" s="12" t="n">
        <f aca="false">INT(K2430*(0.6+MOD(A2430*43,21)/100))</f>
        <v>21032</v>
      </c>
      <c r="N2430" s="12" t="n">
        <f aca="false">K2430-M2430</f>
        <v>7390</v>
      </c>
    </row>
    <row r="2431" customFormat="false" ht="12.8" hidden="false" customHeight="false" outlineLevel="0" collapsed="false">
      <c r="A2431" s="10" t="n">
        <f aca="false">A2430+1</f>
        <v>2430</v>
      </c>
      <c r="B2431" s="11" t="n">
        <f aca="false">B2430+1</f>
        <v>47356</v>
      </c>
      <c r="C2431" s="10" t="n">
        <f aca="false">YEAR(B2431)</f>
        <v>2029</v>
      </c>
      <c r="D2431" s="10" t="n">
        <f aca="false">INT((MONTH(B2431)-1)/3)+1</f>
        <v>3</v>
      </c>
      <c r="E2431" s="10" t="n">
        <f aca="false">MONTH(B2431)</f>
        <v>8</v>
      </c>
      <c r="F2431" s="10" t="str">
        <f aca="false">CHOOSE(MOD(A2431-1,5)+1,"Центр","Юг","Север","Запад","Восток")</f>
        <v>Восток</v>
      </c>
      <c r="G2431" s="10" t="str">
        <f aca="false">"Округ_"&amp;(MOD(A2431-1,5)+1)&amp;"_"&amp;(MOD(INT((A2431-1)/5),5)+1)</f>
        <v>Округ_5_1</v>
      </c>
      <c r="H2431" s="10" t="str">
        <f aca="false">"Город_"&amp;(MOD(A2431-1,5)+1)&amp;"_"&amp;(MOD(INT((A2431-1)/5),5)+1)&amp;"_"&amp;(MOD(INT((A2431-1)/25),10)+1)</f>
        <v>Город_5_1_8</v>
      </c>
      <c r="I2431" s="10" t="str">
        <f aca="false">CHOOSE(MOD(A2431-1,4)+1,"Электроника","Одежда","Продукты","Мебель")</f>
        <v>Одежда</v>
      </c>
      <c r="J2431" s="10" t="str">
        <f aca="false">CHOOSE(MOD(INT((A2431-1)/4),4)+1,CHOOSE(MOD(A2431-1,4)+1,"Смартфоны","Ноутбуки","Аксессуары","Аудио"),CHOOSE(MOD(A2431-1,4)+1,"Верхняя одежда","Спортивная","Повседневная","Обувь"),CHOOSE(MOD(A2431-1,4)+1,"Молочные","Мясные","Бакалея","Напитки"),CHOOSE(MOD(A2431-1,4)+1,"Мягкая мебель","Корпусная","Офисная","Кухонная"))</f>
        <v>Корпусная</v>
      </c>
      <c r="K2431" s="12" t="n">
        <f aca="false">1000+MOD(A2431*317+A2431*A2431*7,49001)</f>
        <v>13751</v>
      </c>
      <c r="L2431" s="12" t="n">
        <f aca="false">1+MOD(A2431*131,100)</f>
        <v>31</v>
      </c>
      <c r="M2431" s="12" t="n">
        <f aca="false">INT(K2431*(0.6+MOD(A2431*43,21)/100))</f>
        <v>10313</v>
      </c>
      <c r="N2431" s="12" t="n">
        <f aca="false">K2431-M2431</f>
        <v>3438</v>
      </c>
    </row>
    <row r="2432" customFormat="false" ht="12.8" hidden="false" customHeight="false" outlineLevel="0" collapsed="false">
      <c r="A2432" s="10" t="n">
        <f aca="false">A2431+1</f>
        <v>2431</v>
      </c>
      <c r="B2432" s="11" t="n">
        <f aca="false">B2431+1</f>
        <v>47357</v>
      </c>
      <c r="C2432" s="10" t="n">
        <f aca="false">YEAR(B2432)</f>
        <v>2029</v>
      </c>
      <c r="D2432" s="10" t="n">
        <f aca="false">INT((MONTH(B2432)-1)/3)+1</f>
        <v>3</v>
      </c>
      <c r="E2432" s="10" t="n">
        <f aca="false">MONTH(B2432)</f>
        <v>8</v>
      </c>
      <c r="F2432" s="10" t="str">
        <f aca="false">CHOOSE(MOD(A2432-1,5)+1,"Центр","Юг","Север","Запад","Восток")</f>
        <v>Центр</v>
      </c>
      <c r="G2432" s="10" t="str">
        <f aca="false">"Округ_"&amp;(MOD(A2432-1,5)+1)&amp;"_"&amp;(MOD(INT((A2432-1)/5),5)+1)</f>
        <v>Округ_1_2</v>
      </c>
      <c r="H2432" s="10" t="str">
        <f aca="false">"Город_"&amp;(MOD(A2432-1,5)+1)&amp;"_"&amp;(MOD(INT((A2432-1)/5),5)+1)&amp;"_"&amp;(MOD(INT((A2432-1)/25),10)+1)</f>
        <v>Город_1_2_8</v>
      </c>
      <c r="I2432" s="10" t="str">
        <f aca="false">CHOOSE(MOD(A2432-1,4)+1,"Электроника","Одежда","Продукты","Мебель")</f>
        <v>Продукты</v>
      </c>
      <c r="J2432" s="10" t="str">
        <f aca="false">CHOOSE(MOD(INT((A2432-1)/4),4)+1,CHOOSE(MOD(A2432-1,4)+1,"Смартфоны","Ноутбуки","Аксессуары","Аудио"),CHOOSE(MOD(A2432-1,4)+1,"Верхняя одежда","Спортивная","Повседневная","Обувь"),CHOOSE(MOD(A2432-1,4)+1,"Молочные","Мясные","Бакалея","Напитки"),CHOOSE(MOD(A2432-1,4)+1,"Мягкая мебель","Корпусная","Офисная","Кухонная"))</f>
        <v>Офисная</v>
      </c>
      <c r="K2432" s="12" t="n">
        <f aca="false">1000+MOD(A2432*317+A2432*A2432*7,49001)</f>
        <v>48095</v>
      </c>
      <c r="L2432" s="12" t="n">
        <f aca="false">1+MOD(A2432*131,100)</f>
        <v>62</v>
      </c>
      <c r="M2432" s="12" t="n">
        <f aca="false">INT(K2432*(0.6+MOD(A2432*43,21)/100))</f>
        <v>36552</v>
      </c>
      <c r="N2432" s="12" t="n">
        <f aca="false">K2432-M2432</f>
        <v>11543</v>
      </c>
    </row>
    <row r="2433" customFormat="false" ht="12.8" hidden="false" customHeight="false" outlineLevel="0" collapsed="false">
      <c r="A2433" s="10" t="n">
        <f aca="false">A2432+1</f>
        <v>2432</v>
      </c>
      <c r="B2433" s="11" t="n">
        <f aca="false">B2432+1</f>
        <v>47358</v>
      </c>
      <c r="C2433" s="10" t="n">
        <f aca="false">YEAR(B2433)</f>
        <v>2029</v>
      </c>
      <c r="D2433" s="10" t="n">
        <f aca="false">INT((MONTH(B2433)-1)/3)+1</f>
        <v>3</v>
      </c>
      <c r="E2433" s="10" t="n">
        <f aca="false">MONTH(B2433)</f>
        <v>8</v>
      </c>
      <c r="F2433" s="10" t="str">
        <f aca="false">CHOOSE(MOD(A2433-1,5)+1,"Центр","Юг","Север","Запад","Восток")</f>
        <v>Юг</v>
      </c>
      <c r="G2433" s="10" t="str">
        <f aca="false">"Округ_"&amp;(MOD(A2433-1,5)+1)&amp;"_"&amp;(MOD(INT((A2433-1)/5),5)+1)</f>
        <v>Округ_2_2</v>
      </c>
      <c r="H2433" s="10" t="str">
        <f aca="false">"Город_"&amp;(MOD(A2433-1,5)+1)&amp;"_"&amp;(MOD(INT((A2433-1)/5),5)+1)&amp;"_"&amp;(MOD(INT((A2433-1)/25),10)+1)</f>
        <v>Город_2_2_8</v>
      </c>
      <c r="I2433" s="10" t="str">
        <f aca="false">CHOOSE(MOD(A2433-1,4)+1,"Электроника","Одежда","Продукты","Мебель")</f>
        <v>Мебель</v>
      </c>
      <c r="J2433" s="10" t="str">
        <f aca="false">CHOOSE(MOD(INT((A2433-1)/4),4)+1,CHOOSE(MOD(A2433-1,4)+1,"Смартфоны","Ноутбуки","Аксессуары","Аудио"),CHOOSE(MOD(A2433-1,4)+1,"Верхняя одежда","Спортивная","Повседневная","Обувь"),CHOOSE(MOD(A2433-1,4)+1,"Молочные","Мясные","Бакалея","Напитки"),CHOOSE(MOD(A2433-1,4)+1,"Мягкая мебель","Корпусная","Офисная","Кухонная"))</f>
        <v>Кухонная</v>
      </c>
      <c r="K2433" s="12" t="n">
        <f aca="false">1000+MOD(A2433*317+A2433*A2433*7,49001)</f>
        <v>33452</v>
      </c>
      <c r="L2433" s="12" t="n">
        <f aca="false">1+MOD(A2433*131,100)</f>
        <v>93</v>
      </c>
      <c r="M2433" s="12" t="n">
        <f aca="false">INT(K2433*(0.6+MOD(A2433*43,21)/100))</f>
        <v>25758</v>
      </c>
      <c r="N2433" s="12" t="n">
        <f aca="false">K2433-M2433</f>
        <v>7694</v>
      </c>
    </row>
    <row r="2434" customFormat="false" ht="12.8" hidden="false" customHeight="false" outlineLevel="0" collapsed="false">
      <c r="A2434" s="10" t="n">
        <f aca="false">A2433+1</f>
        <v>2433</v>
      </c>
      <c r="B2434" s="11" t="n">
        <f aca="false">B2433+1</f>
        <v>47359</v>
      </c>
      <c r="C2434" s="10" t="n">
        <f aca="false">YEAR(B2434)</f>
        <v>2029</v>
      </c>
      <c r="D2434" s="10" t="n">
        <f aca="false">INT((MONTH(B2434)-1)/3)+1</f>
        <v>3</v>
      </c>
      <c r="E2434" s="10" t="n">
        <f aca="false">MONTH(B2434)</f>
        <v>8</v>
      </c>
      <c r="F2434" s="10" t="str">
        <f aca="false">CHOOSE(MOD(A2434-1,5)+1,"Центр","Юг","Север","Запад","Восток")</f>
        <v>Север</v>
      </c>
      <c r="G2434" s="10" t="str">
        <f aca="false">"Округ_"&amp;(MOD(A2434-1,5)+1)&amp;"_"&amp;(MOD(INT((A2434-1)/5),5)+1)</f>
        <v>Округ_3_2</v>
      </c>
      <c r="H2434" s="10" t="str">
        <f aca="false">"Город_"&amp;(MOD(A2434-1,5)+1)&amp;"_"&amp;(MOD(INT((A2434-1)/5),5)+1)&amp;"_"&amp;(MOD(INT((A2434-1)/25),10)+1)</f>
        <v>Город_3_2_8</v>
      </c>
      <c r="I2434" s="10" t="str">
        <f aca="false">CHOOSE(MOD(A2434-1,4)+1,"Электроника","Одежда","Продукты","Мебель")</f>
        <v>Электроника</v>
      </c>
      <c r="J2434" s="10" t="str">
        <f aca="false">CHOOSE(MOD(INT((A2434-1)/4),4)+1,CHOOSE(MOD(A2434-1,4)+1,"Смартфоны","Ноутбуки","Аксессуары","Аудио"),CHOOSE(MOD(A2434-1,4)+1,"Верхняя одежда","Спортивная","Повседневная","Обувь"),CHOOSE(MOD(A2434-1,4)+1,"Молочные","Мясные","Бакалея","Напитки"),CHOOSE(MOD(A2434-1,4)+1,"Мягкая мебель","Корпусная","Офисная","Кухонная"))</f>
        <v>Смартфоны</v>
      </c>
      <c r="K2434" s="12" t="n">
        <f aca="false">1000+MOD(A2434*317+A2434*A2434*7,49001)</f>
        <v>18823</v>
      </c>
      <c r="L2434" s="12" t="n">
        <f aca="false">1+MOD(A2434*131,100)</f>
        <v>24</v>
      </c>
      <c r="M2434" s="12" t="n">
        <f aca="false">INT(K2434*(0.6+MOD(A2434*43,21)/100))</f>
        <v>14681</v>
      </c>
      <c r="N2434" s="12" t="n">
        <f aca="false">K2434-M2434</f>
        <v>4142</v>
      </c>
    </row>
    <row r="2435" customFormat="false" ht="12.8" hidden="false" customHeight="false" outlineLevel="0" collapsed="false">
      <c r="A2435" s="10" t="n">
        <f aca="false">A2434+1</f>
        <v>2434</v>
      </c>
      <c r="B2435" s="11" t="n">
        <f aca="false">B2434+1</f>
        <v>47360</v>
      </c>
      <c r="C2435" s="10" t="n">
        <f aca="false">YEAR(B2435)</f>
        <v>2029</v>
      </c>
      <c r="D2435" s="10" t="n">
        <f aca="false">INT((MONTH(B2435)-1)/3)+1</f>
        <v>3</v>
      </c>
      <c r="E2435" s="10" t="n">
        <f aca="false">MONTH(B2435)</f>
        <v>8</v>
      </c>
      <c r="F2435" s="10" t="str">
        <f aca="false">CHOOSE(MOD(A2435-1,5)+1,"Центр","Юг","Север","Запад","Восток")</f>
        <v>Запад</v>
      </c>
      <c r="G2435" s="10" t="str">
        <f aca="false">"Округ_"&amp;(MOD(A2435-1,5)+1)&amp;"_"&amp;(MOD(INT((A2435-1)/5),5)+1)</f>
        <v>Округ_4_2</v>
      </c>
      <c r="H2435" s="10" t="str">
        <f aca="false">"Город_"&amp;(MOD(A2435-1,5)+1)&amp;"_"&amp;(MOD(INT((A2435-1)/5),5)+1)&amp;"_"&amp;(MOD(INT((A2435-1)/25),10)+1)</f>
        <v>Город_4_2_8</v>
      </c>
      <c r="I2435" s="10" t="str">
        <f aca="false">CHOOSE(MOD(A2435-1,4)+1,"Электроника","Одежда","Продукты","Мебель")</f>
        <v>Одежда</v>
      </c>
      <c r="J2435" s="10" t="str">
        <f aca="false">CHOOSE(MOD(INT((A2435-1)/4),4)+1,CHOOSE(MOD(A2435-1,4)+1,"Смартфоны","Ноутбуки","Аксессуары","Аудио"),CHOOSE(MOD(A2435-1,4)+1,"Верхняя одежда","Спортивная","Повседневная","Обувь"),CHOOSE(MOD(A2435-1,4)+1,"Молочные","Мясные","Бакалея","Напитки"),CHOOSE(MOD(A2435-1,4)+1,"Мягкая мебель","Корпусная","Офисная","Кухонная"))</f>
        <v>Ноутбуки</v>
      </c>
      <c r="K2435" s="12" t="n">
        <f aca="false">1000+MOD(A2435*317+A2435*A2435*7,49001)</f>
        <v>4208</v>
      </c>
      <c r="L2435" s="12" t="n">
        <f aca="false">1+MOD(A2435*131,100)</f>
        <v>55</v>
      </c>
      <c r="M2435" s="12" t="n">
        <f aca="false">INT(K2435*(0.6+MOD(A2435*43,21)/100))</f>
        <v>3324</v>
      </c>
      <c r="N2435" s="12" t="n">
        <f aca="false">K2435-M2435</f>
        <v>884</v>
      </c>
    </row>
    <row r="2436" customFormat="false" ht="12.8" hidden="false" customHeight="false" outlineLevel="0" collapsed="false">
      <c r="A2436" s="10" t="n">
        <f aca="false">A2435+1</f>
        <v>2435</v>
      </c>
      <c r="B2436" s="11" t="n">
        <f aca="false">B2435+1</f>
        <v>47361</v>
      </c>
      <c r="C2436" s="10" t="n">
        <f aca="false">YEAR(B2436)</f>
        <v>2029</v>
      </c>
      <c r="D2436" s="10" t="n">
        <f aca="false">INT((MONTH(B2436)-1)/3)+1</f>
        <v>3</v>
      </c>
      <c r="E2436" s="10" t="n">
        <f aca="false">MONTH(B2436)</f>
        <v>8</v>
      </c>
      <c r="F2436" s="10" t="str">
        <f aca="false">CHOOSE(MOD(A2436-1,5)+1,"Центр","Юг","Север","Запад","Восток")</f>
        <v>Восток</v>
      </c>
      <c r="G2436" s="10" t="str">
        <f aca="false">"Округ_"&amp;(MOD(A2436-1,5)+1)&amp;"_"&amp;(MOD(INT((A2436-1)/5),5)+1)</f>
        <v>Округ_5_2</v>
      </c>
      <c r="H2436" s="10" t="str">
        <f aca="false">"Город_"&amp;(MOD(A2436-1,5)+1)&amp;"_"&amp;(MOD(INT((A2436-1)/5),5)+1)&amp;"_"&amp;(MOD(INT((A2436-1)/25),10)+1)</f>
        <v>Город_5_2_8</v>
      </c>
      <c r="I2436" s="10" t="str">
        <f aca="false">CHOOSE(MOD(A2436-1,4)+1,"Электроника","Одежда","Продукты","Мебель")</f>
        <v>Продукты</v>
      </c>
      <c r="J2436" s="10" t="str">
        <f aca="false">CHOOSE(MOD(INT((A2436-1)/4),4)+1,CHOOSE(MOD(A2436-1,4)+1,"Смартфоны","Ноутбуки","Аксессуары","Аудио"),CHOOSE(MOD(A2436-1,4)+1,"Верхняя одежда","Спортивная","Повседневная","Обувь"),CHOOSE(MOD(A2436-1,4)+1,"Молочные","Мясные","Бакалея","Напитки"),CHOOSE(MOD(A2436-1,4)+1,"Мягкая мебель","Корпусная","Офисная","Кухонная"))</f>
        <v>Аксессуары</v>
      </c>
      <c r="K2436" s="12" t="n">
        <f aca="false">1000+MOD(A2436*317+A2436*A2436*7,49001)</f>
        <v>38608</v>
      </c>
      <c r="L2436" s="12" t="n">
        <f aca="false">1+MOD(A2436*131,100)</f>
        <v>86</v>
      </c>
      <c r="M2436" s="12" t="n">
        <f aca="false">INT(K2436*(0.6+MOD(A2436*43,21)/100))</f>
        <v>30886</v>
      </c>
      <c r="N2436" s="12" t="n">
        <f aca="false">K2436-M2436</f>
        <v>7722</v>
      </c>
    </row>
    <row r="2437" customFormat="false" ht="12.8" hidden="false" customHeight="false" outlineLevel="0" collapsed="false">
      <c r="A2437" s="10" t="n">
        <f aca="false">A2436+1</f>
        <v>2436</v>
      </c>
      <c r="B2437" s="11" t="n">
        <f aca="false">B2436+1</f>
        <v>47362</v>
      </c>
      <c r="C2437" s="10" t="n">
        <f aca="false">YEAR(B2437)</f>
        <v>2029</v>
      </c>
      <c r="D2437" s="10" t="n">
        <f aca="false">INT((MONTH(B2437)-1)/3)+1</f>
        <v>3</v>
      </c>
      <c r="E2437" s="10" t="n">
        <f aca="false">MONTH(B2437)</f>
        <v>9</v>
      </c>
      <c r="F2437" s="10" t="str">
        <f aca="false">CHOOSE(MOD(A2437-1,5)+1,"Центр","Юг","Север","Запад","Восток")</f>
        <v>Центр</v>
      </c>
      <c r="G2437" s="10" t="str">
        <f aca="false">"Округ_"&amp;(MOD(A2437-1,5)+1)&amp;"_"&amp;(MOD(INT((A2437-1)/5),5)+1)</f>
        <v>Округ_1_3</v>
      </c>
      <c r="H2437" s="10" t="str">
        <f aca="false">"Город_"&amp;(MOD(A2437-1,5)+1)&amp;"_"&amp;(MOD(INT((A2437-1)/5),5)+1)&amp;"_"&amp;(MOD(INT((A2437-1)/25),10)+1)</f>
        <v>Город_1_3_8</v>
      </c>
      <c r="I2437" s="10" t="str">
        <f aca="false">CHOOSE(MOD(A2437-1,4)+1,"Электроника","Одежда","Продукты","Мебель")</f>
        <v>Мебель</v>
      </c>
      <c r="J2437" s="10" t="str">
        <f aca="false">CHOOSE(MOD(INT((A2437-1)/4),4)+1,CHOOSE(MOD(A2437-1,4)+1,"Смартфоны","Ноутбуки","Аксессуары","Аудио"),CHOOSE(MOD(A2437-1,4)+1,"Верхняя одежда","Спортивная","Повседневная","Обувь"),CHOOSE(MOD(A2437-1,4)+1,"Молочные","Мясные","Бакалея","Напитки"),CHOOSE(MOD(A2437-1,4)+1,"Мягкая мебель","Корпусная","Офисная","Кухонная"))</f>
        <v>Аудио</v>
      </c>
      <c r="K2437" s="12" t="n">
        <f aca="false">1000+MOD(A2437*317+A2437*A2437*7,49001)</f>
        <v>24021</v>
      </c>
      <c r="L2437" s="12" t="n">
        <f aca="false">1+MOD(A2437*131,100)</f>
        <v>17</v>
      </c>
      <c r="M2437" s="12" t="n">
        <f aca="false">INT(K2437*(0.6+MOD(A2437*43,21)/100))</f>
        <v>14412</v>
      </c>
      <c r="N2437" s="12" t="n">
        <f aca="false">K2437-M2437</f>
        <v>9609</v>
      </c>
    </row>
    <row r="2438" customFormat="false" ht="12.8" hidden="false" customHeight="false" outlineLevel="0" collapsed="false">
      <c r="A2438" s="10" t="n">
        <f aca="false">A2437+1</f>
        <v>2437</v>
      </c>
      <c r="B2438" s="11" t="n">
        <f aca="false">B2437+1</f>
        <v>47363</v>
      </c>
      <c r="C2438" s="10" t="n">
        <f aca="false">YEAR(B2438)</f>
        <v>2029</v>
      </c>
      <c r="D2438" s="10" t="n">
        <f aca="false">INT((MONTH(B2438)-1)/3)+1</f>
        <v>3</v>
      </c>
      <c r="E2438" s="10" t="n">
        <f aca="false">MONTH(B2438)</f>
        <v>9</v>
      </c>
      <c r="F2438" s="10" t="str">
        <f aca="false">CHOOSE(MOD(A2438-1,5)+1,"Центр","Юг","Север","Запад","Восток")</f>
        <v>Юг</v>
      </c>
      <c r="G2438" s="10" t="str">
        <f aca="false">"Округ_"&amp;(MOD(A2438-1,5)+1)&amp;"_"&amp;(MOD(INT((A2438-1)/5),5)+1)</f>
        <v>Округ_2_3</v>
      </c>
      <c r="H2438" s="10" t="str">
        <f aca="false">"Город_"&amp;(MOD(A2438-1,5)+1)&amp;"_"&amp;(MOD(INT((A2438-1)/5),5)+1)&amp;"_"&amp;(MOD(INT((A2438-1)/25),10)+1)</f>
        <v>Город_2_3_8</v>
      </c>
      <c r="I2438" s="10" t="str">
        <f aca="false">CHOOSE(MOD(A2438-1,4)+1,"Электроника","Одежда","Продукты","Мебель")</f>
        <v>Электроника</v>
      </c>
      <c r="J2438" s="10" t="str">
        <f aca="false">CHOOSE(MOD(INT((A2438-1)/4),4)+1,CHOOSE(MOD(A2438-1,4)+1,"Смартфоны","Ноутбуки","Аксессуары","Аудио"),CHOOSE(MOD(A2438-1,4)+1,"Верхняя одежда","Спортивная","Повседневная","Обувь"),CHOOSE(MOD(A2438-1,4)+1,"Молочные","Мясные","Бакалея","Напитки"),CHOOSE(MOD(A2438-1,4)+1,"Мягкая мебель","Корпусная","Офисная","Кухонная"))</f>
        <v>Верхняя одежда</v>
      </c>
      <c r="K2438" s="12" t="n">
        <f aca="false">1000+MOD(A2438*317+A2438*A2438*7,49001)</f>
        <v>9448</v>
      </c>
      <c r="L2438" s="12" t="n">
        <f aca="false">1+MOD(A2438*131,100)</f>
        <v>48</v>
      </c>
      <c r="M2438" s="12" t="n">
        <f aca="false">INT(K2438*(0.6+MOD(A2438*43,21)/100))</f>
        <v>5763</v>
      </c>
      <c r="N2438" s="12" t="n">
        <f aca="false">K2438-M2438</f>
        <v>3685</v>
      </c>
    </row>
    <row r="2439" customFormat="false" ht="12.8" hidden="false" customHeight="false" outlineLevel="0" collapsed="false">
      <c r="A2439" s="10" t="n">
        <f aca="false">A2438+1</f>
        <v>2438</v>
      </c>
      <c r="B2439" s="11" t="n">
        <f aca="false">B2438+1</f>
        <v>47364</v>
      </c>
      <c r="C2439" s="10" t="n">
        <f aca="false">YEAR(B2439)</f>
        <v>2029</v>
      </c>
      <c r="D2439" s="10" t="n">
        <f aca="false">INT((MONTH(B2439)-1)/3)+1</f>
        <v>3</v>
      </c>
      <c r="E2439" s="10" t="n">
        <f aca="false">MONTH(B2439)</f>
        <v>9</v>
      </c>
      <c r="F2439" s="10" t="str">
        <f aca="false">CHOOSE(MOD(A2439-1,5)+1,"Центр","Юг","Север","Запад","Восток")</f>
        <v>Север</v>
      </c>
      <c r="G2439" s="10" t="str">
        <f aca="false">"Округ_"&amp;(MOD(A2439-1,5)+1)&amp;"_"&amp;(MOD(INT((A2439-1)/5),5)+1)</f>
        <v>Округ_3_3</v>
      </c>
      <c r="H2439" s="10" t="str">
        <f aca="false">"Город_"&amp;(MOD(A2439-1,5)+1)&amp;"_"&amp;(MOD(INT((A2439-1)/5),5)+1)&amp;"_"&amp;(MOD(INT((A2439-1)/25),10)+1)</f>
        <v>Город_3_3_8</v>
      </c>
      <c r="I2439" s="10" t="str">
        <f aca="false">CHOOSE(MOD(A2439-1,4)+1,"Электроника","Одежда","Продукты","Мебель")</f>
        <v>Одежда</v>
      </c>
      <c r="J2439" s="10" t="str">
        <f aca="false">CHOOSE(MOD(INT((A2439-1)/4),4)+1,CHOOSE(MOD(A2439-1,4)+1,"Смартфоны","Ноутбуки","Аксессуары","Аудио"),CHOOSE(MOD(A2439-1,4)+1,"Верхняя одежда","Спортивная","Повседневная","Обувь"),CHOOSE(MOD(A2439-1,4)+1,"Молочные","Мясные","Бакалея","Напитки"),CHOOSE(MOD(A2439-1,4)+1,"Мягкая мебель","Корпусная","Офисная","Кухонная"))</f>
        <v>Спортивная</v>
      </c>
      <c r="K2439" s="12" t="n">
        <f aca="false">1000+MOD(A2439*317+A2439*A2439*7,49001)</f>
        <v>43890</v>
      </c>
      <c r="L2439" s="12" t="n">
        <f aca="false">1+MOD(A2439*131,100)</f>
        <v>79</v>
      </c>
      <c r="M2439" s="12" t="n">
        <f aca="false">INT(K2439*(0.6+MOD(A2439*43,21)/100))</f>
        <v>27211</v>
      </c>
      <c r="N2439" s="12" t="n">
        <f aca="false">K2439-M2439</f>
        <v>16679</v>
      </c>
    </row>
    <row r="2440" customFormat="false" ht="12.8" hidden="false" customHeight="false" outlineLevel="0" collapsed="false">
      <c r="A2440" s="10" t="n">
        <f aca="false">A2439+1</f>
        <v>2439</v>
      </c>
      <c r="B2440" s="11" t="n">
        <f aca="false">B2439+1</f>
        <v>47365</v>
      </c>
      <c r="C2440" s="10" t="n">
        <f aca="false">YEAR(B2440)</f>
        <v>2029</v>
      </c>
      <c r="D2440" s="10" t="n">
        <f aca="false">INT((MONTH(B2440)-1)/3)+1</f>
        <v>3</v>
      </c>
      <c r="E2440" s="10" t="n">
        <f aca="false">MONTH(B2440)</f>
        <v>9</v>
      </c>
      <c r="F2440" s="10" t="str">
        <f aca="false">CHOOSE(MOD(A2440-1,5)+1,"Центр","Юг","Север","Запад","Восток")</f>
        <v>Запад</v>
      </c>
      <c r="G2440" s="10" t="str">
        <f aca="false">"Округ_"&amp;(MOD(A2440-1,5)+1)&amp;"_"&amp;(MOD(INT((A2440-1)/5),5)+1)</f>
        <v>Округ_4_3</v>
      </c>
      <c r="H2440" s="10" t="str">
        <f aca="false">"Город_"&amp;(MOD(A2440-1,5)+1)&amp;"_"&amp;(MOD(INT((A2440-1)/5),5)+1)&amp;"_"&amp;(MOD(INT((A2440-1)/25),10)+1)</f>
        <v>Город_4_3_8</v>
      </c>
      <c r="I2440" s="10" t="str">
        <f aca="false">CHOOSE(MOD(A2440-1,4)+1,"Электроника","Одежда","Продукты","Мебель")</f>
        <v>Продукты</v>
      </c>
      <c r="J2440" s="10" t="str">
        <f aca="false">CHOOSE(MOD(INT((A2440-1)/4),4)+1,CHOOSE(MOD(A2440-1,4)+1,"Смартфоны","Ноутбуки","Аксессуары","Аудио"),CHOOSE(MOD(A2440-1,4)+1,"Верхняя одежда","Спортивная","Повседневная","Обувь"),CHOOSE(MOD(A2440-1,4)+1,"Молочные","Мясные","Бакалея","Напитки"),CHOOSE(MOD(A2440-1,4)+1,"Мягкая мебель","Корпусная","Офисная","Кухонная"))</f>
        <v>Повседневная</v>
      </c>
      <c r="K2440" s="12" t="n">
        <f aca="false">1000+MOD(A2440*317+A2440*A2440*7,49001)</f>
        <v>29345</v>
      </c>
      <c r="L2440" s="12" t="n">
        <f aca="false">1+MOD(A2440*131,100)</f>
        <v>10</v>
      </c>
      <c r="M2440" s="12" t="n">
        <f aca="false">INT(K2440*(0.6+MOD(A2440*43,21)/100))</f>
        <v>18487</v>
      </c>
      <c r="N2440" s="12" t="n">
        <f aca="false">K2440-M2440</f>
        <v>10858</v>
      </c>
    </row>
    <row r="2441" customFormat="false" ht="12.8" hidden="false" customHeight="false" outlineLevel="0" collapsed="false">
      <c r="A2441" s="10" t="n">
        <f aca="false">A2440+1</f>
        <v>2440</v>
      </c>
      <c r="B2441" s="11" t="n">
        <f aca="false">B2440+1</f>
        <v>47366</v>
      </c>
      <c r="C2441" s="10" t="n">
        <f aca="false">YEAR(B2441)</f>
        <v>2029</v>
      </c>
      <c r="D2441" s="10" t="n">
        <f aca="false">INT((MONTH(B2441)-1)/3)+1</f>
        <v>3</v>
      </c>
      <c r="E2441" s="10" t="n">
        <f aca="false">MONTH(B2441)</f>
        <v>9</v>
      </c>
      <c r="F2441" s="10" t="str">
        <f aca="false">CHOOSE(MOD(A2441-1,5)+1,"Центр","Юг","Север","Запад","Восток")</f>
        <v>Восток</v>
      </c>
      <c r="G2441" s="10" t="str">
        <f aca="false">"Округ_"&amp;(MOD(A2441-1,5)+1)&amp;"_"&amp;(MOD(INT((A2441-1)/5),5)+1)</f>
        <v>Округ_5_3</v>
      </c>
      <c r="H2441" s="10" t="str">
        <f aca="false">"Город_"&amp;(MOD(A2441-1,5)+1)&amp;"_"&amp;(MOD(INT((A2441-1)/5),5)+1)&amp;"_"&amp;(MOD(INT((A2441-1)/25),10)+1)</f>
        <v>Город_5_3_8</v>
      </c>
      <c r="I2441" s="10" t="str">
        <f aca="false">CHOOSE(MOD(A2441-1,4)+1,"Электроника","Одежда","Продукты","Мебель")</f>
        <v>Мебель</v>
      </c>
      <c r="J2441" s="10" t="str">
        <f aca="false">CHOOSE(MOD(INT((A2441-1)/4),4)+1,CHOOSE(MOD(A2441-1,4)+1,"Смартфоны","Ноутбуки","Аксессуары","Аудио"),CHOOSE(MOD(A2441-1,4)+1,"Верхняя одежда","Спортивная","Повседневная","Обувь"),CHOOSE(MOD(A2441-1,4)+1,"Молочные","Мясные","Бакалея","Напитки"),CHOOSE(MOD(A2441-1,4)+1,"Мягкая мебель","Корпусная","Офисная","Кухонная"))</f>
        <v>Обувь</v>
      </c>
      <c r="K2441" s="12" t="n">
        <f aca="false">1000+MOD(A2441*317+A2441*A2441*7,49001)</f>
        <v>14814</v>
      </c>
      <c r="L2441" s="12" t="n">
        <f aca="false">1+MOD(A2441*131,100)</f>
        <v>41</v>
      </c>
      <c r="M2441" s="12" t="n">
        <f aca="false">INT(K2441*(0.6+MOD(A2441*43,21)/100))</f>
        <v>9480</v>
      </c>
      <c r="N2441" s="12" t="n">
        <f aca="false">K2441-M2441</f>
        <v>5334</v>
      </c>
    </row>
    <row r="2442" customFormat="false" ht="12.8" hidden="false" customHeight="false" outlineLevel="0" collapsed="false">
      <c r="A2442" s="10" t="n">
        <f aca="false">A2441+1</f>
        <v>2441</v>
      </c>
      <c r="B2442" s="11" t="n">
        <f aca="false">B2441+1</f>
        <v>47367</v>
      </c>
      <c r="C2442" s="10" t="n">
        <f aca="false">YEAR(B2442)</f>
        <v>2029</v>
      </c>
      <c r="D2442" s="10" t="n">
        <f aca="false">INT((MONTH(B2442)-1)/3)+1</f>
        <v>3</v>
      </c>
      <c r="E2442" s="10" t="n">
        <f aca="false">MONTH(B2442)</f>
        <v>9</v>
      </c>
      <c r="F2442" s="10" t="str">
        <f aca="false">CHOOSE(MOD(A2442-1,5)+1,"Центр","Юг","Север","Запад","Восток")</f>
        <v>Центр</v>
      </c>
      <c r="G2442" s="10" t="str">
        <f aca="false">"Округ_"&amp;(MOD(A2442-1,5)+1)&amp;"_"&amp;(MOD(INT((A2442-1)/5),5)+1)</f>
        <v>Округ_1_4</v>
      </c>
      <c r="H2442" s="10" t="str">
        <f aca="false">"Город_"&amp;(MOD(A2442-1,5)+1)&amp;"_"&amp;(MOD(INT((A2442-1)/5),5)+1)&amp;"_"&amp;(MOD(INT((A2442-1)/25),10)+1)</f>
        <v>Город_1_4_8</v>
      </c>
      <c r="I2442" s="10" t="str">
        <f aca="false">CHOOSE(MOD(A2442-1,4)+1,"Электроника","Одежда","Продукты","Мебель")</f>
        <v>Электроника</v>
      </c>
      <c r="J2442" s="10" t="str">
        <f aca="false">CHOOSE(MOD(INT((A2442-1)/4),4)+1,CHOOSE(MOD(A2442-1,4)+1,"Смартфоны","Ноутбуки","Аксессуары","Аудио"),CHOOSE(MOD(A2442-1,4)+1,"Верхняя одежда","Спортивная","Повседневная","Обувь"),CHOOSE(MOD(A2442-1,4)+1,"Молочные","Мясные","Бакалея","Напитки"),CHOOSE(MOD(A2442-1,4)+1,"Мягкая мебель","Корпусная","Офисная","Кухонная"))</f>
        <v>Молочные</v>
      </c>
      <c r="K2442" s="12" t="n">
        <f aca="false">1000+MOD(A2442*317+A2442*A2442*7,49001)</f>
        <v>49298</v>
      </c>
      <c r="L2442" s="12" t="n">
        <f aca="false">1+MOD(A2442*131,100)</f>
        <v>72</v>
      </c>
      <c r="M2442" s="12" t="n">
        <f aca="false">INT(K2442*(0.6+MOD(A2442*43,21)/100))</f>
        <v>32043</v>
      </c>
      <c r="N2442" s="12" t="n">
        <f aca="false">K2442-M2442</f>
        <v>17255</v>
      </c>
    </row>
    <row r="2443" customFormat="false" ht="12.8" hidden="false" customHeight="false" outlineLevel="0" collapsed="false">
      <c r="A2443" s="10" t="n">
        <f aca="false">A2442+1</f>
        <v>2442</v>
      </c>
      <c r="B2443" s="11" t="n">
        <f aca="false">B2442+1</f>
        <v>47368</v>
      </c>
      <c r="C2443" s="10" t="n">
        <f aca="false">YEAR(B2443)</f>
        <v>2029</v>
      </c>
      <c r="D2443" s="10" t="n">
        <f aca="false">INT((MONTH(B2443)-1)/3)+1</f>
        <v>3</v>
      </c>
      <c r="E2443" s="10" t="n">
        <f aca="false">MONTH(B2443)</f>
        <v>9</v>
      </c>
      <c r="F2443" s="10" t="str">
        <f aca="false">CHOOSE(MOD(A2443-1,5)+1,"Центр","Юг","Север","Запад","Восток")</f>
        <v>Юг</v>
      </c>
      <c r="G2443" s="10" t="str">
        <f aca="false">"Округ_"&amp;(MOD(A2443-1,5)+1)&amp;"_"&amp;(MOD(INT((A2443-1)/5),5)+1)</f>
        <v>Округ_2_4</v>
      </c>
      <c r="H2443" s="10" t="str">
        <f aca="false">"Город_"&amp;(MOD(A2443-1,5)+1)&amp;"_"&amp;(MOD(INT((A2443-1)/5),5)+1)&amp;"_"&amp;(MOD(INT((A2443-1)/25),10)+1)</f>
        <v>Город_2_4_8</v>
      </c>
      <c r="I2443" s="10" t="str">
        <f aca="false">CHOOSE(MOD(A2443-1,4)+1,"Электроника","Одежда","Продукты","Мебель")</f>
        <v>Одежда</v>
      </c>
      <c r="J2443" s="10" t="str">
        <f aca="false">CHOOSE(MOD(INT((A2443-1)/4),4)+1,CHOOSE(MOD(A2443-1,4)+1,"Смартфоны","Ноутбуки","Аксессуары","Аудио"),CHOOSE(MOD(A2443-1,4)+1,"Верхняя одежда","Спортивная","Повседневная","Обувь"),CHOOSE(MOD(A2443-1,4)+1,"Молочные","Мясные","Бакалея","Напитки"),CHOOSE(MOD(A2443-1,4)+1,"Мягкая мебель","Корпусная","Офисная","Кухонная"))</f>
        <v>Мясные</v>
      </c>
      <c r="K2443" s="12" t="n">
        <f aca="false">1000+MOD(A2443*317+A2443*A2443*7,49001)</f>
        <v>34795</v>
      </c>
      <c r="L2443" s="12" t="n">
        <f aca="false">1+MOD(A2443*131,100)</f>
        <v>3</v>
      </c>
      <c r="M2443" s="12" t="n">
        <f aca="false">INT(K2443*(0.6+MOD(A2443*43,21)/100))</f>
        <v>22964</v>
      </c>
      <c r="N2443" s="12" t="n">
        <f aca="false">K2443-M2443</f>
        <v>11831</v>
      </c>
    </row>
    <row r="2444" customFormat="false" ht="12.8" hidden="false" customHeight="false" outlineLevel="0" collapsed="false">
      <c r="A2444" s="10" t="n">
        <f aca="false">A2443+1</f>
        <v>2443</v>
      </c>
      <c r="B2444" s="11" t="n">
        <f aca="false">B2443+1</f>
        <v>47369</v>
      </c>
      <c r="C2444" s="10" t="n">
        <f aca="false">YEAR(B2444)</f>
        <v>2029</v>
      </c>
      <c r="D2444" s="10" t="n">
        <f aca="false">INT((MONTH(B2444)-1)/3)+1</f>
        <v>3</v>
      </c>
      <c r="E2444" s="10" t="n">
        <f aca="false">MONTH(B2444)</f>
        <v>9</v>
      </c>
      <c r="F2444" s="10" t="str">
        <f aca="false">CHOOSE(MOD(A2444-1,5)+1,"Центр","Юг","Север","Запад","Восток")</f>
        <v>Север</v>
      </c>
      <c r="G2444" s="10" t="str">
        <f aca="false">"Округ_"&amp;(MOD(A2444-1,5)+1)&amp;"_"&amp;(MOD(INT((A2444-1)/5),5)+1)</f>
        <v>Округ_3_4</v>
      </c>
      <c r="H2444" s="10" t="str">
        <f aca="false">"Город_"&amp;(MOD(A2444-1,5)+1)&amp;"_"&amp;(MOD(INT((A2444-1)/5),5)+1)&amp;"_"&amp;(MOD(INT((A2444-1)/25),10)+1)</f>
        <v>Город_3_4_8</v>
      </c>
      <c r="I2444" s="10" t="str">
        <f aca="false">CHOOSE(MOD(A2444-1,4)+1,"Электроника","Одежда","Продукты","Мебель")</f>
        <v>Продукты</v>
      </c>
      <c r="J2444" s="10" t="str">
        <f aca="false">CHOOSE(MOD(INT((A2444-1)/4),4)+1,CHOOSE(MOD(A2444-1,4)+1,"Смартфоны","Ноутбуки","Аксессуары","Аудио"),CHOOSE(MOD(A2444-1,4)+1,"Верхняя одежда","Спортивная","Повседневная","Обувь"),CHOOSE(MOD(A2444-1,4)+1,"Молочные","Мясные","Бакалея","Напитки"),CHOOSE(MOD(A2444-1,4)+1,"Мягкая мебель","Корпусная","Офисная","Кухонная"))</f>
        <v>Бакалея</v>
      </c>
      <c r="K2444" s="12" t="n">
        <f aca="false">1000+MOD(A2444*317+A2444*A2444*7,49001)</f>
        <v>20306</v>
      </c>
      <c r="L2444" s="12" t="n">
        <f aca="false">1+MOD(A2444*131,100)</f>
        <v>34</v>
      </c>
      <c r="M2444" s="12" t="n">
        <f aca="false">INT(K2444*(0.6+MOD(A2444*43,21)/100))</f>
        <v>13605</v>
      </c>
      <c r="N2444" s="12" t="n">
        <f aca="false">K2444-M2444</f>
        <v>6701</v>
      </c>
    </row>
    <row r="2445" customFormat="false" ht="12.8" hidden="false" customHeight="false" outlineLevel="0" collapsed="false">
      <c r="A2445" s="10" t="n">
        <f aca="false">A2444+1</f>
        <v>2444</v>
      </c>
      <c r="B2445" s="11" t="n">
        <f aca="false">B2444+1</f>
        <v>47370</v>
      </c>
      <c r="C2445" s="10" t="n">
        <f aca="false">YEAR(B2445)</f>
        <v>2029</v>
      </c>
      <c r="D2445" s="10" t="n">
        <f aca="false">INT((MONTH(B2445)-1)/3)+1</f>
        <v>3</v>
      </c>
      <c r="E2445" s="10" t="n">
        <f aca="false">MONTH(B2445)</f>
        <v>9</v>
      </c>
      <c r="F2445" s="10" t="str">
        <f aca="false">CHOOSE(MOD(A2445-1,5)+1,"Центр","Юг","Север","Запад","Восток")</f>
        <v>Запад</v>
      </c>
      <c r="G2445" s="10" t="str">
        <f aca="false">"Округ_"&amp;(MOD(A2445-1,5)+1)&amp;"_"&amp;(MOD(INT((A2445-1)/5),5)+1)</f>
        <v>Округ_4_4</v>
      </c>
      <c r="H2445" s="10" t="str">
        <f aca="false">"Город_"&amp;(MOD(A2445-1,5)+1)&amp;"_"&amp;(MOD(INT((A2445-1)/5),5)+1)&amp;"_"&amp;(MOD(INT((A2445-1)/25),10)+1)</f>
        <v>Город_4_4_8</v>
      </c>
      <c r="I2445" s="10" t="str">
        <f aca="false">CHOOSE(MOD(A2445-1,4)+1,"Электроника","Одежда","Продукты","Мебель")</f>
        <v>Мебель</v>
      </c>
      <c r="J2445" s="10" t="str">
        <f aca="false">CHOOSE(MOD(INT((A2445-1)/4),4)+1,CHOOSE(MOD(A2445-1,4)+1,"Смартфоны","Ноутбуки","Аксессуары","Аудио"),CHOOSE(MOD(A2445-1,4)+1,"Верхняя одежда","Спортивная","Повседневная","Обувь"),CHOOSE(MOD(A2445-1,4)+1,"Молочные","Мясные","Бакалея","Напитки"),CHOOSE(MOD(A2445-1,4)+1,"Мягкая мебель","Корпусная","Офисная","Кухонная"))</f>
        <v>Напитки</v>
      </c>
      <c r="K2445" s="12" t="n">
        <f aca="false">1000+MOD(A2445*317+A2445*A2445*7,49001)</f>
        <v>5831</v>
      </c>
      <c r="L2445" s="12" t="n">
        <f aca="false">1+MOD(A2445*131,100)</f>
        <v>65</v>
      </c>
      <c r="M2445" s="12" t="n">
        <f aca="false">INT(K2445*(0.6+MOD(A2445*43,21)/100))</f>
        <v>3965</v>
      </c>
      <c r="N2445" s="12" t="n">
        <f aca="false">K2445-M2445</f>
        <v>1866</v>
      </c>
    </row>
    <row r="2446" customFormat="false" ht="12.8" hidden="false" customHeight="false" outlineLevel="0" collapsed="false">
      <c r="A2446" s="10" t="n">
        <f aca="false">A2445+1</f>
        <v>2445</v>
      </c>
      <c r="B2446" s="11" t="n">
        <f aca="false">B2445+1</f>
        <v>47371</v>
      </c>
      <c r="C2446" s="10" t="n">
        <f aca="false">YEAR(B2446)</f>
        <v>2029</v>
      </c>
      <c r="D2446" s="10" t="n">
        <f aca="false">INT((MONTH(B2446)-1)/3)+1</f>
        <v>3</v>
      </c>
      <c r="E2446" s="10" t="n">
        <f aca="false">MONTH(B2446)</f>
        <v>9</v>
      </c>
      <c r="F2446" s="10" t="str">
        <f aca="false">CHOOSE(MOD(A2446-1,5)+1,"Центр","Юг","Север","Запад","Восток")</f>
        <v>Восток</v>
      </c>
      <c r="G2446" s="10" t="str">
        <f aca="false">"Округ_"&amp;(MOD(A2446-1,5)+1)&amp;"_"&amp;(MOD(INT((A2446-1)/5),5)+1)</f>
        <v>Округ_5_4</v>
      </c>
      <c r="H2446" s="10" t="str">
        <f aca="false">"Город_"&amp;(MOD(A2446-1,5)+1)&amp;"_"&amp;(MOD(INT((A2446-1)/5),5)+1)&amp;"_"&amp;(MOD(INT((A2446-1)/25),10)+1)</f>
        <v>Город_5_4_8</v>
      </c>
      <c r="I2446" s="10" t="str">
        <f aca="false">CHOOSE(MOD(A2446-1,4)+1,"Электроника","Одежда","Продукты","Мебель")</f>
        <v>Электроника</v>
      </c>
      <c r="J2446" s="10" t="str">
        <f aca="false">CHOOSE(MOD(INT((A2446-1)/4),4)+1,CHOOSE(MOD(A2446-1,4)+1,"Смартфоны","Ноутбуки","Аксессуары","Аудио"),CHOOSE(MOD(A2446-1,4)+1,"Верхняя одежда","Спортивная","Повседневная","Обувь"),CHOOSE(MOD(A2446-1,4)+1,"Молочные","Мясные","Бакалея","Напитки"),CHOOSE(MOD(A2446-1,4)+1,"Мягкая мебель","Корпусная","Офисная","Кухонная"))</f>
        <v>Мягкая мебель</v>
      </c>
      <c r="K2446" s="12" t="n">
        <f aca="false">1000+MOD(A2446*317+A2446*A2446*7,49001)</f>
        <v>40371</v>
      </c>
      <c r="L2446" s="12" t="n">
        <f aca="false">1+MOD(A2446*131,100)</f>
        <v>96</v>
      </c>
      <c r="M2446" s="12" t="n">
        <f aca="false">INT(K2446*(0.6+MOD(A2446*43,21)/100))</f>
        <v>27855</v>
      </c>
      <c r="N2446" s="12" t="n">
        <f aca="false">K2446-M2446</f>
        <v>12516</v>
      </c>
    </row>
    <row r="2447" customFormat="false" ht="12.8" hidden="false" customHeight="false" outlineLevel="0" collapsed="false">
      <c r="A2447" s="10" t="n">
        <f aca="false">A2446+1</f>
        <v>2446</v>
      </c>
      <c r="B2447" s="11" t="n">
        <f aca="false">B2446+1</f>
        <v>47372</v>
      </c>
      <c r="C2447" s="10" t="n">
        <f aca="false">YEAR(B2447)</f>
        <v>2029</v>
      </c>
      <c r="D2447" s="10" t="n">
        <f aca="false">INT((MONTH(B2447)-1)/3)+1</f>
        <v>3</v>
      </c>
      <c r="E2447" s="10" t="n">
        <f aca="false">MONTH(B2447)</f>
        <v>9</v>
      </c>
      <c r="F2447" s="10" t="str">
        <f aca="false">CHOOSE(MOD(A2447-1,5)+1,"Центр","Юг","Север","Запад","Восток")</f>
        <v>Центр</v>
      </c>
      <c r="G2447" s="10" t="str">
        <f aca="false">"Округ_"&amp;(MOD(A2447-1,5)+1)&amp;"_"&amp;(MOD(INT((A2447-1)/5),5)+1)</f>
        <v>Округ_1_5</v>
      </c>
      <c r="H2447" s="10" t="str">
        <f aca="false">"Город_"&amp;(MOD(A2447-1,5)+1)&amp;"_"&amp;(MOD(INT((A2447-1)/5),5)+1)&amp;"_"&amp;(MOD(INT((A2447-1)/25),10)+1)</f>
        <v>Город_1_5_8</v>
      </c>
      <c r="I2447" s="10" t="str">
        <f aca="false">CHOOSE(MOD(A2447-1,4)+1,"Электроника","Одежда","Продукты","Мебель")</f>
        <v>Одежда</v>
      </c>
      <c r="J2447" s="10" t="str">
        <f aca="false">CHOOSE(MOD(INT((A2447-1)/4),4)+1,CHOOSE(MOD(A2447-1,4)+1,"Смартфоны","Ноутбуки","Аксессуары","Аудио"),CHOOSE(MOD(A2447-1,4)+1,"Верхняя одежда","Спортивная","Повседневная","Обувь"),CHOOSE(MOD(A2447-1,4)+1,"Молочные","Мясные","Бакалея","Напитки"),CHOOSE(MOD(A2447-1,4)+1,"Мягкая мебель","Корпусная","Офисная","Кухонная"))</f>
        <v>Корпусная</v>
      </c>
      <c r="K2447" s="12" t="n">
        <f aca="false">1000+MOD(A2447*317+A2447*A2447*7,49001)</f>
        <v>25924</v>
      </c>
      <c r="L2447" s="12" t="n">
        <f aca="false">1+MOD(A2447*131,100)</f>
        <v>27</v>
      </c>
      <c r="M2447" s="12" t="n">
        <f aca="false">INT(K2447*(0.6+MOD(A2447*43,21)/100))</f>
        <v>18146</v>
      </c>
      <c r="N2447" s="12" t="n">
        <f aca="false">K2447-M2447</f>
        <v>7778</v>
      </c>
    </row>
    <row r="2448" customFormat="false" ht="12.8" hidden="false" customHeight="false" outlineLevel="0" collapsed="false">
      <c r="A2448" s="10" t="n">
        <f aca="false">A2447+1</f>
        <v>2447</v>
      </c>
      <c r="B2448" s="11" t="n">
        <f aca="false">B2447+1</f>
        <v>47373</v>
      </c>
      <c r="C2448" s="10" t="n">
        <f aca="false">YEAR(B2448)</f>
        <v>2029</v>
      </c>
      <c r="D2448" s="10" t="n">
        <f aca="false">INT((MONTH(B2448)-1)/3)+1</f>
        <v>3</v>
      </c>
      <c r="E2448" s="10" t="n">
        <f aca="false">MONTH(B2448)</f>
        <v>9</v>
      </c>
      <c r="F2448" s="10" t="str">
        <f aca="false">CHOOSE(MOD(A2448-1,5)+1,"Центр","Юг","Север","Запад","Восток")</f>
        <v>Юг</v>
      </c>
      <c r="G2448" s="10" t="str">
        <f aca="false">"Округ_"&amp;(MOD(A2448-1,5)+1)&amp;"_"&amp;(MOD(INT((A2448-1)/5),5)+1)</f>
        <v>Округ_2_5</v>
      </c>
      <c r="H2448" s="10" t="str">
        <f aca="false">"Город_"&amp;(MOD(A2448-1,5)+1)&amp;"_"&amp;(MOD(INT((A2448-1)/5),5)+1)&amp;"_"&amp;(MOD(INT((A2448-1)/25),10)+1)</f>
        <v>Город_2_5_8</v>
      </c>
      <c r="I2448" s="10" t="str">
        <f aca="false">CHOOSE(MOD(A2448-1,4)+1,"Электроника","Одежда","Продукты","Мебель")</f>
        <v>Продукты</v>
      </c>
      <c r="J2448" s="10" t="str">
        <f aca="false">CHOOSE(MOD(INT((A2448-1)/4),4)+1,CHOOSE(MOD(A2448-1,4)+1,"Смартфоны","Ноутбуки","Аксессуары","Аудио"),CHOOSE(MOD(A2448-1,4)+1,"Верхняя одежда","Спортивная","Повседневная","Обувь"),CHOOSE(MOD(A2448-1,4)+1,"Молочные","Мясные","Бакалея","Напитки"),CHOOSE(MOD(A2448-1,4)+1,"Мягкая мебель","Корпусная","Офисная","Кухонная"))</f>
        <v>Офисная</v>
      </c>
      <c r="K2448" s="12" t="n">
        <f aca="false">1000+MOD(A2448*317+A2448*A2448*7,49001)</f>
        <v>11491</v>
      </c>
      <c r="L2448" s="12" t="n">
        <f aca="false">1+MOD(A2448*131,100)</f>
        <v>58</v>
      </c>
      <c r="M2448" s="12" t="n">
        <f aca="false">INT(K2448*(0.6+MOD(A2448*43,21)/100))</f>
        <v>8158</v>
      </c>
      <c r="N2448" s="12" t="n">
        <f aca="false">K2448-M2448</f>
        <v>3333</v>
      </c>
    </row>
    <row r="2449" customFormat="false" ht="12.8" hidden="false" customHeight="false" outlineLevel="0" collapsed="false">
      <c r="A2449" s="10" t="n">
        <f aca="false">A2448+1</f>
        <v>2448</v>
      </c>
      <c r="B2449" s="11" t="n">
        <f aca="false">B2448+1</f>
        <v>47374</v>
      </c>
      <c r="C2449" s="10" t="n">
        <f aca="false">YEAR(B2449)</f>
        <v>2029</v>
      </c>
      <c r="D2449" s="10" t="n">
        <f aca="false">INT((MONTH(B2449)-1)/3)+1</f>
        <v>3</v>
      </c>
      <c r="E2449" s="10" t="n">
        <f aca="false">MONTH(B2449)</f>
        <v>9</v>
      </c>
      <c r="F2449" s="10" t="str">
        <f aca="false">CHOOSE(MOD(A2449-1,5)+1,"Центр","Юг","Север","Запад","Восток")</f>
        <v>Север</v>
      </c>
      <c r="G2449" s="10" t="str">
        <f aca="false">"Округ_"&amp;(MOD(A2449-1,5)+1)&amp;"_"&amp;(MOD(INT((A2449-1)/5),5)+1)</f>
        <v>Округ_3_5</v>
      </c>
      <c r="H2449" s="10" t="str">
        <f aca="false">"Город_"&amp;(MOD(A2449-1,5)+1)&amp;"_"&amp;(MOD(INT((A2449-1)/5),5)+1)&amp;"_"&amp;(MOD(INT((A2449-1)/25),10)+1)</f>
        <v>Город_3_5_8</v>
      </c>
      <c r="I2449" s="10" t="str">
        <f aca="false">CHOOSE(MOD(A2449-1,4)+1,"Электроника","Одежда","Продукты","Мебель")</f>
        <v>Мебель</v>
      </c>
      <c r="J2449" s="10" t="str">
        <f aca="false">CHOOSE(MOD(INT((A2449-1)/4),4)+1,CHOOSE(MOD(A2449-1,4)+1,"Смартфоны","Ноутбуки","Аксессуары","Аудио"),CHOOSE(MOD(A2449-1,4)+1,"Верхняя одежда","Спортивная","Повседневная","Обувь"),CHOOSE(MOD(A2449-1,4)+1,"Молочные","Мясные","Бакалея","Напитки"),CHOOSE(MOD(A2449-1,4)+1,"Мягкая мебель","Корпусная","Офисная","Кухонная"))</f>
        <v>Кухонная</v>
      </c>
      <c r="K2449" s="12" t="n">
        <f aca="false">1000+MOD(A2449*317+A2449*A2449*7,49001)</f>
        <v>46073</v>
      </c>
      <c r="L2449" s="12" t="n">
        <f aca="false">1+MOD(A2449*131,100)</f>
        <v>89</v>
      </c>
      <c r="M2449" s="12" t="n">
        <f aca="false">INT(K2449*(0.6+MOD(A2449*43,21)/100))</f>
        <v>33172</v>
      </c>
      <c r="N2449" s="12" t="n">
        <f aca="false">K2449-M2449</f>
        <v>12901</v>
      </c>
    </row>
    <row r="2450" customFormat="false" ht="12.8" hidden="false" customHeight="false" outlineLevel="0" collapsed="false">
      <c r="A2450" s="10" t="n">
        <f aca="false">A2449+1</f>
        <v>2449</v>
      </c>
      <c r="B2450" s="11" t="n">
        <f aca="false">B2449+1</f>
        <v>47375</v>
      </c>
      <c r="C2450" s="10" t="n">
        <f aca="false">YEAR(B2450)</f>
        <v>2029</v>
      </c>
      <c r="D2450" s="10" t="n">
        <f aca="false">INT((MONTH(B2450)-1)/3)+1</f>
        <v>3</v>
      </c>
      <c r="E2450" s="10" t="n">
        <f aca="false">MONTH(B2450)</f>
        <v>9</v>
      </c>
      <c r="F2450" s="10" t="str">
        <f aca="false">CHOOSE(MOD(A2450-1,5)+1,"Центр","Юг","Север","Запад","Восток")</f>
        <v>Запад</v>
      </c>
      <c r="G2450" s="10" t="str">
        <f aca="false">"Округ_"&amp;(MOD(A2450-1,5)+1)&amp;"_"&amp;(MOD(INT((A2450-1)/5),5)+1)</f>
        <v>Округ_4_5</v>
      </c>
      <c r="H2450" s="10" t="str">
        <f aca="false">"Город_"&amp;(MOD(A2450-1,5)+1)&amp;"_"&amp;(MOD(INT((A2450-1)/5),5)+1)&amp;"_"&amp;(MOD(INT((A2450-1)/25),10)+1)</f>
        <v>Город_4_5_8</v>
      </c>
      <c r="I2450" s="10" t="str">
        <f aca="false">CHOOSE(MOD(A2450-1,4)+1,"Электроника","Одежда","Продукты","Мебель")</f>
        <v>Электроника</v>
      </c>
      <c r="J2450" s="10" t="str">
        <f aca="false">CHOOSE(MOD(INT((A2450-1)/4),4)+1,CHOOSE(MOD(A2450-1,4)+1,"Смартфоны","Ноутбуки","Аксессуары","Аудио"),CHOOSE(MOD(A2450-1,4)+1,"Верхняя одежда","Спортивная","Повседневная","Обувь"),CHOOSE(MOD(A2450-1,4)+1,"Молочные","Мясные","Бакалея","Напитки"),CHOOSE(MOD(A2450-1,4)+1,"Мягкая мебель","Корпусная","Офисная","Кухонная"))</f>
        <v>Смартфоны</v>
      </c>
      <c r="K2450" s="12" t="n">
        <f aca="false">1000+MOD(A2450*317+A2450*A2450*7,49001)</f>
        <v>31668</v>
      </c>
      <c r="L2450" s="12" t="n">
        <f aca="false">1+MOD(A2450*131,100)</f>
        <v>20</v>
      </c>
      <c r="M2450" s="12" t="n">
        <f aca="false">INT(K2450*(0.6+MOD(A2450*43,21)/100))</f>
        <v>23117</v>
      </c>
      <c r="N2450" s="12" t="n">
        <f aca="false">K2450-M2450</f>
        <v>8551</v>
      </c>
    </row>
    <row r="2451" customFormat="false" ht="12.8" hidden="false" customHeight="false" outlineLevel="0" collapsed="false">
      <c r="A2451" s="10" t="n">
        <f aca="false">A2450+1</f>
        <v>2450</v>
      </c>
      <c r="B2451" s="11" t="n">
        <f aca="false">B2450+1</f>
        <v>47376</v>
      </c>
      <c r="C2451" s="10" t="n">
        <f aca="false">YEAR(B2451)</f>
        <v>2029</v>
      </c>
      <c r="D2451" s="10" t="n">
        <f aca="false">INT((MONTH(B2451)-1)/3)+1</f>
        <v>3</v>
      </c>
      <c r="E2451" s="10" t="n">
        <f aca="false">MONTH(B2451)</f>
        <v>9</v>
      </c>
      <c r="F2451" s="10" t="str">
        <f aca="false">CHOOSE(MOD(A2451-1,5)+1,"Центр","Юг","Север","Запад","Восток")</f>
        <v>Восток</v>
      </c>
      <c r="G2451" s="10" t="str">
        <f aca="false">"Округ_"&amp;(MOD(A2451-1,5)+1)&amp;"_"&amp;(MOD(INT((A2451-1)/5),5)+1)</f>
        <v>Округ_5_5</v>
      </c>
      <c r="H2451" s="10" t="str">
        <f aca="false">"Город_"&amp;(MOD(A2451-1,5)+1)&amp;"_"&amp;(MOD(INT((A2451-1)/5),5)+1)&amp;"_"&amp;(MOD(INT((A2451-1)/25),10)+1)</f>
        <v>Город_5_5_8</v>
      </c>
      <c r="I2451" s="10" t="str">
        <f aca="false">CHOOSE(MOD(A2451-1,4)+1,"Электроника","Одежда","Продукты","Мебель")</f>
        <v>Одежда</v>
      </c>
      <c r="J2451" s="10" t="str">
        <f aca="false">CHOOSE(MOD(INT((A2451-1)/4),4)+1,CHOOSE(MOD(A2451-1,4)+1,"Смартфоны","Ноутбуки","Аксессуары","Аудио"),CHOOSE(MOD(A2451-1,4)+1,"Верхняя одежда","Спортивная","Повседневная","Обувь"),CHOOSE(MOD(A2451-1,4)+1,"Молочные","Мясные","Бакалея","Напитки"),CHOOSE(MOD(A2451-1,4)+1,"Мягкая мебель","Корпусная","Офисная","Кухонная"))</f>
        <v>Ноутбуки</v>
      </c>
      <c r="K2451" s="12" t="n">
        <f aca="false">1000+MOD(A2451*317+A2451*A2451*7,49001)</f>
        <v>17277</v>
      </c>
      <c r="L2451" s="12" t="n">
        <f aca="false">1+MOD(A2451*131,100)</f>
        <v>51</v>
      </c>
      <c r="M2451" s="12" t="n">
        <f aca="false">INT(K2451*(0.6+MOD(A2451*43,21)/100))</f>
        <v>12784</v>
      </c>
      <c r="N2451" s="12" t="n">
        <f aca="false">K2451-M2451</f>
        <v>4493</v>
      </c>
    </row>
    <row r="2452" customFormat="false" ht="12.8" hidden="false" customHeight="false" outlineLevel="0" collapsed="false">
      <c r="A2452" s="10" t="n">
        <f aca="false">A2451+1</f>
        <v>2451</v>
      </c>
      <c r="B2452" s="11" t="n">
        <f aca="false">B2451+1</f>
        <v>47377</v>
      </c>
      <c r="C2452" s="10" t="n">
        <f aca="false">YEAR(B2452)</f>
        <v>2029</v>
      </c>
      <c r="D2452" s="10" t="n">
        <f aca="false">INT((MONTH(B2452)-1)/3)+1</f>
        <v>3</v>
      </c>
      <c r="E2452" s="10" t="n">
        <f aca="false">MONTH(B2452)</f>
        <v>9</v>
      </c>
      <c r="F2452" s="10" t="str">
        <f aca="false">CHOOSE(MOD(A2452-1,5)+1,"Центр","Юг","Север","Запад","Восток")</f>
        <v>Центр</v>
      </c>
      <c r="G2452" s="10" t="str">
        <f aca="false">"Округ_"&amp;(MOD(A2452-1,5)+1)&amp;"_"&amp;(MOD(INT((A2452-1)/5),5)+1)</f>
        <v>Округ_1_1</v>
      </c>
      <c r="H2452" s="10" t="str">
        <f aca="false">"Город_"&amp;(MOD(A2452-1,5)+1)&amp;"_"&amp;(MOD(INT((A2452-1)/5),5)+1)&amp;"_"&amp;(MOD(INT((A2452-1)/25),10)+1)</f>
        <v>Город_1_1_9</v>
      </c>
      <c r="I2452" s="10" t="str">
        <f aca="false">CHOOSE(MOD(A2452-1,4)+1,"Электроника","Одежда","Продукты","Мебель")</f>
        <v>Продукты</v>
      </c>
      <c r="J2452" s="10" t="str">
        <f aca="false">CHOOSE(MOD(INT((A2452-1)/4),4)+1,CHOOSE(MOD(A2452-1,4)+1,"Смартфоны","Ноутбуки","Аксессуары","Аудио"),CHOOSE(MOD(A2452-1,4)+1,"Верхняя одежда","Спортивная","Повседневная","Обувь"),CHOOSE(MOD(A2452-1,4)+1,"Молочные","Мясные","Бакалея","Напитки"),CHOOSE(MOD(A2452-1,4)+1,"Мягкая мебель","Корпусная","Офисная","Кухонная"))</f>
        <v>Аксессуары</v>
      </c>
      <c r="K2452" s="12" t="n">
        <f aca="false">1000+MOD(A2452*317+A2452*A2452*7,49001)</f>
        <v>2900</v>
      </c>
      <c r="L2452" s="12" t="n">
        <f aca="false">1+MOD(A2452*131,100)</f>
        <v>82</v>
      </c>
      <c r="M2452" s="12" t="n">
        <f aca="false">INT(K2452*(0.6+MOD(A2452*43,21)/100))</f>
        <v>2175</v>
      </c>
      <c r="N2452" s="12" t="n">
        <f aca="false">K2452-M2452</f>
        <v>725</v>
      </c>
    </row>
    <row r="2453" customFormat="false" ht="12.8" hidden="false" customHeight="false" outlineLevel="0" collapsed="false">
      <c r="A2453" s="10" t="n">
        <f aca="false">A2452+1</f>
        <v>2452</v>
      </c>
      <c r="B2453" s="11" t="n">
        <f aca="false">B2452+1</f>
        <v>47378</v>
      </c>
      <c r="C2453" s="10" t="n">
        <f aca="false">YEAR(B2453)</f>
        <v>2029</v>
      </c>
      <c r="D2453" s="10" t="n">
        <f aca="false">INT((MONTH(B2453)-1)/3)+1</f>
        <v>3</v>
      </c>
      <c r="E2453" s="10" t="n">
        <f aca="false">MONTH(B2453)</f>
        <v>9</v>
      </c>
      <c r="F2453" s="10" t="str">
        <f aca="false">CHOOSE(MOD(A2453-1,5)+1,"Центр","Юг","Север","Запад","Восток")</f>
        <v>Юг</v>
      </c>
      <c r="G2453" s="10" t="str">
        <f aca="false">"Округ_"&amp;(MOD(A2453-1,5)+1)&amp;"_"&amp;(MOD(INT((A2453-1)/5),5)+1)</f>
        <v>Округ_2_1</v>
      </c>
      <c r="H2453" s="10" t="str">
        <f aca="false">"Город_"&amp;(MOD(A2453-1,5)+1)&amp;"_"&amp;(MOD(INT((A2453-1)/5),5)+1)&amp;"_"&amp;(MOD(INT((A2453-1)/25),10)+1)</f>
        <v>Город_2_1_9</v>
      </c>
      <c r="I2453" s="10" t="str">
        <f aca="false">CHOOSE(MOD(A2453-1,4)+1,"Электроника","Одежда","Продукты","Мебель")</f>
        <v>Мебель</v>
      </c>
      <c r="J2453" s="10" t="str">
        <f aca="false">CHOOSE(MOD(INT((A2453-1)/4),4)+1,CHOOSE(MOD(A2453-1,4)+1,"Смартфоны","Ноутбуки","Аксессуары","Аудио"),CHOOSE(MOD(A2453-1,4)+1,"Верхняя одежда","Спортивная","Повседневная","Обувь"),CHOOSE(MOD(A2453-1,4)+1,"Молочные","Мясные","Бакалея","Напитки"),CHOOSE(MOD(A2453-1,4)+1,"Мягкая мебель","Корпусная","Офисная","Кухонная"))</f>
        <v>Аудио</v>
      </c>
      <c r="K2453" s="12" t="n">
        <f aca="false">1000+MOD(A2453*317+A2453*A2453*7,49001)</f>
        <v>37538</v>
      </c>
      <c r="L2453" s="12" t="n">
        <f aca="false">1+MOD(A2453*131,100)</f>
        <v>13</v>
      </c>
      <c r="M2453" s="12" t="n">
        <f aca="false">INT(K2453*(0.6+MOD(A2453*43,21)/100))</f>
        <v>28528</v>
      </c>
      <c r="N2453" s="12" t="n">
        <f aca="false">K2453-M2453</f>
        <v>9010</v>
      </c>
    </row>
    <row r="2454" customFormat="false" ht="12.8" hidden="false" customHeight="false" outlineLevel="0" collapsed="false">
      <c r="A2454" s="10" t="n">
        <f aca="false">A2453+1</f>
        <v>2453</v>
      </c>
      <c r="B2454" s="11" t="n">
        <f aca="false">B2453+1</f>
        <v>47379</v>
      </c>
      <c r="C2454" s="10" t="n">
        <f aca="false">YEAR(B2454)</f>
        <v>2029</v>
      </c>
      <c r="D2454" s="10" t="n">
        <f aca="false">INT((MONTH(B2454)-1)/3)+1</f>
        <v>3</v>
      </c>
      <c r="E2454" s="10" t="n">
        <f aca="false">MONTH(B2454)</f>
        <v>9</v>
      </c>
      <c r="F2454" s="10" t="str">
        <f aca="false">CHOOSE(MOD(A2454-1,5)+1,"Центр","Юг","Север","Запад","Восток")</f>
        <v>Север</v>
      </c>
      <c r="G2454" s="10" t="str">
        <f aca="false">"Округ_"&amp;(MOD(A2454-1,5)+1)&amp;"_"&amp;(MOD(INT((A2454-1)/5),5)+1)</f>
        <v>Округ_3_1</v>
      </c>
      <c r="H2454" s="10" t="str">
        <f aca="false">"Город_"&amp;(MOD(A2454-1,5)+1)&amp;"_"&amp;(MOD(INT((A2454-1)/5),5)+1)&amp;"_"&amp;(MOD(INT((A2454-1)/25),10)+1)</f>
        <v>Город_3_1_9</v>
      </c>
      <c r="I2454" s="10" t="str">
        <f aca="false">CHOOSE(MOD(A2454-1,4)+1,"Электроника","Одежда","Продукты","Мебель")</f>
        <v>Электроника</v>
      </c>
      <c r="J2454" s="10" t="str">
        <f aca="false">CHOOSE(MOD(INT((A2454-1)/4),4)+1,CHOOSE(MOD(A2454-1,4)+1,"Смартфоны","Ноутбуки","Аксессуары","Аудио"),CHOOSE(MOD(A2454-1,4)+1,"Верхняя одежда","Спортивная","Повседневная","Обувь"),CHOOSE(MOD(A2454-1,4)+1,"Молочные","Мясные","Бакалея","Напитки"),CHOOSE(MOD(A2454-1,4)+1,"Мягкая мебель","Корпусная","Офисная","Кухонная"))</f>
        <v>Верхняя одежда</v>
      </c>
      <c r="K2454" s="12" t="n">
        <f aca="false">1000+MOD(A2454*317+A2454*A2454*7,49001)</f>
        <v>23189</v>
      </c>
      <c r="L2454" s="12" t="n">
        <f aca="false">1+MOD(A2454*131,100)</f>
        <v>44</v>
      </c>
      <c r="M2454" s="12" t="n">
        <f aca="false">INT(K2454*(0.6+MOD(A2454*43,21)/100))</f>
        <v>17855</v>
      </c>
      <c r="N2454" s="12" t="n">
        <f aca="false">K2454-M2454</f>
        <v>5334</v>
      </c>
    </row>
    <row r="2455" customFormat="false" ht="12.8" hidden="false" customHeight="false" outlineLevel="0" collapsed="false">
      <c r="A2455" s="10" t="n">
        <f aca="false">A2454+1</f>
        <v>2454</v>
      </c>
      <c r="B2455" s="11" t="n">
        <f aca="false">B2454+1</f>
        <v>47380</v>
      </c>
      <c r="C2455" s="10" t="n">
        <f aca="false">YEAR(B2455)</f>
        <v>2029</v>
      </c>
      <c r="D2455" s="10" t="n">
        <f aca="false">INT((MONTH(B2455)-1)/3)+1</f>
        <v>3</v>
      </c>
      <c r="E2455" s="10" t="n">
        <f aca="false">MONTH(B2455)</f>
        <v>9</v>
      </c>
      <c r="F2455" s="10" t="str">
        <f aca="false">CHOOSE(MOD(A2455-1,5)+1,"Центр","Юг","Север","Запад","Восток")</f>
        <v>Запад</v>
      </c>
      <c r="G2455" s="10" t="str">
        <f aca="false">"Округ_"&amp;(MOD(A2455-1,5)+1)&amp;"_"&amp;(MOD(INT((A2455-1)/5),5)+1)</f>
        <v>Округ_4_1</v>
      </c>
      <c r="H2455" s="10" t="str">
        <f aca="false">"Город_"&amp;(MOD(A2455-1,5)+1)&amp;"_"&amp;(MOD(INT((A2455-1)/5),5)+1)&amp;"_"&amp;(MOD(INT((A2455-1)/25),10)+1)</f>
        <v>Город_4_1_9</v>
      </c>
      <c r="I2455" s="10" t="str">
        <f aca="false">CHOOSE(MOD(A2455-1,4)+1,"Электроника","Одежда","Продукты","Мебель")</f>
        <v>Одежда</v>
      </c>
      <c r="J2455" s="10" t="str">
        <f aca="false">CHOOSE(MOD(INT((A2455-1)/4),4)+1,CHOOSE(MOD(A2455-1,4)+1,"Смартфоны","Ноутбуки","Аксессуары","Аудио"),CHOOSE(MOD(A2455-1,4)+1,"Верхняя одежда","Спортивная","Повседневная","Обувь"),CHOOSE(MOD(A2455-1,4)+1,"Молочные","Мясные","Бакалея","Напитки"),CHOOSE(MOD(A2455-1,4)+1,"Мягкая мебель","Корпусная","Офисная","Кухонная"))</f>
        <v>Спортивная</v>
      </c>
      <c r="K2455" s="12" t="n">
        <f aca="false">1000+MOD(A2455*317+A2455*A2455*7,49001)</f>
        <v>8854</v>
      </c>
      <c r="L2455" s="12" t="n">
        <f aca="false">1+MOD(A2455*131,100)</f>
        <v>75</v>
      </c>
      <c r="M2455" s="12" t="n">
        <f aca="false">INT(K2455*(0.6+MOD(A2455*43,21)/100))</f>
        <v>6906</v>
      </c>
      <c r="N2455" s="12" t="n">
        <f aca="false">K2455-M2455</f>
        <v>1948</v>
      </c>
    </row>
    <row r="2456" customFormat="false" ht="12.8" hidden="false" customHeight="false" outlineLevel="0" collapsed="false">
      <c r="A2456" s="10" t="n">
        <f aca="false">A2455+1</f>
        <v>2455</v>
      </c>
      <c r="B2456" s="11" t="n">
        <f aca="false">B2455+1</f>
        <v>47381</v>
      </c>
      <c r="C2456" s="10" t="n">
        <f aca="false">YEAR(B2456)</f>
        <v>2029</v>
      </c>
      <c r="D2456" s="10" t="n">
        <f aca="false">INT((MONTH(B2456)-1)/3)+1</f>
        <v>3</v>
      </c>
      <c r="E2456" s="10" t="n">
        <f aca="false">MONTH(B2456)</f>
        <v>9</v>
      </c>
      <c r="F2456" s="10" t="str">
        <f aca="false">CHOOSE(MOD(A2456-1,5)+1,"Центр","Юг","Север","Запад","Восток")</f>
        <v>Восток</v>
      </c>
      <c r="G2456" s="10" t="str">
        <f aca="false">"Округ_"&amp;(MOD(A2456-1,5)+1)&amp;"_"&amp;(MOD(INT((A2456-1)/5),5)+1)</f>
        <v>Округ_5_1</v>
      </c>
      <c r="H2456" s="10" t="str">
        <f aca="false">"Город_"&amp;(MOD(A2456-1,5)+1)&amp;"_"&amp;(MOD(INT((A2456-1)/5),5)+1)&amp;"_"&amp;(MOD(INT((A2456-1)/25),10)+1)</f>
        <v>Город_5_1_9</v>
      </c>
      <c r="I2456" s="10" t="str">
        <f aca="false">CHOOSE(MOD(A2456-1,4)+1,"Электроника","Одежда","Продукты","Мебель")</f>
        <v>Продукты</v>
      </c>
      <c r="J2456" s="10" t="str">
        <f aca="false">CHOOSE(MOD(INT((A2456-1)/4),4)+1,CHOOSE(MOD(A2456-1,4)+1,"Смартфоны","Ноутбуки","Аксессуары","Аудио"),CHOOSE(MOD(A2456-1,4)+1,"Верхняя одежда","Спортивная","Повседневная","Обувь"),CHOOSE(MOD(A2456-1,4)+1,"Молочные","Мясные","Бакалея","Напитки"),CHOOSE(MOD(A2456-1,4)+1,"Мягкая мебель","Корпусная","Офисная","Кухонная"))</f>
        <v>Повседневная</v>
      </c>
      <c r="K2456" s="12" t="n">
        <f aca="false">1000+MOD(A2456*317+A2456*A2456*7,49001)</f>
        <v>43534</v>
      </c>
      <c r="L2456" s="12" t="n">
        <f aca="false">1+MOD(A2456*131,100)</f>
        <v>6</v>
      </c>
      <c r="M2456" s="12" t="n">
        <f aca="false">INT(K2456*(0.6+MOD(A2456*43,21)/100))</f>
        <v>34391</v>
      </c>
      <c r="N2456" s="12" t="n">
        <f aca="false">K2456-M2456</f>
        <v>9143</v>
      </c>
    </row>
    <row r="2457" customFormat="false" ht="12.8" hidden="false" customHeight="false" outlineLevel="0" collapsed="false">
      <c r="A2457" s="10" t="n">
        <f aca="false">A2456+1</f>
        <v>2456</v>
      </c>
      <c r="B2457" s="11" t="n">
        <f aca="false">B2456+1</f>
        <v>47382</v>
      </c>
      <c r="C2457" s="10" t="n">
        <f aca="false">YEAR(B2457)</f>
        <v>2029</v>
      </c>
      <c r="D2457" s="10" t="n">
        <f aca="false">INT((MONTH(B2457)-1)/3)+1</f>
        <v>3</v>
      </c>
      <c r="E2457" s="10" t="n">
        <f aca="false">MONTH(B2457)</f>
        <v>9</v>
      </c>
      <c r="F2457" s="10" t="str">
        <f aca="false">CHOOSE(MOD(A2457-1,5)+1,"Центр","Юг","Север","Запад","Восток")</f>
        <v>Центр</v>
      </c>
      <c r="G2457" s="10" t="str">
        <f aca="false">"Округ_"&amp;(MOD(A2457-1,5)+1)&amp;"_"&amp;(MOD(INT((A2457-1)/5),5)+1)</f>
        <v>Округ_1_2</v>
      </c>
      <c r="H2457" s="10" t="str">
        <f aca="false">"Город_"&amp;(MOD(A2457-1,5)+1)&amp;"_"&amp;(MOD(INT((A2457-1)/5),5)+1)&amp;"_"&amp;(MOD(INT((A2457-1)/25),10)+1)</f>
        <v>Город_1_2_9</v>
      </c>
      <c r="I2457" s="10" t="str">
        <f aca="false">CHOOSE(MOD(A2457-1,4)+1,"Электроника","Одежда","Продукты","Мебель")</f>
        <v>Мебель</v>
      </c>
      <c r="J2457" s="10" t="str">
        <f aca="false">CHOOSE(MOD(INT((A2457-1)/4),4)+1,CHOOSE(MOD(A2457-1,4)+1,"Смартфоны","Ноутбуки","Аксессуары","Аудио"),CHOOSE(MOD(A2457-1,4)+1,"Верхняя одежда","Спортивная","Повседневная","Обувь"),CHOOSE(MOD(A2457-1,4)+1,"Молочные","Мясные","Бакалея","Напитки"),CHOOSE(MOD(A2457-1,4)+1,"Мягкая мебель","Корпусная","Офисная","Кухонная"))</f>
        <v>Обувь</v>
      </c>
      <c r="K2457" s="12" t="n">
        <f aca="false">1000+MOD(A2457*317+A2457*A2457*7,49001)</f>
        <v>29227</v>
      </c>
      <c r="L2457" s="12" t="n">
        <f aca="false">1+MOD(A2457*131,100)</f>
        <v>37</v>
      </c>
      <c r="M2457" s="12" t="n">
        <f aca="false">INT(K2457*(0.6+MOD(A2457*43,21)/100))</f>
        <v>23381</v>
      </c>
      <c r="N2457" s="12" t="n">
        <f aca="false">K2457-M2457</f>
        <v>5846</v>
      </c>
    </row>
    <row r="2458" customFormat="false" ht="12.8" hidden="false" customHeight="false" outlineLevel="0" collapsed="false">
      <c r="A2458" s="10" t="n">
        <f aca="false">A2457+1</f>
        <v>2457</v>
      </c>
      <c r="B2458" s="11" t="n">
        <f aca="false">B2457+1</f>
        <v>47383</v>
      </c>
      <c r="C2458" s="10" t="n">
        <f aca="false">YEAR(B2458)</f>
        <v>2029</v>
      </c>
      <c r="D2458" s="10" t="n">
        <f aca="false">INT((MONTH(B2458)-1)/3)+1</f>
        <v>3</v>
      </c>
      <c r="E2458" s="10" t="n">
        <f aca="false">MONTH(B2458)</f>
        <v>9</v>
      </c>
      <c r="F2458" s="10" t="str">
        <f aca="false">CHOOSE(MOD(A2458-1,5)+1,"Центр","Юг","Север","Запад","Восток")</f>
        <v>Юг</v>
      </c>
      <c r="G2458" s="10" t="str">
        <f aca="false">"Округ_"&amp;(MOD(A2458-1,5)+1)&amp;"_"&amp;(MOD(INT((A2458-1)/5),5)+1)</f>
        <v>Округ_2_2</v>
      </c>
      <c r="H2458" s="10" t="str">
        <f aca="false">"Город_"&amp;(MOD(A2458-1,5)+1)&amp;"_"&amp;(MOD(INT((A2458-1)/5),5)+1)&amp;"_"&amp;(MOD(INT((A2458-1)/25),10)+1)</f>
        <v>Город_2_2_9</v>
      </c>
      <c r="I2458" s="10" t="str">
        <f aca="false">CHOOSE(MOD(A2458-1,4)+1,"Электроника","Одежда","Продукты","Мебель")</f>
        <v>Электроника</v>
      </c>
      <c r="J2458" s="10" t="str">
        <f aca="false">CHOOSE(MOD(INT((A2458-1)/4),4)+1,CHOOSE(MOD(A2458-1,4)+1,"Смартфоны","Ноутбуки","Аксессуары","Аудио"),CHOOSE(MOD(A2458-1,4)+1,"Верхняя одежда","Спортивная","Повседневная","Обувь"),CHOOSE(MOD(A2458-1,4)+1,"Молочные","Мясные","Бакалея","Напитки"),CHOOSE(MOD(A2458-1,4)+1,"Мягкая мебель","Корпусная","Офисная","Кухонная"))</f>
        <v>Молочные</v>
      </c>
      <c r="K2458" s="12" t="n">
        <f aca="false">1000+MOD(A2458*317+A2458*A2458*7,49001)</f>
        <v>14934</v>
      </c>
      <c r="L2458" s="12" t="n">
        <f aca="false">1+MOD(A2458*131,100)</f>
        <v>68</v>
      </c>
      <c r="M2458" s="12" t="n">
        <f aca="false">INT(K2458*(0.6+MOD(A2458*43,21)/100))</f>
        <v>8960</v>
      </c>
      <c r="N2458" s="12" t="n">
        <f aca="false">K2458-M2458</f>
        <v>5974</v>
      </c>
    </row>
    <row r="2459" customFormat="false" ht="12.8" hidden="false" customHeight="false" outlineLevel="0" collapsed="false">
      <c r="A2459" s="10" t="n">
        <f aca="false">A2458+1</f>
        <v>2458</v>
      </c>
      <c r="B2459" s="11" t="n">
        <f aca="false">B2458+1</f>
        <v>47384</v>
      </c>
      <c r="C2459" s="10" t="n">
        <f aca="false">YEAR(B2459)</f>
        <v>2029</v>
      </c>
      <c r="D2459" s="10" t="n">
        <f aca="false">INT((MONTH(B2459)-1)/3)+1</f>
        <v>3</v>
      </c>
      <c r="E2459" s="10" t="n">
        <f aca="false">MONTH(B2459)</f>
        <v>9</v>
      </c>
      <c r="F2459" s="10" t="str">
        <f aca="false">CHOOSE(MOD(A2459-1,5)+1,"Центр","Юг","Север","Запад","Восток")</f>
        <v>Север</v>
      </c>
      <c r="G2459" s="10" t="str">
        <f aca="false">"Округ_"&amp;(MOD(A2459-1,5)+1)&amp;"_"&amp;(MOD(INT((A2459-1)/5),5)+1)</f>
        <v>Округ_3_2</v>
      </c>
      <c r="H2459" s="10" t="str">
        <f aca="false">"Город_"&amp;(MOD(A2459-1,5)+1)&amp;"_"&amp;(MOD(INT((A2459-1)/5),5)+1)&amp;"_"&amp;(MOD(INT((A2459-1)/25),10)+1)</f>
        <v>Город_3_2_9</v>
      </c>
      <c r="I2459" s="10" t="str">
        <f aca="false">CHOOSE(MOD(A2459-1,4)+1,"Электроника","Одежда","Продукты","Мебель")</f>
        <v>Одежда</v>
      </c>
      <c r="J2459" s="10" t="str">
        <f aca="false">CHOOSE(MOD(INT((A2459-1)/4),4)+1,CHOOSE(MOD(A2459-1,4)+1,"Смартфоны","Ноутбуки","Аксессуары","Аудио"),CHOOSE(MOD(A2459-1,4)+1,"Верхняя одежда","Спортивная","Повседневная","Обувь"),CHOOSE(MOD(A2459-1,4)+1,"Молочные","Мясные","Бакалея","Напитки"),CHOOSE(MOD(A2459-1,4)+1,"Мягкая мебель","Корпусная","Офисная","Кухонная"))</f>
        <v>Мясные</v>
      </c>
      <c r="K2459" s="12" t="n">
        <f aca="false">1000+MOD(A2459*317+A2459*A2459*7,49001)</f>
        <v>49656</v>
      </c>
      <c r="L2459" s="12" t="n">
        <f aca="false">1+MOD(A2459*131,100)</f>
        <v>99</v>
      </c>
      <c r="M2459" s="12" t="n">
        <f aca="false">INT(K2459*(0.6+MOD(A2459*43,21)/100))</f>
        <v>30290</v>
      </c>
      <c r="N2459" s="12" t="n">
        <f aca="false">K2459-M2459</f>
        <v>19366</v>
      </c>
    </row>
    <row r="2460" customFormat="false" ht="12.8" hidden="false" customHeight="false" outlineLevel="0" collapsed="false">
      <c r="A2460" s="10" t="n">
        <f aca="false">A2459+1</f>
        <v>2459</v>
      </c>
      <c r="B2460" s="11" t="n">
        <f aca="false">B2459+1</f>
        <v>47385</v>
      </c>
      <c r="C2460" s="10" t="n">
        <f aca="false">YEAR(B2460)</f>
        <v>2029</v>
      </c>
      <c r="D2460" s="10" t="n">
        <f aca="false">INT((MONTH(B2460)-1)/3)+1</f>
        <v>3</v>
      </c>
      <c r="E2460" s="10" t="n">
        <f aca="false">MONTH(B2460)</f>
        <v>9</v>
      </c>
      <c r="F2460" s="10" t="str">
        <f aca="false">CHOOSE(MOD(A2460-1,5)+1,"Центр","Юг","Север","Запад","Восток")</f>
        <v>Запад</v>
      </c>
      <c r="G2460" s="10" t="str">
        <f aca="false">"Округ_"&amp;(MOD(A2460-1,5)+1)&amp;"_"&amp;(MOD(INT((A2460-1)/5),5)+1)</f>
        <v>Округ_4_2</v>
      </c>
      <c r="H2460" s="10" t="str">
        <f aca="false">"Город_"&amp;(MOD(A2460-1,5)+1)&amp;"_"&amp;(MOD(INT((A2460-1)/5),5)+1)&amp;"_"&amp;(MOD(INT((A2460-1)/25),10)+1)</f>
        <v>Город_4_2_9</v>
      </c>
      <c r="I2460" s="10" t="str">
        <f aca="false">CHOOSE(MOD(A2460-1,4)+1,"Электроника","Одежда","Продукты","Мебель")</f>
        <v>Продукты</v>
      </c>
      <c r="J2460" s="10" t="str">
        <f aca="false">CHOOSE(MOD(INT((A2460-1)/4),4)+1,CHOOSE(MOD(A2460-1,4)+1,"Смартфоны","Ноутбуки","Аксессуары","Аудио"),CHOOSE(MOD(A2460-1,4)+1,"Верхняя одежда","Спортивная","Повседневная","Обувь"),CHOOSE(MOD(A2460-1,4)+1,"Молочные","Мясные","Бакалея","Напитки"),CHOOSE(MOD(A2460-1,4)+1,"Мягкая мебель","Корпусная","Офисная","Кухонная"))</f>
        <v>Бакалея</v>
      </c>
      <c r="K2460" s="12" t="n">
        <f aca="false">1000+MOD(A2460*317+A2460*A2460*7,49001)</f>
        <v>35391</v>
      </c>
      <c r="L2460" s="12" t="n">
        <f aca="false">1+MOD(A2460*131,100)</f>
        <v>30</v>
      </c>
      <c r="M2460" s="12" t="n">
        <f aca="false">INT(K2460*(0.6+MOD(A2460*43,21)/100))</f>
        <v>21942</v>
      </c>
      <c r="N2460" s="12" t="n">
        <f aca="false">K2460-M2460</f>
        <v>13449</v>
      </c>
    </row>
    <row r="2461" customFormat="false" ht="12.8" hidden="false" customHeight="false" outlineLevel="0" collapsed="false">
      <c r="A2461" s="10" t="n">
        <f aca="false">A2460+1</f>
        <v>2460</v>
      </c>
      <c r="B2461" s="11" t="n">
        <f aca="false">B2460+1</f>
        <v>47386</v>
      </c>
      <c r="C2461" s="10" t="n">
        <f aca="false">YEAR(B2461)</f>
        <v>2029</v>
      </c>
      <c r="D2461" s="10" t="n">
        <f aca="false">INT((MONTH(B2461)-1)/3)+1</f>
        <v>3</v>
      </c>
      <c r="E2461" s="10" t="n">
        <f aca="false">MONTH(B2461)</f>
        <v>9</v>
      </c>
      <c r="F2461" s="10" t="str">
        <f aca="false">CHOOSE(MOD(A2461-1,5)+1,"Центр","Юг","Север","Запад","Восток")</f>
        <v>Восток</v>
      </c>
      <c r="G2461" s="10" t="str">
        <f aca="false">"Округ_"&amp;(MOD(A2461-1,5)+1)&amp;"_"&amp;(MOD(INT((A2461-1)/5),5)+1)</f>
        <v>Округ_5_2</v>
      </c>
      <c r="H2461" s="10" t="str">
        <f aca="false">"Город_"&amp;(MOD(A2461-1,5)+1)&amp;"_"&amp;(MOD(INT((A2461-1)/5),5)+1)&amp;"_"&amp;(MOD(INT((A2461-1)/25),10)+1)</f>
        <v>Город_5_2_9</v>
      </c>
      <c r="I2461" s="10" t="str">
        <f aca="false">CHOOSE(MOD(A2461-1,4)+1,"Электроника","Одежда","Продукты","Мебель")</f>
        <v>Мебель</v>
      </c>
      <c r="J2461" s="10" t="str">
        <f aca="false">CHOOSE(MOD(INT((A2461-1)/4),4)+1,CHOOSE(MOD(A2461-1,4)+1,"Смартфоны","Ноутбуки","Аксессуары","Аудио"),CHOOSE(MOD(A2461-1,4)+1,"Верхняя одежда","Спортивная","Повседневная","Обувь"),CHOOSE(MOD(A2461-1,4)+1,"Молочные","Мясные","Бакалея","Напитки"),CHOOSE(MOD(A2461-1,4)+1,"Мягкая мебель","Корпусная","Офисная","Кухонная"))</f>
        <v>Напитки</v>
      </c>
      <c r="K2461" s="12" t="n">
        <f aca="false">1000+MOD(A2461*317+A2461*A2461*7,49001)</f>
        <v>21140</v>
      </c>
      <c r="L2461" s="12" t="n">
        <f aca="false">1+MOD(A2461*131,100)</f>
        <v>61</v>
      </c>
      <c r="M2461" s="12" t="n">
        <f aca="false">INT(K2461*(0.6+MOD(A2461*43,21)/100))</f>
        <v>13318</v>
      </c>
      <c r="N2461" s="12" t="n">
        <f aca="false">K2461-M2461</f>
        <v>7822</v>
      </c>
    </row>
    <row r="2462" customFormat="false" ht="12.8" hidden="false" customHeight="false" outlineLevel="0" collapsed="false">
      <c r="A2462" s="10" t="n">
        <f aca="false">A2461+1</f>
        <v>2461</v>
      </c>
      <c r="B2462" s="11" t="n">
        <f aca="false">B2461+1</f>
        <v>47387</v>
      </c>
      <c r="C2462" s="10" t="n">
        <f aca="false">YEAR(B2462)</f>
        <v>2029</v>
      </c>
      <c r="D2462" s="10" t="n">
        <f aca="false">INT((MONTH(B2462)-1)/3)+1</f>
        <v>3</v>
      </c>
      <c r="E2462" s="10" t="n">
        <f aca="false">MONTH(B2462)</f>
        <v>9</v>
      </c>
      <c r="F2462" s="10" t="str">
        <f aca="false">CHOOSE(MOD(A2462-1,5)+1,"Центр","Юг","Север","Запад","Восток")</f>
        <v>Центр</v>
      </c>
      <c r="G2462" s="10" t="str">
        <f aca="false">"Округ_"&amp;(MOD(A2462-1,5)+1)&amp;"_"&amp;(MOD(INT((A2462-1)/5),5)+1)</f>
        <v>Округ_1_3</v>
      </c>
      <c r="H2462" s="10" t="str">
        <f aca="false">"Город_"&amp;(MOD(A2462-1,5)+1)&amp;"_"&amp;(MOD(INT((A2462-1)/5),5)+1)&amp;"_"&amp;(MOD(INT((A2462-1)/25),10)+1)</f>
        <v>Город_1_3_9</v>
      </c>
      <c r="I2462" s="10" t="str">
        <f aca="false">CHOOSE(MOD(A2462-1,4)+1,"Электроника","Одежда","Продукты","Мебель")</f>
        <v>Электроника</v>
      </c>
      <c r="J2462" s="10" t="str">
        <f aca="false">CHOOSE(MOD(INT((A2462-1)/4),4)+1,CHOOSE(MOD(A2462-1,4)+1,"Смартфоны","Ноутбуки","Аксессуары","Аудио"),CHOOSE(MOD(A2462-1,4)+1,"Верхняя одежда","Спортивная","Повседневная","Обувь"),CHOOSE(MOD(A2462-1,4)+1,"Молочные","Мясные","Бакалея","Напитки"),CHOOSE(MOD(A2462-1,4)+1,"Мягкая мебель","Корпусная","Офисная","Кухонная"))</f>
        <v>Мягкая мебель</v>
      </c>
      <c r="K2462" s="12" t="n">
        <f aca="false">1000+MOD(A2462*317+A2462*A2462*7,49001)</f>
        <v>6903</v>
      </c>
      <c r="L2462" s="12" t="n">
        <f aca="false">1+MOD(A2462*131,100)</f>
        <v>92</v>
      </c>
      <c r="M2462" s="12" t="n">
        <f aca="false">INT(K2462*(0.6+MOD(A2462*43,21)/100))</f>
        <v>4417</v>
      </c>
      <c r="N2462" s="12" t="n">
        <f aca="false">K2462-M2462</f>
        <v>2486</v>
      </c>
    </row>
    <row r="2463" customFormat="false" ht="12.8" hidden="false" customHeight="false" outlineLevel="0" collapsed="false">
      <c r="A2463" s="10" t="n">
        <f aca="false">A2462+1</f>
        <v>2462</v>
      </c>
      <c r="B2463" s="11" t="n">
        <f aca="false">B2462+1</f>
        <v>47388</v>
      </c>
      <c r="C2463" s="10" t="n">
        <f aca="false">YEAR(B2463)</f>
        <v>2029</v>
      </c>
      <c r="D2463" s="10" t="n">
        <f aca="false">INT((MONTH(B2463)-1)/3)+1</f>
        <v>3</v>
      </c>
      <c r="E2463" s="10" t="n">
        <f aca="false">MONTH(B2463)</f>
        <v>9</v>
      </c>
      <c r="F2463" s="10" t="str">
        <f aca="false">CHOOSE(MOD(A2463-1,5)+1,"Центр","Юг","Север","Запад","Восток")</f>
        <v>Юг</v>
      </c>
      <c r="G2463" s="10" t="str">
        <f aca="false">"Округ_"&amp;(MOD(A2463-1,5)+1)&amp;"_"&amp;(MOD(INT((A2463-1)/5),5)+1)</f>
        <v>Округ_2_3</v>
      </c>
      <c r="H2463" s="10" t="str">
        <f aca="false">"Город_"&amp;(MOD(A2463-1,5)+1)&amp;"_"&amp;(MOD(INT((A2463-1)/5),5)+1)&amp;"_"&amp;(MOD(INT((A2463-1)/25),10)+1)</f>
        <v>Город_2_3_9</v>
      </c>
      <c r="I2463" s="10" t="str">
        <f aca="false">CHOOSE(MOD(A2463-1,4)+1,"Электроника","Одежда","Продукты","Мебель")</f>
        <v>Одежда</v>
      </c>
      <c r="J2463" s="10" t="str">
        <f aca="false">CHOOSE(MOD(INT((A2463-1)/4),4)+1,CHOOSE(MOD(A2463-1,4)+1,"Смартфоны","Ноутбуки","Аксессуары","Аудио"),CHOOSE(MOD(A2463-1,4)+1,"Верхняя одежда","Спортивная","Повседневная","Обувь"),CHOOSE(MOD(A2463-1,4)+1,"Молочные","Мясные","Бакалея","Напитки"),CHOOSE(MOD(A2463-1,4)+1,"Мягкая мебель","Корпусная","Офисная","Кухонная"))</f>
        <v>Корпусная</v>
      </c>
      <c r="K2463" s="12" t="n">
        <f aca="false">1000+MOD(A2463*317+A2463*A2463*7,49001)</f>
        <v>41681</v>
      </c>
      <c r="L2463" s="12" t="n">
        <f aca="false">1+MOD(A2463*131,100)</f>
        <v>23</v>
      </c>
      <c r="M2463" s="12" t="n">
        <f aca="false">INT(K2463*(0.6+MOD(A2463*43,21)/100))</f>
        <v>27092</v>
      </c>
      <c r="N2463" s="12" t="n">
        <f aca="false">K2463-M2463</f>
        <v>14589</v>
      </c>
    </row>
    <row r="2464" customFormat="false" ht="12.8" hidden="false" customHeight="false" outlineLevel="0" collapsed="false">
      <c r="A2464" s="10" t="n">
        <f aca="false">A2463+1</f>
        <v>2463</v>
      </c>
      <c r="B2464" s="11" t="n">
        <f aca="false">B2463+1</f>
        <v>47389</v>
      </c>
      <c r="C2464" s="10" t="n">
        <f aca="false">YEAR(B2464)</f>
        <v>2029</v>
      </c>
      <c r="D2464" s="10" t="n">
        <f aca="false">INT((MONTH(B2464)-1)/3)+1</f>
        <v>3</v>
      </c>
      <c r="E2464" s="10" t="n">
        <f aca="false">MONTH(B2464)</f>
        <v>9</v>
      </c>
      <c r="F2464" s="10" t="str">
        <f aca="false">CHOOSE(MOD(A2464-1,5)+1,"Центр","Юг","Север","Запад","Восток")</f>
        <v>Север</v>
      </c>
      <c r="G2464" s="10" t="str">
        <f aca="false">"Округ_"&amp;(MOD(A2464-1,5)+1)&amp;"_"&amp;(MOD(INT((A2464-1)/5),5)+1)</f>
        <v>Округ_3_3</v>
      </c>
      <c r="H2464" s="10" t="str">
        <f aca="false">"Город_"&amp;(MOD(A2464-1,5)+1)&amp;"_"&amp;(MOD(INT((A2464-1)/5),5)+1)&amp;"_"&amp;(MOD(INT((A2464-1)/25),10)+1)</f>
        <v>Город_3_3_9</v>
      </c>
      <c r="I2464" s="10" t="str">
        <f aca="false">CHOOSE(MOD(A2464-1,4)+1,"Электроника","Одежда","Продукты","Мебель")</f>
        <v>Продукты</v>
      </c>
      <c r="J2464" s="10" t="str">
        <f aca="false">CHOOSE(MOD(INT((A2464-1)/4),4)+1,CHOOSE(MOD(A2464-1,4)+1,"Смартфоны","Ноутбуки","Аксессуары","Аудио"),CHOOSE(MOD(A2464-1,4)+1,"Верхняя одежда","Спортивная","Повседневная","Обувь"),CHOOSE(MOD(A2464-1,4)+1,"Молочные","Мясные","Бакалея","Напитки"),CHOOSE(MOD(A2464-1,4)+1,"Мягкая мебель","Корпусная","Офисная","Кухонная"))</f>
        <v>Офисная</v>
      </c>
      <c r="K2464" s="12" t="n">
        <f aca="false">1000+MOD(A2464*317+A2464*A2464*7,49001)</f>
        <v>27472</v>
      </c>
      <c r="L2464" s="12" t="n">
        <f aca="false">1+MOD(A2464*131,100)</f>
        <v>54</v>
      </c>
      <c r="M2464" s="12" t="n">
        <f aca="false">INT(K2464*(0.6+MOD(A2464*43,21)/100))</f>
        <v>18131</v>
      </c>
      <c r="N2464" s="12" t="n">
        <f aca="false">K2464-M2464</f>
        <v>9341</v>
      </c>
    </row>
    <row r="2465" customFormat="false" ht="12.8" hidden="false" customHeight="false" outlineLevel="0" collapsed="false">
      <c r="A2465" s="10" t="n">
        <f aca="false">A2464+1</f>
        <v>2464</v>
      </c>
      <c r="B2465" s="11" t="n">
        <f aca="false">B2464+1</f>
        <v>47390</v>
      </c>
      <c r="C2465" s="10" t="n">
        <f aca="false">YEAR(B2465)</f>
        <v>2029</v>
      </c>
      <c r="D2465" s="10" t="n">
        <f aca="false">INT((MONTH(B2465)-1)/3)+1</f>
        <v>3</v>
      </c>
      <c r="E2465" s="10" t="n">
        <f aca="false">MONTH(B2465)</f>
        <v>9</v>
      </c>
      <c r="F2465" s="10" t="str">
        <f aca="false">CHOOSE(MOD(A2465-1,5)+1,"Центр","Юг","Север","Запад","Восток")</f>
        <v>Запад</v>
      </c>
      <c r="G2465" s="10" t="str">
        <f aca="false">"Округ_"&amp;(MOD(A2465-1,5)+1)&amp;"_"&amp;(MOD(INT((A2465-1)/5),5)+1)</f>
        <v>Округ_4_3</v>
      </c>
      <c r="H2465" s="10" t="str">
        <f aca="false">"Город_"&amp;(MOD(A2465-1,5)+1)&amp;"_"&amp;(MOD(INT((A2465-1)/5),5)+1)&amp;"_"&amp;(MOD(INT((A2465-1)/25),10)+1)</f>
        <v>Город_4_3_9</v>
      </c>
      <c r="I2465" s="10" t="str">
        <f aca="false">CHOOSE(MOD(A2465-1,4)+1,"Электроника","Одежда","Продукты","Мебель")</f>
        <v>Мебель</v>
      </c>
      <c r="J2465" s="10" t="str">
        <f aca="false">CHOOSE(MOD(INT((A2465-1)/4),4)+1,CHOOSE(MOD(A2465-1,4)+1,"Смартфоны","Ноутбуки","Аксессуары","Аудио"),CHOOSE(MOD(A2465-1,4)+1,"Верхняя одежда","Спортивная","Повседневная","Обувь"),CHOOSE(MOD(A2465-1,4)+1,"Молочные","Мясные","Бакалея","Напитки"),CHOOSE(MOD(A2465-1,4)+1,"Мягкая мебель","Корпусная","Офисная","Кухонная"))</f>
        <v>Кухонная</v>
      </c>
      <c r="K2465" s="12" t="n">
        <f aca="false">1000+MOD(A2465*317+A2465*A2465*7,49001)</f>
        <v>13277</v>
      </c>
      <c r="L2465" s="12" t="n">
        <f aca="false">1+MOD(A2465*131,100)</f>
        <v>85</v>
      </c>
      <c r="M2465" s="12" t="n">
        <f aca="false">INT(K2465*(0.6+MOD(A2465*43,21)/100))</f>
        <v>8895</v>
      </c>
      <c r="N2465" s="12" t="n">
        <f aca="false">K2465-M2465</f>
        <v>4382</v>
      </c>
    </row>
    <row r="2466" customFormat="false" ht="12.8" hidden="false" customHeight="false" outlineLevel="0" collapsed="false">
      <c r="A2466" s="10" t="n">
        <f aca="false">A2465+1</f>
        <v>2465</v>
      </c>
      <c r="B2466" s="11" t="n">
        <f aca="false">B2465+1</f>
        <v>47391</v>
      </c>
      <c r="C2466" s="10" t="n">
        <f aca="false">YEAR(B2466)</f>
        <v>2029</v>
      </c>
      <c r="D2466" s="10" t="n">
        <f aca="false">INT((MONTH(B2466)-1)/3)+1</f>
        <v>3</v>
      </c>
      <c r="E2466" s="10" t="n">
        <f aca="false">MONTH(B2466)</f>
        <v>9</v>
      </c>
      <c r="F2466" s="10" t="str">
        <f aca="false">CHOOSE(MOD(A2466-1,5)+1,"Центр","Юг","Север","Запад","Восток")</f>
        <v>Восток</v>
      </c>
      <c r="G2466" s="10" t="str">
        <f aca="false">"Округ_"&amp;(MOD(A2466-1,5)+1)&amp;"_"&amp;(MOD(INT((A2466-1)/5),5)+1)</f>
        <v>Округ_5_3</v>
      </c>
      <c r="H2466" s="10" t="str">
        <f aca="false">"Город_"&amp;(MOD(A2466-1,5)+1)&amp;"_"&amp;(MOD(INT((A2466-1)/5),5)+1)&amp;"_"&amp;(MOD(INT((A2466-1)/25),10)+1)</f>
        <v>Город_5_3_9</v>
      </c>
      <c r="I2466" s="10" t="str">
        <f aca="false">CHOOSE(MOD(A2466-1,4)+1,"Электроника","Одежда","Продукты","Мебель")</f>
        <v>Электроника</v>
      </c>
      <c r="J2466" s="10" t="str">
        <f aca="false">CHOOSE(MOD(INT((A2466-1)/4),4)+1,CHOOSE(MOD(A2466-1,4)+1,"Смартфоны","Ноутбуки","Аксессуары","Аудио"),CHOOSE(MOD(A2466-1,4)+1,"Верхняя одежда","Спортивная","Повседневная","Обувь"),CHOOSE(MOD(A2466-1,4)+1,"Молочные","Мясные","Бакалея","Напитки"),CHOOSE(MOD(A2466-1,4)+1,"Мягкая мебель","Корпусная","Офисная","Кухонная"))</f>
        <v>Смартфоны</v>
      </c>
      <c r="K2466" s="12" t="n">
        <f aca="false">1000+MOD(A2466*317+A2466*A2466*7,49001)</f>
        <v>48097</v>
      </c>
      <c r="L2466" s="12" t="n">
        <f aca="false">1+MOD(A2466*131,100)</f>
        <v>16</v>
      </c>
      <c r="M2466" s="12" t="n">
        <f aca="false">INT(K2466*(0.6+MOD(A2466*43,21)/100))</f>
        <v>32705</v>
      </c>
      <c r="N2466" s="12" t="n">
        <f aca="false">K2466-M2466</f>
        <v>15392</v>
      </c>
    </row>
    <row r="2467" customFormat="false" ht="12.8" hidden="false" customHeight="false" outlineLevel="0" collapsed="false">
      <c r="A2467" s="10" t="n">
        <f aca="false">A2466+1</f>
        <v>2466</v>
      </c>
      <c r="B2467" s="11" t="n">
        <f aca="false">B2466+1</f>
        <v>47392</v>
      </c>
      <c r="C2467" s="10" t="n">
        <f aca="false">YEAR(B2467)</f>
        <v>2029</v>
      </c>
      <c r="D2467" s="10" t="n">
        <f aca="false">INT((MONTH(B2467)-1)/3)+1</f>
        <v>4</v>
      </c>
      <c r="E2467" s="10" t="n">
        <f aca="false">MONTH(B2467)</f>
        <v>10</v>
      </c>
      <c r="F2467" s="10" t="str">
        <f aca="false">CHOOSE(MOD(A2467-1,5)+1,"Центр","Юг","Север","Запад","Восток")</f>
        <v>Центр</v>
      </c>
      <c r="G2467" s="10" t="str">
        <f aca="false">"Округ_"&amp;(MOD(A2467-1,5)+1)&amp;"_"&amp;(MOD(INT((A2467-1)/5),5)+1)</f>
        <v>Округ_1_4</v>
      </c>
      <c r="H2467" s="10" t="str">
        <f aca="false">"Город_"&amp;(MOD(A2467-1,5)+1)&amp;"_"&amp;(MOD(INT((A2467-1)/5),5)+1)&amp;"_"&amp;(MOD(INT((A2467-1)/25),10)+1)</f>
        <v>Город_1_4_9</v>
      </c>
      <c r="I2467" s="10" t="str">
        <f aca="false">CHOOSE(MOD(A2467-1,4)+1,"Электроника","Одежда","Продукты","Мебель")</f>
        <v>Одежда</v>
      </c>
      <c r="J2467" s="10" t="str">
        <f aca="false">CHOOSE(MOD(INT((A2467-1)/4),4)+1,CHOOSE(MOD(A2467-1,4)+1,"Смартфоны","Ноутбуки","Аксессуары","Аудио"),CHOOSE(MOD(A2467-1,4)+1,"Верхняя одежда","Спортивная","Повседневная","Обувь"),CHOOSE(MOD(A2467-1,4)+1,"Молочные","Мясные","Бакалея","Напитки"),CHOOSE(MOD(A2467-1,4)+1,"Мягкая мебель","Корпусная","Офисная","Кухонная"))</f>
        <v>Ноутбуки</v>
      </c>
      <c r="K2467" s="12" t="n">
        <f aca="false">1000+MOD(A2467*317+A2467*A2467*7,49001)</f>
        <v>33930</v>
      </c>
      <c r="L2467" s="12" t="n">
        <f aca="false">1+MOD(A2467*131,100)</f>
        <v>47</v>
      </c>
      <c r="M2467" s="12" t="n">
        <f aca="false">INT(K2467*(0.6+MOD(A2467*43,21)/100))</f>
        <v>23411</v>
      </c>
      <c r="N2467" s="12" t="n">
        <f aca="false">K2467-M2467</f>
        <v>10519</v>
      </c>
    </row>
    <row r="2468" customFormat="false" ht="12.8" hidden="false" customHeight="false" outlineLevel="0" collapsed="false">
      <c r="A2468" s="10" t="n">
        <f aca="false">A2467+1</f>
        <v>2467</v>
      </c>
      <c r="B2468" s="11" t="n">
        <f aca="false">B2467+1</f>
        <v>47393</v>
      </c>
      <c r="C2468" s="10" t="n">
        <f aca="false">YEAR(B2468)</f>
        <v>2029</v>
      </c>
      <c r="D2468" s="10" t="n">
        <f aca="false">INT((MONTH(B2468)-1)/3)+1</f>
        <v>4</v>
      </c>
      <c r="E2468" s="10" t="n">
        <f aca="false">MONTH(B2468)</f>
        <v>10</v>
      </c>
      <c r="F2468" s="10" t="str">
        <f aca="false">CHOOSE(MOD(A2468-1,5)+1,"Центр","Юг","Север","Запад","Восток")</f>
        <v>Юг</v>
      </c>
      <c r="G2468" s="10" t="str">
        <f aca="false">"Округ_"&amp;(MOD(A2468-1,5)+1)&amp;"_"&amp;(MOD(INT((A2468-1)/5),5)+1)</f>
        <v>Округ_2_4</v>
      </c>
      <c r="H2468" s="10" t="str">
        <f aca="false">"Город_"&amp;(MOD(A2468-1,5)+1)&amp;"_"&amp;(MOD(INT((A2468-1)/5),5)+1)&amp;"_"&amp;(MOD(INT((A2468-1)/25),10)+1)</f>
        <v>Город_2_4_9</v>
      </c>
      <c r="I2468" s="10" t="str">
        <f aca="false">CHOOSE(MOD(A2468-1,4)+1,"Электроника","Одежда","Продукты","Мебель")</f>
        <v>Продукты</v>
      </c>
      <c r="J2468" s="10" t="str">
        <f aca="false">CHOOSE(MOD(INT((A2468-1)/4),4)+1,CHOOSE(MOD(A2468-1,4)+1,"Смартфоны","Ноутбуки","Аксессуары","Аудио"),CHOOSE(MOD(A2468-1,4)+1,"Верхняя одежда","Спортивная","Повседневная","Обувь"),CHOOSE(MOD(A2468-1,4)+1,"Молочные","Мясные","Бакалея","Напитки"),CHOOSE(MOD(A2468-1,4)+1,"Мягкая мебель","Корпусная","Офисная","Кухонная"))</f>
        <v>Аксессуары</v>
      </c>
      <c r="K2468" s="12" t="n">
        <f aca="false">1000+MOD(A2468*317+A2468*A2468*7,49001)</f>
        <v>19777</v>
      </c>
      <c r="L2468" s="12" t="n">
        <f aca="false">1+MOD(A2468*131,100)</f>
        <v>78</v>
      </c>
      <c r="M2468" s="12" t="n">
        <f aca="false">INT(K2468*(0.6+MOD(A2468*43,21)/100))</f>
        <v>13843</v>
      </c>
      <c r="N2468" s="12" t="n">
        <f aca="false">K2468-M2468</f>
        <v>5934</v>
      </c>
    </row>
    <row r="2469" customFormat="false" ht="12.8" hidden="false" customHeight="false" outlineLevel="0" collapsed="false">
      <c r="A2469" s="10" t="n">
        <f aca="false">A2468+1</f>
        <v>2468</v>
      </c>
      <c r="B2469" s="11" t="n">
        <f aca="false">B2468+1</f>
        <v>47394</v>
      </c>
      <c r="C2469" s="10" t="n">
        <f aca="false">YEAR(B2469)</f>
        <v>2029</v>
      </c>
      <c r="D2469" s="10" t="n">
        <f aca="false">INT((MONTH(B2469)-1)/3)+1</f>
        <v>4</v>
      </c>
      <c r="E2469" s="10" t="n">
        <f aca="false">MONTH(B2469)</f>
        <v>10</v>
      </c>
      <c r="F2469" s="10" t="str">
        <f aca="false">CHOOSE(MOD(A2469-1,5)+1,"Центр","Юг","Север","Запад","Восток")</f>
        <v>Север</v>
      </c>
      <c r="G2469" s="10" t="str">
        <f aca="false">"Округ_"&amp;(MOD(A2469-1,5)+1)&amp;"_"&amp;(MOD(INT((A2469-1)/5),5)+1)</f>
        <v>Округ_3_4</v>
      </c>
      <c r="H2469" s="10" t="str">
        <f aca="false">"Город_"&amp;(MOD(A2469-1,5)+1)&amp;"_"&amp;(MOD(INT((A2469-1)/5),5)+1)&amp;"_"&amp;(MOD(INT((A2469-1)/25),10)+1)</f>
        <v>Город_3_4_9</v>
      </c>
      <c r="I2469" s="10" t="str">
        <f aca="false">CHOOSE(MOD(A2469-1,4)+1,"Электроника","Одежда","Продукты","Мебель")</f>
        <v>Мебель</v>
      </c>
      <c r="J2469" s="10" t="str">
        <f aca="false">CHOOSE(MOD(INT((A2469-1)/4),4)+1,CHOOSE(MOD(A2469-1,4)+1,"Смартфоны","Ноутбуки","Аксессуары","Аудио"),CHOOSE(MOD(A2469-1,4)+1,"Верхняя одежда","Спортивная","Повседневная","Обувь"),CHOOSE(MOD(A2469-1,4)+1,"Молочные","Мясные","Бакалея","Напитки"),CHOOSE(MOD(A2469-1,4)+1,"Мягкая мебель","Корпусная","Офисная","Кухонная"))</f>
        <v>Аудио</v>
      </c>
      <c r="K2469" s="12" t="n">
        <f aca="false">1000+MOD(A2469*317+A2469*A2469*7,49001)</f>
        <v>5638</v>
      </c>
      <c r="L2469" s="12" t="n">
        <f aca="false">1+MOD(A2469*131,100)</f>
        <v>9</v>
      </c>
      <c r="M2469" s="12" t="n">
        <f aca="false">INT(K2469*(0.6+MOD(A2469*43,21)/100))</f>
        <v>4002</v>
      </c>
      <c r="N2469" s="12" t="n">
        <f aca="false">K2469-M2469</f>
        <v>1636</v>
      </c>
    </row>
    <row r="2470" customFormat="false" ht="12.8" hidden="false" customHeight="false" outlineLevel="0" collapsed="false">
      <c r="A2470" s="10" t="n">
        <f aca="false">A2469+1</f>
        <v>2469</v>
      </c>
      <c r="B2470" s="11" t="n">
        <f aca="false">B2469+1</f>
        <v>47395</v>
      </c>
      <c r="C2470" s="10" t="n">
        <f aca="false">YEAR(B2470)</f>
        <v>2029</v>
      </c>
      <c r="D2470" s="10" t="n">
        <f aca="false">INT((MONTH(B2470)-1)/3)+1</f>
        <v>4</v>
      </c>
      <c r="E2470" s="10" t="n">
        <f aca="false">MONTH(B2470)</f>
        <v>10</v>
      </c>
      <c r="F2470" s="10" t="str">
        <f aca="false">CHOOSE(MOD(A2470-1,5)+1,"Центр","Юг","Север","Запад","Восток")</f>
        <v>Запад</v>
      </c>
      <c r="G2470" s="10" t="str">
        <f aca="false">"Округ_"&amp;(MOD(A2470-1,5)+1)&amp;"_"&amp;(MOD(INT((A2470-1)/5),5)+1)</f>
        <v>Округ_4_4</v>
      </c>
      <c r="H2470" s="10" t="str">
        <f aca="false">"Город_"&amp;(MOD(A2470-1,5)+1)&amp;"_"&amp;(MOD(INT((A2470-1)/5),5)+1)&amp;"_"&amp;(MOD(INT((A2470-1)/25),10)+1)</f>
        <v>Город_4_4_9</v>
      </c>
      <c r="I2470" s="10" t="str">
        <f aca="false">CHOOSE(MOD(A2470-1,4)+1,"Электроника","Одежда","Продукты","Мебель")</f>
        <v>Электроника</v>
      </c>
      <c r="J2470" s="10" t="str">
        <f aca="false">CHOOSE(MOD(INT((A2470-1)/4),4)+1,CHOOSE(MOD(A2470-1,4)+1,"Смартфоны","Ноутбуки","Аксессуары","Аудио"),CHOOSE(MOD(A2470-1,4)+1,"Верхняя одежда","Спортивная","Повседневная","Обувь"),CHOOSE(MOD(A2470-1,4)+1,"Молочные","Мясные","Бакалея","Напитки"),CHOOSE(MOD(A2470-1,4)+1,"Мягкая мебель","Корпусная","Офисная","Кухонная"))</f>
        <v>Верхняя одежда</v>
      </c>
      <c r="K2470" s="12" t="n">
        <f aca="false">1000+MOD(A2470*317+A2470*A2470*7,49001)</f>
        <v>40514</v>
      </c>
      <c r="L2470" s="12" t="n">
        <f aca="false">1+MOD(A2470*131,100)</f>
        <v>40</v>
      </c>
      <c r="M2470" s="12" t="n">
        <f aca="false">INT(K2470*(0.6+MOD(A2470*43,21)/100))</f>
        <v>29170</v>
      </c>
      <c r="N2470" s="12" t="n">
        <f aca="false">K2470-M2470</f>
        <v>11344</v>
      </c>
    </row>
    <row r="2471" customFormat="false" ht="12.8" hidden="false" customHeight="false" outlineLevel="0" collapsed="false">
      <c r="A2471" s="10" t="n">
        <f aca="false">A2470+1</f>
        <v>2470</v>
      </c>
      <c r="B2471" s="11" t="n">
        <f aca="false">B2470+1</f>
        <v>47396</v>
      </c>
      <c r="C2471" s="10" t="n">
        <f aca="false">YEAR(B2471)</f>
        <v>2029</v>
      </c>
      <c r="D2471" s="10" t="n">
        <f aca="false">INT((MONTH(B2471)-1)/3)+1</f>
        <v>4</v>
      </c>
      <c r="E2471" s="10" t="n">
        <f aca="false">MONTH(B2471)</f>
        <v>10</v>
      </c>
      <c r="F2471" s="10" t="str">
        <f aca="false">CHOOSE(MOD(A2471-1,5)+1,"Центр","Юг","Север","Запад","Восток")</f>
        <v>Восток</v>
      </c>
      <c r="G2471" s="10" t="str">
        <f aca="false">"Округ_"&amp;(MOD(A2471-1,5)+1)&amp;"_"&amp;(MOD(INT((A2471-1)/5),5)+1)</f>
        <v>Округ_5_4</v>
      </c>
      <c r="H2471" s="10" t="str">
        <f aca="false">"Город_"&amp;(MOD(A2471-1,5)+1)&amp;"_"&amp;(MOD(INT((A2471-1)/5),5)+1)&amp;"_"&amp;(MOD(INT((A2471-1)/25),10)+1)</f>
        <v>Город_5_4_9</v>
      </c>
      <c r="I2471" s="10" t="str">
        <f aca="false">CHOOSE(MOD(A2471-1,4)+1,"Электроника","Одежда","Продукты","Мебель")</f>
        <v>Одежда</v>
      </c>
      <c r="J2471" s="10" t="str">
        <f aca="false">CHOOSE(MOD(INT((A2471-1)/4),4)+1,CHOOSE(MOD(A2471-1,4)+1,"Смартфоны","Ноутбуки","Аксессуары","Аудио"),CHOOSE(MOD(A2471-1,4)+1,"Верхняя одежда","Спортивная","Повседневная","Обувь"),CHOOSE(MOD(A2471-1,4)+1,"Молочные","Мясные","Бакалея","Напитки"),CHOOSE(MOD(A2471-1,4)+1,"Мягкая мебель","Корпусная","Офисная","Кухонная"))</f>
        <v>Спортивная</v>
      </c>
      <c r="K2471" s="12" t="n">
        <f aca="false">1000+MOD(A2471*317+A2471*A2471*7,49001)</f>
        <v>26403</v>
      </c>
      <c r="L2471" s="12" t="n">
        <f aca="false">1+MOD(A2471*131,100)</f>
        <v>71</v>
      </c>
      <c r="M2471" s="12" t="n">
        <f aca="false">INT(K2471*(0.6+MOD(A2471*43,21)/100))</f>
        <v>19274</v>
      </c>
      <c r="N2471" s="12" t="n">
        <f aca="false">K2471-M2471</f>
        <v>7129</v>
      </c>
    </row>
    <row r="2472" customFormat="false" ht="12.8" hidden="false" customHeight="false" outlineLevel="0" collapsed="false">
      <c r="A2472" s="10" t="n">
        <f aca="false">A2471+1</f>
        <v>2471</v>
      </c>
      <c r="B2472" s="11" t="n">
        <f aca="false">B2471+1</f>
        <v>47397</v>
      </c>
      <c r="C2472" s="10" t="n">
        <f aca="false">YEAR(B2472)</f>
        <v>2029</v>
      </c>
      <c r="D2472" s="10" t="n">
        <f aca="false">INT((MONTH(B2472)-1)/3)+1</f>
        <v>4</v>
      </c>
      <c r="E2472" s="10" t="n">
        <f aca="false">MONTH(B2472)</f>
        <v>10</v>
      </c>
      <c r="F2472" s="10" t="str">
        <f aca="false">CHOOSE(MOD(A2472-1,5)+1,"Центр","Юг","Север","Запад","Восток")</f>
        <v>Центр</v>
      </c>
      <c r="G2472" s="10" t="str">
        <f aca="false">"Округ_"&amp;(MOD(A2472-1,5)+1)&amp;"_"&amp;(MOD(INT((A2472-1)/5),5)+1)</f>
        <v>Округ_1_5</v>
      </c>
      <c r="H2472" s="10" t="str">
        <f aca="false">"Город_"&amp;(MOD(A2472-1,5)+1)&amp;"_"&amp;(MOD(INT((A2472-1)/5),5)+1)&amp;"_"&amp;(MOD(INT((A2472-1)/25),10)+1)</f>
        <v>Город_1_5_9</v>
      </c>
      <c r="I2472" s="10" t="str">
        <f aca="false">CHOOSE(MOD(A2472-1,4)+1,"Электроника","Одежда","Продукты","Мебель")</f>
        <v>Продукты</v>
      </c>
      <c r="J2472" s="10" t="str">
        <f aca="false">CHOOSE(MOD(INT((A2472-1)/4),4)+1,CHOOSE(MOD(A2472-1,4)+1,"Смартфоны","Ноутбуки","Аксессуары","Аудио"),CHOOSE(MOD(A2472-1,4)+1,"Верхняя одежда","Спортивная","Повседневная","Обувь"),CHOOSE(MOD(A2472-1,4)+1,"Молочные","Мясные","Бакалея","Напитки"),CHOOSE(MOD(A2472-1,4)+1,"Мягкая мебель","Корпусная","Офисная","Кухонная"))</f>
        <v>Повседневная</v>
      </c>
      <c r="K2472" s="12" t="n">
        <f aca="false">1000+MOD(A2472*317+A2472*A2472*7,49001)</f>
        <v>12306</v>
      </c>
      <c r="L2472" s="12" t="n">
        <f aca="false">1+MOD(A2472*131,100)</f>
        <v>2</v>
      </c>
      <c r="M2472" s="12" t="n">
        <f aca="false">INT(K2472*(0.6+MOD(A2472*43,21)/100))</f>
        <v>9106</v>
      </c>
      <c r="N2472" s="12" t="n">
        <f aca="false">K2472-M2472</f>
        <v>3200</v>
      </c>
    </row>
    <row r="2473" customFormat="false" ht="12.8" hidden="false" customHeight="false" outlineLevel="0" collapsed="false">
      <c r="A2473" s="10" t="n">
        <f aca="false">A2472+1</f>
        <v>2472</v>
      </c>
      <c r="B2473" s="11" t="n">
        <f aca="false">B2472+1</f>
        <v>47398</v>
      </c>
      <c r="C2473" s="10" t="n">
        <f aca="false">YEAR(B2473)</f>
        <v>2029</v>
      </c>
      <c r="D2473" s="10" t="n">
        <f aca="false">INT((MONTH(B2473)-1)/3)+1</f>
        <v>4</v>
      </c>
      <c r="E2473" s="10" t="n">
        <f aca="false">MONTH(B2473)</f>
        <v>10</v>
      </c>
      <c r="F2473" s="10" t="str">
        <f aca="false">CHOOSE(MOD(A2473-1,5)+1,"Центр","Юг","Север","Запад","Восток")</f>
        <v>Юг</v>
      </c>
      <c r="G2473" s="10" t="str">
        <f aca="false">"Округ_"&amp;(MOD(A2473-1,5)+1)&amp;"_"&amp;(MOD(INT((A2473-1)/5),5)+1)</f>
        <v>Округ_2_5</v>
      </c>
      <c r="H2473" s="10" t="str">
        <f aca="false">"Город_"&amp;(MOD(A2473-1,5)+1)&amp;"_"&amp;(MOD(INT((A2473-1)/5),5)+1)&amp;"_"&amp;(MOD(INT((A2473-1)/25),10)+1)</f>
        <v>Город_2_5_9</v>
      </c>
      <c r="I2473" s="10" t="str">
        <f aca="false">CHOOSE(MOD(A2473-1,4)+1,"Электроника","Одежда","Продукты","Мебель")</f>
        <v>Мебель</v>
      </c>
      <c r="J2473" s="10" t="str">
        <f aca="false">CHOOSE(MOD(INT((A2473-1)/4),4)+1,CHOOSE(MOD(A2473-1,4)+1,"Смартфоны","Ноутбуки","Аксессуары","Аудио"),CHOOSE(MOD(A2473-1,4)+1,"Верхняя одежда","Спортивная","Повседневная","Обувь"),CHOOSE(MOD(A2473-1,4)+1,"Молочные","Мясные","Бакалея","Напитки"),CHOOSE(MOD(A2473-1,4)+1,"Мягкая мебель","Корпусная","Офисная","Кухонная"))</f>
        <v>Обувь</v>
      </c>
      <c r="K2473" s="12" t="n">
        <f aca="false">1000+MOD(A2473*317+A2473*A2473*7,49001)</f>
        <v>47224</v>
      </c>
      <c r="L2473" s="12" t="n">
        <f aca="false">1+MOD(A2473*131,100)</f>
        <v>33</v>
      </c>
      <c r="M2473" s="12" t="n">
        <f aca="false">INT(K2473*(0.6+MOD(A2473*43,21)/100))</f>
        <v>35418</v>
      </c>
      <c r="N2473" s="12" t="n">
        <f aca="false">K2473-M2473</f>
        <v>11806</v>
      </c>
    </row>
    <row r="2474" customFormat="false" ht="12.8" hidden="false" customHeight="false" outlineLevel="0" collapsed="false">
      <c r="A2474" s="10" t="n">
        <f aca="false">A2473+1</f>
        <v>2473</v>
      </c>
      <c r="B2474" s="11" t="n">
        <f aca="false">B2473+1</f>
        <v>47399</v>
      </c>
      <c r="C2474" s="10" t="n">
        <f aca="false">YEAR(B2474)</f>
        <v>2029</v>
      </c>
      <c r="D2474" s="10" t="n">
        <f aca="false">INT((MONTH(B2474)-1)/3)+1</f>
        <v>4</v>
      </c>
      <c r="E2474" s="10" t="n">
        <f aca="false">MONTH(B2474)</f>
        <v>10</v>
      </c>
      <c r="F2474" s="10" t="str">
        <f aca="false">CHOOSE(MOD(A2474-1,5)+1,"Центр","Юг","Север","Запад","Восток")</f>
        <v>Север</v>
      </c>
      <c r="G2474" s="10" t="str">
        <f aca="false">"Округ_"&amp;(MOD(A2474-1,5)+1)&amp;"_"&amp;(MOD(INT((A2474-1)/5),5)+1)</f>
        <v>Округ_3_5</v>
      </c>
      <c r="H2474" s="10" t="str">
        <f aca="false">"Город_"&amp;(MOD(A2474-1,5)+1)&amp;"_"&amp;(MOD(INT((A2474-1)/5),5)+1)&amp;"_"&amp;(MOD(INT((A2474-1)/25),10)+1)</f>
        <v>Город_3_5_9</v>
      </c>
      <c r="I2474" s="10" t="str">
        <f aca="false">CHOOSE(MOD(A2474-1,4)+1,"Электроника","Одежда","Продукты","Мебель")</f>
        <v>Электроника</v>
      </c>
      <c r="J2474" s="10" t="str">
        <f aca="false">CHOOSE(MOD(INT((A2474-1)/4),4)+1,CHOOSE(MOD(A2474-1,4)+1,"Смартфоны","Ноутбуки","Аксессуары","Аудио"),CHOOSE(MOD(A2474-1,4)+1,"Верхняя одежда","Спортивная","Повседневная","Обувь"),CHOOSE(MOD(A2474-1,4)+1,"Молочные","Мясные","Бакалея","Напитки"),CHOOSE(MOD(A2474-1,4)+1,"Мягкая мебель","Корпусная","Офисная","Кухонная"))</f>
        <v>Молочные</v>
      </c>
      <c r="K2474" s="12" t="n">
        <f aca="false">1000+MOD(A2474*317+A2474*A2474*7,49001)</f>
        <v>33155</v>
      </c>
      <c r="L2474" s="12" t="n">
        <f aca="false">1+MOD(A2474*131,100)</f>
        <v>64</v>
      </c>
      <c r="M2474" s="12" t="n">
        <f aca="false">INT(K2474*(0.6+MOD(A2474*43,21)/100))</f>
        <v>25197</v>
      </c>
      <c r="N2474" s="12" t="n">
        <f aca="false">K2474-M2474</f>
        <v>7958</v>
      </c>
    </row>
    <row r="2475" customFormat="false" ht="12.8" hidden="false" customHeight="false" outlineLevel="0" collapsed="false">
      <c r="A2475" s="10" t="n">
        <f aca="false">A2474+1</f>
        <v>2474</v>
      </c>
      <c r="B2475" s="11" t="n">
        <f aca="false">B2474+1</f>
        <v>47400</v>
      </c>
      <c r="C2475" s="10" t="n">
        <f aca="false">YEAR(B2475)</f>
        <v>2029</v>
      </c>
      <c r="D2475" s="10" t="n">
        <f aca="false">INT((MONTH(B2475)-1)/3)+1</f>
        <v>4</v>
      </c>
      <c r="E2475" s="10" t="n">
        <f aca="false">MONTH(B2475)</f>
        <v>10</v>
      </c>
      <c r="F2475" s="10" t="str">
        <f aca="false">CHOOSE(MOD(A2475-1,5)+1,"Центр","Юг","Север","Запад","Восток")</f>
        <v>Запад</v>
      </c>
      <c r="G2475" s="10" t="str">
        <f aca="false">"Округ_"&amp;(MOD(A2475-1,5)+1)&amp;"_"&amp;(MOD(INT((A2475-1)/5),5)+1)</f>
        <v>Округ_4_5</v>
      </c>
      <c r="H2475" s="10" t="str">
        <f aca="false">"Город_"&amp;(MOD(A2475-1,5)+1)&amp;"_"&amp;(MOD(INT((A2475-1)/5),5)+1)&amp;"_"&amp;(MOD(INT((A2475-1)/25),10)+1)</f>
        <v>Город_4_5_9</v>
      </c>
      <c r="I2475" s="10" t="str">
        <f aca="false">CHOOSE(MOD(A2475-1,4)+1,"Электроника","Одежда","Продукты","Мебель")</f>
        <v>Одежда</v>
      </c>
      <c r="J2475" s="10" t="str">
        <f aca="false">CHOOSE(MOD(INT((A2475-1)/4),4)+1,CHOOSE(MOD(A2475-1,4)+1,"Смартфоны","Ноутбуки","Аксессуары","Аудио"),CHOOSE(MOD(A2475-1,4)+1,"Верхняя одежда","Спортивная","Повседневная","Обувь"),CHOOSE(MOD(A2475-1,4)+1,"Молочные","Мясные","Бакалея","Напитки"),CHOOSE(MOD(A2475-1,4)+1,"Мягкая мебель","Корпусная","Офисная","Кухонная"))</f>
        <v>Мясные</v>
      </c>
      <c r="K2475" s="12" t="n">
        <f aca="false">1000+MOD(A2475*317+A2475*A2475*7,49001)</f>
        <v>19100</v>
      </c>
      <c r="L2475" s="12" t="n">
        <f aca="false">1+MOD(A2475*131,100)</f>
        <v>95</v>
      </c>
      <c r="M2475" s="12" t="n">
        <f aca="false">INT(K2475*(0.6+MOD(A2475*43,21)/100))</f>
        <v>14707</v>
      </c>
      <c r="N2475" s="12" t="n">
        <f aca="false">K2475-M2475</f>
        <v>4393</v>
      </c>
    </row>
    <row r="2476" customFormat="false" ht="12.8" hidden="false" customHeight="false" outlineLevel="0" collapsed="false">
      <c r="A2476" s="10" t="n">
        <f aca="false">A2475+1</f>
        <v>2475</v>
      </c>
      <c r="B2476" s="11" t="n">
        <f aca="false">B2475+1</f>
        <v>47401</v>
      </c>
      <c r="C2476" s="10" t="n">
        <f aca="false">YEAR(B2476)</f>
        <v>2029</v>
      </c>
      <c r="D2476" s="10" t="n">
        <f aca="false">INT((MONTH(B2476)-1)/3)+1</f>
        <v>4</v>
      </c>
      <c r="E2476" s="10" t="n">
        <f aca="false">MONTH(B2476)</f>
        <v>10</v>
      </c>
      <c r="F2476" s="10" t="str">
        <f aca="false">CHOOSE(MOD(A2476-1,5)+1,"Центр","Юг","Север","Запад","Восток")</f>
        <v>Восток</v>
      </c>
      <c r="G2476" s="10" t="str">
        <f aca="false">"Округ_"&amp;(MOD(A2476-1,5)+1)&amp;"_"&amp;(MOD(INT((A2476-1)/5),5)+1)</f>
        <v>Округ_5_5</v>
      </c>
      <c r="H2476" s="10" t="str">
        <f aca="false">"Город_"&amp;(MOD(A2476-1,5)+1)&amp;"_"&amp;(MOD(INT((A2476-1)/5),5)+1)&amp;"_"&amp;(MOD(INT((A2476-1)/25),10)+1)</f>
        <v>Город_5_5_9</v>
      </c>
      <c r="I2476" s="10" t="str">
        <f aca="false">CHOOSE(MOD(A2476-1,4)+1,"Электроника","Одежда","Продукты","Мебель")</f>
        <v>Продукты</v>
      </c>
      <c r="J2476" s="10" t="str">
        <f aca="false">CHOOSE(MOD(INT((A2476-1)/4),4)+1,CHOOSE(MOD(A2476-1,4)+1,"Смартфоны","Ноутбуки","Аксессуары","Аудио"),CHOOSE(MOD(A2476-1,4)+1,"Верхняя одежда","Спортивная","Повседневная","Обувь"),CHOOSE(MOD(A2476-1,4)+1,"Молочные","Мясные","Бакалея","Напитки"),CHOOSE(MOD(A2476-1,4)+1,"Мягкая мебель","Корпусная","Офисная","Кухонная"))</f>
        <v>Бакалея</v>
      </c>
      <c r="K2476" s="12" t="n">
        <f aca="false">1000+MOD(A2476*317+A2476*A2476*7,49001)</f>
        <v>5059</v>
      </c>
      <c r="L2476" s="12" t="n">
        <f aca="false">1+MOD(A2476*131,100)</f>
        <v>26</v>
      </c>
      <c r="M2476" s="12" t="n">
        <f aca="false">INT(K2476*(0.6+MOD(A2476*43,21)/100))</f>
        <v>3946</v>
      </c>
      <c r="N2476" s="12" t="n">
        <f aca="false">K2476-M2476</f>
        <v>1113</v>
      </c>
    </row>
    <row r="2477" customFormat="false" ht="12.8" hidden="false" customHeight="false" outlineLevel="0" collapsed="false">
      <c r="A2477" s="10" t="n">
        <f aca="false">A2476+1</f>
        <v>2476</v>
      </c>
      <c r="B2477" s="11" t="n">
        <f aca="false">B2476+1</f>
        <v>47402</v>
      </c>
      <c r="C2477" s="10" t="n">
        <f aca="false">YEAR(B2477)</f>
        <v>2029</v>
      </c>
      <c r="D2477" s="10" t="n">
        <f aca="false">INT((MONTH(B2477)-1)/3)+1</f>
        <v>4</v>
      </c>
      <c r="E2477" s="10" t="n">
        <f aca="false">MONTH(B2477)</f>
        <v>10</v>
      </c>
      <c r="F2477" s="10" t="str">
        <f aca="false">CHOOSE(MOD(A2477-1,5)+1,"Центр","Юг","Север","Запад","Восток")</f>
        <v>Центр</v>
      </c>
      <c r="G2477" s="10" t="str">
        <f aca="false">"Округ_"&amp;(MOD(A2477-1,5)+1)&amp;"_"&amp;(MOD(INT((A2477-1)/5),5)+1)</f>
        <v>Округ_1_1</v>
      </c>
      <c r="H2477" s="10" t="str">
        <f aca="false">"Город_"&amp;(MOD(A2477-1,5)+1)&amp;"_"&amp;(MOD(INT((A2477-1)/5),5)+1)&amp;"_"&amp;(MOD(INT((A2477-1)/25),10)+1)</f>
        <v>Город_1_1_10</v>
      </c>
      <c r="I2477" s="10" t="str">
        <f aca="false">CHOOSE(MOD(A2477-1,4)+1,"Электроника","Одежда","Продукты","Мебель")</f>
        <v>Мебель</v>
      </c>
      <c r="J2477" s="10" t="str">
        <f aca="false">CHOOSE(MOD(INT((A2477-1)/4),4)+1,CHOOSE(MOD(A2477-1,4)+1,"Смартфоны","Ноутбуки","Аксессуары","Аудио"),CHOOSE(MOD(A2477-1,4)+1,"Верхняя одежда","Спортивная","Повседневная","Обувь"),CHOOSE(MOD(A2477-1,4)+1,"Молочные","Мясные","Бакалея","Напитки"),CHOOSE(MOD(A2477-1,4)+1,"Мягкая мебель","Корпусная","Офисная","Кухонная"))</f>
        <v>Напитки</v>
      </c>
      <c r="K2477" s="12" t="n">
        <f aca="false">1000+MOD(A2477*317+A2477*A2477*7,49001)</f>
        <v>40033</v>
      </c>
      <c r="L2477" s="12" t="n">
        <f aca="false">1+MOD(A2477*131,100)</f>
        <v>57</v>
      </c>
      <c r="M2477" s="12" t="n">
        <f aca="false">INT(K2477*(0.6+MOD(A2477*43,21)/100))</f>
        <v>31626</v>
      </c>
      <c r="N2477" s="12" t="n">
        <f aca="false">K2477-M2477</f>
        <v>8407</v>
      </c>
    </row>
    <row r="2478" customFormat="false" ht="12.8" hidden="false" customHeight="false" outlineLevel="0" collapsed="false">
      <c r="A2478" s="10" t="n">
        <f aca="false">A2477+1</f>
        <v>2477</v>
      </c>
      <c r="B2478" s="11" t="n">
        <f aca="false">B2477+1</f>
        <v>47403</v>
      </c>
      <c r="C2478" s="10" t="n">
        <f aca="false">YEAR(B2478)</f>
        <v>2029</v>
      </c>
      <c r="D2478" s="10" t="n">
        <f aca="false">INT((MONTH(B2478)-1)/3)+1</f>
        <v>4</v>
      </c>
      <c r="E2478" s="10" t="n">
        <f aca="false">MONTH(B2478)</f>
        <v>10</v>
      </c>
      <c r="F2478" s="10" t="str">
        <f aca="false">CHOOSE(MOD(A2478-1,5)+1,"Центр","Юг","Север","Запад","Восток")</f>
        <v>Юг</v>
      </c>
      <c r="G2478" s="10" t="str">
        <f aca="false">"Округ_"&amp;(MOD(A2478-1,5)+1)&amp;"_"&amp;(MOD(INT((A2478-1)/5),5)+1)</f>
        <v>Округ_2_1</v>
      </c>
      <c r="H2478" s="10" t="str">
        <f aca="false">"Город_"&amp;(MOD(A2478-1,5)+1)&amp;"_"&amp;(MOD(INT((A2478-1)/5),5)+1)&amp;"_"&amp;(MOD(INT((A2478-1)/25),10)+1)</f>
        <v>Город_2_1_10</v>
      </c>
      <c r="I2478" s="10" t="str">
        <f aca="false">CHOOSE(MOD(A2478-1,4)+1,"Электроника","Одежда","Продукты","Мебель")</f>
        <v>Электроника</v>
      </c>
      <c r="J2478" s="10" t="str">
        <f aca="false">CHOOSE(MOD(INT((A2478-1)/4),4)+1,CHOOSE(MOD(A2478-1,4)+1,"Смартфоны","Ноутбуки","Аксессуары","Аудио"),CHOOSE(MOD(A2478-1,4)+1,"Верхняя одежда","Спортивная","Повседневная","Обувь"),CHOOSE(MOD(A2478-1,4)+1,"Молочные","Мясные","Бакалея","Напитки"),CHOOSE(MOD(A2478-1,4)+1,"Мягкая мебель","Корпусная","Офисная","Кухонная"))</f>
        <v>Мягкая мебель</v>
      </c>
      <c r="K2478" s="12" t="n">
        <f aca="false">1000+MOD(A2478*317+A2478*A2478*7,49001)</f>
        <v>26020</v>
      </c>
      <c r="L2478" s="12" t="n">
        <f aca="false">1+MOD(A2478*131,100)</f>
        <v>88</v>
      </c>
      <c r="M2478" s="12" t="n">
        <f aca="false">INT(K2478*(0.6+MOD(A2478*43,21)/100))</f>
        <v>20816</v>
      </c>
      <c r="N2478" s="12" t="n">
        <f aca="false">K2478-M2478</f>
        <v>5204</v>
      </c>
    </row>
    <row r="2479" customFormat="false" ht="12.8" hidden="false" customHeight="false" outlineLevel="0" collapsed="false">
      <c r="A2479" s="10" t="n">
        <f aca="false">A2478+1</f>
        <v>2478</v>
      </c>
      <c r="B2479" s="11" t="n">
        <f aca="false">B2478+1</f>
        <v>47404</v>
      </c>
      <c r="C2479" s="10" t="n">
        <f aca="false">YEAR(B2479)</f>
        <v>2029</v>
      </c>
      <c r="D2479" s="10" t="n">
        <f aca="false">INT((MONTH(B2479)-1)/3)+1</f>
        <v>4</v>
      </c>
      <c r="E2479" s="10" t="n">
        <f aca="false">MONTH(B2479)</f>
        <v>10</v>
      </c>
      <c r="F2479" s="10" t="str">
        <f aca="false">CHOOSE(MOD(A2479-1,5)+1,"Центр","Юг","Север","Запад","Восток")</f>
        <v>Север</v>
      </c>
      <c r="G2479" s="10" t="str">
        <f aca="false">"Округ_"&amp;(MOD(A2479-1,5)+1)&amp;"_"&amp;(MOD(INT((A2479-1)/5),5)+1)</f>
        <v>Округ_3_1</v>
      </c>
      <c r="H2479" s="10" t="str">
        <f aca="false">"Город_"&amp;(MOD(A2479-1,5)+1)&amp;"_"&amp;(MOD(INT((A2479-1)/5),5)+1)&amp;"_"&amp;(MOD(INT((A2479-1)/25),10)+1)</f>
        <v>Город_3_1_10</v>
      </c>
      <c r="I2479" s="10" t="str">
        <f aca="false">CHOOSE(MOD(A2479-1,4)+1,"Электроника","Одежда","Продукты","Мебель")</f>
        <v>Одежда</v>
      </c>
      <c r="J2479" s="10" t="str">
        <f aca="false">CHOOSE(MOD(INT((A2479-1)/4),4)+1,CHOOSE(MOD(A2479-1,4)+1,"Смартфоны","Ноутбуки","Аксессуары","Аудио"),CHOOSE(MOD(A2479-1,4)+1,"Верхняя одежда","Спортивная","Повседневная","Обувь"),CHOOSE(MOD(A2479-1,4)+1,"Молочные","Мясные","Бакалея","Напитки"),CHOOSE(MOD(A2479-1,4)+1,"Мягкая мебель","Корпусная","Офисная","Кухонная"))</f>
        <v>Корпусная</v>
      </c>
      <c r="K2479" s="12" t="n">
        <f aca="false">1000+MOD(A2479*317+A2479*A2479*7,49001)</f>
        <v>12021</v>
      </c>
      <c r="L2479" s="12" t="n">
        <f aca="false">1+MOD(A2479*131,100)</f>
        <v>19</v>
      </c>
      <c r="M2479" s="12" t="n">
        <f aca="false">INT(K2479*(0.6+MOD(A2479*43,21)/100))</f>
        <v>7212</v>
      </c>
      <c r="N2479" s="12" t="n">
        <f aca="false">K2479-M2479</f>
        <v>4809</v>
      </c>
    </row>
    <row r="2480" customFormat="false" ht="12.8" hidden="false" customHeight="false" outlineLevel="0" collapsed="false">
      <c r="A2480" s="10" t="n">
        <f aca="false">A2479+1</f>
        <v>2479</v>
      </c>
      <c r="B2480" s="11" t="n">
        <f aca="false">B2479+1</f>
        <v>47405</v>
      </c>
      <c r="C2480" s="10" t="n">
        <f aca="false">YEAR(B2480)</f>
        <v>2029</v>
      </c>
      <c r="D2480" s="10" t="n">
        <f aca="false">INT((MONTH(B2480)-1)/3)+1</f>
        <v>4</v>
      </c>
      <c r="E2480" s="10" t="n">
        <f aca="false">MONTH(B2480)</f>
        <v>10</v>
      </c>
      <c r="F2480" s="10" t="str">
        <f aca="false">CHOOSE(MOD(A2480-1,5)+1,"Центр","Юг","Север","Запад","Восток")</f>
        <v>Запад</v>
      </c>
      <c r="G2480" s="10" t="str">
        <f aca="false">"Округ_"&amp;(MOD(A2480-1,5)+1)&amp;"_"&amp;(MOD(INT((A2480-1)/5),5)+1)</f>
        <v>Округ_4_1</v>
      </c>
      <c r="H2480" s="10" t="str">
        <f aca="false">"Город_"&amp;(MOD(A2480-1,5)+1)&amp;"_"&amp;(MOD(INT((A2480-1)/5),5)+1)&amp;"_"&amp;(MOD(INT((A2480-1)/25),10)+1)</f>
        <v>Город_4_1_10</v>
      </c>
      <c r="I2480" s="10" t="str">
        <f aca="false">CHOOSE(MOD(A2480-1,4)+1,"Электроника","Одежда","Продукты","Мебель")</f>
        <v>Продукты</v>
      </c>
      <c r="J2480" s="10" t="str">
        <f aca="false">CHOOSE(MOD(INT((A2480-1)/4),4)+1,CHOOSE(MOD(A2480-1,4)+1,"Смартфоны","Ноутбуки","Аксессуары","Аудио"),CHOOSE(MOD(A2480-1,4)+1,"Верхняя одежда","Спортивная","Повседневная","Обувь"),CHOOSE(MOD(A2480-1,4)+1,"Молочные","Мясные","Бакалея","Напитки"),CHOOSE(MOD(A2480-1,4)+1,"Мягкая мебель","Корпусная","Офисная","Кухонная"))</f>
        <v>Офисная</v>
      </c>
      <c r="K2480" s="12" t="n">
        <f aca="false">1000+MOD(A2480*317+A2480*A2480*7,49001)</f>
        <v>47037</v>
      </c>
      <c r="L2480" s="12" t="n">
        <f aca="false">1+MOD(A2480*131,100)</f>
        <v>50</v>
      </c>
      <c r="M2480" s="12" t="n">
        <f aca="false">INT(K2480*(0.6+MOD(A2480*43,21)/100))</f>
        <v>28692</v>
      </c>
      <c r="N2480" s="12" t="n">
        <f aca="false">K2480-M2480</f>
        <v>18345</v>
      </c>
    </row>
    <row r="2481" customFormat="false" ht="12.8" hidden="false" customHeight="false" outlineLevel="0" collapsed="false">
      <c r="A2481" s="10" t="n">
        <f aca="false">A2480+1</f>
        <v>2480</v>
      </c>
      <c r="B2481" s="11" t="n">
        <f aca="false">B2480+1</f>
        <v>47406</v>
      </c>
      <c r="C2481" s="10" t="n">
        <f aca="false">YEAR(B2481)</f>
        <v>2029</v>
      </c>
      <c r="D2481" s="10" t="n">
        <f aca="false">INT((MONTH(B2481)-1)/3)+1</f>
        <v>4</v>
      </c>
      <c r="E2481" s="10" t="n">
        <f aca="false">MONTH(B2481)</f>
        <v>10</v>
      </c>
      <c r="F2481" s="10" t="str">
        <f aca="false">CHOOSE(MOD(A2481-1,5)+1,"Центр","Юг","Север","Запад","Восток")</f>
        <v>Восток</v>
      </c>
      <c r="G2481" s="10" t="str">
        <f aca="false">"Округ_"&amp;(MOD(A2481-1,5)+1)&amp;"_"&amp;(MOD(INT((A2481-1)/5),5)+1)</f>
        <v>Округ_5_1</v>
      </c>
      <c r="H2481" s="10" t="str">
        <f aca="false">"Город_"&amp;(MOD(A2481-1,5)+1)&amp;"_"&amp;(MOD(INT((A2481-1)/5),5)+1)&amp;"_"&amp;(MOD(INT((A2481-1)/25),10)+1)</f>
        <v>Город_5_1_10</v>
      </c>
      <c r="I2481" s="10" t="str">
        <f aca="false">CHOOSE(MOD(A2481-1,4)+1,"Электроника","Одежда","Продукты","Мебель")</f>
        <v>Мебель</v>
      </c>
      <c r="J2481" s="10" t="str">
        <f aca="false">CHOOSE(MOD(INT((A2481-1)/4),4)+1,CHOOSE(MOD(A2481-1,4)+1,"Смартфоны","Ноутбуки","Аксессуары","Аудио"),CHOOSE(MOD(A2481-1,4)+1,"Верхняя одежда","Спортивная","Повседневная","Обувь"),CHOOSE(MOD(A2481-1,4)+1,"Молочные","Мясные","Бакалея","Напитки"),CHOOSE(MOD(A2481-1,4)+1,"Мягкая мебель","Корпусная","Офисная","Кухонная"))</f>
        <v>Кухонная</v>
      </c>
      <c r="K2481" s="12" t="n">
        <f aca="false">1000+MOD(A2481*317+A2481*A2481*7,49001)</f>
        <v>33066</v>
      </c>
      <c r="L2481" s="12" t="n">
        <f aca="false">1+MOD(A2481*131,100)</f>
        <v>81</v>
      </c>
      <c r="M2481" s="12" t="n">
        <f aca="false">INT(K2481*(0.6+MOD(A2481*43,21)/100))</f>
        <v>20500</v>
      </c>
      <c r="N2481" s="12" t="n">
        <f aca="false">K2481-M2481</f>
        <v>12566</v>
      </c>
    </row>
    <row r="2482" customFormat="false" ht="12.8" hidden="false" customHeight="false" outlineLevel="0" collapsed="false">
      <c r="A2482" s="10" t="n">
        <f aca="false">A2481+1</f>
        <v>2481</v>
      </c>
      <c r="B2482" s="11" t="n">
        <f aca="false">B2481+1</f>
        <v>47407</v>
      </c>
      <c r="C2482" s="10" t="n">
        <f aca="false">YEAR(B2482)</f>
        <v>2029</v>
      </c>
      <c r="D2482" s="10" t="n">
        <f aca="false">INT((MONTH(B2482)-1)/3)+1</f>
        <v>4</v>
      </c>
      <c r="E2482" s="10" t="n">
        <f aca="false">MONTH(B2482)</f>
        <v>10</v>
      </c>
      <c r="F2482" s="10" t="str">
        <f aca="false">CHOOSE(MOD(A2482-1,5)+1,"Центр","Юг","Север","Запад","Восток")</f>
        <v>Центр</v>
      </c>
      <c r="G2482" s="10" t="str">
        <f aca="false">"Округ_"&amp;(MOD(A2482-1,5)+1)&amp;"_"&amp;(MOD(INT((A2482-1)/5),5)+1)</f>
        <v>Округ_1_2</v>
      </c>
      <c r="H2482" s="10" t="str">
        <f aca="false">"Город_"&amp;(MOD(A2482-1,5)+1)&amp;"_"&amp;(MOD(INT((A2482-1)/5),5)+1)&amp;"_"&amp;(MOD(INT((A2482-1)/25),10)+1)</f>
        <v>Город_1_2_10</v>
      </c>
      <c r="I2482" s="10" t="str">
        <f aca="false">CHOOSE(MOD(A2482-1,4)+1,"Электроника","Одежда","Продукты","Мебель")</f>
        <v>Электроника</v>
      </c>
      <c r="J2482" s="10" t="str">
        <f aca="false">CHOOSE(MOD(INT((A2482-1)/4),4)+1,CHOOSE(MOD(A2482-1,4)+1,"Смартфоны","Ноутбуки","Аксессуары","Аудио"),CHOOSE(MOD(A2482-1,4)+1,"Верхняя одежда","Спортивная","Повседневная","Обувь"),CHOOSE(MOD(A2482-1,4)+1,"Молочные","Мясные","Бакалея","Напитки"),CHOOSE(MOD(A2482-1,4)+1,"Мягкая мебель","Корпусная","Офисная","Кухонная"))</f>
        <v>Смартфоны</v>
      </c>
      <c r="K2482" s="12" t="n">
        <f aca="false">1000+MOD(A2482*317+A2482*A2482*7,49001)</f>
        <v>19109</v>
      </c>
      <c r="L2482" s="12" t="n">
        <f aca="false">1+MOD(A2482*131,100)</f>
        <v>12</v>
      </c>
      <c r="M2482" s="12" t="n">
        <f aca="false">INT(K2482*(0.6+MOD(A2482*43,21)/100))</f>
        <v>12038</v>
      </c>
      <c r="N2482" s="12" t="n">
        <f aca="false">K2482-M2482</f>
        <v>7071</v>
      </c>
    </row>
    <row r="2483" customFormat="false" ht="12.8" hidden="false" customHeight="false" outlineLevel="0" collapsed="false">
      <c r="A2483" s="10" t="n">
        <f aca="false">A2482+1</f>
        <v>2482</v>
      </c>
      <c r="B2483" s="11" t="n">
        <f aca="false">B2482+1</f>
        <v>47408</v>
      </c>
      <c r="C2483" s="10" t="n">
        <f aca="false">YEAR(B2483)</f>
        <v>2029</v>
      </c>
      <c r="D2483" s="10" t="n">
        <f aca="false">INT((MONTH(B2483)-1)/3)+1</f>
        <v>4</v>
      </c>
      <c r="E2483" s="10" t="n">
        <f aca="false">MONTH(B2483)</f>
        <v>10</v>
      </c>
      <c r="F2483" s="10" t="str">
        <f aca="false">CHOOSE(MOD(A2483-1,5)+1,"Центр","Юг","Север","Запад","Восток")</f>
        <v>Юг</v>
      </c>
      <c r="G2483" s="10" t="str">
        <f aca="false">"Округ_"&amp;(MOD(A2483-1,5)+1)&amp;"_"&amp;(MOD(INT((A2483-1)/5),5)+1)</f>
        <v>Округ_2_2</v>
      </c>
      <c r="H2483" s="10" t="str">
        <f aca="false">"Город_"&amp;(MOD(A2483-1,5)+1)&amp;"_"&amp;(MOD(INT((A2483-1)/5),5)+1)&amp;"_"&amp;(MOD(INT((A2483-1)/25),10)+1)</f>
        <v>Город_2_2_10</v>
      </c>
      <c r="I2483" s="10" t="str">
        <f aca="false">CHOOSE(MOD(A2483-1,4)+1,"Электроника","Одежда","Продукты","Мебель")</f>
        <v>Одежда</v>
      </c>
      <c r="J2483" s="10" t="str">
        <f aca="false">CHOOSE(MOD(INT((A2483-1)/4),4)+1,CHOOSE(MOD(A2483-1,4)+1,"Смартфоны","Ноутбуки","Аксессуары","Аудио"),CHOOSE(MOD(A2483-1,4)+1,"Верхняя одежда","Спортивная","Повседневная","Обувь"),CHOOSE(MOD(A2483-1,4)+1,"Молочные","Мясные","Бакалея","Напитки"),CHOOSE(MOD(A2483-1,4)+1,"Мягкая мебель","Корпусная","Офисная","Кухонная"))</f>
        <v>Ноутбуки</v>
      </c>
      <c r="K2483" s="12" t="n">
        <f aca="false">1000+MOD(A2483*317+A2483*A2483*7,49001)</f>
        <v>5166</v>
      </c>
      <c r="L2483" s="12" t="n">
        <f aca="false">1+MOD(A2483*131,100)</f>
        <v>43</v>
      </c>
      <c r="M2483" s="12" t="n">
        <f aca="false">INT(K2483*(0.6+MOD(A2483*43,21)/100))</f>
        <v>3306</v>
      </c>
      <c r="N2483" s="12" t="n">
        <f aca="false">K2483-M2483</f>
        <v>1860</v>
      </c>
    </row>
    <row r="2484" customFormat="false" ht="12.8" hidden="false" customHeight="false" outlineLevel="0" collapsed="false">
      <c r="A2484" s="10" t="n">
        <f aca="false">A2483+1</f>
        <v>2483</v>
      </c>
      <c r="B2484" s="11" t="n">
        <f aca="false">B2483+1</f>
        <v>47409</v>
      </c>
      <c r="C2484" s="10" t="n">
        <f aca="false">YEAR(B2484)</f>
        <v>2029</v>
      </c>
      <c r="D2484" s="10" t="n">
        <f aca="false">INT((MONTH(B2484)-1)/3)+1</f>
        <v>4</v>
      </c>
      <c r="E2484" s="10" t="n">
        <f aca="false">MONTH(B2484)</f>
        <v>10</v>
      </c>
      <c r="F2484" s="10" t="str">
        <f aca="false">CHOOSE(MOD(A2484-1,5)+1,"Центр","Юг","Север","Запад","Восток")</f>
        <v>Север</v>
      </c>
      <c r="G2484" s="10" t="str">
        <f aca="false">"Округ_"&amp;(MOD(A2484-1,5)+1)&amp;"_"&amp;(MOD(INT((A2484-1)/5),5)+1)</f>
        <v>Округ_3_2</v>
      </c>
      <c r="H2484" s="10" t="str">
        <f aca="false">"Город_"&amp;(MOD(A2484-1,5)+1)&amp;"_"&amp;(MOD(INT((A2484-1)/5),5)+1)&amp;"_"&amp;(MOD(INT((A2484-1)/25),10)+1)</f>
        <v>Город_3_2_10</v>
      </c>
      <c r="I2484" s="10" t="str">
        <f aca="false">CHOOSE(MOD(A2484-1,4)+1,"Электроника","Одежда","Продукты","Мебель")</f>
        <v>Продукты</v>
      </c>
      <c r="J2484" s="10" t="str">
        <f aca="false">CHOOSE(MOD(INT((A2484-1)/4),4)+1,CHOOSE(MOD(A2484-1,4)+1,"Смартфоны","Ноутбуки","Аксессуары","Аудио"),CHOOSE(MOD(A2484-1,4)+1,"Верхняя одежда","Спортивная","Повседневная","Обувь"),CHOOSE(MOD(A2484-1,4)+1,"Молочные","Мясные","Бакалея","Напитки"),CHOOSE(MOD(A2484-1,4)+1,"Мягкая мебель","Корпусная","Офисная","Кухонная"))</f>
        <v>Аксессуары</v>
      </c>
      <c r="K2484" s="12" t="n">
        <f aca="false">1000+MOD(A2484*317+A2484*A2484*7,49001)</f>
        <v>40238</v>
      </c>
      <c r="L2484" s="12" t="n">
        <f aca="false">1+MOD(A2484*131,100)</f>
        <v>74</v>
      </c>
      <c r="M2484" s="12" t="n">
        <f aca="false">INT(K2484*(0.6+MOD(A2484*43,21)/100))</f>
        <v>26154</v>
      </c>
      <c r="N2484" s="12" t="n">
        <f aca="false">K2484-M2484</f>
        <v>14084</v>
      </c>
    </row>
    <row r="2485" customFormat="false" ht="12.8" hidden="false" customHeight="false" outlineLevel="0" collapsed="false">
      <c r="A2485" s="10" t="n">
        <f aca="false">A2484+1</f>
        <v>2484</v>
      </c>
      <c r="B2485" s="11" t="n">
        <f aca="false">B2484+1</f>
        <v>47410</v>
      </c>
      <c r="C2485" s="10" t="n">
        <f aca="false">YEAR(B2485)</f>
        <v>2029</v>
      </c>
      <c r="D2485" s="10" t="n">
        <f aca="false">INT((MONTH(B2485)-1)/3)+1</f>
        <v>4</v>
      </c>
      <c r="E2485" s="10" t="n">
        <f aca="false">MONTH(B2485)</f>
        <v>10</v>
      </c>
      <c r="F2485" s="10" t="str">
        <f aca="false">CHOOSE(MOD(A2485-1,5)+1,"Центр","Юг","Север","Запад","Восток")</f>
        <v>Запад</v>
      </c>
      <c r="G2485" s="10" t="str">
        <f aca="false">"Округ_"&amp;(MOD(A2485-1,5)+1)&amp;"_"&amp;(MOD(INT((A2485-1)/5),5)+1)</f>
        <v>Округ_4_2</v>
      </c>
      <c r="H2485" s="10" t="str">
        <f aca="false">"Город_"&amp;(MOD(A2485-1,5)+1)&amp;"_"&amp;(MOD(INT((A2485-1)/5),5)+1)&amp;"_"&amp;(MOD(INT((A2485-1)/25),10)+1)</f>
        <v>Город_4_2_10</v>
      </c>
      <c r="I2485" s="10" t="str">
        <f aca="false">CHOOSE(MOD(A2485-1,4)+1,"Электроника","Одежда","Продукты","Мебель")</f>
        <v>Мебель</v>
      </c>
      <c r="J2485" s="10" t="str">
        <f aca="false">CHOOSE(MOD(INT((A2485-1)/4),4)+1,CHOOSE(MOD(A2485-1,4)+1,"Смартфоны","Ноутбуки","Аксессуары","Аудио"),CHOOSE(MOD(A2485-1,4)+1,"Верхняя одежда","Спортивная","Повседневная","Обувь"),CHOOSE(MOD(A2485-1,4)+1,"Молочные","Мясные","Бакалея","Напитки"),CHOOSE(MOD(A2485-1,4)+1,"Мягкая мебель","Корпусная","Офисная","Кухонная"))</f>
        <v>Аудио</v>
      </c>
      <c r="K2485" s="12" t="n">
        <f aca="false">1000+MOD(A2485*317+A2485*A2485*7,49001)</f>
        <v>26323</v>
      </c>
      <c r="L2485" s="12" t="n">
        <f aca="false">1+MOD(A2485*131,100)</f>
        <v>5</v>
      </c>
      <c r="M2485" s="12" t="n">
        <f aca="false">INT(K2485*(0.6+MOD(A2485*43,21)/100))</f>
        <v>17373</v>
      </c>
      <c r="N2485" s="12" t="n">
        <f aca="false">K2485-M2485</f>
        <v>8950</v>
      </c>
    </row>
    <row r="2486" customFormat="false" ht="12.8" hidden="false" customHeight="false" outlineLevel="0" collapsed="false">
      <c r="A2486" s="10" t="n">
        <f aca="false">A2485+1</f>
        <v>2485</v>
      </c>
      <c r="B2486" s="11" t="n">
        <f aca="false">B2485+1</f>
        <v>47411</v>
      </c>
      <c r="C2486" s="10" t="n">
        <f aca="false">YEAR(B2486)</f>
        <v>2029</v>
      </c>
      <c r="D2486" s="10" t="n">
        <f aca="false">INT((MONTH(B2486)-1)/3)+1</f>
        <v>4</v>
      </c>
      <c r="E2486" s="10" t="n">
        <f aca="false">MONTH(B2486)</f>
        <v>10</v>
      </c>
      <c r="F2486" s="10" t="str">
        <f aca="false">CHOOSE(MOD(A2486-1,5)+1,"Центр","Юг","Север","Запад","Восток")</f>
        <v>Восток</v>
      </c>
      <c r="G2486" s="10" t="str">
        <f aca="false">"Округ_"&amp;(MOD(A2486-1,5)+1)&amp;"_"&amp;(MOD(INT((A2486-1)/5),5)+1)</f>
        <v>Округ_5_2</v>
      </c>
      <c r="H2486" s="10" t="str">
        <f aca="false">"Город_"&amp;(MOD(A2486-1,5)+1)&amp;"_"&amp;(MOD(INT((A2486-1)/5),5)+1)&amp;"_"&amp;(MOD(INT((A2486-1)/25),10)+1)</f>
        <v>Город_5_2_10</v>
      </c>
      <c r="I2486" s="10" t="str">
        <f aca="false">CHOOSE(MOD(A2486-1,4)+1,"Электроника","Одежда","Продукты","Мебель")</f>
        <v>Электроника</v>
      </c>
      <c r="J2486" s="10" t="str">
        <f aca="false">CHOOSE(MOD(INT((A2486-1)/4),4)+1,CHOOSE(MOD(A2486-1,4)+1,"Смартфоны","Ноутбуки","Аксессуары","Аудио"),CHOOSE(MOD(A2486-1,4)+1,"Верхняя одежда","Спортивная","Повседневная","Обувь"),CHOOSE(MOD(A2486-1,4)+1,"Молочные","Мясные","Бакалея","Напитки"),CHOOSE(MOD(A2486-1,4)+1,"Мягкая мебель","Корпусная","Офисная","Кухонная"))</f>
        <v>Верхняя одежда</v>
      </c>
      <c r="K2486" s="12" t="n">
        <f aca="false">1000+MOD(A2486*317+A2486*A2486*7,49001)</f>
        <v>12422</v>
      </c>
      <c r="L2486" s="12" t="n">
        <f aca="false">1+MOD(A2486*131,100)</f>
        <v>36</v>
      </c>
      <c r="M2486" s="12" t="n">
        <f aca="false">INT(K2486*(0.6+MOD(A2486*43,21)/100))</f>
        <v>8322</v>
      </c>
      <c r="N2486" s="12" t="n">
        <f aca="false">K2486-M2486</f>
        <v>4100</v>
      </c>
    </row>
    <row r="2487" customFormat="false" ht="12.8" hidden="false" customHeight="false" outlineLevel="0" collapsed="false">
      <c r="A2487" s="10" t="n">
        <f aca="false">A2486+1</f>
        <v>2486</v>
      </c>
      <c r="B2487" s="11" t="n">
        <f aca="false">B2486+1</f>
        <v>47412</v>
      </c>
      <c r="C2487" s="10" t="n">
        <f aca="false">YEAR(B2487)</f>
        <v>2029</v>
      </c>
      <c r="D2487" s="10" t="n">
        <f aca="false">INT((MONTH(B2487)-1)/3)+1</f>
        <v>4</v>
      </c>
      <c r="E2487" s="10" t="n">
        <f aca="false">MONTH(B2487)</f>
        <v>10</v>
      </c>
      <c r="F2487" s="10" t="str">
        <f aca="false">CHOOSE(MOD(A2487-1,5)+1,"Центр","Юг","Север","Запад","Восток")</f>
        <v>Центр</v>
      </c>
      <c r="G2487" s="10" t="str">
        <f aca="false">"Округ_"&amp;(MOD(A2487-1,5)+1)&amp;"_"&amp;(MOD(INT((A2487-1)/5),5)+1)</f>
        <v>Округ_1_3</v>
      </c>
      <c r="H2487" s="10" t="str">
        <f aca="false">"Город_"&amp;(MOD(A2487-1,5)+1)&amp;"_"&amp;(MOD(INT((A2487-1)/5),5)+1)&amp;"_"&amp;(MOD(INT((A2487-1)/25),10)+1)</f>
        <v>Город_1_3_10</v>
      </c>
      <c r="I2487" s="10" t="str">
        <f aca="false">CHOOSE(MOD(A2487-1,4)+1,"Электроника","Одежда","Продукты","Мебель")</f>
        <v>Одежда</v>
      </c>
      <c r="J2487" s="10" t="str">
        <f aca="false">CHOOSE(MOD(INT((A2487-1)/4),4)+1,CHOOSE(MOD(A2487-1,4)+1,"Смартфоны","Ноутбуки","Аксессуары","Аудио"),CHOOSE(MOD(A2487-1,4)+1,"Верхняя одежда","Спортивная","Повседневная","Обувь"),CHOOSE(MOD(A2487-1,4)+1,"Молочные","Мясные","Бакалея","Напитки"),CHOOSE(MOD(A2487-1,4)+1,"Мягкая мебель","Корпусная","Офисная","Кухонная"))</f>
        <v>Спортивная</v>
      </c>
      <c r="K2487" s="12" t="n">
        <f aca="false">1000+MOD(A2487*317+A2487*A2487*7,49001)</f>
        <v>47536</v>
      </c>
      <c r="L2487" s="12" t="n">
        <f aca="false">1+MOD(A2487*131,100)</f>
        <v>67</v>
      </c>
      <c r="M2487" s="12" t="n">
        <f aca="false">INT(K2487*(0.6+MOD(A2487*43,21)/100))</f>
        <v>32324</v>
      </c>
      <c r="N2487" s="12" t="n">
        <f aca="false">K2487-M2487</f>
        <v>15212</v>
      </c>
    </row>
    <row r="2488" customFormat="false" ht="12.8" hidden="false" customHeight="false" outlineLevel="0" collapsed="false">
      <c r="A2488" s="10" t="n">
        <f aca="false">A2487+1</f>
        <v>2487</v>
      </c>
      <c r="B2488" s="11" t="n">
        <f aca="false">B2487+1</f>
        <v>47413</v>
      </c>
      <c r="C2488" s="10" t="n">
        <f aca="false">YEAR(B2488)</f>
        <v>2029</v>
      </c>
      <c r="D2488" s="10" t="n">
        <f aca="false">INT((MONTH(B2488)-1)/3)+1</f>
        <v>4</v>
      </c>
      <c r="E2488" s="10" t="n">
        <f aca="false">MONTH(B2488)</f>
        <v>10</v>
      </c>
      <c r="F2488" s="10" t="str">
        <f aca="false">CHOOSE(MOD(A2488-1,5)+1,"Центр","Юг","Север","Запад","Восток")</f>
        <v>Юг</v>
      </c>
      <c r="G2488" s="10" t="str">
        <f aca="false">"Округ_"&amp;(MOD(A2488-1,5)+1)&amp;"_"&amp;(MOD(INT((A2488-1)/5),5)+1)</f>
        <v>Округ_2_3</v>
      </c>
      <c r="H2488" s="10" t="str">
        <f aca="false">"Город_"&amp;(MOD(A2488-1,5)+1)&amp;"_"&amp;(MOD(INT((A2488-1)/5),5)+1)&amp;"_"&amp;(MOD(INT((A2488-1)/25),10)+1)</f>
        <v>Город_2_3_10</v>
      </c>
      <c r="I2488" s="10" t="str">
        <f aca="false">CHOOSE(MOD(A2488-1,4)+1,"Электроника","Одежда","Продукты","Мебель")</f>
        <v>Продукты</v>
      </c>
      <c r="J2488" s="10" t="str">
        <f aca="false">CHOOSE(MOD(INT((A2488-1)/4),4)+1,CHOOSE(MOD(A2488-1,4)+1,"Смартфоны","Ноутбуки","Аксессуары","Аудио"),CHOOSE(MOD(A2488-1,4)+1,"Верхняя одежда","Спортивная","Повседневная","Обувь"),CHOOSE(MOD(A2488-1,4)+1,"Молочные","Мясные","Бакалея","Напитки"),CHOOSE(MOD(A2488-1,4)+1,"Мягкая мебель","Корпусная","Офисная","Кухонная"))</f>
        <v>Повседневная</v>
      </c>
      <c r="K2488" s="12" t="n">
        <f aca="false">1000+MOD(A2488*317+A2488*A2488*7,49001)</f>
        <v>33663</v>
      </c>
      <c r="L2488" s="12" t="n">
        <f aca="false">1+MOD(A2488*131,100)</f>
        <v>98</v>
      </c>
      <c r="M2488" s="12" t="n">
        <f aca="false">INT(K2488*(0.6+MOD(A2488*43,21)/100))</f>
        <v>23227</v>
      </c>
      <c r="N2488" s="12" t="n">
        <f aca="false">K2488-M2488</f>
        <v>10436</v>
      </c>
    </row>
    <row r="2489" customFormat="false" ht="12.8" hidden="false" customHeight="false" outlineLevel="0" collapsed="false">
      <c r="A2489" s="10" t="n">
        <f aca="false">A2488+1</f>
        <v>2488</v>
      </c>
      <c r="B2489" s="11" t="n">
        <f aca="false">B2488+1</f>
        <v>47414</v>
      </c>
      <c r="C2489" s="10" t="n">
        <f aca="false">YEAR(B2489)</f>
        <v>2029</v>
      </c>
      <c r="D2489" s="10" t="n">
        <f aca="false">INT((MONTH(B2489)-1)/3)+1</f>
        <v>4</v>
      </c>
      <c r="E2489" s="10" t="n">
        <f aca="false">MONTH(B2489)</f>
        <v>10</v>
      </c>
      <c r="F2489" s="10" t="str">
        <f aca="false">CHOOSE(MOD(A2489-1,5)+1,"Центр","Юг","Север","Запад","Восток")</f>
        <v>Север</v>
      </c>
      <c r="G2489" s="10" t="str">
        <f aca="false">"Округ_"&amp;(MOD(A2489-1,5)+1)&amp;"_"&amp;(MOD(INT((A2489-1)/5),5)+1)</f>
        <v>Округ_3_3</v>
      </c>
      <c r="H2489" s="10" t="str">
        <f aca="false">"Город_"&amp;(MOD(A2489-1,5)+1)&amp;"_"&amp;(MOD(INT((A2489-1)/5),5)+1)&amp;"_"&amp;(MOD(INT((A2489-1)/25),10)+1)</f>
        <v>Город_3_3_10</v>
      </c>
      <c r="I2489" s="10" t="str">
        <f aca="false">CHOOSE(MOD(A2489-1,4)+1,"Электроника","Одежда","Продукты","Мебель")</f>
        <v>Мебель</v>
      </c>
      <c r="J2489" s="10" t="str">
        <f aca="false">CHOOSE(MOD(INT((A2489-1)/4),4)+1,CHOOSE(MOD(A2489-1,4)+1,"Смартфоны","Ноутбуки","Аксессуары","Аудио"),CHOOSE(MOD(A2489-1,4)+1,"Верхняя одежда","Спортивная","Повседневная","Обувь"),CHOOSE(MOD(A2489-1,4)+1,"Молочные","Мясные","Бакалея","Напитки"),CHOOSE(MOD(A2489-1,4)+1,"Мягкая мебель","Корпусная","Офисная","Кухонная"))</f>
        <v>Обувь</v>
      </c>
      <c r="K2489" s="12" t="n">
        <f aca="false">1000+MOD(A2489*317+A2489*A2489*7,49001)</f>
        <v>19804</v>
      </c>
      <c r="L2489" s="12" t="n">
        <f aca="false">1+MOD(A2489*131,100)</f>
        <v>29</v>
      </c>
      <c r="M2489" s="12" t="n">
        <f aca="false">INT(K2489*(0.6+MOD(A2489*43,21)/100))</f>
        <v>13862</v>
      </c>
      <c r="N2489" s="12" t="n">
        <f aca="false">K2489-M2489</f>
        <v>5942</v>
      </c>
    </row>
    <row r="2490" customFormat="false" ht="12.8" hidden="false" customHeight="false" outlineLevel="0" collapsed="false">
      <c r="A2490" s="10" t="n">
        <f aca="false">A2489+1</f>
        <v>2489</v>
      </c>
      <c r="B2490" s="11" t="n">
        <f aca="false">B2489+1</f>
        <v>47415</v>
      </c>
      <c r="C2490" s="10" t="n">
        <f aca="false">YEAR(B2490)</f>
        <v>2029</v>
      </c>
      <c r="D2490" s="10" t="n">
        <f aca="false">INT((MONTH(B2490)-1)/3)+1</f>
        <v>4</v>
      </c>
      <c r="E2490" s="10" t="n">
        <f aca="false">MONTH(B2490)</f>
        <v>10</v>
      </c>
      <c r="F2490" s="10" t="str">
        <f aca="false">CHOOSE(MOD(A2490-1,5)+1,"Центр","Юг","Север","Запад","Восток")</f>
        <v>Запад</v>
      </c>
      <c r="G2490" s="10" t="str">
        <f aca="false">"Округ_"&amp;(MOD(A2490-1,5)+1)&amp;"_"&amp;(MOD(INT((A2490-1)/5),5)+1)</f>
        <v>Округ_4_3</v>
      </c>
      <c r="H2490" s="10" t="str">
        <f aca="false">"Город_"&amp;(MOD(A2490-1,5)+1)&amp;"_"&amp;(MOD(INT((A2490-1)/5),5)+1)&amp;"_"&amp;(MOD(INT((A2490-1)/25),10)+1)</f>
        <v>Город_4_3_10</v>
      </c>
      <c r="I2490" s="10" t="str">
        <f aca="false">CHOOSE(MOD(A2490-1,4)+1,"Электроника","Одежда","Продукты","Мебель")</f>
        <v>Электроника</v>
      </c>
      <c r="J2490" s="10" t="str">
        <f aca="false">CHOOSE(MOD(INT((A2490-1)/4),4)+1,CHOOSE(MOD(A2490-1,4)+1,"Смартфоны","Ноутбуки","Аксессуары","Аудио"),CHOOSE(MOD(A2490-1,4)+1,"Верхняя одежда","Спортивная","Повседневная","Обувь"),CHOOSE(MOD(A2490-1,4)+1,"Молочные","Мясные","Бакалея","Напитки"),CHOOSE(MOD(A2490-1,4)+1,"Мягкая мебель","Корпусная","Офисная","Кухонная"))</f>
        <v>Молочные</v>
      </c>
      <c r="K2490" s="12" t="n">
        <f aca="false">1000+MOD(A2490*317+A2490*A2490*7,49001)</f>
        <v>5959</v>
      </c>
      <c r="L2490" s="12" t="n">
        <f aca="false">1+MOD(A2490*131,100)</f>
        <v>60</v>
      </c>
      <c r="M2490" s="12" t="n">
        <f aca="false">INT(K2490*(0.6+MOD(A2490*43,21)/100))</f>
        <v>4230</v>
      </c>
      <c r="N2490" s="12" t="n">
        <f aca="false">K2490-M2490</f>
        <v>1729</v>
      </c>
    </row>
    <row r="2491" customFormat="false" ht="12.8" hidden="false" customHeight="false" outlineLevel="0" collapsed="false">
      <c r="A2491" s="10" t="n">
        <f aca="false">A2490+1</f>
        <v>2490</v>
      </c>
      <c r="B2491" s="11" t="n">
        <f aca="false">B2490+1</f>
        <v>47416</v>
      </c>
      <c r="C2491" s="10" t="n">
        <f aca="false">YEAR(B2491)</f>
        <v>2029</v>
      </c>
      <c r="D2491" s="10" t="n">
        <f aca="false">INT((MONTH(B2491)-1)/3)+1</f>
        <v>4</v>
      </c>
      <c r="E2491" s="10" t="n">
        <f aca="false">MONTH(B2491)</f>
        <v>10</v>
      </c>
      <c r="F2491" s="10" t="str">
        <f aca="false">CHOOSE(MOD(A2491-1,5)+1,"Центр","Юг","Север","Запад","Восток")</f>
        <v>Восток</v>
      </c>
      <c r="G2491" s="10" t="str">
        <f aca="false">"Округ_"&amp;(MOD(A2491-1,5)+1)&amp;"_"&amp;(MOD(INT((A2491-1)/5),5)+1)</f>
        <v>Округ_5_3</v>
      </c>
      <c r="H2491" s="10" t="str">
        <f aca="false">"Город_"&amp;(MOD(A2491-1,5)+1)&amp;"_"&amp;(MOD(INT((A2491-1)/5),5)+1)&amp;"_"&amp;(MOD(INT((A2491-1)/25),10)+1)</f>
        <v>Город_5_3_10</v>
      </c>
      <c r="I2491" s="10" t="str">
        <f aca="false">CHOOSE(MOD(A2491-1,4)+1,"Электроника","Одежда","Продукты","Мебель")</f>
        <v>Одежда</v>
      </c>
      <c r="J2491" s="10" t="str">
        <f aca="false">CHOOSE(MOD(INT((A2491-1)/4),4)+1,CHOOSE(MOD(A2491-1,4)+1,"Смартфоны","Ноутбуки","Аксессуары","Аудио"),CHOOSE(MOD(A2491-1,4)+1,"Верхняя одежда","Спортивная","Повседневная","Обувь"),CHOOSE(MOD(A2491-1,4)+1,"Молочные","Мясные","Бакалея","Напитки"),CHOOSE(MOD(A2491-1,4)+1,"Мягкая мебель","Корпусная","Офисная","Кухонная"))</f>
        <v>Мясные</v>
      </c>
      <c r="K2491" s="12" t="n">
        <f aca="false">1000+MOD(A2491*317+A2491*A2491*7,49001)</f>
        <v>41129</v>
      </c>
      <c r="L2491" s="12" t="n">
        <f aca="false">1+MOD(A2491*131,100)</f>
        <v>91</v>
      </c>
      <c r="M2491" s="12" t="n">
        <f aca="false">INT(K2491*(0.6+MOD(A2491*43,21)/100))</f>
        <v>29612</v>
      </c>
      <c r="N2491" s="12" t="n">
        <f aca="false">K2491-M2491</f>
        <v>11517</v>
      </c>
    </row>
    <row r="2492" customFormat="false" ht="12.8" hidden="false" customHeight="false" outlineLevel="0" collapsed="false">
      <c r="A2492" s="10" t="n">
        <f aca="false">A2491+1</f>
        <v>2491</v>
      </c>
      <c r="B2492" s="11" t="n">
        <f aca="false">B2491+1</f>
        <v>47417</v>
      </c>
      <c r="C2492" s="10" t="n">
        <f aca="false">YEAR(B2492)</f>
        <v>2029</v>
      </c>
      <c r="D2492" s="10" t="n">
        <f aca="false">INT((MONTH(B2492)-1)/3)+1</f>
        <v>4</v>
      </c>
      <c r="E2492" s="10" t="n">
        <f aca="false">MONTH(B2492)</f>
        <v>10</v>
      </c>
      <c r="F2492" s="10" t="str">
        <f aca="false">CHOOSE(MOD(A2492-1,5)+1,"Центр","Юг","Север","Запад","Восток")</f>
        <v>Центр</v>
      </c>
      <c r="G2492" s="10" t="str">
        <f aca="false">"Округ_"&amp;(MOD(A2492-1,5)+1)&amp;"_"&amp;(MOD(INT((A2492-1)/5),5)+1)</f>
        <v>Округ_1_4</v>
      </c>
      <c r="H2492" s="10" t="str">
        <f aca="false">"Город_"&amp;(MOD(A2492-1,5)+1)&amp;"_"&amp;(MOD(INT((A2492-1)/5),5)+1)&amp;"_"&amp;(MOD(INT((A2492-1)/25),10)+1)</f>
        <v>Город_1_4_10</v>
      </c>
      <c r="I2492" s="10" t="str">
        <f aca="false">CHOOSE(MOD(A2492-1,4)+1,"Электроника","Одежда","Продукты","Мебель")</f>
        <v>Продукты</v>
      </c>
      <c r="J2492" s="10" t="str">
        <f aca="false">CHOOSE(MOD(INT((A2492-1)/4),4)+1,CHOOSE(MOD(A2492-1,4)+1,"Смартфоны","Ноутбуки","Аксессуары","Аудио"),CHOOSE(MOD(A2492-1,4)+1,"Верхняя одежда","Спортивная","Повседневная","Обувь"),CHOOSE(MOD(A2492-1,4)+1,"Молочные","Мясные","Бакалея","Напитки"),CHOOSE(MOD(A2492-1,4)+1,"Мягкая мебель","Корпусная","Офисная","Кухонная"))</f>
        <v>Бакалея</v>
      </c>
      <c r="K2492" s="12" t="n">
        <f aca="false">1000+MOD(A2492*317+A2492*A2492*7,49001)</f>
        <v>27312</v>
      </c>
      <c r="L2492" s="12" t="n">
        <f aca="false">1+MOD(A2492*131,100)</f>
        <v>22</v>
      </c>
      <c r="M2492" s="12" t="n">
        <f aca="false">INT(K2492*(0.6+MOD(A2492*43,21)/100))</f>
        <v>19937</v>
      </c>
      <c r="N2492" s="12" t="n">
        <f aca="false">K2492-M2492</f>
        <v>7375</v>
      </c>
    </row>
    <row r="2493" customFormat="false" ht="12.8" hidden="false" customHeight="false" outlineLevel="0" collapsed="false">
      <c r="A2493" s="10" t="n">
        <f aca="false">A2492+1</f>
        <v>2492</v>
      </c>
      <c r="B2493" s="11" t="n">
        <f aca="false">B2492+1</f>
        <v>47418</v>
      </c>
      <c r="C2493" s="10" t="n">
        <f aca="false">YEAR(B2493)</f>
        <v>2029</v>
      </c>
      <c r="D2493" s="10" t="n">
        <f aca="false">INT((MONTH(B2493)-1)/3)+1</f>
        <v>4</v>
      </c>
      <c r="E2493" s="10" t="n">
        <f aca="false">MONTH(B2493)</f>
        <v>10</v>
      </c>
      <c r="F2493" s="10" t="str">
        <f aca="false">CHOOSE(MOD(A2493-1,5)+1,"Центр","Юг","Север","Запад","Восток")</f>
        <v>Юг</v>
      </c>
      <c r="G2493" s="10" t="str">
        <f aca="false">"Округ_"&amp;(MOD(A2493-1,5)+1)&amp;"_"&amp;(MOD(INT((A2493-1)/5),5)+1)</f>
        <v>Округ_2_4</v>
      </c>
      <c r="H2493" s="10" t="str">
        <f aca="false">"Город_"&amp;(MOD(A2493-1,5)+1)&amp;"_"&amp;(MOD(INT((A2493-1)/5),5)+1)&amp;"_"&amp;(MOD(INT((A2493-1)/25),10)+1)</f>
        <v>Город_2_4_10</v>
      </c>
      <c r="I2493" s="10" t="str">
        <f aca="false">CHOOSE(MOD(A2493-1,4)+1,"Электроника","Одежда","Продукты","Мебель")</f>
        <v>Мебель</v>
      </c>
      <c r="J2493" s="10" t="str">
        <f aca="false">CHOOSE(MOD(INT((A2493-1)/4),4)+1,CHOOSE(MOD(A2493-1,4)+1,"Смартфоны","Ноутбуки","Аксессуары","Аудио"),CHOOSE(MOD(A2493-1,4)+1,"Верхняя одежда","Спортивная","Повседневная","Обувь"),CHOOSE(MOD(A2493-1,4)+1,"Молочные","Мясные","Бакалея","Напитки"),CHOOSE(MOD(A2493-1,4)+1,"Мягкая мебель","Корпусная","Офисная","Кухонная"))</f>
        <v>Напитки</v>
      </c>
      <c r="K2493" s="12" t="n">
        <f aca="false">1000+MOD(A2493*317+A2493*A2493*7,49001)</f>
        <v>13509</v>
      </c>
      <c r="L2493" s="12" t="n">
        <f aca="false">1+MOD(A2493*131,100)</f>
        <v>53</v>
      </c>
      <c r="M2493" s="12" t="n">
        <f aca="false">INT(K2493*(0.6+MOD(A2493*43,21)/100))</f>
        <v>9996</v>
      </c>
      <c r="N2493" s="12" t="n">
        <f aca="false">K2493-M2493</f>
        <v>3513</v>
      </c>
    </row>
    <row r="2494" customFormat="false" ht="12.8" hidden="false" customHeight="false" outlineLevel="0" collapsed="false">
      <c r="A2494" s="10" t="n">
        <f aca="false">A2493+1</f>
        <v>2493</v>
      </c>
      <c r="B2494" s="11" t="n">
        <f aca="false">B2493+1</f>
        <v>47419</v>
      </c>
      <c r="C2494" s="10" t="n">
        <f aca="false">YEAR(B2494)</f>
        <v>2029</v>
      </c>
      <c r="D2494" s="10" t="n">
        <f aca="false">INT((MONTH(B2494)-1)/3)+1</f>
        <v>4</v>
      </c>
      <c r="E2494" s="10" t="n">
        <f aca="false">MONTH(B2494)</f>
        <v>10</v>
      </c>
      <c r="F2494" s="10" t="str">
        <f aca="false">CHOOSE(MOD(A2494-1,5)+1,"Центр","Юг","Север","Запад","Восток")</f>
        <v>Север</v>
      </c>
      <c r="G2494" s="10" t="str">
        <f aca="false">"Округ_"&amp;(MOD(A2494-1,5)+1)&amp;"_"&amp;(MOD(INT((A2494-1)/5),5)+1)</f>
        <v>Округ_3_4</v>
      </c>
      <c r="H2494" s="10" t="str">
        <f aca="false">"Город_"&amp;(MOD(A2494-1,5)+1)&amp;"_"&amp;(MOD(INT((A2494-1)/5),5)+1)&amp;"_"&amp;(MOD(INT((A2494-1)/25),10)+1)</f>
        <v>Город_3_4_10</v>
      </c>
      <c r="I2494" s="10" t="str">
        <f aca="false">CHOOSE(MOD(A2494-1,4)+1,"Электроника","Одежда","Продукты","Мебель")</f>
        <v>Электроника</v>
      </c>
      <c r="J2494" s="10" t="str">
        <f aca="false">CHOOSE(MOD(INT((A2494-1)/4),4)+1,CHOOSE(MOD(A2494-1,4)+1,"Смартфоны","Ноутбуки","Аксессуары","Аудио"),CHOOSE(MOD(A2494-1,4)+1,"Верхняя одежда","Спортивная","Повседневная","Обувь"),CHOOSE(MOD(A2494-1,4)+1,"Молочные","Мясные","Бакалея","Напитки"),CHOOSE(MOD(A2494-1,4)+1,"Мягкая мебель","Корпусная","Офисная","Кухонная"))</f>
        <v>Мягкая мебель</v>
      </c>
      <c r="K2494" s="12" t="n">
        <f aca="false">1000+MOD(A2494*317+A2494*A2494*7,49001)</f>
        <v>48721</v>
      </c>
      <c r="L2494" s="12" t="n">
        <f aca="false">1+MOD(A2494*131,100)</f>
        <v>84</v>
      </c>
      <c r="M2494" s="12" t="n">
        <f aca="false">INT(K2494*(0.6+MOD(A2494*43,21)/100))</f>
        <v>36540</v>
      </c>
      <c r="N2494" s="12" t="n">
        <f aca="false">K2494-M2494</f>
        <v>12181</v>
      </c>
    </row>
    <row r="2495" customFormat="false" ht="12.8" hidden="false" customHeight="false" outlineLevel="0" collapsed="false">
      <c r="A2495" s="10" t="n">
        <f aca="false">A2494+1</f>
        <v>2494</v>
      </c>
      <c r="B2495" s="11" t="n">
        <f aca="false">B2494+1</f>
        <v>47420</v>
      </c>
      <c r="C2495" s="10" t="n">
        <f aca="false">YEAR(B2495)</f>
        <v>2029</v>
      </c>
      <c r="D2495" s="10" t="n">
        <f aca="false">INT((MONTH(B2495)-1)/3)+1</f>
        <v>4</v>
      </c>
      <c r="E2495" s="10" t="n">
        <f aca="false">MONTH(B2495)</f>
        <v>10</v>
      </c>
      <c r="F2495" s="10" t="str">
        <f aca="false">CHOOSE(MOD(A2495-1,5)+1,"Центр","Юг","Север","Запад","Восток")</f>
        <v>Запад</v>
      </c>
      <c r="G2495" s="10" t="str">
        <f aca="false">"Округ_"&amp;(MOD(A2495-1,5)+1)&amp;"_"&amp;(MOD(INT((A2495-1)/5),5)+1)</f>
        <v>Округ_4_4</v>
      </c>
      <c r="H2495" s="10" t="str">
        <f aca="false">"Город_"&amp;(MOD(A2495-1,5)+1)&amp;"_"&amp;(MOD(INT((A2495-1)/5),5)+1)&amp;"_"&amp;(MOD(INT((A2495-1)/25),10)+1)</f>
        <v>Город_4_4_10</v>
      </c>
      <c r="I2495" s="10" t="str">
        <f aca="false">CHOOSE(MOD(A2495-1,4)+1,"Электроника","Одежда","Продукты","Мебель")</f>
        <v>Одежда</v>
      </c>
      <c r="J2495" s="10" t="str">
        <f aca="false">CHOOSE(MOD(INT((A2495-1)/4),4)+1,CHOOSE(MOD(A2495-1,4)+1,"Смартфоны","Ноутбуки","Аксессуары","Аудио"),CHOOSE(MOD(A2495-1,4)+1,"Верхняя одежда","Спортивная","Повседневная","Обувь"),CHOOSE(MOD(A2495-1,4)+1,"Молочные","Мясные","Бакалея","Напитки"),CHOOSE(MOD(A2495-1,4)+1,"Мягкая мебель","Корпусная","Офисная","Кухонная"))</f>
        <v>Корпусная</v>
      </c>
      <c r="K2495" s="12" t="n">
        <f aca="false">1000+MOD(A2495*317+A2495*A2495*7,49001)</f>
        <v>34946</v>
      </c>
      <c r="L2495" s="12" t="n">
        <f aca="false">1+MOD(A2495*131,100)</f>
        <v>15</v>
      </c>
      <c r="M2495" s="12" t="n">
        <f aca="false">INT(K2495*(0.6+MOD(A2495*43,21)/100))</f>
        <v>26558</v>
      </c>
      <c r="N2495" s="12" t="n">
        <f aca="false">K2495-M2495</f>
        <v>8388</v>
      </c>
    </row>
    <row r="2496" customFormat="false" ht="12.8" hidden="false" customHeight="false" outlineLevel="0" collapsed="false">
      <c r="A2496" s="10" t="n">
        <f aca="false">A2495+1</f>
        <v>2495</v>
      </c>
      <c r="B2496" s="11" t="n">
        <f aca="false">B2495+1</f>
        <v>47421</v>
      </c>
      <c r="C2496" s="10" t="n">
        <f aca="false">YEAR(B2496)</f>
        <v>2029</v>
      </c>
      <c r="D2496" s="10" t="n">
        <f aca="false">INT((MONTH(B2496)-1)/3)+1</f>
        <v>4</v>
      </c>
      <c r="E2496" s="10" t="n">
        <f aca="false">MONTH(B2496)</f>
        <v>10</v>
      </c>
      <c r="F2496" s="10" t="str">
        <f aca="false">CHOOSE(MOD(A2496-1,5)+1,"Центр","Юг","Север","Запад","Восток")</f>
        <v>Восток</v>
      </c>
      <c r="G2496" s="10" t="str">
        <f aca="false">"Округ_"&amp;(MOD(A2496-1,5)+1)&amp;"_"&amp;(MOD(INT((A2496-1)/5),5)+1)</f>
        <v>Округ_5_4</v>
      </c>
      <c r="H2496" s="10" t="str">
        <f aca="false">"Город_"&amp;(MOD(A2496-1,5)+1)&amp;"_"&amp;(MOD(INT((A2496-1)/5),5)+1)&amp;"_"&amp;(MOD(INT((A2496-1)/25),10)+1)</f>
        <v>Город_5_4_10</v>
      </c>
      <c r="I2496" s="10" t="str">
        <f aca="false">CHOOSE(MOD(A2496-1,4)+1,"Электроника","Одежда","Продукты","Мебель")</f>
        <v>Продукты</v>
      </c>
      <c r="J2496" s="10" t="str">
        <f aca="false">CHOOSE(MOD(INT((A2496-1)/4),4)+1,CHOOSE(MOD(A2496-1,4)+1,"Смартфоны","Ноутбуки","Аксессуары","Аудио"),CHOOSE(MOD(A2496-1,4)+1,"Верхняя одежда","Спортивная","Повседневная","Обувь"),CHOOSE(MOD(A2496-1,4)+1,"Молочные","Мясные","Бакалея","Напитки"),CHOOSE(MOD(A2496-1,4)+1,"Мягкая мебель","Корпусная","Офисная","Кухонная"))</f>
        <v>Офисная</v>
      </c>
      <c r="K2496" s="12" t="n">
        <f aca="false">1000+MOD(A2496*317+A2496*A2496*7,49001)</f>
        <v>21185</v>
      </c>
      <c r="L2496" s="12" t="n">
        <f aca="false">1+MOD(A2496*131,100)</f>
        <v>46</v>
      </c>
      <c r="M2496" s="12" t="n">
        <f aca="false">INT(K2496*(0.6+MOD(A2496*43,21)/100))</f>
        <v>16312</v>
      </c>
      <c r="N2496" s="12" t="n">
        <f aca="false">K2496-M2496</f>
        <v>4873</v>
      </c>
    </row>
    <row r="2497" customFormat="false" ht="12.8" hidden="false" customHeight="false" outlineLevel="0" collapsed="false">
      <c r="A2497" s="10" t="n">
        <f aca="false">A2496+1</f>
        <v>2496</v>
      </c>
      <c r="B2497" s="11" t="n">
        <f aca="false">B2496+1</f>
        <v>47422</v>
      </c>
      <c r="C2497" s="10" t="n">
        <f aca="false">YEAR(B2497)</f>
        <v>2029</v>
      </c>
      <c r="D2497" s="10" t="n">
        <f aca="false">INT((MONTH(B2497)-1)/3)+1</f>
        <v>4</v>
      </c>
      <c r="E2497" s="10" t="n">
        <f aca="false">MONTH(B2497)</f>
        <v>10</v>
      </c>
      <c r="F2497" s="10" t="str">
        <f aca="false">CHOOSE(MOD(A2497-1,5)+1,"Центр","Юг","Север","Запад","Восток")</f>
        <v>Центр</v>
      </c>
      <c r="G2497" s="10" t="str">
        <f aca="false">"Округ_"&amp;(MOD(A2497-1,5)+1)&amp;"_"&amp;(MOD(INT((A2497-1)/5),5)+1)</f>
        <v>Округ_1_5</v>
      </c>
      <c r="H2497" s="10" t="str">
        <f aca="false">"Город_"&amp;(MOD(A2497-1,5)+1)&amp;"_"&amp;(MOD(INT((A2497-1)/5),5)+1)&amp;"_"&amp;(MOD(INT((A2497-1)/25),10)+1)</f>
        <v>Город_1_5_10</v>
      </c>
      <c r="I2497" s="10" t="str">
        <f aca="false">CHOOSE(MOD(A2497-1,4)+1,"Электроника","Одежда","Продукты","Мебель")</f>
        <v>Мебель</v>
      </c>
      <c r="J2497" s="10" t="str">
        <f aca="false">CHOOSE(MOD(INT((A2497-1)/4),4)+1,CHOOSE(MOD(A2497-1,4)+1,"Смартфоны","Ноутбуки","Аксессуары","Аудио"),CHOOSE(MOD(A2497-1,4)+1,"Верхняя одежда","Спортивная","Повседневная","Обувь"),CHOOSE(MOD(A2497-1,4)+1,"Молочные","Мясные","Бакалея","Напитки"),CHOOSE(MOD(A2497-1,4)+1,"Мягкая мебель","Корпусная","Офисная","Кухонная"))</f>
        <v>Кухонная</v>
      </c>
      <c r="K2497" s="12" t="n">
        <f aca="false">1000+MOD(A2497*317+A2497*A2497*7,49001)</f>
        <v>7438</v>
      </c>
      <c r="L2497" s="12" t="n">
        <f aca="false">1+MOD(A2497*131,100)</f>
        <v>77</v>
      </c>
      <c r="M2497" s="12" t="n">
        <f aca="false">INT(K2497*(0.6+MOD(A2497*43,21)/100))</f>
        <v>5801</v>
      </c>
      <c r="N2497" s="12" t="n">
        <f aca="false">K2497-M2497</f>
        <v>1637</v>
      </c>
    </row>
    <row r="2498" customFormat="false" ht="12.8" hidden="false" customHeight="false" outlineLevel="0" collapsed="false">
      <c r="A2498" s="10" t="n">
        <f aca="false">A2497+1</f>
        <v>2497</v>
      </c>
      <c r="B2498" s="11" t="n">
        <f aca="false">B2497+1</f>
        <v>47423</v>
      </c>
      <c r="C2498" s="10" t="n">
        <f aca="false">YEAR(B2498)</f>
        <v>2029</v>
      </c>
      <c r="D2498" s="10" t="n">
        <f aca="false">INT((MONTH(B2498)-1)/3)+1</f>
        <v>4</v>
      </c>
      <c r="E2498" s="10" t="n">
        <f aca="false">MONTH(B2498)</f>
        <v>11</v>
      </c>
      <c r="F2498" s="10" t="str">
        <f aca="false">CHOOSE(MOD(A2498-1,5)+1,"Центр","Юг","Север","Запад","Восток")</f>
        <v>Юг</v>
      </c>
      <c r="G2498" s="10" t="str">
        <f aca="false">"Округ_"&amp;(MOD(A2498-1,5)+1)&amp;"_"&amp;(MOD(INT((A2498-1)/5),5)+1)</f>
        <v>Округ_2_5</v>
      </c>
      <c r="H2498" s="10" t="str">
        <f aca="false">"Город_"&amp;(MOD(A2498-1,5)+1)&amp;"_"&amp;(MOD(INT((A2498-1)/5),5)+1)&amp;"_"&amp;(MOD(INT((A2498-1)/25),10)+1)</f>
        <v>Город_2_5_10</v>
      </c>
      <c r="I2498" s="10" t="str">
        <f aca="false">CHOOSE(MOD(A2498-1,4)+1,"Электроника","Одежда","Продукты","Мебель")</f>
        <v>Электроника</v>
      </c>
      <c r="J2498" s="10" t="str">
        <f aca="false">CHOOSE(MOD(INT((A2498-1)/4),4)+1,CHOOSE(MOD(A2498-1,4)+1,"Смартфоны","Ноутбуки","Аксессуары","Аудио"),CHOOSE(MOD(A2498-1,4)+1,"Верхняя одежда","Спортивная","Повседневная","Обувь"),CHOOSE(MOD(A2498-1,4)+1,"Молочные","Мясные","Бакалея","Напитки"),CHOOSE(MOD(A2498-1,4)+1,"Мягкая мебель","Корпусная","Офисная","Кухонная"))</f>
        <v>Смартфоны</v>
      </c>
      <c r="K2498" s="12" t="n">
        <f aca="false">1000+MOD(A2498*317+A2498*A2498*7,49001)</f>
        <v>42706</v>
      </c>
      <c r="L2498" s="12" t="n">
        <f aca="false">1+MOD(A2498*131,100)</f>
        <v>8</v>
      </c>
      <c r="M2498" s="12" t="n">
        <f aca="false">INT(K2498*(0.6+MOD(A2498*43,21)/100))</f>
        <v>33737</v>
      </c>
      <c r="N2498" s="12" t="n">
        <f aca="false">K2498-M2498</f>
        <v>8969</v>
      </c>
    </row>
    <row r="2499" customFormat="false" ht="12.8" hidden="false" customHeight="false" outlineLevel="0" collapsed="false">
      <c r="A2499" s="10" t="n">
        <f aca="false">A2498+1</f>
        <v>2498</v>
      </c>
      <c r="B2499" s="11" t="n">
        <f aca="false">B2498+1</f>
        <v>47424</v>
      </c>
      <c r="C2499" s="10" t="n">
        <f aca="false">YEAR(B2499)</f>
        <v>2029</v>
      </c>
      <c r="D2499" s="10" t="n">
        <f aca="false">INT((MONTH(B2499)-1)/3)+1</f>
        <v>4</v>
      </c>
      <c r="E2499" s="10" t="n">
        <f aca="false">MONTH(B2499)</f>
        <v>11</v>
      </c>
      <c r="F2499" s="10" t="str">
        <f aca="false">CHOOSE(MOD(A2499-1,5)+1,"Центр","Юг","Север","Запад","Восток")</f>
        <v>Север</v>
      </c>
      <c r="G2499" s="10" t="str">
        <f aca="false">"Округ_"&amp;(MOD(A2499-1,5)+1)&amp;"_"&amp;(MOD(INT((A2499-1)/5),5)+1)</f>
        <v>Округ_3_5</v>
      </c>
      <c r="H2499" s="10" t="str">
        <f aca="false">"Город_"&amp;(MOD(A2499-1,5)+1)&amp;"_"&amp;(MOD(INT((A2499-1)/5),5)+1)&amp;"_"&amp;(MOD(INT((A2499-1)/25),10)+1)</f>
        <v>Город_3_5_10</v>
      </c>
      <c r="I2499" s="10" t="str">
        <f aca="false">CHOOSE(MOD(A2499-1,4)+1,"Электроника","Одежда","Продукты","Мебель")</f>
        <v>Одежда</v>
      </c>
      <c r="J2499" s="10" t="str">
        <f aca="false">CHOOSE(MOD(INT((A2499-1)/4),4)+1,CHOOSE(MOD(A2499-1,4)+1,"Смартфоны","Ноутбуки","Аксессуары","Аудио"),CHOOSE(MOD(A2499-1,4)+1,"Верхняя одежда","Спортивная","Повседневная","Обувь"),CHOOSE(MOD(A2499-1,4)+1,"Молочные","Мясные","Бакалея","Напитки"),CHOOSE(MOD(A2499-1,4)+1,"Мягкая мебель","Корпусная","Офисная","Кухонная"))</f>
        <v>Ноутбуки</v>
      </c>
      <c r="K2499" s="12" t="n">
        <f aca="false">1000+MOD(A2499*317+A2499*A2499*7,49001)</f>
        <v>28987</v>
      </c>
      <c r="L2499" s="12" t="n">
        <f aca="false">1+MOD(A2499*131,100)</f>
        <v>39</v>
      </c>
      <c r="M2499" s="12" t="n">
        <f aca="false">INT(K2499*(0.6+MOD(A2499*43,21)/100))</f>
        <v>23189</v>
      </c>
      <c r="N2499" s="12" t="n">
        <f aca="false">K2499-M2499</f>
        <v>5798</v>
      </c>
    </row>
    <row r="2500" customFormat="false" ht="12.8" hidden="false" customHeight="false" outlineLevel="0" collapsed="false">
      <c r="A2500" s="10" t="n">
        <f aca="false">A2499+1</f>
        <v>2499</v>
      </c>
      <c r="B2500" s="11" t="n">
        <f aca="false">B2499+1</f>
        <v>47425</v>
      </c>
      <c r="C2500" s="10" t="n">
        <f aca="false">YEAR(B2500)</f>
        <v>2029</v>
      </c>
      <c r="D2500" s="10" t="n">
        <f aca="false">INT((MONTH(B2500)-1)/3)+1</f>
        <v>4</v>
      </c>
      <c r="E2500" s="10" t="n">
        <f aca="false">MONTH(B2500)</f>
        <v>11</v>
      </c>
      <c r="F2500" s="10" t="str">
        <f aca="false">CHOOSE(MOD(A2500-1,5)+1,"Центр","Юг","Север","Запад","Восток")</f>
        <v>Запад</v>
      </c>
      <c r="G2500" s="10" t="str">
        <f aca="false">"Округ_"&amp;(MOD(A2500-1,5)+1)&amp;"_"&amp;(MOD(INT((A2500-1)/5),5)+1)</f>
        <v>Округ_4_5</v>
      </c>
      <c r="H2500" s="10" t="str">
        <f aca="false">"Город_"&amp;(MOD(A2500-1,5)+1)&amp;"_"&amp;(MOD(INT((A2500-1)/5),5)+1)&amp;"_"&amp;(MOD(INT((A2500-1)/25),10)+1)</f>
        <v>Город_4_5_10</v>
      </c>
      <c r="I2500" s="10" t="str">
        <f aca="false">CHOOSE(MOD(A2500-1,4)+1,"Электроника","Одежда","Продукты","Мебель")</f>
        <v>Продукты</v>
      </c>
      <c r="J2500" s="10" t="str">
        <f aca="false">CHOOSE(MOD(INT((A2500-1)/4),4)+1,CHOOSE(MOD(A2500-1,4)+1,"Смартфоны","Ноутбуки","Аксессуары","Аудио"),CHOOSE(MOD(A2500-1,4)+1,"Верхняя одежда","Спортивная","Повседневная","Обувь"),CHOOSE(MOD(A2500-1,4)+1,"Молочные","Мясные","Бакалея","Напитки"),CHOOSE(MOD(A2500-1,4)+1,"Мягкая мебель","Корпусная","Офисная","Кухонная"))</f>
        <v>Аксессуары</v>
      </c>
      <c r="K2500" s="12" t="n">
        <f aca="false">1000+MOD(A2500*317+A2500*A2500*7,49001)</f>
        <v>15282</v>
      </c>
      <c r="L2500" s="12" t="n">
        <f aca="false">1+MOD(A2500*131,100)</f>
        <v>70</v>
      </c>
      <c r="M2500" s="12" t="n">
        <f aca="false">INT(K2500*(0.6+MOD(A2500*43,21)/100))</f>
        <v>9169</v>
      </c>
      <c r="N2500" s="12" t="n">
        <f aca="false">K2500-M2500</f>
        <v>6113</v>
      </c>
    </row>
    <row r="2501" customFormat="false" ht="12.8" hidden="false" customHeight="false" outlineLevel="0" collapsed="false">
      <c r="A2501" s="10" t="n">
        <f aca="false">A2500+1</f>
        <v>2500</v>
      </c>
      <c r="B2501" s="11" t="n">
        <f aca="false">B2500+1</f>
        <v>47426</v>
      </c>
      <c r="C2501" s="10" t="n">
        <f aca="false">YEAR(B2501)</f>
        <v>2029</v>
      </c>
      <c r="D2501" s="10" t="n">
        <f aca="false">INT((MONTH(B2501)-1)/3)+1</f>
        <v>4</v>
      </c>
      <c r="E2501" s="10" t="n">
        <f aca="false">MONTH(B2501)</f>
        <v>11</v>
      </c>
      <c r="F2501" s="10" t="str">
        <f aca="false">CHOOSE(MOD(A2501-1,5)+1,"Центр","Юг","Север","Запад","Восток")</f>
        <v>Восток</v>
      </c>
      <c r="G2501" s="10" t="str">
        <f aca="false">"Округ_"&amp;(MOD(A2501-1,5)+1)&amp;"_"&amp;(MOD(INT((A2501-1)/5),5)+1)</f>
        <v>Округ_5_5</v>
      </c>
      <c r="H2501" s="10" t="str">
        <f aca="false">"Город_"&amp;(MOD(A2501-1,5)+1)&amp;"_"&amp;(MOD(INT((A2501-1)/5),5)+1)&amp;"_"&amp;(MOD(INT((A2501-1)/25),10)+1)</f>
        <v>Город_5_5_10</v>
      </c>
      <c r="I2501" s="10" t="str">
        <f aca="false">CHOOSE(MOD(A2501-1,4)+1,"Электроника","Одежда","Продукты","Мебель")</f>
        <v>Мебель</v>
      </c>
      <c r="J2501" s="10" t="str">
        <f aca="false">CHOOSE(MOD(INT((A2501-1)/4),4)+1,CHOOSE(MOD(A2501-1,4)+1,"Смартфоны","Ноутбуки","Аксессуары","Аудио"),CHOOSE(MOD(A2501-1,4)+1,"Верхняя одежда","Спортивная","Повседневная","Обувь"),CHOOSE(MOD(A2501-1,4)+1,"Молочные","Мясные","Бакалея","Напитки"),CHOOSE(MOD(A2501-1,4)+1,"Мягкая мебель","Корпусная","Офисная","Кухонная"))</f>
        <v>Аудио</v>
      </c>
      <c r="K2501" s="12" t="n">
        <f aca="false">1000+MOD(A2501*317+A2501*A2501*7,49001)</f>
        <v>1591</v>
      </c>
      <c r="L2501" s="12" t="n">
        <f aca="false">1+MOD(A2501*131,100)</f>
        <v>1</v>
      </c>
      <c r="M2501" s="12" t="n">
        <f aca="false">INT(K2501*(0.6+MOD(A2501*43,21)/100))</f>
        <v>970</v>
      </c>
      <c r="N2501" s="12" t="n">
        <f aca="false">K2501-M2501</f>
        <v>621</v>
      </c>
    </row>
    <row r="2502" customFormat="false" ht="12.8" hidden="false" customHeight="false" outlineLevel="0" collapsed="false">
      <c r="A2502" s="10" t="n">
        <f aca="false">A2501+1</f>
        <v>2501</v>
      </c>
      <c r="B2502" s="11" t="n">
        <f aca="false">B2501+1</f>
        <v>47427</v>
      </c>
      <c r="C2502" s="10" t="n">
        <f aca="false">YEAR(B2502)</f>
        <v>2029</v>
      </c>
      <c r="D2502" s="10" t="n">
        <f aca="false">INT((MONTH(B2502)-1)/3)+1</f>
        <v>4</v>
      </c>
      <c r="E2502" s="10" t="n">
        <f aca="false">MONTH(B2502)</f>
        <v>11</v>
      </c>
      <c r="F2502" s="10" t="str">
        <f aca="false">CHOOSE(MOD(A2502-1,5)+1,"Центр","Юг","Север","Запад","Восток")</f>
        <v>Центр</v>
      </c>
      <c r="G2502" s="10" t="str">
        <f aca="false">"Округ_"&amp;(MOD(A2502-1,5)+1)&amp;"_"&amp;(MOD(INT((A2502-1)/5),5)+1)</f>
        <v>Округ_1_1</v>
      </c>
      <c r="H2502" s="10" t="str">
        <f aca="false">"Город_"&amp;(MOD(A2502-1,5)+1)&amp;"_"&amp;(MOD(INT((A2502-1)/5),5)+1)&amp;"_"&amp;(MOD(INT((A2502-1)/25),10)+1)</f>
        <v>Город_1_1_1</v>
      </c>
      <c r="I2502" s="10" t="str">
        <f aca="false">CHOOSE(MOD(A2502-1,4)+1,"Электроника","Одежда","Продукты","Мебель")</f>
        <v>Электроника</v>
      </c>
      <c r="J2502" s="10" t="str">
        <f aca="false">CHOOSE(MOD(INT((A2502-1)/4),4)+1,CHOOSE(MOD(A2502-1,4)+1,"Смартфоны","Ноутбуки","Аксессуары","Аудио"),CHOOSE(MOD(A2502-1,4)+1,"Верхняя одежда","Спортивная","Повседневная","Обувь"),CHOOSE(MOD(A2502-1,4)+1,"Молочные","Мясные","Бакалея","Напитки"),CHOOSE(MOD(A2502-1,4)+1,"Мягкая мебель","Корпусная","Офисная","Кухонная"))</f>
        <v>Верхняя одежда</v>
      </c>
      <c r="K2502" s="12" t="n">
        <f aca="false">1000+MOD(A2502*317+A2502*A2502*7,49001)</f>
        <v>36915</v>
      </c>
      <c r="L2502" s="12" t="n">
        <f aca="false">1+MOD(A2502*131,100)</f>
        <v>32</v>
      </c>
      <c r="M2502" s="12" t="n">
        <f aca="false">INT(K2502*(0.6+MOD(A2502*43,21)/100))</f>
        <v>22887</v>
      </c>
      <c r="N2502" s="12" t="n">
        <f aca="false">K2502-M2502</f>
        <v>14028</v>
      </c>
    </row>
    <row r="2503" customFormat="false" ht="12.8" hidden="false" customHeight="false" outlineLevel="0" collapsed="false">
      <c r="A2503" s="10" t="n">
        <f aca="false">A2502+1</f>
        <v>2502</v>
      </c>
      <c r="B2503" s="11" t="n">
        <f aca="false">B2502+1</f>
        <v>47428</v>
      </c>
      <c r="C2503" s="10" t="n">
        <f aca="false">YEAR(B2503)</f>
        <v>2029</v>
      </c>
      <c r="D2503" s="10" t="n">
        <f aca="false">INT((MONTH(B2503)-1)/3)+1</f>
        <v>4</v>
      </c>
      <c r="E2503" s="10" t="n">
        <f aca="false">MONTH(B2503)</f>
        <v>11</v>
      </c>
      <c r="F2503" s="10" t="str">
        <f aca="false">CHOOSE(MOD(A2503-1,5)+1,"Центр","Юг","Север","Запад","Восток")</f>
        <v>Юг</v>
      </c>
      <c r="G2503" s="10" t="str">
        <f aca="false">"Округ_"&amp;(MOD(A2503-1,5)+1)&amp;"_"&amp;(MOD(INT((A2503-1)/5),5)+1)</f>
        <v>Округ_2_1</v>
      </c>
      <c r="H2503" s="10" t="str">
        <f aca="false">"Город_"&amp;(MOD(A2503-1,5)+1)&amp;"_"&amp;(MOD(INT((A2503-1)/5),5)+1)&amp;"_"&amp;(MOD(INT((A2503-1)/25),10)+1)</f>
        <v>Город_2_1_1</v>
      </c>
      <c r="I2503" s="10" t="str">
        <f aca="false">CHOOSE(MOD(A2503-1,4)+1,"Электроника","Одежда","Продукты","Мебель")</f>
        <v>Одежда</v>
      </c>
      <c r="J2503" s="10" t="str">
        <f aca="false">CHOOSE(MOD(INT((A2503-1)/4),4)+1,CHOOSE(MOD(A2503-1,4)+1,"Смартфоны","Ноутбуки","Аксессуары","Аудио"),CHOOSE(MOD(A2503-1,4)+1,"Верхняя одежда","Спортивная","Повседневная","Обувь"),CHOOSE(MOD(A2503-1,4)+1,"Молочные","Мясные","Бакалея","Напитки"),CHOOSE(MOD(A2503-1,4)+1,"Мягкая мебель","Корпусная","Офисная","Кухонная"))</f>
        <v>Спортивная</v>
      </c>
      <c r="K2503" s="12" t="n">
        <f aca="false">1000+MOD(A2503*317+A2503*A2503*7,49001)</f>
        <v>23252</v>
      </c>
      <c r="L2503" s="12" t="n">
        <f aca="false">1+MOD(A2503*131,100)</f>
        <v>63</v>
      </c>
      <c r="M2503" s="12" t="n">
        <f aca="false">INT(K2503*(0.6+MOD(A2503*43,21)/100))</f>
        <v>14648</v>
      </c>
      <c r="N2503" s="12" t="n">
        <f aca="false">K2503-M2503</f>
        <v>8604</v>
      </c>
    </row>
    <row r="2504" customFormat="false" ht="12.8" hidden="false" customHeight="false" outlineLevel="0" collapsed="false">
      <c r="A2504" s="10" t="n">
        <f aca="false">A2503+1</f>
        <v>2503</v>
      </c>
      <c r="B2504" s="11" t="n">
        <f aca="false">B2503+1</f>
        <v>47429</v>
      </c>
      <c r="C2504" s="10" t="n">
        <f aca="false">YEAR(B2504)</f>
        <v>2029</v>
      </c>
      <c r="D2504" s="10" t="n">
        <f aca="false">INT((MONTH(B2504)-1)/3)+1</f>
        <v>4</v>
      </c>
      <c r="E2504" s="10" t="n">
        <f aca="false">MONTH(B2504)</f>
        <v>11</v>
      </c>
      <c r="F2504" s="10" t="str">
        <f aca="false">CHOOSE(MOD(A2504-1,5)+1,"Центр","Юг","Север","Запад","Восток")</f>
        <v>Север</v>
      </c>
      <c r="G2504" s="10" t="str">
        <f aca="false">"Округ_"&amp;(MOD(A2504-1,5)+1)&amp;"_"&amp;(MOD(INT((A2504-1)/5),5)+1)</f>
        <v>Округ_3_1</v>
      </c>
      <c r="H2504" s="10" t="str">
        <f aca="false">"Город_"&amp;(MOD(A2504-1,5)+1)&amp;"_"&amp;(MOD(INT((A2504-1)/5),5)+1)&amp;"_"&amp;(MOD(INT((A2504-1)/25),10)+1)</f>
        <v>Город_3_1_1</v>
      </c>
      <c r="I2504" s="10" t="str">
        <f aca="false">CHOOSE(MOD(A2504-1,4)+1,"Электроника","Одежда","Продукты","Мебель")</f>
        <v>Продукты</v>
      </c>
      <c r="J2504" s="10" t="str">
        <f aca="false">CHOOSE(MOD(INT((A2504-1)/4),4)+1,CHOOSE(MOD(A2504-1,4)+1,"Смартфоны","Ноутбуки","Аксессуары","Аудио"),CHOOSE(MOD(A2504-1,4)+1,"Верхняя одежда","Спортивная","Повседневная","Обувь"),CHOOSE(MOD(A2504-1,4)+1,"Молочные","Мясные","Бакалея","Напитки"),CHOOSE(MOD(A2504-1,4)+1,"Мягкая мебель","Корпусная","Офисная","Кухонная"))</f>
        <v>Повседневная</v>
      </c>
      <c r="K2504" s="12" t="n">
        <f aca="false">1000+MOD(A2504*317+A2504*A2504*7,49001)</f>
        <v>9603</v>
      </c>
      <c r="L2504" s="12" t="n">
        <f aca="false">1+MOD(A2504*131,100)</f>
        <v>94</v>
      </c>
      <c r="M2504" s="12" t="n">
        <f aca="false">INT(K2504*(0.6+MOD(A2504*43,21)/100))</f>
        <v>6145</v>
      </c>
      <c r="N2504" s="12" t="n">
        <f aca="false">K2504-M2504</f>
        <v>3458</v>
      </c>
    </row>
    <row r="2505" customFormat="false" ht="12.8" hidden="false" customHeight="false" outlineLevel="0" collapsed="false">
      <c r="A2505" s="10" t="n">
        <f aca="false">A2504+1</f>
        <v>2504</v>
      </c>
      <c r="B2505" s="11" t="n">
        <f aca="false">B2504+1</f>
        <v>47430</v>
      </c>
      <c r="C2505" s="10" t="n">
        <f aca="false">YEAR(B2505)</f>
        <v>2029</v>
      </c>
      <c r="D2505" s="10" t="n">
        <f aca="false">INT((MONTH(B2505)-1)/3)+1</f>
        <v>4</v>
      </c>
      <c r="E2505" s="10" t="n">
        <f aca="false">MONTH(B2505)</f>
        <v>11</v>
      </c>
      <c r="F2505" s="10" t="str">
        <f aca="false">CHOOSE(MOD(A2505-1,5)+1,"Центр","Юг","Север","Запад","Восток")</f>
        <v>Запад</v>
      </c>
      <c r="G2505" s="10" t="str">
        <f aca="false">"Округ_"&amp;(MOD(A2505-1,5)+1)&amp;"_"&amp;(MOD(INT((A2505-1)/5),5)+1)</f>
        <v>Округ_4_1</v>
      </c>
      <c r="H2505" s="10" t="str">
        <f aca="false">"Город_"&amp;(MOD(A2505-1,5)+1)&amp;"_"&amp;(MOD(INT((A2505-1)/5),5)+1)&amp;"_"&amp;(MOD(INT((A2505-1)/25),10)+1)</f>
        <v>Город_4_1_1</v>
      </c>
      <c r="I2505" s="10" t="str">
        <f aca="false">CHOOSE(MOD(A2505-1,4)+1,"Электроника","Одежда","Продукты","Мебель")</f>
        <v>Мебель</v>
      </c>
      <c r="J2505" s="10" t="str">
        <f aca="false">CHOOSE(MOD(INT((A2505-1)/4),4)+1,CHOOSE(MOD(A2505-1,4)+1,"Смартфоны","Ноутбуки","Аксессуары","Аудио"),CHOOSE(MOD(A2505-1,4)+1,"Верхняя одежда","Спортивная","Повседневная","Обувь"),CHOOSE(MOD(A2505-1,4)+1,"Молочные","Мясные","Бакалея","Напитки"),CHOOSE(MOD(A2505-1,4)+1,"Мягкая мебель","Корпусная","Офисная","Кухонная"))</f>
        <v>Обувь</v>
      </c>
      <c r="K2505" s="12" t="n">
        <f aca="false">1000+MOD(A2505*317+A2505*A2505*7,49001)</f>
        <v>44969</v>
      </c>
      <c r="L2505" s="12" t="n">
        <f aca="false">1+MOD(A2505*131,100)</f>
        <v>25</v>
      </c>
      <c r="M2505" s="12" t="n">
        <f aca="false">INT(K2505*(0.6+MOD(A2505*43,21)/100))</f>
        <v>29229</v>
      </c>
      <c r="N2505" s="12" t="n">
        <f aca="false">K2505-M2505</f>
        <v>15740</v>
      </c>
    </row>
    <row r="2506" customFormat="false" ht="12.8" hidden="false" customHeight="false" outlineLevel="0" collapsed="false">
      <c r="A2506" s="10" t="n">
        <f aca="false">A2505+1</f>
        <v>2505</v>
      </c>
      <c r="B2506" s="11" t="n">
        <f aca="false">B2505+1</f>
        <v>47431</v>
      </c>
      <c r="C2506" s="10" t="n">
        <f aca="false">YEAR(B2506)</f>
        <v>2029</v>
      </c>
      <c r="D2506" s="10" t="n">
        <f aca="false">INT((MONTH(B2506)-1)/3)+1</f>
        <v>4</v>
      </c>
      <c r="E2506" s="10" t="n">
        <f aca="false">MONTH(B2506)</f>
        <v>11</v>
      </c>
      <c r="F2506" s="10" t="str">
        <f aca="false">CHOOSE(MOD(A2506-1,5)+1,"Центр","Юг","Север","Запад","Восток")</f>
        <v>Восток</v>
      </c>
      <c r="G2506" s="10" t="str">
        <f aca="false">"Округ_"&amp;(MOD(A2506-1,5)+1)&amp;"_"&amp;(MOD(INT((A2506-1)/5),5)+1)</f>
        <v>Округ_5_1</v>
      </c>
      <c r="H2506" s="10" t="str">
        <f aca="false">"Город_"&amp;(MOD(A2506-1,5)+1)&amp;"_"&amp;(MOD(INT((A2506-1)/5),5)+1)&amp;"_"&amp;(MOD(INT((A2506-1)/25),10)+1)</f>
        <v>Город_5_1_1</v>
      </c>
      <c r="I2506" s="10" t="str">
        <f aca="false">CHOOSE(MOD(A2506-1,4)+1,"Электроника","Одежда","Продукты","Мебель")</f>
        <v>Электроника</v>
      </c>
      <c r="J2506" s="10" t="str">
        <f aca="false">CHOOSE(MOD(INT((A2506-1)/4),4)+1,CHOOSE(MOD(A2506-1,4)+1,"Смартфоны","Ноутбуки","Аксессуары","Аудио"),CHOOSE(MOD(A2506-1,4)+1,"Верхняя одежда","Спортивная","Повседневная","Обувь"),CHOOSE(MOD(A2506-1,4)+1,"Молочные","Мясные","Бакалея","Напитки"),CHOOSE(MOD(A2506-1,4)+1,"Мягкая мебель","Корпусная","Офисная","Кухонная"))</f>
        <v>Молочные</v>
      </c>
      <c r="K2506" s="12" t="n">
        <f aca="false">1000+MOD(A2506*317+A2506*A2506*7,49001)</f>
        <v>31348</v>
      </c>
      <c r="L2506" s="12" t="n">
        <f aca="false">1+MOD(A2506*131,100)</f>
        <v>56</v>
      </c>
      <c r="M2506" s="12" t="n">
        <f aca="false">INT(K2506*(0.6+MOD(A2506*43,21)/100))</f>
        <v>20689</v>
      </c>
      <c r="N2506" s="12" t="n">
        <f aca="false">K2506-M2506</f>
        <v>10659</v>
      </c>
    </row>
    <row r="2507" customFormat="false" ht="12.8" hidden="false" customHeight="false" outlineLevel="0" collapsed="false">
      <c r="A2507" s="10" t="n">
        <f aca="false">A2506+1</f>
        <v>2506</v>
      </c>
      <c r="B2507" s="11" t="n">
        <f aca="false">B2506+1</f>
        <v>47432</v>
      </c>
      <c r="C2507" s="10" t="n">
        <f aca="false">YEAR(B2507)</f>
        <v>2029</v>
      </c>
      <c r="D2507" s="10" t="n">
        <f aca="false">INT((MONTH(B2507)-1)/3)+1</f>
        <v>4</v>
      </c>
      <c r="E2507" s="10" t="n">
        <f aca="false">MONTH(B2507)</f>
        <v>11</v>
      </c>
      <c r="F2507" s="10" t="str">
        <f aca="false">CHOOSE(MOD(A2507-1,5)+1,"Центр","Юг","Север","Запад","Восток")</f>
        <v>Центр</v>
      </c>
      <c r="G2507" s="10" t="str">
        <f aca="false">"Округ_"&amp;(MOD(A2507-1,5)+1)&amp;"_"&amp;(MOD(INT((A2507-1)/5),5)+1)</f>
        <v>Округ_1_2</v>
      </c>
      <c r="H2507" s="10" t="str">
        <f aca="false">"Город_"&amp;(MOD(A2507-1,5)+1)&amp;"_"&amp;(MOD(INT((A2507-1)/5),5)+1)&amp;"_"&amp;(MOD(INT((A2507-1)/25),10)+1)</f>
        <v>Город_1_2_1</v>
      </c>
      <c r="I2507" s="10" t="str">
        <f aca="false">CHOOSE(MOD(A2507-1,4)+1,"Электроника","Одежда","Продукты","Мебель")</f>
        <v>Одежда</v>
      </c>
      <c r="J2507" s="10" t="str">
        <f aca="false">CHOOSE(MOD(INT((A2507-1)/4),4)+1,CHOOSE(MOD(A2507-1,4)+1,"Смартфоны","Ноутбуки","Аксессуары","Аудио"),CHOOSE(MOD(A2507-1,4)+1,"Верхняя одежда","Спортивная","Повседневная","Обувь"),CHOOSE(MOD(A2507-1,4)+1,"Молочные","Мясные","Бакалея","Напитки"),CHOOSE(MOD(A2507-1,4)+1,"Мягкая мебель","Корпусная","Офисная","Кухонная"))</f>
        <v>Мясные</v>
      </c>
      <c r="K2507" s="12" t="n">
        <f aca="false">1000+MOD(A2507*317+A2507*A2507*7,49001)</f>
        <v>17741</v>
      </c>
      <c r="L2507" s="12" t="n">
        <f aca="false">1+MOD(A2507*131,100)</f>
        <v>87</v>
      </c>
      <c r="M2507" s="12" t="n">
        <f aca="false">INT(K2507*(0.6+MOD(A2507*43,21)/100))</f>
        <v>11886</v>
      </c>
      <c r="N2507" s="12" t="n">
        <f aca="false">K2507-M2507</f>
        <v>5855</v>
      </c>
    </row>
    <row r="2508" customFormat="false" ht="12.8" hidden="false" customHeight="false" outlineLevel="0" collapsed="false">
      <c r="A2508" s="10" t="n">
        <f aca="false">A2507+1</f>
        <v>2507</v>
      </c>
      <c r="B2508" s="11" t="n">
        <f aca="false">B2507+1</f>
        <v>47433</v>
      </c>
      <c r="C2508" s="10" t="n">
        <f aca="false">YEAR(B2508)</f>
        <v>2029</v>
      </c>
      <c r="D2508" s="10" t="n">
        <f aca="false">INT((MONTH(B2508)-1)/3)+1</f>
        <v>4</v>
      </c>
      <c r="E2508" s="10" t="n">
        <f aca="false">MONTH(B2508)</f>
        <v>11</v>
      </c>
      <c r="F2508" s="10" t="str">
        <f aca="false">CHOOSE(MOD(A2508-1,5)+1,"Центр","Юг","Север","Запад","Восток")</f>
        <v>Юг</v>
      </c>
      <c r="G2508" s="10" t="str">
        <f aca="false">"Округ_"&amp;(MOD(A2508-1,5)+1)&amp;"_"&amp;(MOD(INT((A2508-1)/5),5)+1)</f>
        <v>Округ_2_2</v>
      </c>
      <c r="H2508" s="10" t="str">
        <f aca="false">"Город_"&amp;(MOD(A2508-1,5)+1)&amp;"_"&amp;(MOD(INT((A2508-1)/5),5)+1)&amp;"_"&amp;(MOD(INT((A2508-1)/25),10)+1)</f>
        <v>Город_2_2_1</v>
      </c>
      <c r="I2508" s="10" t="str">
        <f aca="false">CHOOSE(MOD(A2508-1,4)+1,"Электроника","Одежда","Продукты","Мебель")</f>
        <v>Продукты</v>
      </c>
      <c r="J2508" s="10" t="str">
        <f aca="false">CHOOSE(MOD(INT((A2508-1)/4),4)+1,CHOOSE(MOD(A2508-1,4)+1,"Смартфоны","Ноутбуки","Аксессуары","Аудио"),CHOOSE(MOD(A2508-1,4)+1,"Верхняя одежда","Спортивная","Повседневная","Обувь"),CHOOSE(MOD(A2508-1,4)+1,"Молочные","Мясные","Бакалея","Напитки"),CHOOSE(MOD(A2508-1,4)+1,"Мягкая мебель","Корпусная","Офисная","Кухонная"))</f>
        <v>Бакалея</v>
      </c>
      <c r="K2508" s="12" t="n">
        <f aca="false">1000+MOD(A2508*317+A2508*A2508*7,49001)</f>
        <v>4148</v>
      </c>
      <c r="L2508" s="12" t="n">
        <f aca="false">1+MOD(A2508*131,100)</f>
        <v>18</v>
      </c>
      <c r="M2508" s="12" t="n">
        <f aca="false">INT(K2508*(0.6+MOD(A2508*43,21)/100))</f>
        <v>2820</v>
      </c>
      <c r="N2508" s="12" t="n">
        <f aca="false">K2508-M2508</f>
        <v>1328</v>
      </c>
    </row>
    <row r="2509" customFormat="false" ht="12.8" hidden="false" customHeight="false" outlineLevel="0" collapsed="false">
      <c r="A2509" s="10" t="n">
        <f aca="false">A2508+1</f>
        <v>2508</v>
      </c>
      <c r="B2509" s="11" t="n">
        <f aca="false">B2508+1</f>
        <v>47434</v>
      </c>
      <c r="C2509" s="10" t="n">
        <f aca="false">YEAR(B2509)</f>
        <v>2029</v>
      </c>
      <c r="D2509" s="10" t="n">
        <f aca="false">INT((MONTH(B2509)-1)/3)+1</f>
        <v>4</v>
      </c>
      <c r="E2509" s="10" t="n">
        <f aca="false">MONTH(B2509)</f>
        <v>11</v>
      </c>
      <c r="F2509" s="10" t="str">
        <f aca="false">CHOOSE(MOD(A2509-1,5)+1,"Центр","Юг","Север","Запад","Восток")</f>
        <v>Север</v>
      </c>
      <c r="G2509" s="10" t="str">
        <f aca="false">"Округ_"&amp;(MOD(A2509-1,5)+1)&amp;"_"&amp;(MOD(INT((A2509-1)/5),5)+1)</f>
        <v>Округ_3_2</v>
      </c>
      <c r="H2509" s="10" t="str">
        <f aca="false">"Город_"&amp;(MOD(A2509-1,5)+1)&amp;"_"&amp;(MOD(INT((A2509-1)/5),5)+1)&amp;"_"&amp;(MOD(INT((A2509-1)/25),10)+1)</f>
        <v>Город_3_2_1</v>
      </c>
      <c r="I2509" s="10" t="str">
        <f aca="false">CHOOSE(MOD(A2509-1,4)+1,"Электроника","Одежда","Продукты","Мебель")</f>
        <v>Мебель</v>
      </c>
      <c r="J2509" s="10" t="str">
        <f aca="false">CHOOSE(MOD(INT((A2509-1)/4),4)+1,CHOOSE(MOD(A2509-1,4)+1,"Смартфоны","Ноутбуки","Аксессуары","Аудио"),CHOOSE(MOD(A2509-1,4)+1,"Верхняя одежда","Спортивная","Повседневная","Обувь"),CHOOSE(MOD(A2509-1,4)+1,"Молочные","Мясные","Бакалея","Напитки"),CHOOSE(MOD(A2509-1,4)+1,"Мягкая мебель","Корпусная","Офисная","Кухонная"))</f>
        <v>Напитки</v>
      </c>
      <c r="K2509" s="12" t="n">
        <f aca="false">1000+MOD(A2509*317+A2509*A2509*7,49001)</f>
        <v>39570</v>
      </c>
      <c r="L2509" s="12" t="n">
        <f aca="false">1+MOD(A2509*131,100)</f>
        <v>49</v>
      </c>
      <c r="M2509" s="12" t="n">
        <f aca="false">INT(K2509*(0.6+MOD(A2509*43,21)/100))</f>
        <v>27303</v>
      </c>
      <c r="N2509" s="12" t="n">
        <f aca="false">K2509-M2509</f>
        <v>12267</v>
      </c>
    </row>
    <row r="2510" customFormat="false" ht="12.8" hidden="false" customHeight="false" outlineLevel="0" collapsed="false">
      <c r="A2510" s="10" t="n">
        <f aca="false">A2509+1</f>
        <v>2509</v>
      </c>
      <c r="B2510" s="11" t="n">
        <f aca="false">B2509+1</f>
        <v>47435</v>
      </c>
      <c r="C2510" s="10" t="n">
        <f aca="false">YEAR(B2510)</f>
        <v>2029</v>
      </c>
      <c r="D2510" s="10" t="n">
        <f aca="false">INT((MONTH(B2510)-1)/3)+1</f>
        <v>4</v>
      </c>
      <c r="E2510" s="10" t="n">
        <f aca="false">MONTH(B2510)</f>
        <v>11</v>
      </c>
      <c r="F2510" s="10" t="str">
        <f aca="false">CHOOSE(MOD(A2510-1,5)+1,"Центр","Юг","Север","Запад","Восток")</f>
        <v>Запад</v>
      </c>
      <c r="G2510" s="10" t="str">
        <f aca="false">"Округ_"&amp;(MOD(A2510-1,5)+1)&amp;"_"&amp;(MOD(INT((A2510-1)/5),5)+1)</f>
        <v>Округ_4_2</v>
      </c>
      <c r="H2510" s="10" t="str">
        <f aca="false">"Город_"&amp;(MOD(A2510-1,5)+1)&amp;"_"&amp;(MOD(INT((A2510-1)/5),5)+1)&amp;"_"&amp;(MOD(INT((A2510-1)/25),10)+1)</f>
        <v>Город_4_2_1</v>
      </c>
      <c r="I2510" s="10" t="str">
        <f aca="false">CHOOSE(MOD(A2510-1,4)+1,"Электроника","Одежда","Продукты","Мебель")</f>
        <v>Электроника</v>
      </c>
      <c r="J2510" s="10" t="str">
        <f aca="false">CHOOSE(MOD(INT((A2510-1)/4),4)+1,CHOOSE(MOD(A2510-1,4)+1,"Смартфоны","Ноутбуки","Аксессуары","Аудио"),CHOOSE(MOD(A2510-1,4)+1,"Верхняя одежда","Спортивная","Повседневная","Обувь"),CHOOSE(MOD(A2510-1,4)+1,"Молочные","Мясные","Бакалея","Напитки"),CHOOSE(MOD(A2510-1,4)+1,"Мягкая мебель","Корпусная","Офисная","Кухонная"))</f>
        <v>Мягкая мебель</v>
      </c>
      <c r="K2510" s="12" t="n">
        <f aca="false">1000+MOD(A2510*317+A2510*A2510*7,49001)</f>
        <v>26005</v>
      </c>
      <c r="L2510" s="12" t="n">
        <f aca="false">1+MOD(A2510*131,100)</f>
        <v>80</v>
      </c>
      <c r="M2510" s="12" t="n">
        <f aca="false">INT(K2510*(0.6+MOD(A2510*43,21)/100))</f>
        <v>18203</v>
      </c>
      <c r="N2510" s="12" t="n">
        <f aca="false">K2510-M2510</f>
        <v>7802</v>
      </c>
    </row>
    <row r="2511" customFormat="false" ht="12.8" hidden="false" customHeight="false" outlineLevel="0" collapsed="false">
      <c r="A2511" s="10" t="n">
        <f aca="false">A2510+1</f>
        <v>2510</v>
      </c>
      <c r="B2511" s="11" t="n">
        <f aca="false">B2510+1</f>
        <v>47436</v>
      </c>
      <c r="C2511" s="10" t="n">
        <f aca="false">YEAR(B2511)</f>
        <v>2029</v>
      </c>
      <c r="D2511" s="10" t="n">
        <f aca="false">INT((MONTH(B2511)-1)/3)+1</f>
        <v>4</v>
      </c>
      <c r="E2511" s="10" t="n">
        <f aca="false">MONTH(B2511)</f>
        <v>11</v>
      </c>
      <c r="F2511" s="10" t="str">
        <f aca="false">CHOOSE(MOD(A2511-1,5)+1,"Центр","Юг","Север","Запад","Восток")</f>
        <v>Восток</v>
      </c>
      <c r="G2511" s="10" t="str">
        <f aca="false">"Округ_"&amp;(MOD(A2511-1,5)+1)&amp;"_"&amp;(MOD(INT((A2511-1)/5),5)+1)</f>
        <v>Округ_5_2</v>
      </c>
      <c r="H2511" s="10" t="str">
        <f aca="false">"Город_"&amp;(MOD(A2511-1,5)+1)&amp;"_"&amp;(MOD(INT((A2511-1)/5),5)+1)&amp;"_"&amp;(MOD(INT((A2511-1)/25),10)+1)</f>
        <v>Город_5_2_1</v>
      </c>
      <c r="I2511" s="10" t="str">
        <f aca="false">CHOOSE(MOD(A2511-1,4)+1,"Электроника","Одежда","Продукты","Мебель")</f>
        <v>Одежда</v>
      </c>
      <c r="J2511" s="10" t="str">
        <f aca="false">CHOOSE(MOD(INT((A2511-1)/4),4)+1,CHOOSE(MOD(A2511-1,4)+1,"Смартфоны","Ноутбуки","Аксессуары","Аудио"),CHOOSE(MOD(A2511-1,4)+1,"Верхняя одежда","Спортивная","Повседневная","Обувь"),CHOOSE(MOD(A2511-1,4)+1,"Молочные","Мясные","Бакалея","Напитки"),CHOOSE(MOD(A2511-1,4)+1,"Мягкая мебель","Корпусная","Офисная","Кухонная"))</f>
        <v>Корпусная</v>
      </c>
      <c r="K2511" s="12" t="n">
        <f aca="false">1000+MOD(A2511*317+A2511*A2511*7,49001)</f>
        <v>12454</v>
      </c>
      <c r="L2511" s="12" t="n">
        <f aca="false">1+MOD(A2511*131,100)</f>
        <v>11</v>
      </c>
      <c r="M2511" s="12" t="n">
        <f aca="false">INT(K2511*(0.6+MOD(A2511*43,21)/100))</f>
        <v>8842</v>
      </c>
      <c r="N2511" s="12" t="n">
        <f aca="false">K2511-M2511</f>
        <v>3612</v>
      </c>
    </row>
    <row r="2512" customFormat="false" ht="12.8" hidden="false" customHeight="false" outlineLevel="0" collapsed="false">
      <c r="A2512" s="10" t="n">
        <f aca="false">A2511+1</f>
        <v>2511</v>
      </c>
      <c r="B2512" s="11" t="n">
        <f aca="false">B2511+1</f>
        <v>47437</v>
      </c>
      <c r="C2512" s="10" t="n">
        <f aca="false">YEAR(B2512)</f>
        <v>2029</v>
      </c>
      <c r="D2512" s="10" t="n">
        <f aca="false">INT((MONTH(B2512)-1)/3)+1</f>
        <v>4</v>
      </c>
      <c r="E2512" s="10" t="n">
        <f aca="false">MONTH(B2512)</f>
        <v>11</v>
      </c>
      <c r="F2512" s="10" t="str">
        <f aca="false">CHOOSE(MOD(A2512-1,5)+1,"Центр","Юг","Север","Запад","Восток")</f>
        <v>Центр</v>
      </c>
      <c r="G2512" s="10" t="str">
        <f aca="false">"Округ_"&amp;(MOD(A2512-1,5)+1)&amp;"_"&amp;(MOD(INT((A2512-1)/5),5)+1)</f>
        <v>Округ_1_3</v>
      </c>
      <c r="H2512" s="10" t="str">
        <f aca="false">"Город_"&amp;(MOD(A2512-1,5)+1)&amp;"_"&amp;(MOD(INT((A2512-1)/5),5)+1)&amp;"_"&amp;(MOD(INT((A2512-1)/25),10)+1)</f>
        <v>Город_1_3_1</v>
      </c>
      <c r="I2512" s="10" t="str">
        <f aca="false">CHOOSE(MOD(A2512-1,4)+1,"Электроника","Одежда","Продукты","Мебель")</f>
        <v>Продукты</v>
      </c>
      <c r="J2512" s="10" t="str">
        <f aca="false">CHOOSE(MOD(INT((A2512-1)/4),4)+1,CHOOSE(MOD(A2512-1,4)+1,"Смартфоны","Ноутбуки","Аксессуары","Аудио"),CHOOSE(MOD(A2512-1,4)+1,"Верхняя одежда","Спортивная","Повседневная","Обувь"),CHOOSE(MOD(A2512-1,4)+1,"Молочные","Мясные","Бакалея","Напитки"),CHOOSE(MOD(A2512-1,4)+1,"Мягкая мебель","Корпусная","Офисная","Кухонная"))</f>
        <v>Офисная</v>
      </c>
      <c r="K2512" s="12" t="n">
        <f aca="false">1000+MOD(A2512*317+A2512*A2512*7,49001)</f>
        <v>47918</v>
      </c>
      <c r="L2512" s="12" t="n">
        <f aca="false">1+MOD(A2512*131,100)</f>
        <v>42</v>
      </c>
      <c r="M2512" s="12" t="n">
        <f aca="false">INT(K2512*(0.6+MOD(A2512*43,21)/100))</f>
        <v>34500</v>
      </c>
      <c r="N2512" s="12" t="n">
        <f aca="false">K2512-M2512</f>
        <v>13418</v>
      </c>
    </row>
    <row r="2513" customFormat="false" ht="12.8" hidden="false" customHeight="false" outlineLevel="0" collapsed="false">
      <c r="A2513" s="10" t="n">
        <f aca="false">A2512+1</f>
        <v>2512</v>
      </c>
      <c r="B2513" s="11" t="n">
        <f aca="false">B2512+1</f>
        <v>47438</v>
      </c>
      <c r="C2513" s="10" t="n">
        <f aca="false">YEAR(B2513)</f>
        <v>2029</v>
      </c>
      <c r="D2513" s="10" t="n">
        <f aca="false">INT((MONTH(B2513)-1)/3)+1</f>
        <v>4</v>
      </c>
      <c r="E2513" s="10" t="n">
        <f aca="false">MONTH(B2513)</f>
        <v>11</v>
      </c>
      <c r="F2513" s="10" t="str">
        <f aca="false">CHOOSE(MOD(A2513-1,5)+1,"Центр","Юг","Север","Запад","Восток")</f>
        <v>Юг</v>
      </c>
      <c r="G2513" s="10" t="str">
        <f aca="false">"Округ_"&amp;(MOD(A2513-1,5)+1)&amp;"_"&amp;(MOD(INT((A2513-1)/5),5)+1)</f>
        <v>Округ_2_3</v>
      </c>
      <c r="H2513" s="10" t="str">
        <f aca="false">"Город_"&amp;(MOD(A2513-1,5)+1)&amp;"_"&amp;(MOD(INT((A2513-1)/5),5)+1)&amp;"_"&amp;(MOD(INT((A2513-1)/25),10)+1)</f>
        <v>Город_2_3_1</v>
      </c>
      <c r="I2513" s="10" t="str">
        <f aca="false">CHOOSE(MOD(A2513-1,4)+1,"Электроника","Одежда","Продукты","Мебель")</f>
        <v>Мебель</v>
      </c>
      <c r="J2513" s="10" t="str">
        <f aca="false">CHOOSE(MOD(INT((A2513-1)/4),4)+1,CHOOSE(MOD(A2513-1,4)+1,"Смартфоны","Ноутбуки","Аксессуары","Аудио"),CHOOSE(MOD(A2513-1,4)+1,"Верхняя одежда","Спортивная","Повседневная","Обувь"),CHOOSE(MOD(A2513-1,4)+1,"Молочные","Мясные","Бакалея","Напитки"),CHOOSE(MOD(A2513-1,4)+1,"Мягкая мебель","Корпусная","Офисная","Кухонная"))</f>
        <v>Кухонная</v>
      </c>
      <c r="K2513" s="12" t="n">
        <f aca="false">1000+MOD(A2513*317+A2513*A2513*7,49001)</f>
        <v>34395</v>
      </c>
      <c r="L2513" s="12" t="n">
        <f aca="false">1+MOD(A2513*131,100)</f>
        <v>73</v>
      </c>
      <c r="M2513" s="12" t="n">
        <f aca="false">INT(K2513*(0.6+MOD(A2513*43,21)/100))</f>
        <v>25108</v>
      </c>
      <c r="N2513" s="12" t="n">
        <f aca="false">K2513-M2513</f>
        <v>9287</v>
      </c>
    </row>
    <row r="2514" customFormat="false" ht="12.8" hidden="false" customHeight="false" outlineLevel="0" collapsed="false">
      <c r="A2514" s="10" t="n">
        <f aca="false">A2513+1</f>
        <v>2513</v>
      </c>
      <c r="B2514" s="11" t="n">
        <f aca="false">B2513+1</f>
        <v>47439</v>
      </c>
      <c r="C2514" s="10" t="n">
        <f aca="false">YEAR(B2514)</f>
        <v>2029</v>
      </c>
      <c r="D2514" s="10" t="n">
        <f aca="false">INT((MONTH(B2514)-1)/3)+1</f>
        <v>4</v>
      </c>
      <c r="E2514" s="10" t="n">
        <f aca="false">MONTH(B2514)</f>
        <v>11</v>
      </c>
      <c r="F2514" s="10" t="str">
        <f aca="false">CHOOSE(MOD(A2514-1,5)+1,"Центр","Юг","Север","Запад","Восток")</f>
        <v>Север</v>
      </c>
      <c r="G2514" s="10" t="str">
        <f aca="false">"Округ_"&amp;(MOD(A2514-1,5)+1)&amp;"_"&amp;(MOD(INT((A2514-1)/5),5)+1)</f>
        <v>Округ_3_3</v>
      </c>
      <c r="H2514" s="10" t="str">
        <f aca="false">"Город_"&amp;(MOD(A2514-1,5)+1)&amp;"_"&amp;(MOD(INT((A2514-1)/5),5)+1)&amp;"_"&amp;(MOD(INT((A2514-1)/25),10)+1)</f>
        <v>Город_3_3_1</v>
      </c>
      <c r="I2514" s="10" t="str">
        <f aca="false">CHOOSE(MOD(A2514-1,4)+1,"Электроника","Одежда","Продукты","Мебель")</f>
        <v>Электроника</v>
      </c>
      <c r="J2514" s="10" t="str">
        <f aca="false">CHOOSE(MOD(INT((A2514-1)/4),4)+1,CHOOSE(MOD(A2514-1,4)+1,"Смартфоны","Ноутбуки","Аксессуары","Аудио"),CHOOSE(MOD(A2514-1,4)+1,"Верхняя одежда","Спортивная","Повседневная","Обувь"),CHOOSE(MOD(A2514-1,4)+1,"Молочные","Мясные","Бакалея","Напитки"),CHOOSE(MOD(A2514-1,4)+1,"Мягкая мебель","Корпусная","Офисная","Кухонная"))</f>
        <v>Смартфоны</v>
      </c>
      <c r="K2514" s="12" t="n">
        <f aca="false">1000+MOD(A2514*317+A2514*A2514*7,49001)</f>
        <v>20886</v>
      </c>
      <c r="L2514" s="12" t="n">
        <f aca="false">1+MOD(A2514*131,100)</f>
        <v>4</v>
      </c>
      <c r="M2514" s="12" t="n">
        <f aca="false">INT(K2514*(0.6+MOD(A2514*43,21)/100))</f>
        <v>15455</v>
      </c>
      <c r="N2514" s="12" t="n">
        <f aca="false">K2514-M2514</f>
        <v>5431</v>
      </c>
    </row>
    <row r="2515" customFormat="false" ht="12.8" hidden="false" customHeight="false" outlineLevel="0" collapsed="false">
      <c r="A2515" s="10" t="n">
        <f aca="false">A2514+1</f>
        <v>2514</v>
      </c>
      <c r="B2515" s="11" t="n">
        <f aca="false">B2514+1</f>
        <v>47440</v>
      </c>
      <c r="C2515" s="10" t="n">
        <f aca="false">YEAR(B2515)</f>
        <v>2029</v>
      </c>
      <c r="D2515" s="10" t="n">
        <f aca="false">INT((MONTH(B2515)-1)/3)+1</f>
        <v>4</v>
      </c>
      <c r="E2515" s="10" t="n">
        <f aca="false">MONTH(B2515)</f>
        <v>11</v>
      </c>
      <c r="F2515" s="10" t="str">
        <f aca="false">CHOOSE(MOD(A2515-1,5)+1,"Центр","Юг","Север","Запад","Восток")</f>
        <v>Запад</v>
      </c>
      <c r="G2515" s="10" t="str">
        <f aca="false">"Округ_"&amp;(MOD(A2515-1,5)+1)&amp;"_"&amp;(MOD(INT((A2515-1)/5),5)+1)</f>
        <v>Округ_4_3</v>
      </c>
      <c r="H2515" s="10" t="str">
        <f aca="false">"Город_"&amp;(MOD(A2515-1,5)+1)&amp;"_"&amp;(MOD(INT((A2515-1)/5),5)+1)&amp;"_"&amp;(MOD(INT((A2515-1)/25),10)+1)</f>
        <v>Город_4_3_1</v>
      </c>
      <c r="I2515" s="10" t="str">
        <f aca="false">CHOOSE(MOD(A2515-1,4)+1,"Электроника","Одежда","Продукты","Мебель")</f>
        <v>Одежда</v>
      </c>
      <c r="J2515" s="10" t="str">
        <f aca="false">CHOOSE(MOD(INT((A2515-1)/4),4)+1,CHOOSE(MOD(A2515-1,4)+1,"Смартфоны","Ноутбуки","Аксессуары","Аудио"),CHOOSE(MOD(A2515-1,4)+1,"Верхняя одежда","Спортивная","Повседневная","Обувь"),CHOOSE(MOD(A2515-1,4)+1,"Молочные","Мясные","Бакалея","Напитки"),CHOOSE(MOD(A2515-1,4)+1,"Мягкая мебель","Корпусная","Офисная","Кухонная"))</f>
        <v>Ноутбуки</v>
      </c>
      <c r="K2515" s="12" t="n">
        <f aca="false">1000+MOD(A2515*317+A2515*A2515*7,49001)</f>
        <v>7391</v>
      </c>
      <c r="L2515" s="12" t="n">
        <f aca="false">1+MOD(A2515*131,100)</f>
        <v>35</v>
      </c>
      <c r="M2515" s="12" t="n">
        <f aca="false">INT(K2515*(0.6+MOD(A2515*43,21)/100))</f>
        <v>5543</v>
      </c>
      <c r="N2515" s="12" t="n">
        <f aca="false">K2515-M2515</f>
        <v>1848</v>
      </c>
    </row>
    <row r="2516" customFormat="false" ht="12.8" hidden="false" customHeight="false" outlineLevel="0" collapsed="false">
      <c r="A2516" s="10" t="n">
        <f aca="false">A2515+1</f>
        <v>2515</v>
      </c>
      <c r="B2516" s="11" t="n">
        <f aca="false">B2515+1</f>
        <v>47441</v>
      </c>
      <c r="C2516" s="10" t="n">
        <f aca="false">YEAR(B2516)</f>
        <v>2029</v>
      </c>
      <c r="D2516" s="10" t="n">
        <f aca="false">INT((MONTH(B2516)-1)/3)+1</f>
        <v>4</v>
      </c>
      <c r="E2516" s="10" t="n">
        <f aca="false">MONTH(B2516)</f>
        <v>11</v>
      </c>
      <c r="F2516" s="10" t="str">
        <f aca="false">CHOOSE(MOD(A2516-1,5)+1,"Центр","Юг","Север","Запад","Восток")</f>
        <v>Восток</v>
      </c>
      <c r="G2516" s="10" t="str">
        <f aca="false">"Округ_"&amp;(MOD(A2516-1,5)+1)&amp;"_"&amp;(MOD(INT((A2516-1)/5),5)+1)</f>
        <v>Округ_5_3</v>
      </c>
      <c r="H2516" s="10" t="str">
        <f aca="false">"Город_"&amp;(MOD(A2516-1,5)+1)&amp;"_"&amp;(MOD(INT((A2516-1)/5),5)+1)&amp;"_"&amp;(MOD(INT((A2516-1)/25),10)+1)</f>
        <v>Город_5_3_1</v>
      </c>
      <c r="I2516" s="10" t="str">
        <f aca="false">CHOOSE(MOD(A2516-1,4)+1,"Электроника","Одежда","Продукты","Мебель")</f>
        <v>Продукты</v>
      </c>
      <c r="J2516" s="10" t="str">
        <f aca="false">CHOOSE(MOD(INT((A2516-1)/4),4)+1,CHOOSE(MOD(A2516-1,4)+1,"Смартфоны","Ноутбуки","Аксессуары","Аудио"),CHOOSE(MOD(A2516-1,4)+1,"Верхняя одежда","Спортивная","Повседневная","Обувь"),CHOOSE(MOD(A2516-1,4)+1,"Молочные","Мясные","Бакалея","Напитки"),CHOOSE(MOD(A2516-1,4)+1,"Мягкая мебель","Корпусная","Офисная","Кухонная"))</f>
        <v>Аксессуары</v>
      </c>
      <c r="K2516" s="12" t="n">
        <f aca="false">1000+MOD(A2516*317+A2516*A2516*7,49001)</f>
        <v>42911</v>
      </c>
      <c r="L2516" s="12" t="n">
        <f aca="false">1+MOD(A2516*131,100)</f>
        <v>66</v>
      </c>
      <c r="M2516" s="12" t="n">
        <f aca="false">INT(K2516*(0.6+MOD(A2516*43,21)/100))</f>
        <v>32612</v>
      </c>
      <c r="N2516" s="12" t="n">
        <f aca="false">K2516-M2516</f>
        <v>10299</v>
      </c>
    </row>
    <row r="2517" customFormat="false" ht="12.8" hidden="false" customHeight="false" outlineLevel="0" collapsed="false">
      <c r="A2517" s="10" t="n">
        <f aca="false">A2516+1</f>
        <v>2516</v>
      </c>
      <c r="B2517" s="11" t="n">
        <f aca="false">B2516+1</f>
        <v>47442</v>
      </c>
      <c r="C2517" s="10" t="n">
        <f aca="false">YEAR(B2517)</f>
        <v>2029</v>
      </c>
      <c r="D2517" s="10" t="n">
        <f aca="false">INT((MONTH(B2517)-1)/3)+1</f>
        <v>4</v>
      </c>
      <c r="E2517" s="10" t="n">
        <f aca="false">MONTH(B2517)</f>
        <v>11</v>
      </c>
      <c r="F2517" s="10" t="str">
        <f aca="false">CHOOSE(MOD(A2517-1,5)+1,"Центр","Юг","Север","Запад","Восток")</f>
        <v>Центр</v>
      </c>
      <c r="G2517" s="10" t="str">
        <f aca="false">"Округ_"&amp;(MOD(A2517-1,5)+1)&amp;"_"&amp;(MOD(INT((A2517-1)/5),5)+1)</f>
        <v>Округ_1_4</v>
      </c>
      <c r="H2517" s="10" t="str">
        <f aca="false">"Город_"&amp;(MOD(A2517-1,5)+1)&amp;"_"&amp;(MOD(INT((A2517-1)/5),5)+1)&amp;"_"&amp;(MOD(INT((A2517-1)/25),10)+1)</f>
        <v>Город_1_4_1</v>
      </c>
      <c r="I2517" s="10" t="str">
        <f aca="false">CHOOSE(MOD(A2517-1,4)+1,"Электроника","Одежда","Продукты","Мебель")</f>
        <v>Мебель</v>
      </c>
      <c r="J2517" s="10" t="str">
        <f aca="false">CHOOSE(MOD(INT((A2517-1)/4),4)+1,CHOOSE(MOD(A2517-1,4)+1,"Смартфоны","Ноутбуки","Аксессуары","Аудио"),CHOOSE(MOD(A2517-1,4)+1,"Верхняя одежда","Спортивная","Повседневная","Обувь"),CHOOSE(MOD(A2517-1,4)+1,"Молочные","Мясные","Бакалея","Напитки"),CHOOSE(MOD(A2517-1,4)+1,"Мягкая мебель","Корпусная","Офисная","Кухонная"))</f>
        <v>Аудио</v>
      </c>
      <c r="K2517" s="12" t="n">
        <f aca="false">1000+MOD(A2517*317+A2517*A2517*7,49001)</f>
        <v>29444</v>
      </c>
      <c r="L2517" s="12" t="n">
        <f aca="false">1+MOD(A2517*131,100)</f>
        <v>97</v>
      </c>
      <c r="M2517" s="12" t="n">
        <f aca="false">INT(K2517*(0.6+MOD(A2517*43,21)/100))</f>
        <v>22671</v>
      </c>
      <c r="N2517" s="12" t="n">
        <f aca="false">K2517-M2517</f>
        <v>6773</v>
      </c>
    </row>
    <row r="2518" customFormat="false" ht="12.8" hidden="false" customHeight="false" outlineLevel="0" collapsed="false">
      <c r="A2518" s="10" t="n">
        <f aca="false">A2517+1</f>
        <v>2517</v>
      </c>
      <c r="B2518" s="11" t="n">
        <f aca="false">B2517+1</f>
        <v>47443</v>
      </c>
      <c r="C2518" s="10" t="n">
        <f aca="false">YEAR(B2518)</f>
        <v>2029</v>
      </c>
      <c r="D2518" s="10" t="n">
        <f aca="false">INT((MONTH(B2518)-1)/3)+1</f>
        <v>4</v>
      </c>
      <c r="E2518" s="10" t="n">
        <f aca="false">MONTH(B2518)</f>
        <v>11</v>
      </c>
      <c r="F2518" s="10" t="str">
        <f aca="false">CHOOSE(MOD(A2518-1,5)+1,"Центр","Юг","Север","Запад","Восток")</f>
        <v>Юг</v>
      </c>
      <c r="G2518" s="10" t="str">
        <f aca="false">"Округ_"&amp;(MOD(A2518-1,5)+1)&amp;"_"&amp;(MOD(INT((A2518-1)/5),5)+1)</f>
        <v>Округ_2_4</v>
      </c>
      <c r="H2518" s="10" t="str">
        <f aca="false">"Город_"&amp;(MOD(A2518-1,5)+1)&amp;"_"&amp;(MOD(INT((A2518-1)/5),5)+1)&amp;"_"&amp;(MOD(INT((A2518-1)/25),10)+1)</f>
        <v>Город_2_4_1</v>
      </c>
      <c r="I2518" s="10" t="str">
        <f aca="false">CHOOSE(MOD(A2518-1,4)+1,"Электроника","Одежда","Продукты","Мебель")</f>
        <v>Электроника</v>
      </c>
      <c r="J2518" s="10" t="str">
        <f aca="false">CHOOSE(MOD(INT((A2518-1)/4),4)+1,CHOOSE(MOD(A2518-1,4)+1,"Смартфоны","Ноутбуки","Аксессуары","Аудио"),CHOOSE(MOD(A2518-1,4)+1,"Верхняя одежда","Спортивная","Повседневная","Обувь"),CHOOSE(MOD(A2518-1,4)+1,"Молочные","Мясные","Бакалея","Напитки"),CHOOSE(MOD(A2518-1,4)+1,"Мягкая мебель","Корпусная","Офисная","Кухонная"))</f>
        <v>Верхняя одежда</v>
      </c>
      <c r="K2518" s="12" t="n">
        <f aca="false">1000+MOD(A2518*317+A2518*A2518*7,49001)</f>
        <v>15991</v>
      </c>
      <c r="L2518" s="12" t="n">
        <f aca="false">1+MOD(A2518*131,100)</f>
        <v>28</v>
      </c>
      <c r="M2518" s="12" t="n">
        <f aca="false">INT(K2518*(0.6+MOD(A2518*43,21)/100))</f>
        <v>12472</v>
      </c>
      <c r="N2518" s="12" t="n">
        <f aca="false">K2518-M2518</f>
        <v>3519</v>
      </c>
    </row>
    <row r="2519" customFormat="false" ht="12.8" hidden="false" customHeight="false" outlineLevel="0" collapsed="false">
      <c r="A2519" s="10" t="n">
        <f aca="false">A2518+1</f>
        <v>2518</v>
      </c>
      <c r="B2519" s="11" t="n">
        <f aca="false">B2518+1</f>
        <v>47444</v>
      </c>
      <c r="C2519" s="10" t="n">
        <f aca="false">YEAR(B2519)</f>
        <v>2029</v>
      </c>
      <c r="D2519" s="10" t="n">
        <f aca="false">INT((MONTH(B2519)-1)/3)+1</f>
        <v>4</v>
      </c>
      <c r="E2519" s="10" t="n">
        <f aca="false">MONTH(B2519)</f>
        <v>11</v>
      </c>
      <c r="F2519" s="10" t="str">
        <f aca="false">CHOOSE(MOD(A2519-1,5)+1,"Центр","Юг","Север","Запад","Восток")</f>
        <v>Север</v>
      </c>
      <c r="G2519" s="10" t="str">
        <f aca="false">"Округ_"&amp;(MOD(A2519-1,5)+1)&amp;"_"&amp;(MOD(INT((A2519-1)/5),5)+1)</f>
        <v>Округ_3_4</v>
      </c>
      <c r="H2519" s="10" t="str">
        <f aca="false">"Город_"&amp;(MOD(A2519-1,5)+1)&amp;"_"&amp;(MOD(INT((A2519-1)/5),5)+1)&amp;"_"&amp;(MOD(INT((A2519-1)/25),10)+1)</f>
        <v>Город_3_4_1</v>
      </c>
      <c r="I2519" s="10" t="str">
        <f aca="false">CHOOSE(MOD(A2519-1,4)+1,"Электроника","Одежда","Продукты","Мебель")</f>
        <v>Одежда</v>
      </c>
      <c r="J2519" s="10" t="str">
        <f aca="false">CHOOSE(MOD(INT((A2519-1)/4),4)+1,CHOOSE(MOD(A2519-1,4)+1,"Смартфоны","Ноутбуки","Аксессуары","Аудио"),CHOOSE(MOD(A2519-1,4)+1,"Верхняя одежда","Спортивная","Повседневная","Обувь"),CHOOSE(MOD(A2519-1,4)+1,"Молочные","Мясные","Бакалея","Напитки"),CHOOSE(MOD(A2519-1,4)+1,"Мягкая мебель","Корпусная","Офисная","Кухонная"))</f>
        <v>Спортивная</v>
      </c>
      <c r="K2519" s="12" t="n">
        <f aca="false">1000+MOD(A2519*317+A2519*A2519*7,49001)</f>
        <v>2552</v>
      </c>
      <c r="L2519" s="12" t="n">
        <f aca="false">1+MOD(A2519*131,100)</f>
        <v>59</v>
      </c>
      <c r="M2519" s="12" t="n">
        <f aca="false">INT(K2519*(0.6+MOD(A2519*43,21)/100))</f>
        <v>2016</v>
      </c>
      <c r="N2519" s="12" t="n">
        <f aca="false">K2519-M2519</f>
        <v>536</v>
      </c>
    </row>
    <row r="2520" customFormat="false" ht="12.8" hidden="false" customHeight="false" outlineLevel="0" collapsed="false">
      <c r="A2520" s="10" t="n">
        <f aca="false">A2519+1</f>
        <v>2519</v>
      </c>
      <c r="B2520" s="11" t="n">
        <f aca="false">B2519+1</f>
        <v>47445</v>
      </c>
      <c r="C2520" s="10" t="n">
        <f aca="false">YEAR(B2520)</f>
        <v>2029</v>
      </c>
      <c r="D2520" s="10" t="n">
        <f aca="false">INT((MONTH(B2520)-1)/3)+1</f>
        <v>4</v>
      </c>
      <c r="E2520" s="10" t="n">
        <f aca="false">MONTH(B2520)</f>
        <v>11</v>
      </c>
      <c r="F2520" s="10" t="str">
        <f aca="false">CHOOSE(MOD(A2520-1,5)+1,"Центр","Юг","Север","Запад","Восток")</f>
        <v>Запад</v>
      </c>
      <c r="G2520" s="10" t="str">
        <f aca="false">"Округ_"&amp;(MOD(A2520-1,5)+1)&amp;"_"&amp;(MOD(INT((A2520-1)/5),5)+1)</f>
        <v>Округ_4_4</v>
      </c>
      <c r="H2520" s="10" t="str">
        <f aca="false">"Город_"&amp;(MOD(A2520-1,5)+1)&amp;"_"&amp;(MOD(INT((A2520-1)/5),5)+1)&amp;"_"&amp;(MOD(INT((A2520-1)/25),10)+1)</f>
        <v>Город_4_4_1</v>
      </c>
      <c r="I2520" s="10" t="str">
        <f aca="false">CHOOSE(MOD(A2520-1,4)+1,"Электроника","Одежда","Продукты","Мебель")</f>
        <v>Продукты</v>
      </c>
      <c r="J2520" s="10" t="str">
        <f aca="false">CHOOSE(MOD(INT((A2520-1)/4),4)+1,CHOOSE(MOD(A2520-1,4)+1,"Смартфоны","Ноутбуки","Аксессуары","Аудио"),CHOOSE(MOD(A2520-1,4)+1,"Верхняя одежда","Спортивная","Повседневная","Обувь"),CHOOSE(MOD(A2520-1,4)+1,"Молочные","Мясные","Бакалея","Напитки"),CHOOSE(MOD(A2520-1,4)+1,"Мягкая мебель","Корпусная","Офисная","Кухонная"))</f>
        <v>Повседневная</v>
      </c>
      <c r="K2520" s="12" t="n">
        <f aca="false">1000+MOD(A2520*317+A2520*A2520*7,49001)</f>
        <v>38128</v>
      </c>
      <c r="L2520" s="12" t="n">
        <f aca="false">1+MOD(A2520*131,100)</f>
        <v>90</v>
      </c>
      <c r="M2520" s="12" t="n">
        <f aca="false">INT(K2520*(0.6+MOD(A2520*43,21)/100))</f>
        <v>30502</v>
      </c>
      <c r="N2520" s="12" t="n">
        <f aca="false">K2520-M2520</f>
        <v>7626</v>
      </c>
    </row>
    <row r="2521" customFormat="false" ht="12.8" hidden="false" customHeight="false" outlineLevel="0" collapsed="false">
      <c r="A2521" s="10" t="n">
        <f aca="false">A2520+1</f>
        <v>2520</v>
      </c>
      <c r="B2521" s="11" t="n">
        <f aca="false">B2520+1</f>
        <v>47446</v>
      </c>
      <c r="C2521" s="10" t="n">
        <f aca="false">YEAR(B2521)</f>
        <v>2029</v>
      </c>
      <c r="D2521" s="10" t="n">
        <f aca="false">INT((MONTH(B2521)-1)/3)+1</f>
        <v>4</v>
      </c>
      <c r="E2521" s="10" t="n">
        <f aca="false">MONTH(B2521)</f>
        <v>11</v>
      </c>
      <c r="F2521" s="10" t="str">
        <f aca="false">CHOOSE(MOD(A2521-1,5)+1,"Центр","Юг","Север","Запад","Восток")</f>
        <v>Восток</v>
      </c>
      <c r="G2521" s="10" t="str">
        <f aca="false">"Округ_"&amp;(MOD(A2521-1,5)+1)&amp;"_"&amp;(MOD(INT((A2521-1)/5),5)+1)</f>
        <v>Округ_5_4</v>
      </c>
      <c r="H2521" s="10" t="str">
        <f aca="false">"Город_"&amp;(MOD(A2521-1,5)+1)&amp;"_"&amp;(MOD(INT((A2521-1)/5),5)+1)&amp;"_"&amp;(MOD(INT((A2521-1)/25),10)+1)</f>
        <v>Город_5_4_1</v>
      </c>
      <c r="I2521" s="10" t="str">
        <f aca="false">CHOOSE(MOD(A2521-1,4)+1,"Электроника","Одежда","Продукты","Мебель")</f>
        <v>Мебель</v>
      </c>
      <c r="J2521" s="10" t="str">
        <f aca="false">CHOOSE(MOD(INT((A2521-1)/4),4)+1,CHOOSE(MOD(A2521-1,4)+1,"Смартфоны","Ноутбуки","Аксессуары","Аудио"),CHOOSE(MOD(A2521-1,4)+1,"Верхняя одежда","Спортивная","Повседневная","Обувь"),CHOOSE(MOD(A2521-1,4)+1,"Молочные","Мясные","Бакалея","Напитки"),CHOOSE(MOD(A2521-1,4)+1,"Мягкая мебель","Корпусная","Офисная","Кухонная"))</f>
        <v>Обувь</v>
      </c>
      <c r="K2521" s="12" t="n">
        <f aca="false">1000+MOD(A2521*317+A2521*A2521*7,49001)</f>
        <v>24717</v>
      </c>
      <c r="L2521" s="12" t="n">
        <f aca="false">1+MOD(A2521*131,100)</f>
        <v>21</v>
      </c>
      <c r="M2521" s="12" t="n">
        <f aca="false">INT(K2521*(0.6+MOD(A2521*43,21)/100))</f>
        <v>14830</v>
      </c>
      <c r="N2521" s="12" t="n">
        <f aca="false">K2521-M2521</f>
        <v>9887</v>
      </c>
    </row>
    <row r="2522" customFormat="false" ht="12.8" hidden="false" customHeight="false" outlineLevel="0" collapsed="false">
      <c r="A2522" s="10" t="n">
        <f aca="false">A2521+1</f>
        <v>2521</v>
      </c>
      <c r="B2522" s="11" t="n">
        <f aca="false">B2521+1</f>
        <v>47447</v>
      </c>
      <c r="C2522" s="10" t="n">
        <f aca="false">YEAR(B2522)</f>
        <v>2029</v>
      </c>
      <c r="D2522" s="10" t="n">
        <f aca="false">INT((MONTH(B2522)-1)/3)+1</f>
        <v>4</v>
      </c>
      <c r="E2522" s="10" t="n">
        <f aca="false">MONTH(B2522)</f>
        <v>11</v>
      </c>
      <c r="F2522" s="10" t="str">
        <f aca="false">CHOOSE(MOD(A2522-1,5)+1,"Центр","Юг","Север","Запад","Восток")</f>
        <v>Центр</v>
      </c>
      <c r="G2522" s="10" t="str">
        <f aca="false">"Округ_"&amp;(MOD(A2522-1,5)+1)&amp;"_"&amp;(MOD(INT((A2522-1)/5),5)+1)</f>
        <v>Округ_1_5</v>
      </c>
      <c r="H2522" s="10" t="str">
        <f aca="false">"Город_"&amp;(MOD(A2522-1,5)+1)&amp;"_"&amp;(MOD(INT((A2522-1)/5),5)+1)&amp;"_"&amp;(MOD(INT((A2522-1)/25),10)+1)</f>
        <v>Город_1_5_1</v>
      </c>
      <c r="I2522" s="10" t="str">
        <f aca="false">CHOOSE(MOD(A2522-1,4)+1,"Электроника","Одежда","Продукты","Мебель")</f>
        <v>Электроника</v>
      </c>
      <c r="J2522" s="10" t="str">
        <f aca="false">CHOOSE(MOD(INT((A2522-1)/4),4)+1,CHOOSE(MOD(A2522-1,4)+1,"Смартфоны","Ноутбуки","Аксессуары","Аудио"),CHOOSE(MOD(A2522-1,4)+1,"Верхняя одежда","Спортивная","Повседневная","Обувь"),CHOOSE(MOD(A2522-1,4)+1,"Молочные","Мясные","Бакалея","Напитки"),CHOOSE(MOD(A2522-1,4)+1,"Мягкая мебель","Корпусная","Офисная","Кухонная"))</f>
        <v>Молочные</v>
      </c>
      <c r="K2522" s="12" t="n">
        <f aca="false">1000+MOD(A2522*317+A2522*A2522*7,49001)</f>
        <v>11320</v>
      </c>
      <c r="L2522" s="12" t="n">
        <f aca="false">1+MOD(A2522*131,100)</f>
        <v>52</v>
      </c>
      <c r="M2522" s="12" t="n">
        <f aca="false">INT(K2522*(0.6+MOD(A2522*43,21)/100))</f>
        <v>6905</v>
      </c>
      <c r="N2522" s="12" t="n">
        <f aca="false">K2522-M2522</f>
        <v>4415</v>
      </c>
    </row>
    <row r="2523" customFormat="false" ht="12.8" hidden="false" customHeight="false" outlineLevel="0" collapsed="false">
      <c r="A2523" s="10" t="n">
        <f aca="false">A2522+1</f>
        <v>2522</v>
      </c>
      <c r="B2523" s="11" t="n">
        <f aca="false">B2522+1</f>
        <v>47448</v>
      </c>
      <c r="C2523" s="10" t="n">
        <f aca="false">YEAR(B2523)</f>
        <v>2029</v>
      </c>
      <c r="D2523" s="10" t="n">
        <f aca="false">INT((MONTH(B2523)-1)/3)+1</f>
        <v>4</v>
      </c>
      <c r="E2523" s="10" t="n">
        <f aca="false">MONTH(B2523)</f>
        <v>11</v>
      </c>
      <c r="F2523" s="10" t="str">
        <f aca="false">CHOOSE(MOD(A2523-1,5)+1,"Центр","Юг","Север","Запад","Восток")</f>
        <v>Юг</v>
      </c>
      <c r="G2523" s="10" t="str">
        <f aca="false">"Округ_"&amp;(MOD(A2523-1,5)+1)&amp;"_"&amp;(MOD(INT((A2523-1)/5),5)+1)</f>
        <v>Округ_2_5</v>
      </c>
      <c r="H2523" s="10" t="str">
        <f aca="false">"Город_"&amp;(MOD(A2523-1,5)+1)&amp;"_"&amp;(MOD(INT((A2523-1)/5),5)+1)&amp;"_"&amp;(MOD(INT((A2523-1)/25),10)+1)</f>
        <v>Город_2_5_1</v>
      </c>
      <c r="I2523" s="10" t="str">
        <f aca="false">CHOOSE(MOD(A2523-1,4)+1,"Электроника","Одежда","Продукты","Мебель")</f>
        <v>Одежда</v>
      </c>
      <c r="J2523" s="10" t="str">
        <f aca="false">CHOOSE(MOD(INT((A2523-1)/4),4)+1,CHOOSE(MOD(A2523-1,4)+1,"Смартфоны","Ноутбуки","Аксессуары","Аудио"),CHOOSE(MOD(A2523-1,4)+1,"Верхняя одежда","Спортивная","Повседневная","Обувь"),CHOOSE(MOD(A2523-1,4)+1,"Молочные","Мясные","Бакалея","Напитки"),CHOOSE(MOD(A2523-1,4)+1,"Мягкая мебель","Корпусная","Офисная","Кухонная"))</f>
        <v>Мясные</v>
      </c>
      <c r="K2523" s="12" t="n">
        <f aca="false">1000+MOD(A2523*317+A2523*A2523*7,49001)</f>
        <v>46938</v>
      </c>
      <c r="L2523" s="12" t="n">
        <f aca="false">1+MOD(A2523*131,100)</f>
        <v>83</v>
      </c>
      <c r="M2523" s="12" t="n">
        <f aca="false">INT(K2523*(0.6+MOD(A2523*43,21)/100))</f>
        <v>29101</v>
      </c>
      <c r="N2523" s="12" t="n">
        <f aca="false">K2523-M2523</f>
        <v>17837</v>
      </c>
    </row>
    <row r="2524" customFormat="false" ht="12.8" hidden="false" customHeight="false" outlineLevel="0" collapsed="false">
      <c r="A2524" s="10" t="n">
        <f aca="false">A2523+1</f>
        <v>2523</v>
      </c>
      <c r="B2524" s="11" t="n">
        <f aca="false">B2523+1</f>
        <v>47449</v>
      </c>
      <c r="C2524" s="10" t="n">
        <f aca="false">YEAR(B2524)</f>
        <v>2029</v>
      </c>
      <c r="D2524" s="10" t="n">
        <f aca="false">INT((MONTH(B2524)-1)/3)+1</f>
        <v>4</v>
      </c>
      <c r="E2524" s="10" t="n">
        <f aca="false">MONTH(B2524)</f>
        <v>11</v>
      </c>
      <c r="F2524" s="10" t="str">
        <f aca="false">CHOOSE(MOD(A2524-1,5)+1,"Центр","Юг","Север","Запад","Восток")</f>
        <v>Север</v>
      </c>
      <c r="G2524" s="10" t="str">
        <f aca="false">"Округ_"&amp;(MOD(A2524-1,5)+1)&amp;"_"&amp;(MOD(INT((A2524-1)/5),5)+1)</f>
        <v>Округ_3_5</v>
      </c>
      <c r="H2524" s="10" t="str">
        <f aca="false">"Город_"&amp;(MOD(A2524-1,5)+1)&amp;"_"&amp;(MOD(INT((A2524-1)/5),5)+1)&amp;"_"&amp;(MOD(INT((A2524-1)/25),10)+1)</f>
        <v>Город_3_5_1</v>
      </c>
      <c r="I2524" s="10" t="str">
        <f aca="false">CHOOSE(MOD(A2524-1,4)+1,"Электроника","Одежда","Продукты","Мебель")</f>
        <v>Продукты</v>
      </c>
      <c r="J2524" s="10" t="str">
        <f aca="false">CHOOSE(MOD(INT((A2524-1)/4),4)+1,CHOOSE(MOD(A2524-1,4)+1,"Смартфоны","Ноутбуки","Аксессуары","Аудио"),CHOOSE(MOD(A2524-1,4)+1,"Верхняя одежда","Спортивная","Повседневная","Обувь"),CHOOSE(MOD(A2524-1,4)+1,"Молочные","Мясные","Бакалея","Напитки"),CHOOSE(MOD(A2524-1,4)+1,"Мягкая мебель","Корпусная","Офисная","Кухонная"))</f>
        <v>Бакалея</v>
      </c>
      <c r="K2524" s="12" t="n">
        <f aca="false">1000+MOD(A2524*317+A2524*A2524*7,49001)</f>
        <v>33569</v>
      </c>
      <c r="L2524" s="12" t="n">
        <f aca="false">1+MOD(A2524*131,100)</f>
        <v>14</v>
      </c>
      <c r="M2524" s="12" t="n">
        <f aca="false">INT(K2524*(0.6+MOD(A2524*43,21)/100))</f>
        <v>21148</v>
      </c>
      <c r="N2524" s="12" t="n">
        <f aca="false">K2524-M2524</f>
        <v>12421</v>
      </c>
    </row>
    <row r="2525" customFormat="false" ht="12.8" hidden="false" customHeight="false" outlineLevel="0" collapsed="false">
      <c r="A2525" s="10" t="n">
        <f aca="false">A2524+1</f>
        <v>2524</v>
      </c>
      <c r="B2525" s="11" t="n">
        <f aca="false">B2524+1</f>
        <v>47450</v>
      </c>
      <c r="C2525" s="10" t="n">
        <f aca="false">YEAR(B2525)</f>
        <v>2029</v>
      </c>
      <c r="D2525" s="10" t="n">
        <f aca="false">INT((MONTH(B2525)-1)/3)+1</f>
        <v>4</v>
      </c>
      <c r="E2525" s="10" t="n">
        <f aca="false">MONTH(B2525)</f>
        <v>11</v>
      </c>
      <c r="F2525" s="10" t="str">
        <f aca="false">CHOOSE(MOD(A2525-1,5)+1,"Центр","Юг","Север","Запад","Восток")</f>
        <v>Запад</v>
      </c>
      <c r="G2525" s="10" t="str">
        <f aca="false">"Округ_"&amp;(MOD(A2525-1,5)+1)&amp;"_"&amp;(MOD(INT((A2525-1)/5),5)+1)</f>
        <v>Округ_4_5</v>
      </c>
      <c r="H2525" s="10" t="str">
        <f aca="false">"Город_"&amp;(MOD(A2525-1,5)+1)&amp;"_"&amp;(MOD(INT((A2525-1)/5),5)+1)&amp;"_"&amp;(MOD(INT((A2525-1)/25),10)+1)</f>
        <v>Город_4_5_1</v>
      </c>
      <c r="I2525" s="10" t="str">
        <f aca="false">CHOOSE(MOD(A2525-1,4)+1,"Электроника","Одежда","Продукты","Мебель")</f>
        <v>Мебель</v>
      </c>
      <c r="J2525" s="10" t="str">
        <f aca="false">CHOOSE(MOD(INT((A2525-1)/4),4)+1,CHOOSE(MOD(A2525-1,4)+1,"Смартфоны","Ноутбуки","Аксессуары","Аудио"),CHOOSE(MOD(A2525-1,4)+1,"Верхняя одежда","Спортивная","Повседневная","Обувь"),CHOOSE(MOD(A2525-1,4)+1,"Молочные","Мясные","Бакалея","Напитки"),CHOOSE(MOD(A2525-1,4)+1,"Мягкая мебель","Корпусная","Офисная","Кухонная"))</f>
        <v>Напитки</v>
      </c>
      <c r="K2525" s="12" t="n">
        <f aca="false">1000+MOD(A2525*317+A2525*A2525*7,49001)</f>
        <v>20214</v>
      </c>
      <c r="L2525" s="12" t="n">
        <f aca="false">1+MOD(A2525*131,100)</f>
        <v>45</v>
      </c>
      <c r="M2525" s="12" t="n">
        <f aca="false">INT(K2525*(0.6+MOD(A2525*43,21)/100))</f>
        <v>12936</v>
      </c>
      <c r="N2525" s="12" t="n">
        <f aca="false">K2525-M2525</f>
        <v>7278</v>
      </c>
    </row>
    <row r="2526" customFormat="false" ht="12.8" hidden="false" customHeight="false" outlineLevel="0" collapsed="false">
      <c r="A2526" s="10" t="n">
        <f aca="false">A2525+1</f>
        <v>2525</v>
      </c>
      <c r="B2526" s="11" t="n">
        <f aca="false">B2525+1</f>
        <v>47451</v>
      </c>
      <c r="C2526" s="10" t="n">
        <f aca="false">YEAR(B2526)</f>
        <v>2029</v>
      </c>
      <c r="D2526" s="10" t="n">
        <f aca="false">INT((MONTH(B2526)-1)/3)+1</f>
        <v>4</v>
      </c>
      <c r="E2526" s="10" t="n">
        <f aca="false">MONTH(B2526)</f>
        <v>11</v>
      </c>
      <c r="F2526" s="10" t="str">
        <f aca="false">CHOOSE(MOD(A2526-1,5)+1,"Центр","Юг","Север","Запад","Восток")</f>
        <v>Восток</v>
      </c>
      <c r="G2526" s="10" t="str">
        <f aca="false">"Округ_"&amp;(MOD(A2526-1,5)+1)&amp;"_"&amp;(MOD(INT((A2526-1)/5),5)+1)</f>
        <v>Округ_5_5</v>
      </c>
      <c r="H2526" s="10" t="str">
        <f aca="false">"Город_"&amp;(MOD(A2526-1,5)+1)&amp;"_"&amp;(MOD(INT((A2526-1)/5),5)+1)&amp;"_"&amp;(MOD(INT((A2526-1)/25),10)+1)</f>
        <v>Город_5_5_1</v>
      </c>
      <c r="I2526" s="10" t="str">
        <f aca="false">CHOOSE(MOD(A2526-1,4)+1,"Электроника","Одежда","Продукты","Мебель")</f>
        <v>Электроника</v>
      </c>
      <c r="J2526" s="10" t="str">
        <f aca="false">CHOOSE(MOD(INT((A2526-1)/4),4)+1,CHOOSE(MOD(A2526-1,4)+1,"Смартфоны","Ноутбуки","Аксессуары","Аудио"),CHOOSE(MOD(A2526-1,4)+1,"Верхняя одежда","Спортивная","Повседневная","Обувь"),CHOOSE(MOD(A2526-1,4)+1,"Молочные","Мясные","Бакалея","Напитки"),CHOOSE(MOD(A2526-1,4)+1,"Мягкая мебель","Корпусная","Офисная","Кухонная"))</f>
        <v>Мягкая мебель</v>
      </c>
      <c r="K2526" s="12" t="n">
        <f aca="false">1000+MOD(A2526*317+A2526*A2526*7,49001)</f>
        <v>6873</v>
      </c>
      <c r="L2526" s="12" t="n">
        <f aca="false">1+MOD(A2526*131,100)</f>
        <v>76</v>
      </c>
      <c r="M2526" s="12" t="n">
        <f aca="false">INT(K2526*(0.6+MOD(A2526*43,21)/100))</f>
        <v>4467</v>
      </c>
      <c r="N2526" s="12" t="n">
        <f aca="false">K2526-M2526</f>
        <v>2406</v>
      </c>
    </row>
    <row r="2527" customFormat="false" ht="12.8" hidden="false" customHeight="false" outlineLevel="0" collapsed="false">
      <c r="A2527" s="10" t="n">
        <f aca="false">A2526+1</f>
        <v>2526</v>
      </c>
      <c r="B2527" s="11" t="n">
        <f aca="false">B2526+1</f>
        <v>47452</v>
      </c>
      <c r="C2527" s="10" t="n">
        <f aca="false">YEAR(B2527)</f>
        <v>2029</v>
      </c>
      <c r="D2527" s="10" t="n">
        <f aca="false">INT((MONTH(B2527)-1)/3)+1</f>
        <v>4</v>
      </c>
      <c r="E2527" s="10" t="n">
        <f aca="false">MONTH(B2527)</f>
        <v>11</v>
      </c>
      <c r="F2527" s="10" t="str">
        <f aca="false">CHOOSE(MOD(A2527-1,5)+1,"Центр","Юг","Север","Запад","Восток")</f>
        <v>Центр</v>
      </c>
      <c r="G2527" s="10" t="str">
        <f aca="false">"Округ_"&amp;(MOD(A2527-1,5)+1)&amp;"_"&amp;(MOD(INT((A2527-1)/5),5)+1)</f>
        <v>Округ_1_1</v>
      </c>
      <c r="H2527" s="10" t="str">
        <f aca="false">"Город_"&amp;(MOD(A2527-1,5)+1)&amp;"_"&amp;(MOD(INT((A2527-1)/5),5)+1)&amp;"_"&amp;(MOD(INT((A2527-1)/25),10)+1)</f>
        <v>Город_1_1_2</v>
      </c>
      <c r="I2527" s="10" t="str">
        <f aca="false">CHOOSE(MOD(A2527-1,4)+1,"Электроника","Одежда","Продукты","Мебель")</f>
        <v>Одежда</v>
      </c>
      <c r="J2527" s="10" t="str">
        <f aca="false">CHOOSE(MOD(INT((A2527-1)/4),4)+1,CHOOSE(MOD(A2527-1,4)+1,"Смартфоны","Ноутбуки","Аксессуары","Аудио"),CHOOSE(MOD(A2527-1,4)+1,"Верхняя одежда","Спортивная","Повседневная","Обувь"),CHOOSE(MOD(A2527-1,4)+1,"Молочные","Мясные","Бакалея","Напитки"),CHOOSE(MOD(A2527-1,4)+1,"Мягкая мебель","Корпусная","Офисная","Кухонная"))</f>
        <v>Корпусная</v>
      </c>
      <c r="K2527" s="12" t="n">
        <f aca="false">1000+MOD(A2527*317+A2527*A2527*7,49001)</f>
        <v>42547</v>
      </c>
      <c r="L2527" s="12" t="n">
        <f aca="false">1+MOD(A2527*131,100)</f>
        <v>7</v>
      </c>
      <c r="M2527" s="12" t="n">
        <f aca="false">INT(K2527*(0.6+MOD(A2527*43,21)/100))</f>
        <v>28081</v>
      </c>
      <c r="N2527" s="12" t="n">
        <f aca="false">K2527-M2527</f>
        <v>14466</v>
      </c>
    </row>
    <row r="2528" customFormat="false" ht="12.8" hidden="false" customHeight="false" outlineLevel="0" collapsed="false">
      <c r="A2528" s="10" t="n">
        <f aca="false">A2527+1</f>
        <v>2527</v>
      </c>
      <c r="B2528" s="11" t="n">
        <f aca="false">B2527+1</f>
        <v>47453</v>
      </c>
      <c r="C2528" s="10" t="n">
        <f aca="false">YEAR(B2528)</f>
        <v>2029</v>
      </c>
      <c r="D2528" s="10" t="n">
        <f aca="false">INT((MONTH(B2528)-1)/3)+1</f>
        <v>4</v>
      </c>
      <c r="E2528" s="10" t="n">
        <f aca="false">MONTH(B2528)</f>
        <v>12</v>
      </c>
      <c r="F2528" s="10" t="str">
        <f aca="false">CHOOSE(MOD(A2528-1,5)+1,"Центр","Юг","Север","Запад","Восток")</f>
        <v>Юг</v>
      </c>
      <c r="G2528" s="10" t="str">
        <f aca="false">"Округ_"&amp;(MOD(A2528-1,5)+1)&amp;"_"&amp;(MOD(INT((A2528-1)/5),5)+1)</f>
        <v>Округ_2_1</v>
      </c>
      <c r="H2528" s="10" t="str">
        <f aca="false">"Город_"&amp;(MOD(A2528-1,5)+1)&amp;"_"&amp;(MOD(INT((A2528-1)/5),5)+1)&amp;"_"&amp;(MOD(INT((A2528-1)/25),10)+1)</f>
        <v>Город_2_1_2</v>
      </c>
      <c r="I2528" s="10" t="str">
        <f aca="false">CHOOSE(MOD(A2528-1,4)+1,"Электроника","Одежда","Продукты","Мебель")</f>
        <v>Продукты</v>
      </c>
      <c r="J2528" s="10" t="str">
        <f aca="false">CHOOSE(MOD(INT((A2528-1)/4),4)+1,CHOOSE(MOD(A2528-1,4)+1,"Смартфоны","Ноутбуки","Аксессуары","Аудио"),CHOOSE(MOD(A2528-1,4)+1,"Верхняя одежда","Спортивная","Повседневная","Обувь"),CHOOSE(MOD(A2528-1,4)+1,"Молочные","Мясные","Бакалея","Напитки"),CHOOSE(MOD(A2528-1,4)+1,"Мягкая мебель","Корпусная","Офисная","Кухонная"))</f>
        <v>Офисная</v>
      </c>
      <c r="K2528" s="12" t="n">
        <f aca="false">1000+MOD(A2528*317+A2528*A2528*7,49001)</f>
        <v>29234</v>
      </c>
      <c r="L2528" s="12" t="n">
        <f aca="false">1+MOD(A2528*131,100)</f>
        <v>38</v>
      </c>
      <c r="M2528" s="12" t="n">
        <f aca="false">INT(K2528*(0.6+MOD(A2528*43,21)/100))</f>
        <v>19586</v>
      </c>
      <c r="N2528" s="12" t="n">
        <f aca="false">K2528-M2528</f>
        <v>9648</v>
      </c>
    </row>
    <row r="2529" customFormat="false" ht="12.8" hidden="false" customHeight="false" outlineLevel="0" collapsed="false">
      <c r="A2529" s="10" t="n">
        <f aca="false">A2528+1</f>
        <v>2528</v>
      </c>
      <c r="B2529" s="11" t="n">
        <f aca="false">B2528+1</f>
        <v>47454</v>
      </c>
      <c r="C2529" s="10" t="n">
        <f aca="false">YEAR(B2529)</f>
        <v>2029</v>
      </c>
      <c r="D2529" s="10" t="n">
        <f aca="false">INT((MONTH(B2529)-1)/3)+1</f>
        <v>4</v>
      </c>
      <c r="E2529" s="10" t="n">
        <f aca="false">MONTH(B2529)</f>
        <v>12</v>
      </c>
      <c r="F2529" s="10" t="str">
        <f aca="false">CHOOSE(MOD(A2529-1,5)+1,"Центр","Юг","Север","Запад","Восток")</f>
        <v>Север</v>
      </c>
      <c r="G2529" s="10" t="str">
        <f aca="false">"Округ_"&amp;(MOD(A2529-1,5)+1)&amp;"_"&amp;(MOD(INT((A2529-1)/5),5)+1)</f>
        <v>Округ_3_1</v>
      </c>
      <c r="H2529" s="10" t="str">
        <f aca="false">"Город_"&amp;(MOD(A2529-1,5)+1)&amp;"_"&amp;(MOD(INT((A2529-1)/5),5)+1)&amp;"_"&amp;(MOD(INT((A2529-1)/25),10)+1)</f>
        <v>Город_3_1_2</v>
      </c>
      <c r="I2529" s="10" t="str">
        <f aca="false">CHOOSE(MOD(A2529-1,4)+1,"Электроника","Одежда","Продукты","Мебель")</f>
        <v>Мебель</v>
      </c>
      <c r="J2529" s="10" t="str">
        <f aca="false">CHOOSE(MOD(INT((A2529-1)/4),4)+1,CHOOSE(MOD(A2529-1,4)+1,"Смартфоны","Ноутбуки","Аксессуары","Аудио"),CHOOSE(MOD(A2529-1,4)+1,"Верхняя одежда","Спортивная","Повседневная","Обувь"),CHOOSE(MOD(A2529-1,4)+1,"Молочные","Мясные","Бакалея","Напитки"),CHOOSE(MOD(A2529-1,4)+1,"Мягкая мебель","Корпусная","Офисная","Кухонная"))</f>
        <v>Кухонная</v>
      </c>
      <c r="K2529" s="12" t="n">
        <f aca="false">1000+MOD(A2529*317+A2529*A2529*7,49001)</f>
        <v>15935</v>
      </c>
      <c r="L2529" s="12" t="n">
        <f aca="false">1+MOD(A2529*131,100)</f>
        <v>69</v>
      </c>
      <c r="M2529" s="12" t="n">
        <f aca="false">INT(K2529*(0.6+MOD(A2529*43,21)/100))</f>
        <v>10835</v>
      </c>
      <c r="N2529" s="12" t="n">
        <f aca="false">K2529-M2529</f>
        <v>5100</v>
      </c>
    </row>
    <row r="2530" customFormat="false" ht="12.8" hidden="false" customHeight="false" outlineLevel="0" collapsed="false">
      <c r="A2530" s="10" t="n">
        <f aca="false">A2529+1</f>
        <v>2529</v>
      </c>
      <c r="B2530" s="11" t="n">
        <f aca="false">B2529+1</f>
        <v>47455</v>
      </c>
      <c r="C2530" s="10" t="n">
        <f aca="false">YEAR(B2530)</f>
        <v>2029</v>
      </c>
      <c r="D2530" s="10" t="n">
        <f aca="false">INT((MONTH(B2530)-1)/3)+1</f>
        <v>4</v>
      </c>
      <c r="E2530" s="10" t="n">
        <f aca="false">MONTH(B2530)</f>
        <v>12</v>
      </c>
      <c r="F2530" s="10" t="str">
        <f aca="false">CHOOSE(MOD(A2530-1,5)+1,"Центр","Юг","Север","Запад","Восток")</f>
        <v>Запад</v>
      </c>
      <c r="G2530" s="10" t="str">
        <f aca="false">"Округ_"&amp;(MOD(A2530-1,5)+1)&amp;"_"&amp;(MOD(INT((A2530-1)/5),5)+1)</f>
        <v>Округ_4_1</v>
      </c>
      <c r="H2530" s="10" t="str">
        <f aca="false">"Город_"&amp;(MOD(A2530-1,5)+1)&amp;"_"&amp;(MOD(INT((A2530-1)/5),5)+1)&amp;"_"&amp;(MOD(INT((A2530-1)/25),10)+1)</f>
        <v>Город_4_1_2</v>
      </c>
      <c r="I2530" s="10" t="str">
        <f aca="false">CHOOSE(MOD(A2530-1,4)+1,"Электроника","Одежда","Продукты","Мебель")</f>
        <v>Электроника</v>
      </c>
      <c r="J2530" s="10" t="str">
        <f aca="false">CHOOSE(MOD(INT((A2530-1)/4),4)+1,CHOOSE(MOD(A2530-1,4)+1,"Смартфоны","Ноутбуки","Аксессуары","Аудио"),CHOOSE(MOD(A2530-1,4)+1,"Верхняя одежда","Спортивная","Повседневная","Обувь"),CHOOSE(MOD(A2530-1,4)+1,"Молочные","Мясные","Бакалея","Напитки"),CHOOSE(MOD(A2530-1,4)+1,"Мягкая мебель","Корпусная","Офисная","Кухонная"))</f>
        <v>Смартфоны</v>
      </c>
      <c r="K2530" s="12" t="n">
        <f aca="false">1000+MOD(A2530*317+A2530*A2530*7,49001)</f>
        <v>2650</v>
      </c>
      <c r="L2530" s="12" t="n">
        <f aca="false">1+MOD(A2530*131,100)</f>
        <v>100</v>
      </c>
      <c r="M2530" s="12" t="n">
        <f aca="false">INT(K2530*(0.6+MOD(A2530*43,21)/100))</f>
        <v>1828</v>
      </c>
      <c r="N2530" s="12" t="n">
        <f aca="false">K2530-M2530</f>
        <v>822</v>
      </c>
    </row>
    <row r="2531" customFormat="false" ht="12.8" hidden="false" customHeight="false" outlineLevel="0" collapsed="false">
      <c r="A2531" s="10" t="n">
        <f aca="false">A2530+1</f>
        <v>2530</v>
      </c>
      <c r="B2531" s="11" t="n">
        <f aca="false">B2530+1</f>
        <v>47456</v>
      </c>
      <c r="C2531" s="10" t="n">
        <f aca="false">YEAR(B2531)</f>
        <v>2029</v>
      </c>
      <c r="D2531" s="10" t="n">
        <f aca="false">INT((MONTH(B2531)-1)/3)+1</f>
        <v>4</v>
      </c>
      <c r="E2531" s="10" t="n">
        <f aca="false">MONTH(B2531)</f>
        <v>12</v>
      </c>
      <c r="F2531" s="10" t="str">
        <f aca="false">CHOOSE(MOD(A2531-1,5)+1,"Центр","Юг","Север","Запад","Восток")</f>
        <v>Восток</v>
      </c>
      <c r="G2531" s="10" t="str">
        <f aca="false">"Округ_"&amp;(MOD(A2531-1,5)+1)&amp;"_"&amp;(MOD(INT((A2531-1)/5),5)+1)</f>
        <v>Округ_5_1</v>
      </c>
      <c r="H2531" s="10" t="str">
        <f aca="false">"Город_"&amp;(MOD(A2531-1,5)+1)&amp;"_"&amp;(MOD(INT((A2531-1)/5),5)+1)&amp;"_"&amp;(MOD(INT((A2531-1)/25),10)+1)</f>
        <v>Город_5_1_2</v>
      </c>
      <c r="I2531" s="10" t="str">
        <f aca="false">CHOOSE(MOD(A2531-1,4)+1,"Электроника","Одежда","Продукты","Мебель")</f>
        <v>Одежда</v>
      </c>
      <c r="J2531" s="10" t="str">
        <f aca="false">CHOOSE(MOD(INT((A2531-1)/4),4)+1,CHOOSE(MOD(A2531-1,4)+1,"Смартфоны","Ноутбуки","Аксессуары","Аудио"),CHOOSE(MOD(A2531-1,4)+1,"Верхняя одежда","Спортивная","Повседневная","Обувь"),CHOOSE(MOD(A2531-1,4)+1,"Молочные","Мясные","Бакалея","Напитки"),CHOOSE(MOD(A2531-1,4)+1,"Мягкая мебель","Корпусная","Офисная","Кухонная"))</f>
        <v>Ноутбуки</v>
      </c>
      <c r="K2531" s="12" t="n">
        <f aca="false">1000+MOD(A2531*317+A2531*A2531*7,49001)</f>
        <v>38380</v>
      </c>
      <c r="L2531" s="12" t="n">
        <f aca="false">1+MOD(A2531*131,100)</f>
        <v>31</v>
      </c>
      <c r="M2531" s="12" t="n">
        <f aca="false">INT(K2531*(0.6+MOD(A2531*43,21)/100))</f>
        <v>26866</v>
      </c>
      <c r="N2531" s="12" t="n">
        <f aca="false">K2531-M2531</f>
        <v>11514</v>
      </c>
    </row>
    <row r="2532" customFormat="false" ht="12.8" hidden="false" customHeight="false" outlineLevel="0" collapsed="false">
      <c r="A2532" s="10" t="n">
        <f aca="false">A2531+1</f>
        <v>2531</v>
      </c>
      <c r="B2532" s="11" t="n">
        <f aca="false">B2531+1</f>
        <v>47457</v>
      </c>
      <c r="C2532" s="10" t="n">
        <f aca="false">YEAR(B2532)</f>
        <v>2029</v>
      </c>
      <c r="D2532" s="10" t="n">
        <f aca="false">INT((MONTH(B2532)-1)/3)+1</f>
        <v>4</v>
      </c>
      <c r="E2532" s="10" t="n">
        <f aca="false">MONTH(B2532)</f>
        <v>12</v>
      </c>
      <c r="F2532" s="10" t="str">
        <f aca="false">CHOOSE(MOD(A2532-1,5)+1,"Центр","Юг","Север","Запад","Восток")</f>
        <v>Центр</v>
      </c>
      <c r="G2532" s="10" t="str">
        <f aca="false">"Округ_"&amp;(MOD(A2532-1,5)+1)&amp;"_"&amp;(MOD(INT((A2532-1)/5),5)+1)</f>
        <v>Округ_1_2</v>
      </c>
      <c r="H2532" s="10" t="str">
        <f aca="false">"Город_"&amp;(MOD(A2532-1,5)+1)&amp;"_"&amp;(MOD(INT((A2532-1)/5),5)+1)&amp;"_"&amp;(MOD(INT((A2532-1)/25),10)+1)</f>
        <v>Город_1_2_2</v>
      </c>
      <c r="I2532" s="10" t="str">
        <f aca="false">CHOOSE(MOD(A2532-1,4)+1,"Электроника","Одежда","Продукты","Мебель")</f>
        <v>Продукты</v>
      </c>
      <c r="J2532" s="10" t="str">
        <f aca="false">CHOOSE(MOD(INT((A2532-1)/4),4)+1,CHOOSE(MOD(A2532-1,4)+1,"Смартфоны","Ноутбуки","Аксессуары","Аудио"),CHOOSE(MOD(A2532-1,4)+1,"Верхняя одежда","Спортивная","Повседневная","Обувь"),CHOOSE(MOD(A2532-1,4)+1,"Молочные","Мясные","Бакалея","Напитки"),CHOOSE(MOD(A2532-1,4)+1,"Мягкая мебель","Корпусная","Офисная","Кухонная"))</f>
        <v>Аксессуары</v>
      </c>
      <c r="K2532" s="12" t="n">
        <f aca="false">1000+MOD(A2532*317+A2532*A2532*7,49001)</f>
        <v>25123</v>
      </c>
      <c r="L2532" s="12" t="n">
        <f aca="false">1+MOD(A2532*131,100)</f>
        <v>62</v>
      </c>
      <c r="M2532" s="12" t="n">
        <f aca="false">INT(K2532*(0.6+MOD(A2532*43,21)/100))</f>
        <v>17837</v>
      </c>
      <c r="N2532" s="12" t="n">
        <f aca="false">K2532-M2532</f>
        <v>7286</v>
      </c>
    </row>
    <row r="2533" customFormat="false" ht="12.8" hidden="false" customHeight="false" outlineLevel="0" collapsed="false">
      <c r="A2533" s="10" t="n">
        <f aca="false">A2532+1</f>
        <v>2532</v>
      </c>
      <c r="B2533" s="11" t="n">
        <f aca="false">B2532+1</f>
        <v>47458</v>
      </c>
      <c r="C2533" s="10" t="n">
        <f aca="false">YEAR(B2533)</f>
        <v>2029</v>
      </c>
      <c r="D2533" s="10" t="n">
        <f aca="false">INT((MONTH(B2533)-1)/3)+1</f>
        <v>4</v>
      </c>
      <c r="E2533" s="10" t="n">
        <f aca="false">MONTH(B2533)</f>
        <v>12</v>
      </c>
      <c r="F2533" s="10" t="str">
        <f aca="false">CHOOSE(MOD(A2533-1,5)+1,"Центр","Юг","Север","Запад","Восток")</f>
        <v>Юг</v>
      </c>
      <c r="G2533" s="10" t="str">
        <f aca="false">"Округ_"&amp;(MOD(A2533-1,5)+1)&amp;"_"&amp;(MOD(INT((A2533-1)/5),5)+1)</f>
        <v>Округ_2_2</v>
      </c>
      <c r="H2533" s="10" t="str">
        <f aca="false">"Город_"&amp;(MOD(A2533-1,5)+1)&amp;"_"&amp;(MOD(INT((A2533-1)/5),5)+1)&amp;"_"&amp;(MOD(INT((A2533-1)/25),10)+1)</f>
        <v>Город_2_2_2</v>
      </c>
      <c r="I2533" s="10" t="str">
        <f aca="false">CHOOSE(MOD(A2533-1,4)+1,"Электроника","Одежда","Продукты","Мебель")</f>
        <v>Мебель</v>
      </c>
      <c r="J2533" s="10" t="str">
        <f aca="false">CHOOSE(MOD(INT((A2533-1)/4),4)+1,CHOOSE(MOD(A2533-1,4)+1,"Смартфоны","Ноутбуки","Аксессуары","Аудио"),CHOOSE(MOD(A2533-1,4)+1,"Верхняя одежда","Спортивная","Повседневная","Обувь"),CHOOSE(MOD(A2533-1,4)+1,"Молочные","Мясные","Бакалея","Напитки"),CHOOSE(MOD(A2533-1,4)+1,"Мягкая мебель","Корпусная","Офисная","Кухонная"))</f>
        <v>Аудио</v>
      </c>
      <c r="K2533" s="12" t="n">
        <f aca="false">1000+MOD(A2533*317+A2533*A2533*7,49001)</f>
        <v>11880</v>
      </c>
      <c r="L2533" s="12" t="n">
        <f aca="false">1+MOD(A2533*131,100)</f>
        <v>93</v>
      </c>
      <c r="M2533" s="12" t="n">
        <f aca="false">INT(K2533*(0.6+MOD(A2533*43,21)/100))</f>
        <v>8553</v>
      </c>
      <c r="N2533" s="12" t="n">
        <f aca="false">K2533-M2533</f>
        <v>3327</v>
      </c>
    </row>
    <row r="2534" customFormat="false" ht="12.8" hidden="false" customHeight="false" outlineLevel="0" collapsed="false">
      <c r="A2534" s="10" t="n">
        <f aca="false">A2533+1</f>
        <v>2533</v>
      </c>
      <c r="B2534" s="11" t="n">
        <f aca="false">B2533+1</f>
        <v>47459</v>
      </c>
      <c r="C2534" s="10" t="n">
        <f aca="false">YEAR(B2534)</f>
        <v>2029</v>
      </c>
      <c r="D2534" s="10" t="n">
        <f aca="false">INT((MONTH(B2534)-1)/3)+1</f>
        <v>4</v>
      </c>
      <c r="E2534" s="10" t="n">
        <f aca="false">MONTH(B2534)</f>
        <v>12</v>
      </c>
      <c r="F2534" s="10" t="str">
        <f aca="false">CHOOSE(MOD(A2534-1,5)+1,"Центр","Юг","Север","Запад","Восток")</f>
        <v>Север</v>
      </c>
      <c r="G2534" s="10" t="str">
        <f aca="false">"Округ_"&amp;(MOD(A2534-1,5)+1)&amp;"_"&amp;(MOD(INT((A2534-1)/5),5)+1)</f>
        <v>Округ_3_2</v>
      </c>
      <c r="H2534" s="10" t="str">
        <f aca="false">"Город_"&amp;(MOD(A2534-1,5)+1)&amp;"_"&amp;(MOD(INT((A2534-1)/5),5)+1)&amp;"_"&amp;(MOD(INT((A2534-1)/25),10)+1)</f>
        <v>Город_3_2_2</v>
      </c>
      <c r="I2534" s="10" t="str">
        <f aca="false">CHOOSE(MOD(A2534-1,4)+1,"Электроника","Одежда","Продукты","Мебель")</f>
        <v>Электроника</v>
      </c>
      <c r="J2534" s="10" t="str">
        <f aca="false">CHOOSE(MOD(INT((A2534-1)/4),4)+1,CHOOSE(MOD(A2534-1,4)+1,"Смартфоны","Ноутбуки","Аксессуары","Аудио"),CHOOSE(MOD(A2534-1,4)+1,"Верхняя одежда","Спортивная","Повседневная","Обувь"),CHOOSE(MOD(A2534-1,4)+1,"Молочные","Мясные","Бакалея","Напитки"),CHOOSE(MOD(A2534-1,4)+1,"Мягкая мебель","Корпусная","Офисная","Кухонная"))</f>
        <v>Верхняя одежда</v>
      </c>
      <c r="K2534" s="12" t="n">
        <f aca="false">1000+MOD(A2534*317+A2534*A2534*7,49001)</f>
        <v>47652</v>
      </c>
      <c r="L2534" s="12" t="n">
        <f aca="false">1+MOD(A2534*131,100)</f>
        <v>24</v>
      </c>
      <c r="M2534" s="12" t="n">
        <f aca="false">INT(K2534*(0.6+MOD(A2534*43,21)/100))</f>
        <v>34785</v>
      </c>
      <c r="N2534" s="12" t="n">
        <f aca="false">K2534-M2534</f>
        <v>12867</v>
      </c>
    </row>
    <row r="2535" customFormat="false" ht="12.8" hidden="false" customHeight="false" outlineLevel="0" collapsed="false">
      <c r="A2535" s="10" t="n">
        <f aca="false">A2534+1</f>
        <v>2534</v>
      </c>
      <c r="B2535" s="11" t="n">
        <f aca="false">B2534+1</f>
        <v>47460</v>
      </c>
      <c r="C2535" s="10" t="n">
        <f aca="false">YEAR(B2535)</f>
        <v>2029</v>
      </c>
      <c r="D2535" s="10" t="n">
        <f aca="false">INT((MONTH(B2535)-1)/3)+1</f>
        <v>4</v>
      </c>
      <c r="E2535" s="10" t="n">
        <f aca="false">MONTH(B2535)</f>
        <v>12</v>
      </c>
      <c r="F2535" s="10" t="str">
        <f aca="false">CHOOSE(MOD(A2535-1,5)+1,"Центр","Юг","Север","Запад","Восток")</f>
        <v>Запад</v>
      </c>
      <c r="G2535" s="10" t="str">
        <f aca="false">"Округ_"&amp;(MOD(A2535-1,5)+1)&amp;"_"&amp;(MOD(INT((A2535-1)/5),5)+1)</f>
        <v>Округ_4_2</v>
      </c>
      <c r="H2535" s="10" t="str">
        <f aca="false">"Город_"&amp;(MOD(A2535-1,5)+1)&amp;"_"&amp;(MOD(INT((A2535-1)/5),5)+1)&amp;"_"&amp;(MOD(INT((A2535-1)/25),10)+1)</f>
        <v>Город_4_2_2</v>
      </c>
      <c r="I2535" s="10" t="str">
        <f aca="false">CHOOSE(MOD(A2535-1,4)+1,"Электроника","Одежда","Продукты","Мебель")</f>
        <v>Одежда</v>
      </c>
      <c r="J2535" s="10" t="str">
        <f aca="false">CHOOSE(MOD(INT((A2535-1)/4),4)+1,CHOOSE(MOD(A2535-1,4)+1,"Смартфоны","Ноутбуки","Аксессуары","Аудио"),CHOOSE(MOD(A2535-1,4)+1,"Верхняя одежда","Спортивная","Повседневная","Обувь"),CHOOSE(MOD(A2535-1,4)+1,"Молочные","Мясные","Бакалея","Напитки"),CHOOSE(MOD(A2535-1,4)+1,"Мягкая мебель","Корпусная","Офисная","Кухонная"))</f>
        <v>Спортивная</v>
      </c>
      <c r="K2535" s="12" t="n">
        <f aca="false">1000+MOD(A2535*317+A2535*A2535*7,49001)</f>
        <v>34437</v>
      </c>
      <c r="L2535" s="12" t="n">
        <f aca="false">1+MOD(A2535*131,100)</f>
        <v>55</v>
      </c>
      <c r="M2535" s="12" t="n">
        <f aca="false">INT(K2535*(0.6+MOD(A2535*43,21)/100))</f>
        <v>25483</v>
      </c>
      <c r="N2535" s="12" t="n">
        <f aca="false">K2535-M2535</f>
        <v>8954</v>
      </c>
    </row>
    <row r="2536" customFormat="false" ht="12.8" hidden="false" customHeight="false" outlineLevel="0" collapsed="false">
      <c r="A2536" s="10" t="n">
        <f aca="false">A2535+1</f>
        <v>2535</v>
      </c>
      <c r="B2536" s="11" t="n">
        <f aca="false">B2535+1</f>
        <v>47461</v>
      </c>
      <c r="C2536" s="10" t="n">
        <f aca="false">YEAR(B2536)</f>
        <v>2029</v>
      </c>
      <c r="D2536" s="10" t="n">
        <f aca="false">INT((MONTH(B2536)-1)/3)+1</f>
        <v>4</v>
      </c>
      <c r="E2536" s="10" t="n">
        <f aca="false">MONTH(B2536)</f>
        <v>12</v>
      </c>
      <c r="F2536" s="10" t="str">
        <f aca="false">CHOOSE(MOD(A2536-1,5)+1,"Центр","Юг","Север","Запад","Восток")</f>
        <v>Восток</v>
      </c>
      <c r="G2536" s="10" t="str">
        <f aca="false">"Округ_"&amp;(MOD(A2536-1,5)+1)&amp;"_"&amp;(MOD(INT((A2536-1)/5),5)+1)</f>
        <v>Округ_5_2</v>
      </c>
      <c r="H2536" s="10" t="str">
        <f aca="false">"Город_"&amp;(MOD(A2536-1,5)+1)&amp;"_"&amp;(MOD(INT((A2536-1)/5),5)+1)&amp;"_"&amp;(MOD(INT((A2536-1)/25),10)+1)</f>
        <v>Город_5_2_2</v>
      </c>
      <c r="I2536" s="10" t="str">
        <f aca="false">CHOOSE(MOD(A2536-1,4)+1,"Электроника","Одежда","Продукты","Мебель")</f>
        <v>Продукты</v>
      </c>
      <c r="J2536" s="10" t="str">
        <f aca="false">CHOOSE(MOD(INT((A2536-1)/4),4)+1,CHOOSE(MOD(A2536-1,4)+1,"Смартфоны","Ноутбуки","Аксессуары","Аудио"),CHOOSE(MOD(A2536-1,4)+1,"Верхняя одежда","Спортивная","Повседневная","Обувь"),CHOOSE(MOD(A2536-1,4)+1,"Молочные","Мясные","Бакалея","Напитки"),CHOOSE(MOD(A2536-1,4)+1,"Мягкая мебель","Корпусная","Офисная","Кухонная"))</f>
        <v>Повседневная</v>
      </c>
      <c r="K2536" s="12" t="n">
        <f aca="false">1000+MOD(A2536*317+A2536*A2536*7,49001)</f>
        <v>21236</v>
      </c>
      <c r="L2536" s="12" t="n">
        <f aca="false">1+MOD(A2536*131,100)</f>
        <v>86</v>
      </c>
      <c r="M2536" s="12" t="n">
        <f aca="false">INT(K2536*(0.6+MOD(A2536*43,21)/100))</f>
        <v>15927</v>
      </c>
      <c r="N2536" s="12" t="n">
        <f aca="false">K2536-M2536</f>
        <v>5309</v>
      </c>
    </row>
    <row r="2537" customFormat="false" ht="12.8" hidden="false" customHeight="false" outlineLevel="0" collapsed="false">
      <c r="A2537" s="10" t="n">
        <f aca="false">A2536+1</f>
        <v>2536</v>
      </c>
      <c r="B2537" s="11" t="n">
        <f aca="false">B2536+1</f>
        <v>47462</v>
      </c>
      <c r="C2537" s="10" t="n">
        <f aca="false">YEAR(B2537)</f>
        <v>2029</v>
      </c>
      <c r="D2537" s="10" t="n">
        <f aca="false">INT((MONTH(B2537)-1)/3)+1</f>
        <v>4</v>
      </c>
      <c r="E2537" s="10" t="n">
        <f aca="false">MONTH(B2537)</f>
        <v>12</v>
      </c>
      <c r="F2537" s="10" t="str">
        <f aca="false">CHOOSE(MOD(A2537-1,5)+1,"Центр","Юг","Север","Запад","Восток")</f>
        <v>Центр</v>
      </c>
      <c r="G2537" s="10" t="str">
        <f aca="false">"Округ_"&amp;(MOD(A2537-1,5)+1)&amp;"_"&amp;(MOD(INT((A2537-1)/5),5)+1)</f>
        <v>Округ_1_3</v>
      </c>
      <c r="H2537" s="10" t="str">
        <f aca="false">"Город_"&amp;(MOD(A2537-1,5)+1)&amp;"_"&amp;(MOD(INT((A2537-1)/5),5)+1)&amp;"_"&amp;(MOD(INT((A2537-1)/25),10)+1)</f>
        <v>Город_1_3_2</v>
      </c>
      <c r="I2537" s="10" t="str">
        <f aca="false">CHOOSE(MOD(A2537-1,4)+1,"Электроника","Одежда","Продукты","Мебель")</f>
        <v>Мебель</v>
      </c>
      <c r="J2537" s="10" t="str">
        <f aca="false">CHOOSE(MOD(INT((A2537-1)/4),4)+1,CHOOSE(MOD(A2537-1,4)+1,"Смартфоны","Ноутбуки","Аксессуары","Аудио"),CHOOSE(MOD(A2537-1,4)+1,"Верхняя одежда","Спортивная","Повседневная","Обувь"),CHOOSE(MOD(A2537-1,4)+1,"Молочные","Мясные","Бакалея","Напитки"),CHOOSE(MOD(A2537-1,4)+1,"Мягкая мебель","Корпусная","Офисная","Кухонная"))</f>
        <v>Обувь</v>
      </c>
      <c r="K2537" s="12" t="n">
        <f aca="false">1000+MOD(A2537*317+A2537*A2537*7,49001)</f>
        <v>8049</v>
      </c>
      <c r="L2537" s="12" t="n">
        <f aca="false">1+MOD(A2537*131,100)</f>
        <v>17</v>
      </c>
      <c r="M2537" s="12" t="n">
        <f aca="false">INT(K2537*(0.6+MOD(A2537*43,21)/100))</f>
        <v>6117</v>
      </c>
      <c r="N2537" s="12" t="n">
        <f aca="false">K2537-M2537</f>
        <v>1932</v>
      </c>
    </row>
    <row r="2538" customFormat="false" ht="12.8" hidden="false" customHeight="false" outlineLevel="0" collapsed="false">
      <c r="A2538" s="10" t="n">
        <f aca="false">A2537+1</f>
        <v>2537</v>
      </c>
      <c r="B2538" s="11" t="n">
        <f aca="false">B2537+1</f>
        <v>47463</v>
      </c>
      <c r="C2538" s="10" t="n">
        <f aca="false">YEAR(B2538)</f>
        <v>2029</v>
      </c>
      <c r="D2538" s="10" t="n">
        <f aca="false">INT((MONTH(B2538)-1)/3)+1</f>
        <v>4</v>
      </c>
      <c r="E2538" s="10" t="n">
        <f aca="false">MONTH(B2538)</f>
        <v>12</v>
      </c>
      <c r="F2538" s="10" t="str">
        <f aca="false">CHOOSE(MOD(A2538-1,5)+1,"Центр","Юг","Север","Запад","Восток")</f>
        <v>Юг</v>
      </c>
      <c r="G2538" s="10" t="str">
        <f aca="false">"Округ_"&amp;(MOD(A2538-1,5)+1)&amp;"_"&amp;(MOD(INT((A2538-1)/5),5)+1)</f>
        <v>Округ_2_3</v>
      </c>
      <c r="H2538" s="10" t="str">
        <f aca="false">"Город_"&amp;(MOD(A2538-1,5)+1)&amp;"_"&amp;(MOD(INT((A2538-1)/5),5)+1)&amp;"_"&amp;(MOD(INT((A2538-1)/25),10)+1)</f>
        <v>Город_2_3_2</v>
      </c>
      <c r="I2538" s="10" t="str">
        <f aca="false">CHOOSE(MOD(A2538-1,4)+1,"Электроника","Одежда","Продукты","Мебель")</f>
        <v>Электроника</v>
      </c>
      <c r="J2538" s="10" t="str">
        <f aca="false">CHOOSE(MOD(INT((A2538-1)/4),4)+1,CHOOSE(MOD(A2538-1,4)+1,"Смартфоны","Ноутбуки","Аксессуары","Аудио"),CHOOSE(MOD(A2538-1,4)+1,"Верхняя одежда","Спортивная","Повседневная","Обувь"),CHOOSE(MOD(A2538-1,4)+1,"Молочные","Мясные","Бакалея","Напитки"),CHOOSE(MOD(A2538-1,4)+1,"Мягкая мебель","Корпусная","Офисная","Кухонная"))</f>
        <v>Молочные</v>
      </c>
      <c r="K2538" s="12" t="n">
        <f aca="false">1000+MOD(A2538*317+A2538*A2538*7,49001)</f>
        <v>43877</v>
      </c>
      <c r="L2538" s="12" t="n">
        <f aca="false">1+MOD(A2538*131,100)</f>
        <v>48</v>
      </c>
      <c r="M2538" s="12" t="n">
        <f aca="false">INT(K2538*(0.6+MOD(A2538*43,21)/100))</f>
        <v>33785</v>
      </c>
      <c r="N2538" s="12" t="n">
        <f aca="false">K2538-M2538</f>
        <v>10092</v>
      </c>
    </row>
    <row r="2539" customFormat="false" ht="12.8" hidden="false" customHeight="false" outlineLevel="0" collapsed="false">
      <c r="A2539" s="10" t="n">
        <f aca="false">A2538+1</f>
        <v>2538</v>
      </c>
      <c r="B2539" s="11" t="n">
        <f aca="false">B2538+1</f>
        <v>47464</v>
      </c>
      <c r="C2539" s="10" t="n">
        <f aca="false">YEAR(B2539)</f>
        <v>2029</v>
      </c>
      <c r="D2539" s="10" t="n">
        <f aca="false">INT((MONTH(B2539)-1)/3)+1</f>
        <v>4</v>
      </c>
      <c r="E2539" s="10" t="n">
        <f aca="false">MONTH(B2539)</f>
        <v>12</v>
      </c>
      <c r="F2539" s="10" t="str">
        <f aca="false">CHOOSE(MOD(A2539-1,5)+1,"Центр","Юг","Север","Запад","Восток")</f>
        <v>Север</v>
      </c>
      <c r="G2539" s="10" t="str">
        <f aca="false">"Округ_"&amp;(MOD(A2539-1,5)+1)&amp;"_"&amp;(MOD(INT((A2539-1)/5),5)+1)</f>
        <v>Округ_3_3</v>
      </c>
      <c r="H2539" s="10" t="str">
        <f aca="false">"Город_"&amp;(MOD(A2539-1,5)+1)&amp;"_"&amp;(MOD(INT((A2539-1)/5),5)+1)&amp;"_"&amp;(MOD(INT((A2539-1)/25),10)+1)</f>
        <v>Город_3_3_2</v>
      </c>
      <c r="I2539" s="10" t="str">
        <f aca="false">CHOOSE(MOD(A2539-1,4)+1,"Электроника","Одежда","Продукты","Мебель")</f>
        <v>Одежда</v>
      </c>
      <c r="J2539" s="10" t="str">
        <f aca="false">CHOOSE(MOD(INT((A2539-1)/4),4)+1,CHOOSE(MOD(A2539-1,4)+1,"Смартфоны","Ноутбуки","Аксессуары","Аудио"),CHOOSE(MOD(A2539-1,4)+1,"Верхняя одежда","Спортивная","Повседневная","Обувь"),CHOOSE(MOD(A2539-1,4)+1,"Молочные","Мясные","Бакалея","Напитки"),CHOOSE(MOD(A2539-1,4)+1,"Мягкая мебель","Корпусная","Офисная","Кухонная"))</f>
        <v>Мясные</v>
      </c>
      <c r="K2539" s="12" t="n">
        <f aca="false">1000+MOD(A2539*317+A2539*A2539*7,49001)</f>
        <v>30718</v>
      </c>
      <c r="L2539" s="12" t="n">
        <f aca="false">1+MOD(A2539*131,100)</f>
        <v>79</v>
      </c>
      <c r="M2539" s="12" t="n">
        <f aca="false">INT(K2539*(0.6+MOD(A2539*43,21)/100))</f>
        <v>23960</v>
      </c>
      <c r="N2539" s="12" t="n">
        <f aca="false">K2539-M2539</f>
        <v>6758</v>
      </c>
    </row>
    <row r="2540" customFormat="false" ht="12.8" hidden="false" customHeight="false" outlineLevel="0" collapsed="false">
      <c r="A2540" s="10" t="n">
        <f aca="false">A2539+1</f>
        <v>2539</v>
      </c>
      <c r="B2540" s="11" t="n">
        <f aca="false">B2539+1</f>
        <v>47465</v>
      </c>
      <c r="C2540" s="10" t="n">
        <f aca="false">YEAR(B2540)</f>
        <v>2029</v>
      </c>
      <c r="D2540" s="10" t="n">
        <f aca="false">INT((MONTH(B2540)-1)/3)+1</f>
        <v>4</v>
      </c>
      <c r="E2540" s="10" t="n">
        <f aca="false">MONTH(B2540)</f>
        <v>12</v>
      </c>
      <c r="F2540" s="10" t="str">
        <f aca="false">CHOOSE(MOD(A2540-1,5)+1,"Центр","Юг","Север","Запад","Восток")</f>
        <v>Запад</v>
      </c>
      <c r="G2540" s="10" t="str">
        <f aca="false">"Округ_"&amp;(MOD(A2540-1,5)+1)&amp;"_"&amp;(MOD(INT((A2540-1)/5),5)+1)</f>
        <v>Округ_4_3</v>
      </c>
      <c r="H2540" s="10" t="str">
        <f aca="false">"Город_"&amp;(MOD(A2540-1,5)+1)&amp;"_"&amp;(MOD(INT((A2540-1)/5),5)+1)&amp;"_"&amp;(MOD(INT((A2540-1)/25),10)+1)</f>
        <v>Город_4_3_2</v>
      </c>
      <c r="I2540" s="10" t="str">
        <f aca="false">CHOOSE(MOD(A2540-1,4)+1,"Электроника","Одежда","Продукты","Мебель")</f>
        <v>Продукты</v>
      </c>
      <c r="J2540" s="10" t="str">
        <f aca="false">CHOOSE(MOD(INT((A2540-1)/4),4)+1,CHOOSE(MOD(A2540-1,4)+1,"Смартфоны","Ноутбуки","Аксессуары","Аудио"),CHOOSE(MOD(A2540-1,4)+1,"Верхняя одежда","Спортивная","Повседневная","Обувь"),CHOOSE(MOD(A2540-1,4)+1,"Молочные","Мясные","Бакалея","Напитки"),CHOOSE(MOD(A2540-1,4)+1,"Мягкая мебель","Корпусная","Офисная","Кухонная"))</f>
        <v>Бакалея</v>
      </c>
      <c r="K2540" s="12" t="n">
        <f aca="false">1000+MOD(A2540*317+A2540*A2540*7,49001)</f>
        <v>17573</v>
      </c>
      <c r="L2540" s="12" t="n">
        <f aca="false">1+MOD(A2540*131,100)</f>
        <v>10</v>
      </c>
      <c r="M2540" s="12" t="n">
        <f aca="false">INT(K2540*(0.6+MOD(A2540*43,21)/100))</f>
        <v>13882</v>
      </c>
      <c r="N2540" s="12" t="n">
        <f aca="false">K2540-M2540</f>
        <v>3691</v>
      </c>
    </row>
    <row r="2541" customFormat="false" ht="12.8" hidden="false" customHeight="false" outlineLevel="0" collapsed="false">
      <c r="A2541" s="10" t="n">
        <f aca="false">A2540+1</f>
        <v>2540</v>
      </c>
      <c r="B2541" s="11" t="n">
        <f aca="false">B2540+1</f>
        <v>47466</v>
      </c>
      <c r="C2541" s="10" t="n">
        <f aca="false">YEAR(B2541)</f>
        <v>2029</v>
      </c>
      <c r="D2541" s="10" t="n">
        <f aca="false">INT((MONTH(B2541)-1)/3)+1</f>
        <v>4</v>
      </c>
      <c r="E2541" s="10" t="n">
        <f aca="false">MONTH(B2541)</f>
        <v>12</v>
      </c>
      <c r="F2541" s="10" t="str">
        <f aca="false">CHOOSE(MOD(A2541-1,5)+1,"Центр","Юг","Север","Запад","Восток")</f>
        <v>Восток</v>
      </c>
      <c r="G2541" s="10" t="str">
        <f aca="false">"Округ_"&amp;(MOD(A2541-1,5)+1)&amp;"_"&amp;(MOD(INT((A2541-1)/5),5)+1)</f>
        <v>Округ_5_3</v>
      </c>
      <c r="H2541" s="10" t="str">
        <f aca="false">"Город_"&amp;(MOD(A2541-1,5)+1)&amp;"_"&amp;(MOD(INT((A2541-1)/5),5)+1)&amp;"_"&amp;(MOD(INT((A2541-1)/25),10)+1)</f>
        <v>Город_5_3_2</v>
      </c>
      <c r="I2541" s="10" t="str">
        <f aca="false">CHOOSE(MOD(A2541-1,4)+1,"Электроника","Одежда","Продукты","Мебель")</f>
        <v>Мебель</v>
      </c>
      <c r="J2541" s="10" t="str">
        <f aca="false">CHOOSE(MOD(INT((A2541-1)/4),4)+1,CHOOSE(MOD(A2541-1,4)+1,"Смартфоны","Ноутбуки","Аксессуары","Аудио"),CHOOSE(MOD(A2541-1,4)+1,"Верхняя одежда","Спортивная","Повседневная","Обувь"),CHOOSE(MOD(A2541-1,4)+1,"Молочные","Мясные","Бакалея","Напитки"),CHOOSE(MOD(A2541-1,4)+1,"Мягкая мебель","Корпусная","Офисная","Кухонная"))</f>
        <v>Напитки</v>
      </c>
      <c r="K2541" s="12" t="n">
        <f aca="false">1000+MOD(A2541*317+A2541*A2541*7,49001)</f>
        <v>4442</v>
      </c>
      <c r="L2541" s="12" t="n">
        <f aca="false">1+MOD(A2541*131,100)</f>
        <v>41</v>
      </c>
      <c r="M2541" s="12" t="n">
        <f aca="false">INT(K2541*(0.6+MOD(A2541*43,21)/100))</f>
        <v>3553</v>
      </c>
      <c r="N2541" s="12" t="n">
        <f aca="false">K2541-M2541</f>
        <v>889</v>
      </c>
    </row>
    <row r="2542" customFormat="false" ht="12.8" hidden="false" customHeight="false" outlineLevel="0" collapsed="false">
      <c r="A2542" s="10" t="n">
        <f aca="false">A2541+1</f>
        <v>2541</v>
      </c>
      <c r="B2542" s="11" t="n">
        <f aca="false">B2541+1</f>
        <v>47467</v>
      </c>
      <c r="C2542" s="10" t="n">
        <f aca="false">YEAR(B2542)</f>
        <v>2029</v>
      </c>
      <c r="D2542" s="10" t="n">
        <f aca="false">INT((MONTH(B2542)-1)/3)+1</f>
        <v>4</v>
      </c>
      <c r="E2542" s="10" t="n">
        <f aca="false">MONTH(B2542)</f>
        <v>12</v>
      </c>
      <c r="F2542" s="10" t="str">
        <f aca="false">CHOOSE(MOD(A2542-1,5)+1,"Центр","Юг","Север","Запад","Восток")</f>
        <v>Центр</v>
      </c>
      <c r="G2542" s="10" t="str">
        <f aca="false">"Округ_"&amp;(MOD(A2542-1,5)+1)&amp;"_"&amp;(MOD(INT((A2542-1)/5),5)+1)</f>
        <v>Округ_1_4</v>
      </c>
      <c r="H2542" s="10" t="str">
        <f aca="false">"Город_"&amp;(MOD(A2542-1,5)+1)&amp;"_"&amp;(MOD(INT((A2542-1)/5),5)+1)&amp;"_"&amp;(MOD(INT((A2542-1)/25),10)+1)</f>
        <v>Город_1_4_2</v>
      </c>
      <c r="I2542" s="10" t="str">
        <f aca="false">CHOOSE(MOD(A2542-1,4)+1,"Электроника","Одежда","Продукты","Мебель")</f>
        <v>Электроника</v>
      </c>
      <c r="J2542" s="10" t="str">
        <f aca="false">CHOOSE(MOD(INT((A2542-1)/4),4)+1,CHOOSE(MOD(A2542-1,4)+1,"Смартфоны","Ноутбуки","Аксессуары","Аудио"),CHOOSE(MOD(A2542-1,4)+1,"Верхняя одежда","Спортивная","Повседневная","Обувь"),CHOOSE(MOD(A2542-1,4)+1,"Молочные","Мясные","Бакалея","Напитки"),CHOOSE(MOD(A2542-1,4)+1,"Мягкая мебель","Корпусная","Офисная","Кухонная"))</f>
        <v>Мягкая мебель</v>
      </c>
      <c r="K2542" s="12" t="n">
        <f aca="false">1000+MOD(A2542*317+A2542*A2542*7,49001)</f>
        <v>40326</v>
      </c>
      <c r="L2542" s="12" t="n">
        <f aca="false">1+MOD(A2542*131,100)</f>
        <v>72</v>
      </c>
      <c r="M2542" s="12" t="n">
        <f aca="false">INT(K2542*(0.6+MOD(A2542*43,21)/100))</f>
        <v>24195</v>
      </c>
      <c r="N2542" s="12" t="n">
        <f aca="false">K2542-M2542</f>
        <v>16131</v>
      </c>
    </row>
    <row r="2543" customFormat="false" ht="12.8" hidden="false" customHeight="false" outlineLevel="0" collapsed="false">
      <c r="A2543" s="10" t="n">
        <f aca="false">A2542+1</f>
        <v>2542</v>
      </c>
      <c r="B2543" s="11" t="n">
        <f aca="false">B2542+1</f>
        <v>47468</v>
      </c>
      <c r="C2543" s="10" t="n">
        <f aca="false">YEAR(B2543)</f>
        <v>2029</v>
      </c>
      <c r="D2543" s="10" t="n">
        <f aca="false">INT((MONTH(B2543)-1)/3)+1</f>
        <v>4</v>
      </c>
      <c r="E2543" s="10" t="n">
        <f aca="false">MONTH(B2543)</f>
        <v>12</v>
      </c>
      <c r="F2543" s="10" t="str">
        <f aca="false">CHOOSE(MOD(A2543-1,5)+1,"Центр","Юг","Север","Запад","Восток")</f>
        <v>Юг</v>
      </c>
      <c r="G2543" s="10" t="str">
        <f aca="false">"Округ_"&amp;(MOD(A2543-1,5)+1)&amp;"_"&amp;(MOD(INT((A2543-1)/5),5)+1)</f>
        <v>Округ_2_4</v>
      </c>
      <c r="H2543" s="10" t="str">
        <f aca="false">"Город_"&amp;(MOD(A2543-1,5)+1)&amp;"_"&amp;(MOD(INT((A2543-1)/5),5)+1)&amp;"_"&amp;(MOD(INT((A2543-1)/25),10)+1)</f>
        <v>Город_2_4_2</v>
      </c>
      <c r="I2543" s="10" t="str">
        <f aca="false">CHOOSE(MOD(A2543-1,4)+1,"Электроника","Одежда","Продукты","Мебель")</f>
        <v>Одежда</v>
      </c>
      <c r="J2543" s="10" t="str">
        <f aca="false">CHOOSE(MOD(INT((A2543-1)/4),4)+1,CHOOSE(MOD(A2543-1,4)+1,"Смартфоны","Ноутбуки","Аксессуары","Аудио"),CHOOSE(MOD(A2543-1,4)+1,"Верхняя одежда","Спортивная","Повседневная","Обувь"),CHOOSE(MOD(A2543-1,4)+1,"Молочные","Мясные","Бакалея","Напитки"),CHOOSE(MOD(A2543-1,4)+1,"Мягкая мебель","Корпусная","Офисная","Кухонная"))</f>
        <v>Корпусная</v>
      </c>
      <c r="K2543" s="12" t="n">
        <f aca="false">1000+MOD(A2543*317+A2543*A2543*7,49001)</f>
        <v>27223</v>
      </c>
      <c r="L2543" s="12" t="n">
        <f aca="false">1+MOD(A2543*131,100)</f>
        <v>3</v>
      </c>
      <c r="M2543" s="12" t="n">
        <f aca="false">INT(K2543*(0.6+MOD(A2543*43,21)/100))</f>
        <v>16606</v>
      </c>
      <c r="N2543" s="12" t="n">
        <f aca="false">K2543-M2543</f>
        <v>10617</v>
      </c>
    </row>
    <row r="2544" customFormat="false" ht="12.8" hidden="false" customHeight="false" outlineLevel="0" collapsed="false">
      <c r="A2544" s="10" t="n">
        <f aca="false">A2543+1</f>
        <v>2543</v>
      </c>
      <c r="B2544" s="11" t="n">
        <f aca="false">B2543+1</f>
        <v>47469</v>
      </c>
      <c r="C2544" s="10" t="n">
        <f aca="false">YEAR(B2544)</f>
        <v>2029</v>
      </c>
      <c r="D2544" s="10" t="n">
        <f aca="false">INT((MONTH(B2544)-1)/3)+1</f>
        <v>4</v>
      </c>
      <c r="E2544" s="10" t="n">
        <f aca="false">MONTH(B2544)</f>
        <v>12</v>
      </c>
      <c r="F2544" s="10" t="str">
        <f aca="false">CHOOSE(MOD(A2544-1,5)+1,"Центр","Юг","Север","Запад","Восток")</f>
        <v>Север</v>
      </c>
      <c r="G2544" s="10" t="str">
        <f aca="false">"Округ_"&amp;(MOD(A2544-1,5)+1)&amp;"_"&amp;(MOD(INT((A2544-1)/5),5)+1)</f>
        <v>Округ_3_4</v>
      </c>
      <c r="H2544" s="10" t="str">
        <f aca="false">"Город_"&amp;(MOD(A2544-1,5)+1)&amp;"_"&amp;(MOD(INT((A2544-1)/5),5)+1)&amp;"_"&amp;(MOD(INT((A2544-1)/25),10)+1)</f>
        <v>Город_3_4_2</v>
      </c>
      <c r="I2544" s="10" t="str">
        <f aca="false">CHOOSE(MOD(A2544-1,4)+1,"Электроника","Одежда","Продукты","Мебель")</f>
        <v>Продукты</v>
      </c>
      <c r="J2544" s="10" t="str">
        <f aca="false">CHOOSE(MOD(INT((A2544-1)/4),4)+1,CHOOSE(MOD(A2544-1,4)+1,"Смартфоны","Ноутбуки","Аксессуары","Аудио"),CHOOSE(MOD(A2544-1,4)+1,"Верхняя одежда","Спортивная","Повседневная","Обувь"),CHOOSE(MOD(A2544-1,4)+1,"Молочные","Мясные","Бакалея","Напитки"),CHOOSE(MOD(A2544-1,4)+1,"Мягкая мебель","Корпусная","Офисная","Кухонная"))</f>
        <v>Офисная</v>
      </c>
      <c r="K2544" s="12" t="n">
        <f aca="false">1000+MOD(A2544*317+A2544*A2544*7,49001)</f>
        <v>14134</v>
      </c>
      <c r="L2544" s="12" t="n">
        <f aca="false">1+MOD(A2544*131,100)</f>
        <v>34</v>
      </c>
      <c r="M2544" s="12" t="n">
        <f aca="false">INT(K2544*(0.6+MOD(A2544*43,21)/100))</f>
        <v>8763</v>
      </c>
      <c r="N2544" s="12" t="n">
        <f aca="false">K2544-M2544</f>
        <v>5371</v>
      </c>
    </row>
    <row r="2545" customFormat="false" ht="12.8" hidden="false" customHeight="false" outlineLevel="0" collapsed="false">
      <c r="A2545" s="10" t="n">
        <f aca="false">A2544+1</f>
        <v>2544</v>
      </c>
      <c r="B2545" s="11" t="n">
        <f aca="false">B2544+1</f>
        <v>47470</v>
      </c>
      <c r="C2545" s="10" t="n">
        <f aca="false">YEAR(B2545)</f>
        <v>2029</v>
      </c>
      <c r="D2545" s="10" t="n">
        <f aca="false">INT((MONTH(B2545)-1)/3)+1</f>
        <v>4</v>
      </c>
      <c r="E2545" s="10" t="n">
        <f aca="false">MONTH(B2545)</f>
        <v>12</v>
      </c>
      <c r="F2545" s="10" t="str">
        <f aca="false">CHOOSE(MOD(A2545-1,5)+1,"Центр","Юг","Север","Запад","Восток")</f>
        <v>Запад</v>
      </c>
      <c r="G2545" s="10" t="str">
        <f aca="false">"Округ_"&amp;(MOD(A2545-1,5)+1)&amp;"_"&amp;(MOD(INT((A2545-1)/5),5)+1)</f>
        <v>Округ_4_4</v>
      </c>
      <c r="H2545" s="10" t="str">
        <f aca="false">"Город_"&amp;(MOD(A2545-1,5)+1)&amp;"_"&amp;(MOD(INT((A2545-1)/5),5)+1)&amp;"_"&amp;(MOD(INT((A2545-1)/25),10)+1)</f>
        <v>Город_4_4_2</v>
      </c>
      <c r="I2545" s="10" t="str">
        <f aca="false">CHOOSE(MOD(A2545-1,4)+1,"Электроника","Одежда","Продукты","Мебель")</f>
        <v>Мебель</v>
      </c>
      <c r="J2545" s="10" t="str">
        <f aca="false">CHOOSE(MOD(INT((A2545-1)/4),4)+1,CHOOSE(MOD(A2545-1,4)+1,"Смартфоны","Ноутбуки","Аксессуары","Аудио"),CHOOSE(MOD(A2545-1,4)+1,"Верхняя одежда","Спортивная","Повседневная","Обувь"),CHOOSE(MOD(A2545-1,4)+1,"Молочные","Мясные","Бакалея","Напитки"),CHOOSE(MOD(A2545-1,4)+1,"Мягкая мебель","Корпусная","Офисная","Кухонная"))</f>
        <v>Кухонная</v>
      </c>
      <c r="K2545" s="12" t="n">
        <f aca="false">1000+MOD(A2545*317+A2545*A2545*7,49001)</f>
        <v>1059</v>
      </c>
      <c r="L2545" s="12" t="n">
        <f aca="false">1+MOD(A2545*131,100)</f>
        <v>65</v>
      </c>
      <c r="M2545" s="12" t="n">
        <f aca="false">INT(K2545*(0.6+MOD(A2545*43,21)/100))</f>
        <v>667</v>
      </c>
      <c r="N2545" s="12" t="n">
        <f aca="false">K2545-M2545</f>
        <v>392</v>
      </c>
    </row>
    <row r="2546" customFormat="false" ht="12.8" hidden="false" customHeight="false" outlineLevel="0" collapsed="false">
      <c r="A2546" s="10" t="n">
        <f aca="false">A2545+1</f>
        <v>2545</v>
      </c>
      <c r="B2546" s="11" t="n">
        <f aca="false">B2545+1</f>
        <v>47471</v>
      </c>
      <c r="C2546" s="10" t="n">
        <f aca="false">YEAR(B2546)</f>
        <v>2029</v>
      </c>
      <c r="D2546" s="10" t="n">
        <f aca="false">INT((MONTH(B2546)-1)/3)+1</f>
        <v>4</v>
      </c>
      <c r="E2546" s="10" t="n">
        <f aca="false">MONTH(B2546)</f>
        <v>12</v>
      </c>
      <c r="F2546" s="10" t="str">
        <f aca="false">CHOOSE(MOD(A2546-1,5)+1,"Центр","Юг","Север","Запад","Восток")</f>
        <v>Восток</v>
      </c>
      <c r="G2546" s="10" t="str">
        <f aca="false">"Округ_"&amp;(MOD(A2546-1,5)+1)&amp;"_"&amp;(MOD(INT((A2546-1)/5),5)+1)</f>
        <v>Округ_5_4</v>
      </c>
      <c r="H2546" s="10" t="str">
        <f aca="false">"Город_"&amp;(MOD(A2546-1,5)+1)&amp;"_"&amp;(MOD(INT((A2546-1)/5),5)+1)&amp;"_"&amp;(MOD(INT((A2546-1)/25),10)+1)</f>
        <v>Город_5_4_2</v>
      </c>
      <c r="I2546" s="10" t="str">
        <f aca="false">CHOOSE(MOD(A2546-1,4)+1,"Электроника","Одежда","Продукты","Мебель")</f>
        <v>Электроника</v>
      </c>
      <c r="J2546" s="10" t="str">
        <f aca="false">CHOOSE(MOD(INT((A2546-1)/4),4)+1,CHOOSE(MOD(A2546-1,4)+1,"Смартфоны","Ноутбуки","Аксессуары","Аудио"),CHOOSE(MOD(A2546-1,4)+1,"Верхняя одежда","Спортивная","Повседневная","Обувь"),CHOOSE(MOD(A2546-1,4)+1,"Молочные","Мясные","Бакалея","Напитки"),CHOOSE(MOD(A2546-1,4)+1,"Мягкая мебель","Корпусная","Офисная","Кухонная"))</f>
        <v>Смартфоны</v>
      </c>
      <c r="K2546" s="12" t="n">
        <f aca="false">1000+MOD(A2546*317+A2546*A2546*7,49001)</f>
        <v>36999</v>
      </c>
      <c r="L2546" s="12" t="n">
        <f aca="false">1+MOD(A2546*131,100)</f>
        <v>96</v>
      </c>
      <c r="M2546" s="12" t="n">
        <f aca="false">INT(K2546*(0.6+MOD(A2546*43,21)/100))</f>
        <v>23679</v>
      </c>
      <c r="N2546" s="12" t="n">
        <f aca="false">K2546-M2546</f>
        <v>13320</v>
      </c>
    </row>
    <row r="2547" customFormat="false" ht="12.8" hidden="false" customHeight="false" outlineLevel="0" collapsed="false">
      <c r="A2547" s="10" t="n">
        <f aca="false">A2546+1</f>
        <v>2546</v>
      </c>
      <c r="B2547" s="11" t="n">
        <f aca="false">B2546+1</f>
        <v>47472</v>
      </c>
      <c r="C2547" s="10" t="n">
        <f aca="false">YEAR(B2547)</f>
        <v>2029</v>
      </c>
      <c r="D2547" s="10" t="n">
        <f aca="false">INT((MONTH(B2547)-1)/3)+1</f>
        <v>4</v>
      </c>
      <c r="E2547" s="10" t="n">
        <f aca="false">MONTH(B2547)</f>
        <v>12</v>
      </c>
      <c r="F2547" s="10" t="str">
        <f aca="false">CHOOSE(MOD(A2547-1,5)+1,"Центр","Юг","Север","Запад","Восток")</f>
        <v>Центр</v>
      </c>
      <c r="G2547" s="10" t="str">
        <f aca="false">"Округ_"&amp;(MOD(A2547-1,5)+1)&amp;"_"&amp;(MOD(INT((A2547-1)/5),5)+1)</f>
        <v>Округ_1_5</v>
      </c>
      <c r="H2547" s="10" t="str">
        <f aca="false">"Город_"&amp;(MOD(A2547-1,5)+1)&amp;"_"&amp;(MOD(INT((A2547-1)/5),5)+1)&amp;"_"&amp;(MOD(INT((A2547-1)/25),10)+1)</f>
        <v>Город_1_5_2</v>
      </c>
      <c r="I2547" s="10" t="str">
        <f aca="false">CHOOSE(MOD(A2547-1,4)+1,"Электроника","Одежда","Продукты","Мебель")</f>
        <v>Одежда</v>
      </c>
      <c r="J2547" s="10" t="str">
        <f aca="false">CHOOSE(MOD(INT((A2547-1)/4),4)+1,CHOOSE(MOD(A2547-1,4)+1,"Смартфоны","Ноутбуки","Аксессуары","Аудио"),CHOOSE(MOD(A2547-1,4)+1,"Верхняя одежда","Спортивная","Повседневная","Обувь"),CHOOSE(MOD(A2547-1,4)+1,"Молочные","Мясные","Бакалея","Напитки"),CHOOSE(MOD(A2547-1,4)+1,"Мягкая мебель","Корпусная","Офисная","Кухонная"))</f>
        <v>Ноутбуки</v>
      </c>
      <c r="K2547" s="12" t="n">
        <f aca="false">1000+MOD(A2547*317+A2547*A2547*7,49001)</f>
        <v>23952</v>
      </c>
      <c r="L2547" s="12" t="n">
        <f aca="false">1+MOD(A2547*131,100)</f>
        <v>27</v>
      </c>
      <c r="M2547" s="12" t="n">
        <f aca="false">INT(K2547*(0.6+MOD(A2547*43,21)/100))</f>
        <v>15568</v>
      </c>
      <c r="N2547" s="12" t="n">
        <f aca="false">K2547-M2547</f>
        <v>8384</v>
      </c>
    </row>
    <row r="2548" customFormat="false" ht="12.8" hidden="false" customHeight="false" outlineLevel="0" collapsed="false">
      <c r="A2548" s="10" t="n">
        <f aca="false">A2547+1</f>
        <v>2547</v>
      </c>
      <c r="B2548" s="11" t="n">
        <f aca="false">B2547+1</f>
        <v>47473</v>
      </c>
      <c r="C2548" s="10" t="n">
        <f aca="false">YEAR(B2548)</f>
        <v>2029</v>
      </c>
      <c r="D2548" s="10" t="n">
        <f aca="false">INT((MONTH(B2548)-1)/3)+1</f>
        <v>4</v>
      </c>
      <c r="E2548" s="10" t="n">
        <f aca="false">MONTH(B2548)</f>
        <v>12</v>
      </c>
      <c r="F2548" s="10" t="str">
        <f aca="false">CHOOSE(MOD(A2548-1,5)+1,"Центр","Юг","Север","Запад","Восток")</f>
        <v>Юг</v>
      </c>
      <c r="G2548" s="10" t="str">
        <f aca="false">"Округ_"&amp;(MOD(A2548-1,5)+1)&amp;"_"&amp;(MOD(INT((A2548-1)/5),5)+1)</f>
        <v>Округ_2_5</v>
      </c>
      <c r="H2548" s="10" t="str">
        <f aca="false">"Город_"&amp;(MOD(A2548-1,5)+1)&amp;"_"&amp;(MOD(INT((A2548-1)/5),5)+1)&amp;"_"&amp;(MOD(INT((A2548-1)/25),10)+1)</f>
        <v>Город_2_5_2</v>
      </c>
      <c r="I2548" s="10" t="str">
        <f aca="false">CHOOSE(MOD(A2548-1,4)+1,"Электроника","Одежда","Продукты","Мебель")</f>
        <v>Продукты</v>
      </c>
      <c r="J2548" s="10" t="str">
        <f aca="false">CHOOSE(MOD(INT((A2548-1)/4),4)+1,CHOOSE(MOD(A2548-1,4)+1,"Смартфоны","Ноутбуки","Аксессуары","Аудио"),CHOOSE(MOD(A2548-1,4)+1,"Верхняя одежда","Спортивная","Повседневная","Обувь"),CHOOSE(MOD(A2548-1,4)+1,"Молочные","Мясные","Бакалея","Напитки"),CHOOSE(MOD(A2548-1,4)+1,"Мягкая мебель","Корпусная","Офисная","Кухонная"))</f>
        <v>Аксессуары</v>
      </c>
      <c r="K2548" s="12" t="n">
        <f aca="false">1000+MOD(A2548*317+A2548*A2548*7,49001)</f>
        <v>10919</v>
      </c>
      <c r="L2548" s="12" t="n">
        <f aca="false">1+MOD(A2548*131,100)</f>
        <v>58</v>
      </c>
      <c r="M2548" s="12" t="n">
        <f aca="false">INT(K2548*(0.6+MOD(A2548*43,21)/100))</f>
        <v>7206</v>
      </c>
      <c r="N2548" s="12" t="n">
        <f aca="false">K2548-M2548</f>
        <v>3713</v>
      </c>
    </row>
    <row r="2549" customFormat="false" ht="12.8" hidden="false" customHeight="false" outlineLevel="0" collapsed="false">
      <c r="A2549" s="10" t="n">
        <f aca="false">A2548+1</f>
        <v>2548</v>
      </c>
      <c r="B2549" s="11" t="n">
        <f aca="false">B2548+1</f>
        <v>47474</v>
      </c>
      <c r="C2549" s="10" t="n">
        <f aca="false">YEAR(B2549)</f>
        <v>2029</v>
      </c>
      <c r="D2549" s="10" t="n">
        <f aca="false">INT((MONTH(B2549)-1)/3)+1</f>
        <v>4</v>
      </c>
      <c r="E2549" s="10" t="n">
        <f aca="false">MONTH(B2549)</f>
        <v>12</v>
      </c>
      <c r="F2549" s="10" t="str">
        <f aca="false">CHOOSE(MOD(A2549-1,5)+1,"Центр","Юг","Север","Запад","Восток")</f>
        <v>Север</v>
      </c>
      <c r="G2549" s="10" t="str">
        <f aca="false">"Округ_"&amp;(MOD(A2549-1,5)+1)&amp;"_"&amp;(MOD(INT((A2549-1)/5),5)+1)</f>
        <v>Округ_3_5</v>
      </c>
      <c r="H2549" s="10" t="str">
        <f aca="false">"Город_"&amp;(MOD(A2549-1,5)+1)&amp;"_"&amp;(MOD(INT((A2549-1)/5),5)+1)&amp;"_"&amp;(MOD(INT((A2549-1)/25),10)+1)</f>
        <v>Город_3_5_2</v>
      </c>
      <c r="I2549" s="10" t="str">
        <f aca="false">CHOOSE(MOD(A2549-1,4)+1,"Электроника","Одежда","Продукты","Мебель")</f>
        <v>Мебель</v>
      </c>
      <c r="J2549" s="10" t="str">
        <f aca="false">CHOOSE(MOD(INT((A2549-1)/4),4)+1,CHOOSE(MOD(A2549-1,4)+1,"Смартфоны","Ноутбуки","Аксессуары","Аудио"),CHOOSE(MOD(A2549-1,4)+1,"Верхняя одежда","Спортивная","Повседневная","Обувь"),CHOOSE(MOD(A2549-1,4)+1,"Молочные","Мясные","Бакалея","Напитки"),CHOOSE(MOD(A2549-1,4)+1,"Мягкая мебель","Корпусная","Офисная","Кухонная"))</f>
        <v>Аудио</v>
      </c>
      <c r="K2549" s="12" t="n">
        <f aca="false">1000+MOD(A2549*317+A2549*A2549*7,49001)</f>
        <v>46901</v>
      </c>
      <c r="L2549" s="12" t="n">
        <f aca="false">1+MOD(A2549*131,100)</f>
        <v>89</v>
      </c>
      <c r="M2549" s="12" t="n">
        <f aca="false">INT(K2549*(0.6+MOD(A2549*43,21)/100))</f>
        <v>31423</v>
      </c>
      <c r="N2549" s="12" t="n">
        <f aca="false">K2549-M2549</f>
        <v>15478</v>
      </c>
    </row>
    <row r="2550" customFormat="false" ht="12.8" hidden="false" customHeight="false" outlineLevel="0" collapsed="false">
      <c r="A2550" s="10" t="n">
        <f aca="false">A2549+1</f>
        <v>2549</v>
      </c>
      <c r="B2550" s="11" t="n">
        <f aca="false">B2549+1</f>
        <v>47475</v>
      </c>
      <c r="C2550" s="10" t="n">
        <f aca="false">YEAR(B2550)</f>
        <v>2029</v>
      </c>
      <c r="D2550" s="10" t="n">
        <f aca="false">INT((MONTH(B2550)-1)/3)+1</f>
        <v>4</v>
      </c>
      <c r="E2550" s="10" t="n">
        <f aca="false">MONTH(B2550)</f>
        <v>12</v>
      </c>
      <c r="F2550" s="10" t="str">
        <f aca="false">CHOOSE(MOD(A2550-1,5)+1,"Центр","Юг","Север","Запад","Восток")</f>
        <v>Запад</v>
      </c>
      <c r="G2550" s="10" t="str">
        <f aca="false">"Округ_"&amp;(MOD(A2550-1,5)+1)&amp;"_"&amp;(MOD(INT((A2550-1)/5),5)+1)</f>
        <v>Округ_4_5</v>
      </c>
      <c r="H2550" s="10" t="str">
        <f aca="false">"Город_"&amp;(MOD(A2550-1,5)+1)&amp;"_"&amp;(MOD(INT((A2550-1)/5),5)+1)&amp;"_"&amp;(MOD(INT((A2550-1)/25),10)+1)</f>
        <v>Город_4_5_2</v>
      </c>
      <c r="I2550" s="10" t="str">
        <f aca="false">CHOOSE(MOD(A2550-1,4)+1,"Электроника","Одежда","Продукты","Мебель")</f>
        <v>Электроника</v>
      </c>
      <c r="J2550" s="10" t="str">
        <f aca="false">CHOOSE(MOD(INT((A2550-1)/4),4)+1,CHOOSE(MOD(A2550-1,4)+1,"Смартфоны","Ноутбуки","Аксессуары","Аудио"),CHOOSE(MOD(A2550-1,4)+1,"Верхняя одежда","Спортивная","Повседневная","Обувь"),CHOOSE(MOD(A2550-1,4)+1,"Молочные","Мясные","Бакалея","Напитки"),CHOOSE(MOD(A2550-1,4)+1,"Мягкая мебель","Корпусная","Офисная","Кухонная"))</f>
        <v>Верхняя одежда</v>
      </c>
      <c r="K2550" s="12" t="n">
        <f aca="false">1000+MOD(A2550*317+A2550*A2550*7,49001)</f>
        <v>33896</v>
      </c>
      <c r="L2550" s="12" t="n">
        <f aca="false">1+MOD(A2550*131,100)</f>
        <v>20</v>
      </c>
      <c r="M2550" s="12" t="n">
        <f aca="false">INT(K2550*(0.6+MOD(A2550*43,21)/100))</f>
        <v>23049</v>
      </c>
      <c r="N2550" s="12" t="n">
        <f aca="false">K2550-M2550</f>
        <v>10847</v>
      </c>
    </row>
    <row r="2551" customFormat="false" ht="12.8" hidden="false" customHeight="false" outlineLevel="0" collapsed="false">
      <c r="A2551" s="0"/>
      <c r="B2551" s="0"/>
      <c r="C2551" s="0"/>
      <c r="D2551" s="0"/>
      <c r="E2551" s="0"/>
      <c r="F2551" s="0"/>
      <c r="G2551" s="0"/>
      <c r="H2551" s="0"/>
      <c r="I2551" s="0"/>
      <c r="J2551" s="0"/>
      <c r="K2551" s="0"/>
      <c r="L2551" s="0"/>
      <c r="M2551" s="0"/>
      <c r="N2551" s="0"/>
    </row>
    <row r="2552" customFormat="false" ht="12.8" hidden="false" customHeight="false" outlineLevel="0" collapsed="false">
      <c r="A2552" s="0"/>
      <c r="B2552" s="0"/>
      <c r="C2552" s="0"/>
      <c r="D2552" s="0"/>
      <c r="E2552" s="0"/>
      <c r="F2552" s="0"/>
      <c r="G2552" s="0"/>
      <c r="H2552" s="0"/>
      <c r="I2552" s="0"/>
      <c r="J2552" s="0"/>
      <c r="K2552" s="0"/>
      <c r="L2552" s="0"/>
      <c r="M2552" s="0"/>
      <c r="N2552" s="0"/>
    </row>
    <row r="2553" customFormat="false" ht="12.8" hidden="false" customHeight="false" outlineLevel="0" collapsed="false">
      <c r="A2553" s="0"/>
      <c r="B2553" s="0"/>
      <c r="C2553" s="0"/>
      <c r="D2553" s="0"/>
      <c r="E2553" s="0"/>
      <c r="F2553" s="0"/>
      <c r="G2553" s="0"/>
      <c r="H2553" s="0"/>
      <c r="I2553" s="0"/>
      <c r="J2553" s="0"/>
      <c r="K2553" s="0"/>
      <c r="L2553" s="0"/>
      <c r="M2553" s="0"/>
      <c r="N2553" s="0"/>
    </row>
    <row r="2554" customFormat="false" ht="12.8" hidden="false" customHeight="false" outlineLevel="0" collapsed="false">
      <c r="A2554" s="0"/>
      <c r="B2554" s="0"/>
      <c r="C2554" s="0"/>
      <c r="D2554" s="0"/>
      <c r="E2554" s="0"/>
      <c r="F2554" s="0"/>
      <c r="G2554" s="0"/>
      <c r="H2554" s="0"/>
      <c r="I2554" s="0"/>
      <c r="J2554" s="0"/>
      <c r="K2554" s="0"/>
      <c r="L2554" s="0"/>
      <c r="M2554" s="0"/>
      <c r="N2554" s="0"/>
    </row>
    <row r="2555" customFormat="false" ht="12.8" hidden="false" customHeight="false" outlineLevel="0" collapsed="false">
      <c r="A2555" s="0"/>
      <c r="B2555" s="0"/>
      <c r="C2555" s="0"/>
      <c r="D2555" s="0"/>
      <c r="E2555" s="0"/>
      <c r="F2555" s="0"/>
      <c r="G2555" s="0"/>
      <c r="H2555" s="0"/>
      <c r="I2555" s="0"/>
      <c r="J2555" s="0"/>
      <c r="K2555" s="0"/>
      <c r="L2555" s="0"/>
      <c r="M2555" s="0"/>
      <c r="N2555" s="0"/>
    </row>
    <row r="2556" customFormat="false" ht="12.8" hidden="false" customHeight="false" outlineLevel="0" collapsed="false">
      <c r="A2556" s="0"/>
      <c r="B2556" s="0"/>
      <c r="C2556" s="0"/>
      <c r="D2556" s="0"/>
      <c r="E2556" s="0"/>
      <c r="F2556" s="0"/>
      <c r="G2556" s="0"/>
      <c r="H2556" s="0"/>
      <c r="I2556" s="0"/>
      <c r="J2556" s="0"/>
      <c r="K2556" s="0"/>
      <c r="L2556" s="0"/>
      <c r="M2556" s="0"/>
      <c r="N2556" s="0"/>
    </row>
    <row r="2557" customFormat="false" ht="12.8" hidden="false" customHeight="false" outlineLevel="0" collapsed="false">
      <c r="A2557" s="0"/>
      <c r="B2557" s="0"/>
      <c r="C2557" s="0"/>
      <c r="D2557" s="0"/>
      <c r="E2557" s="0"/>
      <c r="F2557" s="0"/>
      <c r="G2557" s="0"/>
      <c r="H2557" s="0"/>
      <c r="I2557" s="0"/>
      <c r="J2557" s="0"/>
      <c r="K2557" s="0"/>
      <c r="L2557" s="0"/>
      <c r="M2557" s="0"/>
      <c r="N2557" s="0"/>
    </row>
    <row r="2558" customFormat="false" ht="12.8" hidden="false" customHeight="false" outlineLevel="0" collapsed="false">
      <c r="A2558" s="0"/>
      <c r="B2558" s="0"/>
      <c r="C2558" s="0"/>
      <c r="D2558" s="0"/>
      <c r="E2558" s="0"/>
      <c r="F2558" s="0"/>
      <c r="G2558" s="0"/>
      <c r="H2558" s="0"/>
      <c r="I2558" s="0"/>
      <c r="J2558" s="0"/>
      <c r="K2558" s="0"/>
      <c r="L2558" s="0"/>
      <c r="M2558" s="0"/>
      <c r="N2558" s="0"/>
    </row>
    <row r="2559" customFormat="false" ht="12.8" hidden="false" customHeight="false" outlineLevel="0" collapsed="false">
      <c r="A2559" s="0"/>
      <c r="B2559" s="0"/>
      <c r="C2559" s="0"/>
      <c r="D2559" s="0"/>
      <c r="E2559" s="0"/>
      <c r="F2559" s="0"/>
      <c r="G2559" s="0"/>
      <c r="H2559" s="0"/>
      <c r="I2559" s="0"/>
      <c r="J2559" s="0"/>
      <c r="K2559" s="0"/>
      <c r="L2559" s="0"/>
      <c r="M2559" s="0"/>
      <c r="N2559" s="0"/>
    </row>
    <row r="2560" customFormat="false" ht="12.8" hidden="false" customHeight="false" outlineLevel="0" collapsed="false">
      <c r="A2560" s="0"/>
      <c r="B2560" s="0"/>
      <c r="C2560" s="0"/>
      <c r="D2560" s="0"/>
      <c r="E2560" s="0"/>
      <c r="F2560" s="0"/>
      <c r="G2560" s="0"/>
      <c r="H2560" s="0"/>
      <c r="I2560" s="0"/>
      <c r="J2560" s="0"/>
      <c r="K2560" s="0"/>
      <c r="L2560" s="0"/>
      <c r="M2560" s="0"/>
      <c r="N2560" s="0"/>
    </row>
    <row r="2561" customFormat="false" ht="12.8" hidden="false" customHeight="false" outlineLevel="0" collapsed="false">
      <c r="A2561" s="0"/>
      <c r="B2561" s="0"/>
      <c r="C2561" s="0"/>
      <c r="D2561" s="0"/>
      <c r="E2561" s="0"/>
      <c r="F2561" s="0"/>
      <c r="G2561" s="0"/>
      <c r="H2561" s="0"/>
      <c r="I2561" s="0"/>
      <c r="J2561" s="0"/>
      <c r="K2561" s="0"/>
      <c r="L2561" s="0"/>
      <c r="M2561" s="0"/>
      <c r="N2561" s="0"/>
    </row>
    <row r="2562" customFormat="false" ht="12.8" hidden="false" customHeight="false" outlineLevel="0" collapsed="false">
      <c r="A2562" s="0"/>
      <c r="B2562" s="0"/>
      <c r="C2562" s="0"/>
      <c r="D2562" s="0"/>
      <c r="E2562" s="0"/>
      <c r="F2562" s="0"/>
      <c r="G2562" s="0"/>
      <c r="H2562" s="0"/>
      <c r="I2562" s="0"/>
      <c r="J2562" s="0"/>
      <c r="K2562" s="0"/>
      <c r="L2562" s="0"/>
      <c r="M2562" s="0"/>
      <c r="N2562" s="0"/>
    </row>
    <row r="2563" customFormat="false" ht="12.8" hidden="false" customHeight="false" outlineLevel="0" collapsed="false">
      <c r="A2563" s="0"/>
      <c r="B2563" s="0"/>
      <c r="C2563" s="0"/>
      <c r="D2563" s="0"/>
      <c r="E2563" s="0"/>
      <c r="F2563" s="0"/>
      <c r="G2563" s="0"/>
      <c r="H2563" s="0"/>
      <c r="I2563" s="0"/>
      <c r="J2563" s="0"/>
      <c r="K2563" s="0"/>
      <c r="L2563" s="0"/>
      <c r="M2563" s="0"/>
      <c r="N2563" s="0"/>
    </row>
    <row r="2564" customFormat="false" ht="12.8" hidden="false" customHeight="false" outlineLevel="0" collapsed="false">
      <c r="A2564" s="0"/>
      <c r="B2564" s="0"/>
      <c r="C2564" s="0"/>
      <c r="D2564" s="0"/>
      <c r="E2564" s="0"/>
      <c r="F2564" s="0"/>
      <c r="G2564" s="0"/>
      <c r="H2564" s="0"/>
      <c r="I2564" s="0"/>
      <c r="J2564" s="0"/>
      <c r="K2564" s="0"/>
      <c r="L2564" s="0"/>
      <c r="M2564" s="0"/>
      <c r="N2564" s="0"/>
    </row>
    <row r="2565" customFormat="false" ht="12.8" hidden="false" customHeight="false" outlineLevel="0" collapsed="false">
      <c r="A2565" s="0"/>
      <c r="B2565" s="0"/>
      <c r="C2565" s="0"/>
      <c r="D2565" s="0"/>
      <c r="E2565" s="0"/>
      <c r="F2565" s="0"/>
      <c r="G2565" s="0"/>
      <c r="H2565" s="0"/>
      <c r="I2565" s="0"/>
      <c r="J2565" s="0"/>
      <c r="K2565" s="0"/>
      <c r="L2565" s="0"/>
      <c r="M2565" s="0"/>
      <c r="N2565" s="0"/>
    </row>
    <row r="2566" customFormat="false" ht="12.8" hidden="false" customHeight="false" outlineLevel="0" collapsed="false">
      <c r="A2566" s="0"/>
      <c r="B2566" s="0"/>
      <c r="C2566" s="0"/>
      <c r="D2566" s="0"/>
      <c r="E2566" s="0"/>
      <c r="F2566" s="0"/>
      <c r="G2566" s="0"/>
      <c r="H2566" s="0"/>
      <c r="I2566" s="0"/>
      <c r="J2566" s="0"/>
      <c r="K2566" s="0"/>
      <c r="L2566" s="0"/>
      <c r="M2566" s="0"/>
      <c r="N2566" s="0"/>
    </row>
    <row r="2567" customFormat="false" ht="12.8" hidden="false" customHeight="false" outlineLevel="0" collapsed="false">
      <c r="A2567" s="0"/>
      <c r="B2567" s="0"/>
      <c r="C2567" s="0"/>
      <c r="D2567" s="0"/>
      <c r="E2567" s="0"/>
      <c r="F2567" s="0"/>
      <c r="G2567" s="0"/>
      <c r="H2567" s="0"/>
      <c r="I2567" s="0"/>
      <c r="J2567" s="0"/>
      <c r="K2567" s="0"/>
      <c r="L2567" s="0"/>
      <c r="M2567" s="0"/>
      <c r="N2567" s="0"/>
    </row>
    <row r="2568" customFormat="false" ht="12.8" hidden="false" customHeight="false" outlineLevel="0" collapsed="false">
      <c r="A2568" s="0"/>
      <c r="B2568" s="0"/>
      <c r="C2568" s="0"/>
      <c r="D2568" s="0"/>
      <c r="E2568" s="0"/>
      <c r="F2568" s="0"/>
      <c r="G2568" s="0"/>
      <c r="H2568" s="0"/>
      <c r="I2568" s="0"/>
      <c r="J2568" s="0"/>
      <c r="K2568" s="0"/>
      <c r="L2568" s="0"/>
      <c r="M2568" s="0"/>
      <c r="N2568" s="0"/>
    </row>
    <row r="2569" customFormat="false" ht="12.8" hidden="false" customHeight="false" outlineLevel="0" collapsed="false">
      <c r="A2569" s="0"/>
      <c r="B2569" s="0"/>
      <c r="C2569" s="0"/>
      <c r="D2569" s="0"/>
      <c r="E2569" s="0"/>
      <c r="F2569" s="0"/>
      <c r="G2569" s="0"/>
      <c r="H2569" s="0"/>
      <c r="I2569" s="0"/>
      <c r="J2569" s="0"/>
      <c r="K2569" s="0"/>
      <c r="L2569" s="0"/>
      <c r="M2569" s="0"/>
      <c r="N2569" s="0"/>
    </row>
    <row r="2570" customFormat="false" ht="12.8" hidden="false" customHeight="false" outlineLevel="0" collapsed="false">
      <c r="A2570" s="0"/>
      <c r="B2570" s="0"/>
      <c r="C2570" s="0"/>
      <c r="D2570" s="0"/>
      <c r="E2570" s="0"/>
      <c r="F2570" s="0"/>
      <c r="G2570" s="0"/>
      <c r="H2570" s="0"/>
      <c r="I2570" s="0"/>
      <c r="J2570" s="0"/>
      <c r="K2570" s="0"/>
      <c r="L2570" s="0"/>
      <c r="M2570" s="0"/>
      <c r="N2570" s="0"/>
    </row>
    <row r="2571" customFormat="false" ht="12.8" hidden="false" customHeight="false" outlineLevel="0" collapsed="false">
      <c r="A2571" s="0"/>
      <c r="B2571" s="0"/>
      <c r="C2571" s="0"/>
      <c r="D2571" s="0"/>
      <c r="E2571" s="0"/>
      <c r="F2571" s="0"/>
      <c r="G2571" s="0"/>
      <c r="H2571" s="0"/>
      <c r="I2571" s="0"/>
      <c r="J2571" s="0"/>
      <c r="K2571" s="0"/>
      <c r="L2571" s="0"/>
      <c r="M2571" s="0"/>
      <c r="N2571" s="0"/>
    </row>
    <row r="2572" customFormat="false" ht="12.8" hidden="false" customHeight="false" outlineLevel="0" collapsed="false">
      <c r="A2572" s="0"/>
      <c r="B2572" s="0"/>
      <c r="C2572" s="0"/>
      <c r="D2572" s="0"/>
      <c r="E2572" s="0"/>
      <c r="F2572" s="0"/>
      <c r="G2572" s="0"/>
      <c r="H2572" s="0"/>
      <c r="I2572" s="0"/>
      <c r="J2572" s="0"/>
      <c r="K2572" s="0"/>
      <c r="L2572" s="0"/>
      <c r="M2572" s="0"/>
      <c r="N2572" s="0"/>
    </row>
    <row r="2573" customFormat="false" ht="12.8" hidden="false" customHeight="false" outlineLevel="0" collapsed="false">
      <c r="A2573" s="0"/>
      <c r="B2573" s="0"/>
      <c r="C2573" s="0"/>
      <c r="D2573" s="0"/>
      <c r="E2573" s="0"/>
      <c r="F2573" s="0"/>
      <c r="G2573" s="0"/>
      <c r="H2573" s="0"/>
      <c r="I2573" s="0"/>
      <c r="J2573" s="0"/>
      <c r="K2573" s="0"/>
      <c r="L2573" s="0"/>
      <c r="M2573" s="0"/>
      <c r="N2573" s="0"/>
    </row>
    <row r="2574" customFormat="false" ht="12.8" hidden="false" customHeight="false" outlineLevel="0" collapsed="false">
      <c r="A2574" s="0"/>
      <c r="B2574" s="0"/>
      <c r="C2574" s="0"/>
      <c r="D2574" s="0"/>
      <c r="E2574" s="0"/>
      <c r="F2574" s="0"/>
      <c r="G2574" s="0"/>
      <c r="H2574" s="0"/>
      <c r="I2574" s="0"/>
      <c r="J2574" s="0"/>
      <c r="K2574" s="0"/>
      <c r="L2574" s="0"/>
      <c r="M2574" s="0"/>
      <c r="N2574" s="0"/>
    </row>
    <row r="2575" customFormat="false" ht="12.8" hidden="false" customHeight="false" outlineLevel="0" collapsed="false">
      <c r="A2575" s="0"/>
      <c r="B2575" s="0"/>
      <c r="C2575" s="0"/>
      <c r="D2575" s="0"/>
      <c r="E2575" s="0"/>
      <c r="F2575" s="0"/>
      <c r="G2575" s="0"/>
      <c r="H2575" s="0"/>
      <c r="I2575" s="0"/>
      <c r="J2575" s="0"/>
      <c r="K2575" s="0"/>
      <c r="L2575" s="0"/>
      <c r="M2575" s="0"/>
      <c r="N2575" s="0"/>
    </row>
    <row r="2576" customFormat="false" ht="12.8" hidden="false" customHeight="false" outlineLevel="0" collapsed="false">
      <c r="A2576" s="0"/>
      <c r="B2576" s="0"/>
      <c r="C2576" s="0"/>
      <c r="D2576" s="0"/>
      <c r="E2576" s="0"/>
      <c r="F2576" s="0"/>
      <c r="G2576" s="0"/>
      <c r="H2576" s="0"/>
      <c r="I2576" s="0"/>
      <c r="J2576" s="0"/>
      <c r="K2576" s="0"/>
      <c r="L2576" s="0"/>
      <c r="M2576" s="0"/>
      <c r="N2576" s="0"/>
    </row>
    <row r="2577" customFormat="false" ht="12.8" hidden="false" customHeight="false" outlineLevel="0" collapsed="false">
      <c r="A2577" s="0"/>
      <c r="B2577" s="0"/>
      <c r="C2577" s="0"/>
      <c r="D2577" s="0"/>
      <c r="E2577" s="0"/>
      <c r="F2577" s="0"/>
      <c r="G2577" s="0"/>
      <c r="H2577" s="0"/>
      <c r="I2577" s="0"/>
      <c r="J2577" s="0"/>
      <c r="K2577" s="0"/>
      <c r="L2577" s="0"/>
      <c r="M2577" s="0"/>
      <c r="N2577" s="0"/>
    </row>
    <row r="2578" customFormat="false" ht="12.8" hidden="false" customHeight="false" outlineLevel="0" collapsed="false">
      <c r="A2578" s="0"/>
      <c r="B2578" s="0"/>
      <c r="C2578" s="0"/>
      <c r="D2578" s="0"/>
      <c r="E2578" s="0"/>
      <c r="F2578" s="0"/>
      <c r="G2578" s="0"/>
      <c r="H2578" s="0"/>
      <c r="I2578" s="0"/>
      <c r="J2578" s="0"/>
      <c r="K2578" s="0"/>
      <c r="L2578" s="0"/>
      <c r="M2578" s="0"/>
      <c r="N2578" s="0"/>
    </row>
    <row r="2579" customFormat="false" ht="12.8" hidden="false" customHeight="false" outlineLevel="0" collapsed="false">
      <c r="A2579" s="0"/>
      <c r="B2579" s="0"/>
      <c r="C2579" s="0"/>
      <c r="D2579" s="0"/>
      <c r="E2579" s="0"/>
      <c r="F2579" s="0"/>
      <c r="G2579" s="0"/>
      <c r="H2579" s="0"/>
      <c r="I2579" s="0"/>
      <c r="J2579" s="0"/>
      <c r="K2579" s="0"/>
      <c r="L2579" s="0"/>
      <c r="M2579" s="0"/>
      <c r="N2579" s="0"/>
    </row>
    <row r="2580" customFormat="false" ht="12.8" hidden="false" customHeight="false" outlineLevel="0" collapsed="false">
      <c r="A2580" s="0"/>
      <c r="B2580" s="0"/>
      <c r="C2580" s="0"/>
      <c r="D2580" s="0"/>
      <c r="E2580" s="0"/>
      <c r="F2580" s="0"/>
      <c r="G2580" s="0"/>
      <c r="H2580" s="0"/>
      <c r="I2580" s="0"/>
      <c r="J2580" s="0"/>
      <c r="K2580" s="0"/>
      <c r="L2580" s="0"/>
      <c r="M2580" s="0"/>
      <c r="N2580" s="0"/>
    </row>
    <row r="2581" customFormat="false" ht="12.8" hidden="false" customHeight="false" outlineLevel="0" collapsed="false">
      <c r="A2581" s="0"/>
      <c r="B2581" s="0"/>
      <c r="C2581" s="0"/>
      <c r="D2581" s="0"/>
      <c r="E2581" s="0"/>
      <c r="F2581" s="0"/>
      <c r="G2581" s="0"/>
      <c r="H2581" s="0"/>
      <c r="I2581" s="0"/>
      <c r="J2581" s="0"/>
      <c r="K2581" s="0"/>
      <c r="L2581" s="0"/>
      <c r="M2581" s="0"/>
      <c r="N2581" s="0"/>
    </row>
    <row r="2582" customFormat="false" ht="12.8" hidden="false" customHeight="false" outlineLevel="0" collapsed="false">
      <c r="A2582" s="0"/>
      <c r="B2582" s="0"/>
      <c r="C2582" s="0"/>
      <c r="D2582" s="0"/>
      <c r="E2582" s="0"/>
      <c r="F2582" s="0"/>
      <c r="G2582" s="0"/>
      <c r="H2582" s="0"/>
      <c r="I2582" s="0"/>
      <c r="J2582" s="0"/>
      <c r="K2582" s="0"/>
      <c r="L2582" s="0"/>
      <c r="M2582" s="0"/>
      <c r="N2582" s="0"/>
    </row>
    <row r="2583" customFormat="false" ht="12.8" hidden="false" customHeight="false" outlineLevel="0" collapsed="false">
      <c r="A2583" s="0"/>
      <c r="B2583" s="0"/>
      <c r="C2583" s="0"/>
      <c r="D2583" s="0"/>
      <c r="E2583" s="0"/>
      <c r="F2583" s="0"/>
      <c r="G2583" s="0"/>
      <c r="H2583" s="0"/>
      <c r="I2583" s="0"/>
      <c r="J2583" s="0"/>
      <c r="K2583" s="0"/>
      <c r="L2583" s="0"/>
      <c r="M2583" s="0"/>
      <c r="N2583" s="0"/>
    </row>
    <row r="2584" customFormat="false" ht="12.8" hidden="false" customHeight="false" outlineLevel="0" collapsed="false">
      <c r="A2584" s="0"/>
      <c r="B2584" s="0"/>
      <c r="C2584" s="0"/>
      <c r="D2584" s="0"/>
      <c r="E2584" s="0"/>
      <c r="F2584" s="0"/>
      <c r="G2584" s="0"/>
      <c r="H2584" s="0"/>
      <c r="I2584" s="0"/>
      <c r="J2584" s="0"/>
      <c r="K2584" s="0"/>
      <c r="L2584" s="0"/>
      <c r="M2584" s="0"/>
      <c r="N2584" s="0"/>
    </row>
    <row r="2585" customFormat="false" ht="12.8" hidden="false" customHeight="false" outlineLevel="0" collapsed="false">
      <c r="A2585" s="0"/>
      <c r="B2585" s="0"/>
      <c r="C2585" s="0"/>
      <c r="D2585" s="0"/>
      <c r="E2585" s="0"/>
      <c r="F2585" s="0"/>
      <c r="G2585" s="0"/>
      <c r="H2585" s="0"/>
      <c r="I2585" s="0"/>
      <c r="J2585" s="0"/>
      <c r="K2585" s="0"/>
      <c r="L2585" s="0"/>
      <c r="M2585" s="0"/>
      <c r="N2585" s="0"/>
    </row>
    <row r="2586" customFormat="false" ht="12.8" hidden="false" customHeight="false" outlineLevel="0" collapsed="false">
      <c r="A2586" s="0"/>
      <c r="B2586" s="0"/>
      <c r="C2586" s="0"/>
      <c r="D2586" s="0"/>
      <c r="E2586" s="0"/>
      <c r="F2586" s="0"/>
      <c r="G2586" s="0"/>
      <c r="H2586" s="0"/>
      <c r="I2586" s="0"/>
      <c r="J2586" s="0"/>
      <c r="K2586" s="0"/>
      <c r="L2586" s="0"/>
      <c r="M2586" s="0"/>
      <c r="N2586" s="0"/>
    </row>
    <row r="2587" customFormat="false" ht="12.8" hidden="false" customHeight="false" outlineLevel="0" collapsed="false">
      <c r="A2587" s="0"/>
      <c r="B2587" s="0"/>
      <c r="C2587" s="0"/>
      <c r="D2587" s="0"/>
      <c r="E2587" s="0"/>
      <c r="F2587" s="0"/>
      <c r="G2587" s="0"/>
      <c r="H2587" s="0"/>
      <c r="I2587" s="0"/>
      <c r="J2587" s="0"/>
      <c r="K2587" s="0"/>
      <c r="L2587" s="0"/>
      <c r="M2587" s="0"/>
      <c r="N2587" s="0"/>
    </row>
    <row r="2588" customFormat="false" ht="12.8" hidden="false" customHeight="false" outlineLevel="0" collapsed="false">
      <c r="A2588" s="0"/>
      <c r="B2588" s="0"/>
      <c r="C2588" s="0"/>
      <c r="D2588" s="0"/>
      <c r="E2588" s="0"/>
      <c r="F2588" s="0"/>
      <c r="G2588" s="0"/>
      <c r="H2588" s="0"/>
      <c r="I2588" s="0"/>
      <c r="J2588" s="0"/>
      <c r="K2588" s="0"/>
      <c r="L2588" s="0"/>
      <c r="M2588" s="0"/>
      <c r="N2588" s="0"/>
    </row>
    <row r="2589" customFormat="false" ht="12.8" hidden="false" customHeight="false" outlineLevel="0" collapsed="false">
      <c r="A2589" s="0"/>
      <c r="B2589" s="0"/>
      <c r="C2589" s="0"/>
      <c r="D2589" s="0"/>
      <c r="E2589" s="0"/>
      <c r="F2589" s="0"/>
      <c r="G2589" s="0"/>
      <c r="H2589" s="0"/>
      <c r="I2589" s="0"/>
      <c r="J2589" s="0"/>
      <c r="K2589" s="0"/>
      <c r="L2589" s="0"/>
      <c r="M2589" s="0"/>
      <c r="N2589" s="0"/>
    </row>
    <row r="2590" customFormat="false" ht="12.8" hidden="false" customHeight="false" outlineLevel="0" collapsed="false">
      <c r="A2590" s="0"/>
      <c r="B2590" s="0"/>
      <c r="C2590" s="0"/>
      <c r="D2590" s="0"/>
      <c r="E2590" s="0"/>
      <c r="F2590" s="0"/>
      <c r="G2590" s="0"/>
      <c r="H2590" s="0"/>
      <c r="I2590" s="0"/>
      <c r="J2590" s="0"/>
      <c r="K2590" s="0"/>
      <c r="L2590" s="0"/>
      <c r="M2590" s="0"/>
      <c r="N2590" s="0"/>
    </row>
    <row r="2591" customFormat="false" ht="12.8" hidden="false" customHeight="false" outlineLevel="0" collapsed="false">
      <c r="A2591" s="0"/>
      <c r="B2591" s="0"/>
      <c r="C2591" s="0"/>
      <c r="D2591" s="0"/>
      <c r="E2591" s="0"/>
      <c r="F2591" s="0"/>
      <c r="G2591" s="0"/>
      <c r="H2591" s="0"/>
      <c r="I2591" s="0"/>
      <c r="J2591" s="0"/>
      <c r="K2591" s="0"/>
      <c r="L2591" s="0"/>
      <c r="M2591" s="0"/>
      <c r="N2591" s="0"/>
    </row>
    <row r="2592" customFormat="false" ht="12.8" hidden="false" customHeight="false" outlineLevel="0" collapsed="false">
      <c r="A2592" s="0"/>
      <c r="B2592" s="0"/>
      <c r="C2592" s="0"/>
      <c r="D2592" s="0"/>
      <c r="E2592" s="0"/>
      <c r="F2592" s="0"/>
      <c r="G2592" s="0"/>
      <c r="H2592" s="0"/>
      <c r="I2592" s="0"/>
      <c r="J2592" s="0"/>
      <c r="K2592" s="0"/>
      <c r="L2592" s="0"/>
      <c r="M2592" s="0"/>
      <c r="N2592" s="0"/>
    </row>
    <row r="2593" customFormat="false" ht="12.8" hidden="false" customHeight="false" outlineLevel="0" collapsed="false">
      <c r="A2593" s="0"/>
      <c r="B2593" s="0"/>
      <c r="C2593" s="0"/>
      <c r="D2593" s="0"/>
      <c r="E2593" s="0"/>
      <c r="F2593" s="0"/>
      <c r="G2593" s="0"/>
      <c r="H2593" s="0"/>
      <c r="I2593" s="0"/>
      <c r="J2593" s="0"/>
      <c r="K2593" s="0"/>
      <c r="L2593" s="0"/>
      <c r="M2593" s="0"/>
      <c r="N2593" s="0"/>
    </row>
    <row r="2594" customFormat="false" ht="12.8" hidden="false" customHeight="false" outlineLevel="0" collapsed="false">
      <c r="A2594" s="0"/>
      <c r="B2594" s="0"/>
      <c r="C2594" s="0"/>
      <c r="D2594" s="0"/>
      <c r="E2594" s="0"/>
      <c r="F2594" s="0"/>
      <c r="G2594" s="0"/>
      <c r="H2594" s="0"/>
      <c r="I2594" s="0"/>
      <c r="J2594" s="0"/>
      <c r="K2594" s="0"/>
      <c r="L2594" s="0"/>
      <c r="M2594" s="0"/>
      <c r="N2594" s="0"/>
    </row>
    <row r="2595" customFormat="false" ht="12.8" hidden="false" customHeight="false" outlineLevel="0" collapsed="false">
      <c r="A2595" s="0"/>
      <c r="B2595" s="0"/>
      <c r="C2595" s="0"/>
      <c r="D2595" s="0"/>
      <c r="E2595" s="0"/>
      <c r="F2595" s="0"/>
      <c r="G2595" s="0"/>
      <c r="H2595" s="0"/>
      <c r="I2595" s="0"/>
      <c r="J2595" s="0"/>
      <c r="K2595" s="0"/>
      <c r="L2595" s="0"/>
      <c r="M2595" s="0"/>
      <c r="N2595" s="0"/>
    </row>
    <row r="2596" customFormat="false" ht="12.8" hidden="false" customHeight="false" outlineLevel="0" collapsed="false">
      <c r="A2596" s="0"/>
      <c r="B2596" s="0"/>
      <c r="C2596" s="0"/>
      <c r="D2596" s="0"/>
      <c r="E2596" s="0"/>
      <c r="F2596" s="0"/>
      <c r="G2596" s="0"/>
      <c r="H2596" s="0"/>
      <c r="I2596" s="0"/>
      <c r="J2596" s="0"/>
      <c r="K2596" s="0"/>
      <c r="L2596" s="0"/>
      <c r="M2596" s="0"/>
      <c r="N2596" s="0"/>
    </row>
    <row r="2597" customFormat="false" ht="12.8" hidden="false" customHeight="false" outlineLevel="0" collapsed="false">
      <c r="A2597" s="0"/>
      <c r="B2597" s="0"/>
      <c r="C2597" s="0"/>
      <c r="D2597" s="0"/>
      <c r="E2597" s="0"/>
      <c r="F2597" s="0"/>
      <c r="G2597" s="0"/>
      <c r="H2597" s="0"/>
      <c r="I2597" s="0"/>
      <c r="J2597" s="0"/>
      <c r="K2597" s="0"/>
      <c r="L2597" s="0"/>
      <c r="M2597" s="0"/>
      <c r="N2597" s="0"/>
    </row>
    <row r="2598" customFormat="false" ht="12.8" hidden="false" customHeight="false" outlineLevel="0" collapsed="false">
      <c r="A2598" s="0"/>
      <c r="B2598" s="0"/>
      <c r="C2598" s="0"/>
      <c r="D2598" s="0"/>
      <c r="E2598" s="0"/>
      <c r="F2598" s="0"/>
      <c r="G2598" s="0"/>
      <c r="H2598" s="0"/>
      <c r="I2598" s="0"/>
      <c r="J2598" s="0"/>
      <c r="K2598" s="0"/>
      <c r="L2598" s="0"/>
      <c r="M2598" s="0"/>
      <c r="N2598" s="0"/>
    </row>
    <row r="2599" customFormat="false" ht="12.8" hidden="false" customHeight="false" outlineLevel="0" collapsed="false">
      <c r="A2599" s="0"/>
      <c r="B2599" s="0"/>
      <c r="C2599" s="0"/>
      <c r="D2599" s="0"/>
      <c r="E2599" s="0"/>
      <c r="F2599" s="0"/>
      <c r="G2599" s="0"/>
      <c r="H2599" s="0"/>
      <c r="I2599" s="0"/>
      <c r="J2599" s="0"/>
      <c r="K2599" s="0"/>
      <c r="L2599" s="0"/>
      <c r="M2599" s="0"/>
      <c r="N2599" s="0"/>
    </row>
    <row r="2600" customFormat="false" ht="12.8" hidden="false" customHeight="false" outlineLevel="0" collapsed="false">
      <c r="A2600" s="0"/>
      <c r="B2600" s="0"/>
      <c r="C2600" s="0"/>
      <c r="D2600" s="0"/>
      <c r="E2600" s="0"/>
      <c r="F2600" s="0"/>
      <c r="G2600" s="0"/>
      <c r="H2600" s="0"/>
      <c r="I2600" s="0"/>
      <c r="J2600" s="0"/>
      <c r="K2600" s="0"/>
      <c r="L2600" s="0"/>
      <c r="M2600" s="0"/>
      <c r="N2600" s="0"/>
    </row>
    <row r="2601" customFormat="false" ht="12.8" hidden="false" customHeight="false" outlineLevel="0" collapsed="false">
      <c r="A2601" s="0"/>
      <c r="B2601" s="0"/>
      <c r="C2601" s="0"/>
      <c r="D2601" s="0"/>
      <c r="E2601" s="0"/>
      <c r="F2601" s="0"/>
      <c r="G2601" s="0"/>
      <c r="H2601" s="0"/>
      <c r="I2601" s="0"/>
      <c r="J2601" s="0"/>
      <c r="K2601" s="0"/>
      <c r="L2601" s="0"/>
      <c r="M2601" s="0"/>
      <c r="N2601" s="0"/>
    </row>
    <row r="2602" customFormat="false" ht="12.8" hidden="false" customHeight="false" outlineLevel="0" collapsed="false">
      <c r="A2602" s="0"/>
      <c r="B2602" s="0"/>
      <c r="C2602" s="0"/>
      <c r="D2602" s="0"/>
      <c r="E2602" s="0"/>
      <c r="F2602" s="0"/>
      <c r="G2602" s="0"/>
      <c r="H2602" s="0"/>
      <c r="I2602" s="0"/>
      <c r="J2602" s="0"/>
      <c r="K2602" s="0"/>
      <c r="L2602" s="0"/>
      <c r="M2602" s="0"/>
      <c r="N2602" s="0"/>
    </row>
    <row r="2603" customFormat="false" ht="12.8" hidden="false" customHeight="false" outlineLevel="0" collapsed="false">
      <c r="A2603" s="0"/>
      <c r="B2603" s="0"/>
      <c r="C2603" s="0"/>
      <c r="D2603" s="0"/>
      <c r="E2603" s="0"/>
      <c r="F2603" s="0"/>
      <c r="G2603" s="0"/>
      <c r="H2603" s="0"/>
      <c r="I2603" s="0"/>
      <c r="J2603" s="0"/>
      <c r="K2603" s="0"/>
      <c r="L2603" s="0"/>
      <c r="M2603" s="0"/>
      <c r="N2603" s="0"/>
    </row>
    <row r="2604" customFormat="false" ht="12.8" hidden="false" customHeight="false" outlineLevel="0" collapsed="false">
      <c r="A2604" s="0"/>
      <c r="B2604" s="0"/>
      <c r="C2604" s="0"/>
      <c r="D2604" s="0"/>
      <c r="E2604" s="0"/>
      <c r="F2604" s="0"/>
      <c r="G2604" s="0"/>
      <c r="H2604" s="0"/>
      <c r="I2604" s="0"/>
      <c r="J2604" s="0"/>
      <c r="K2604" s="0"/>
      <c r="L2604" s="0"/>
      <c r="M2604" s="0"/>
      <c r="N2604" s="0"/>
    </row>
    <row r="2605" customFormat="false" ht="12.8" hidden="false" customHeight="false" outlineLevel="0" collapsed="false">
      <c r="A2605" s="0"/>
      <c r="B2605" s="0"/>
      <c r="C2605" s="0"/>
      <c r="D2605" s="0"/>
      <c r="E2605" s="0"/>
      <c r="F2605" s="0"/>
      <c r="G2605" s="0"/>
      <c r="H2605" s="0"/>
      <c r="I2605" s="0"/>
      <c r="J2605" s="0"/>
      <c r="K2605" s="0"/>
      <c r="L2605" s="0"/>
      <c r="M2605" s="0"/>
      <c r="N2605" s="0"/>
    </row>
    <row r="2606" customFormat="false" ht="12.8" hidden="false" customHeight="false" outlineLevel="0" collapsed="false">
      <c r="A2606" s="0"/>
      <c r="B2606" s="0"/>
      <c r="C2606" s="0"/>
      <c r="D2606" s="0"/>
      <c r="E2606" s="0"/>
      <c r="F2606" s="0"/>
      <c r="G2606" s="0"/>
      <c r="H2606" s="0"/>
      <c r="I2606" s="0"/>
      <c r="J2606" s="0"/>
      <c r="K2606" s="0"/>
      <c r="L2606" s="0"/>
      <c r="M2606" s="0"/>
      <c r="N2606" s="0"/>
    </row>
    <row r="2607" customFormat="false" ht="12.8" hidden="false" customHeight="false" outlineLevel="0" collapsed="false">
      <c r="A2607" s="0"/>
      <c r="B2607" s="0"/>
      <c r="C2607" s="0"/>
      <c r="D2607" s="0"/>
      <c r="E2607" s="0"/>
      <c r="F2607" s="0"/>
      <c r="G2607" s="0"/>
      <c r="H2607" s="0"/>
      <c r="I2607" s="0"/>
      <c r="J2607" s="0"/>
      <c r="K2607" s="0"/>
      <c r="L2607" s="0"/>
      <c r="M2607" s="0"/>
      <c r="N2607" s="0"/>
    </row>
    <row r="2608" customFormat="false" ht="12.8" hidden="false" customHeight="false" outlineLevel="0" collapsed="false">
      <c r="A2608" s="0"/>
      <c r="B2608" s="0"/>
      <c r="C2608" s="0"/>
      <c r="D2608" s="0"/>
      <c r="E2608" s="0"/>
      <c r="F2608" s="0"/>
      <c r="G2608" s="0"/>
      <c r="H2608" s="0"/>
      <c r="I2608" s="0"/>
      <c r="J2608" s="0"/>
      <c r="K2608" s="0"/>
      <c r="L2608" s="0"/>
      <c r="M2608" s="0"/>
      <c r="N2608" s="0"/>
    </row>
    <row r="2609" customFormat="false" ht="12.8" hidden="false" customHeight="false" outlineLevel="0" collapsed="false">
      <c r="A2609" s="0"/>
      <c r="B2609" s="0"/>
      <c r="C2609" s="0"/>
      <c r="D2609" s="0"/>
      <c r="E2609" s="0"/>
      <c r="F2609" s="0"/>
      <c r="G2609" s="0"/>
      <c r="H2609" s="0"/>
      <c r="I2609" s="0"/>
      <c r="J2609" s="0"/>
      <c r="K2609" s="0"/>
      <c r="L2609" s="0"/>
      <c r="M2609" s="0"/>
      <c r="N2609" s="0"/>
    </row>
    <row r="2610" customFormat="false" ht="12.8" hidden="false" customHeight="false" outlineLevel="0" collapsed="false">
      <c r="A2610" s="0"/>
      <c r="B2610" s="0"/>
      <c r="C2610" s="0"/>
      <c r="D2610" s="0"/>
      <c r="E2610" s="0"/>
      <c r="F2610" s="0"/>
      <c r="G2610" s="0"/>
      <c r="H2610" s="0"/>
      <c r="I2610" s="0"/>
      <c r="J2610" s="0"/>
      <c r="K2610" s="0"/>
      <c r="L2610" s="0"/>
      <c r="M2610" s="0"/>
      <c r="N2610" s="0"/>
    </row>
    <row r="2611" customFormat="false" ht="12.8" hidden="false" customHeight="false" outlineLevel="0" collapsed="false">
      <c r="A2611" s="0"/>
      <c r="B2611" s="0"/>
      <c r="C2611" s="0"/>
      <c r="D2611" s="0"/>
      <c r="E2611" s="0"/>
      <c r="F2611" s="0"/>
      <c r="G2611" s="0"/>
      <c r="H2611" s="0"/>
      <c r="I2611" s="0"/>
      <c r="J2611" s="0"/>
      <c r="K2611" s="0"/>
      <c r="L2611" s="0"/>
      <c r="M2611" s="0"/>
      <c r="N2611" s="0"/>
    </row>
    <row r="2612" customFormat="false" ht="12.8" hidden="false" customHeight="false" outlineLevel="0" collapsed="false">
      <c r="A2612" s="0"/>
      <c r="B2612" s="0"/>
      <c r="C2612" s="0"/>
      <c r="D2612" s="0"/>
      <c r="E2612" s="0"/>
      <c r="F2612" s="0"/>
      <c r="G2612" s="0"/>
      <c r="H2612" s="0"/>
      <c r="I2612" s="0"/>
      <c r="J2612" s="0"/>
      <c r="K2612" s="0"/>
      <c r="L2612" s="0"/>
      <c r="M2612" s="0"/>
      <c r="N2612" s="0"/>
    </row>
    <row r="2613" customFormat="false" ht="12.8" hidden="false" customHeight="false" outlineLevel="0" collapsed="false">
      <c r="A2613" s="0"/>
      <c r="B2613" s="0"/>
      <c r="C2613" s="0"/>
      <c r="D2613" s="0"/>
      <c r="E2613" s="0"/>
      <c r="F2613" s="0"/>
      <c r="G2613" s="0"/>
      <c r="H2613" s="0"/>
      <c r="I2613" s="0"/>
      <c r="J2613" s="0"/>
      <c r="K2613" s="0"/>
      <c r="L2613" s="0"/>
      <c r="M2613" s="0"/>
      <c r="N2613" s="0"/>
    </row>
    <row r="2614" customFormat="false" ht="12.8" hidden="false" customHeight="false" outlineLevel="0" collapsed="false">
      <c r="A2614" s="0"/>
      <c r="B2614" s="0"/>
      <c r="C2614" s="0"/>
      <c r="D2614" s="0"/>
      <c r="E2614" s="0"/>
      <c r="F2614" s="0"/>
      <c r="G2614" s="0"/>
      <c r="H2614" s="0"/>
      <c r="I2614" s="0"/>
      <c r="J2614" s="0"/>
      <c r="K2614" s="0"/>
      <c r="L2614" s="0"/>
      <c r="M2614" s="0"/>
      <c r="N2614" s="0"/>
    </row>
    <row r="2615" customFormat="false" ht="12.8" hidden="false" customHeight="false" outlineLevel="0" collapsed="false">
      <c r="A2615" s="0"/>
      <c r="B2615" s="0"/>
      <c r="C2615" s="0"/>
      <c r="D2615" s="0"/>
      <c r="E2615" s="0"/>
      <c r="F2615" s="0"/>
      <c r="G2615" s="0"/>
      <c r="H2615" s="0"/>
      <c r="I2615" s="0"/>
      <c r="J2615" s="0"/>
      <c r="K2615" s="0"/>
      <c r="L2615" s="0"/>
      <c r="M2615" s="0"/>
      <c r="N2615" s="0"/>
    </row>
    <row r="2616" customFormat="false" ht="12.8" hidden="false" customHeight="false" outlineLevel="0" collapsed="false">
      <c r="A2616" s="0"/>
      <c r="B2616" s="0"/>
      <c r="C2616" s="0"/>
      <c r="D2616" s="0"/>
      <c r="E2616" s="0"/>
      <c r="F2616" s="0"/>
      <c r="G2616" s="0"/>
      <c r="H2616" s="0"/>
      <c r="I2616" s="0"/>
      <c r="J2616" s="0"/>
      <c r="K2616" s="0"/>
      <c r="L2616" s="0"/>
      <c r="M2616" s="0"/>
      <c r="N2616" s="0"/>
    </row>
    <row r="2617" customFormat="false" ht="12.8" hidden="false" customHeight="false" outlineLevel="0" collapsed="false">
      <c r="A2617" s="0"/>
      <c r="B2617" s="0"/>
      <c r="C2617" s="0"/>
      <c r="D2617" s="0"/>
      <c r="E2617" s="0"/>
      <c r="F2617" s="0"/>
      <c r="G2617" s="0"/>
      <c r="H2617" s="0"/>
      <c r="I2617" s="0"/>
      <c r="J2617" s="0"/>
      <c r="K2617" s="0"/>
      <c r="L2617" s="0"/>
      <c r="M2617" s="0"/>
      <c r="N2617" s="0"/>
    </row>
    <row r="2618" customFormat="false" ht="12.8" hidden="false" customHeight="false" outlineLevel="0" collapsed="false">
      <c r="A2618" s="0"/>
      <c r="B2618" s="0"/>
      <c r="C2618" s="0"/>
      <c r="D2618" s="0"/>
      <c r="E2618" s="0"/>
      <c r="F2618" s="0"/>
      <c r="G2618" s="0"/>
      <c r="H2618" s="0"/>
      <c r="I2618" s="0"/>
      <c r="J2618" s="0"/>
      <c r="K2618" s="0"/>
      <c r="L2618" s="0"/>
      <c r="M2618" s="0"/>
      <c r="N2618" s="0"/>
    </row>
    <row r="2619" customFormat="false" ht="12.8" hidden="false" customHeight="false" outlineLevel="0" collapsed="false">
      <c r="A2619" s="0"/>
      <c r="B2619" s="0"/>
      <c r="C2619" s="0"/>
      <c r="D2619" s="0"/>
      <c r="E2619" s="0"/>
      <c r="F2619" s="0"/>
      <c r="G2619" s="0"/>
      <c r="H2619" s="0"/>
      <c r="I2619" s="0"/>
      <c r="J2619" s="0"/>
      <c r="K2619" s="0"/>
      <c r="L2619" s="0"/>
      <c r="M2619" s="0"/>
      <c r="N2619" s="0"/>
    </row>
    <row r="2620" customFormat="false" ht="12.8" hidden="false" customHeight="false" outlineLevel="0" collapsed="false">
      <c r="A2620" s="0"/>
      <c r="B2620" s="0"/>
      <c r="C2620" s="0"/>
      <c r="D2620" s="0"/>
      <c r="E2620" s="0"/>
      <c r="F2620" s="0"/>
      <c r="G2620" s="0"/>
      <c r="H2620" s="0"/>
      <c r="I2620" s="0"/>
      <c r="J2620" s="0"/>
      <c r="K2620" s="0"/>
      <c r="L2620" s="0"/>
      <c r="M2620" s="0"/>
      <c r="N2620" s="0"/>
    </row>
    <row r="2621" customFormat="false" ht="12.8" hidden="false" customHeight="false" outlineLevel="0" collapsed="false">
      <c r="A2621" s="0"/>
      <c r="B2621" s="0"/>
      <c r="C2621" s="0"/>
      <c r="D2621" s="0"/>
      <c r="E2621" s="0"/>
      <c r="F2621" s="0"/>
      <c r="G2621" s="0"/>
      <c r="H2621" s="0"/>
      <c r="I2621" s="0"/>
      <c r="J2621" s="0"/>
      <c r="K2621" s="0"/>
      <c r="L2621" s="0"/>
      <c r="M2621" s="0"/>
      <c r="N2621" s="0"/>
    </row>
    <row r="2622" customFormat="false" ht="12.8" hidden="false" customHeight="false" outlineLevel="0" collapsed="false">
      <c r="A2622" s="0"/>
      <c r="B2622" s="0"/>
      <c r="C2622" s="0"/>
      <c r="D2622" s="0"/>
      <c r="E2622" s="0"/>
      <c r="F2622" s="0"/>
      <c r="G2622" s="0"/>
      <c r="H2622" s="0"/>
      <c r="I2622" s="0"/>
      <c r="J2622" s="0"/>
      <c r="K2622" s="0"/>
      <c r="L2622" s="0"/>
      <c r="M2622" s="0"/>
      <c r="N2622" s="0"/>
    </row>
    <row r="2623" customFormat="false" ht="12.8" hidden="false" customHeight="false" outlineLevel="0" collapsed="false">
      <c r="A2623" s="0"/>
      <c r="B2623" s="0"/>
      <c r="C2623" s="0"/>
      <c r="D2623" s="0"/>
      <c r="E2623" s="0"/>
      <c r="F2623" s="0"/>
      <c r="G2623" s="0"/>
      <c r="H2623" s="0"/>
      <c r="I2623" s="0"/>
      <c r="J2623" s="0"/>
      <c r="K2623" s="0"/>
      <c r="L2623" s="0"/>
      <c r="M2623" s="0"/>
      <c r="N2623" s="0"/>
    </row>
    <row r="2624" customFormat="false" ht="12.8" hidden="false" customHeight="false" outlineLevel="0" collapsed="false">
      <c r="A2624" s="0"/>
      <c r="B2624" s="0"/>
      <c r="C2624" s="0"/>
      <c r="D2624" s="0"/>
      <c r="E2624" s="0"/>
      <c r="F2624" s="0"/>
      <c r="G2624" s="0"/>
      <c r="H2624" s="0"/>
      <c r="I2624" s="0"/>
      <c r="J2624" s="0"/>
      <c r="K2624" s="0"/>
      <c r="L2624" s="0"/>
      <c r="M2624" s="0"/>
      <c r="N2624" s="0"/>
    </row>
    <row r="2625" customFormat="false" ht="12.8" hidden="false" customHeight="false" outlineLevel="0" collapsed="false">
      <c r="A2625" s="0"/>
      <c r="B2625" s="0"/>
      <c r="C2625" s="0"/>
      <c r="D2625" s="0"/>
      <c r="E2625" s="0"/>
      <c r="F2625" s="0"/>
      <c r="G2625" s="0"/>
      <c r="H2625" s="0"/>
      <c r="I2625" s="0"/>
      <c r="J2625" s="0"/>
      <c r="K2625" s="0"/>
      <c r="L2625" s="0"/>
      <c r="M2625" s="0"/>
      <c r="N2625" s="0"/>
    </row>
    <row r="2626" customFormat="false" ht="12.8" hidden="false" customHeight="false" outlineLevel="0" collapsed="false">
      <c r="A2626" s="0"/>
      <c r="B2626" s="0"/>
      <c r="C2626" s="0"/>
      <c r="D2626" s="0"/>
      <c r="E2626" s="0"/>
      <c r="F2626" s="0"/>
      <c r="G2626" s="0"/>
      <c r="H2626" s="0"/>
      <c r="I2626" s="0"/>
      <c r="J2626" s="0"/>
      <c r="K2626" s="0"/>
      <c r="L2626" s="0"/>
      <c r="M2626" s="0"/>
      <c r="N2626" s="0"/>
    </row>
    <row r="2627" customFormat="false" ht="12.8" hidden="false" customHeight="false" outlineLevel="0" collapsed="false">
      <c r="A2627" s="0"/>
      <c r="B2627" s="0"/>
      <c r="C2627" s="0"/>
      <c r="D2627" s="0"/>
      <c r="E2627" s="0"/>
      <c r="F2627" s="0"/>
      <c r="G2627" s="0"/>
      <c r="H2627" s="0"/>
      <c r="I2627" s="0"/>
      <c r="J2627" s="0"/>
      <c r="K2627" s="0"/>
      <c r="L2627" s="0"/>
      <c r="M2627" s="0"/>
      <c r="N2627" s="0"/>
    </row>
    <row r="2628" customFormat="false" ht="12.8" hidden="false" customHeight="false" outlineLevel="0" collapsed="false">
      <c r="A2628" s="0"/>
      <c r="B2628" s="0"/>
      <c r="C2628" s="0"/>
      <c r="D2628" s="0"/>
      <c r="E2628" s="0"/>
      <c r="F2628" s="0"/>
      <c r="G2628" s="0"/>
      <c r="H2628" s="0"/>
      <c r="I2628" s="0"/>
      <c r="J2628" s="0"/>
      <c r="K2628" s="0"/>
      <c r="L2628" s="0"/>
      <c r="M2628" s="0"/>
      <c r="N2628" s="0"/>
    </row>
    <row r="2629" customFormat="false" ht="12.8" hidden="false" customHeight="false" outlineLevel="0" collapsed="false">
      <c r="A2629" s="0"/>
      <c r="B2629" s="0"/>
      <c r="C2629" s="0"/>
      <c r="D2629" s="0"/>
      <c r="E2629" s="0"/>
      <c r="F2629" s="0"/>
      <c r="G2629" s="0"/>
      <c r="H2629" s="0"/>
      <c r="I2629" s="0"/>
      <c r="J2629" s="0"/>
      <c r="K2629" s="0"/>
      <c r="L2629" s="0"/>
      <c r="M2629" s="0"/>
      <c r="N2629" s="0"/>
    </row>
    <row r="2630" customFormat="false" ht="12.8" hidden="false" customHeight="false" outlineLevel="0" collapsed="false">
      <c r="A2630" s="0"/>
      <c r="B2630" s="0"/>
      <c r="C2630" s="0"/>
      <c r="D2630" s="0"/>
      <c r="E2630" s="0"/>
      <c r="F2630" s="0"/>
      <c r="G2630" s="0"/>
      <c r="H2630" s="0"/>
      <c r="I2630" s="0"/>
      <c r="J2630" s="0"/>
      <c r="K2630" s="0"/>
      <c r="L2630" s="0"/>
      <c r="M2630" s="0"/>
      <c r="N2630" s="0"/>
    </row>
    <row r="2631" customFormat="false" ht="12.8" hidden="false" customHeight="false" outlineLevel="0" collapsed="false">
      <c r="A2631" s="0"/>
      <c r="B2631" s="0"/>
      <c r="C2631" s="0"/>
      <c r="D2631" s="0"/>
      <c r="E2631" s="0"/>
      <c r="F2631" s="0"/>
      <c r="G2631" s="0"/>
      <c r="H2631" s="0"/>
      <c r="I2631" s="0"/>
      <c r="J2631" s="0"/>
      <c r="K2631" s="0"/>
      <c r="L2631" s="0"/>
      <c r="M2631" s="0"/>
      <c r="N2631" s="0"/>
    </row>
    <row r="2632" customFormat="false" ht="12.8" hidden="false" customHeight="false" outlineLevel="0" collapsed="false">
      <c r="A2632" s="0"/>
      <c r="B2632" s="0"/>
      <c r="C2632" s="0"/>
      <c r="D2632" s="0"/>
      <c r="E2632" s="0"/>
      <c r="F2632" s="0"/>
      <c r="G2632" s="0"/>
      <c r="H2632" s="0"/>
      <c r="I2632" s="0"/>
      <c r="J2632" s="0"/>
      <c r="K2632" s="0"/>
      <c r="L2632" s="0"/>
      <c r="M2632" s="0"/>
      <c r="N2632" s="0"/>
    </row>
    <row r="2633" customFormat="false" ht="12.8" hidden="false" customHeight="false" outlineLevel="0" collapsed="false">
      <c r="A2633" s="0"/>
      <c r="B2633" s="0"/>
      <c r="C2633" s="0"/>
      <c r="D2633" s="0"/>
      <c r="E2633" s="0"/>
      <c r="F2633" s="0"/>
      <c r="G2633" s="0"/>
      <c r="H2633" s="0"/>
      <c r="I2633" s="0"/>
      <c r="J2633" s="0"/>
      <c r="K2633" s="0"/>
      <c r="L2633" s="0"/>
      <c r="M2633" s="0"/>
      <c r="N2633" s="0"/>
    </row>
    <row r="2634" customFormat="false" ht="12.8" hidden="false" customHeight="false" outlineLevel="0" collapsed="false">
      <c r="A2634" s="0"/>
      <c r="B2634" s="0"/>
      <c r="C2634" s="0"/>
      <c r="D2634" s="0"/>
      <c r="E2634" s="0"/>
      <c r="F2634" s="0"/>
      <c r="G2634" s="0"/>
      <c r="H2634" s="0"/>
      <c r="I2634" s="0"/>
      <c r="J2634" s="0"/>
      <c r="K2634" s="0"/>
      <c r="L2634" s="0"/>
      <c r="M2634" s="0"/>
      <c r="N2634" s="0"/>
    </row>
    <row r="2635" customFormat="false" ht="12.8" hidden="false" customHeight="false" outlineLevel="0" collapsed="false">
      <c r="A2635" s="0"/>
      <c r="B2635" s="0"/>
      <c r="C2635" s="0"/>
      <c r="D2635" s="0"/>
      <c r="E2635" s="0"/>
      <c r="F2635" s="0"/>
      <c r="G2635" s="0"/>
      <c r="H2635" s="0"/>
      <c r="I2635" s="0"/>
      <c r="J2635" s="0"/>
      <c r="K2635" s="0"/>
      <c r="L2635" s="0"/>
      <c r="M2635" s="0"/>
      <c r="N2635" s="0"/>
    </row>
    <row r="2636" customFormat="false" ht="12.8" hidden="false" customHeight="false" outlineLevel="0" collapsed="false">
      <c r="A2636" s="0"/>
      <c r="B2636" s="0"/>
      <c r="C2636" s="0"/>
      <c r="D2636" s="0"/>
      <c r="E2636" s="0"/>
      <c r="F2636" s="0"/>
      <c r="G2636" s="0"/>
      <c r="H2636" s="0"/>
      <c r="I2636" s="0"/>
      <c r="J2636" s="0"/>
      <c r="K2636" s="0"/>
      <c r="L2636" s="0"/>
      <c r="M2636" s="0"/>
      <c r="N2636" s="0"/>
    </row>
    <row r="2637" customFormat="false" ht="12.8" hidden="false" customHeight="false" outlineLevel="0" collapsed="false">
      <c r="A2637" s="0"/>
      <c r="B2637" s="0"/>
      <c r="C2637" s="0"/>
      <c r="D2637" s="0"/>
      <c r="E2637" s="0"/>
      <c r="F2637" s="0"/>
      <c r="G2637" s="0"/>
      <c r="H2637" s="0"/>
      <c r="I2637" s="0"/>
      <c r="J2637" s="0"/>
      <c r="K2637" s="0"/>
      <c r="L2637" s="0"/>
      <c r="M2637" s="0"/>
      <c r="N2637" s="0"/>
    </row>
    <row r="2638" customFormat="false" ht="12.8" hidden="false" customHeight="false" outlineLevel="0" collapsed="false">
      <c r="A2638" s="0"/>
      <c r="B2638" s="0"/>
      <c r="C2638" s="0"/>
      <c r="D2638" s="0"/>
      <c r="E2638" s="0"/>
      <c r="F2638" s="0"/>
      <c r="G2638" s="0"/>
      <c r="H2638" s="0"/>
      <c r="I2638" s="0"/>
      <c r="J2638" s="0"/>
      <c r="K2638" s="0"/>
      <c r="L2638" s="0"/>
      <c r="M2638" s="0"/>
      <c r="N2638" s="0"/>
    </row>
    <row r="2639" customFormat="false" ht="12.8" hidden="false" customHeight="false" outlineLevel="0" collapsed="false">
      <c r="A2639" s="0"/>
      <c r="B2639" s="0"/>
      <c r="C2639" s="0"/>
      <c r="D2639" s="0"/>
      <c r="E2639" s="0"/>
      <c r="F2639" s="0"/>
      <c r="G2639" s="0"/>
      <c r="H2639" s="0"/>
      <c r="I2639" s="0"/>
      <c r="J2639" s="0"/>
      <c r="K2639" s="0"/>
      <c r="L2639" s="0"/>
      <c r="M2639" s="0"/>
      <c r="N2639" s="0"/>
    </row>
    <row r="2640" customFormat="false" ht="12.8" hidden="false" customHeight="false" outlineLevel="0" collapsed="false">
      <c r="A2640" s="0"/>
      <c r="B2640" s="0"/>
      <c r="C2640" s="0"/>
      <c r="D2640" s="0"/>
      <c r="E2640" s="0"/>
      <c r="F2640" s="0"/>
      <c r="G2640" s="0"/>
      <c r="H2640" s="0"/>
      <c r="I2640" s="0"/>
      <c r="J2640" s="0"/>
      <c r="K2640" s="0"/>
      <c r="L2640" s="0"/>
      <c r="M2640" s="0"/>
      <c r="N2640" s="0"/>
    </row>
    <row r="2641" customFormat="false" ht="12.8" hidden="false" customHeight="false" outlineLevel="0" collapsed="false">
      <c r="A2641" s="0"/>
      <c r="B2641" s="0"/>
      <c r="C2641" s="0"/>
      <c r="D2641" s="0"/>
      <c r="E2641" s="0"/>
      <c r="F2641" s="0"/>
      <c r="G2641" s="0"/>
      <c r="H2641" s="0"/>
      <c r="I2641" s="0"/>
      <c r="J2641" s="0"/>
      <c r="K2641" s="0"/>
      <c r="L2641" s="0"/>
      <c r="M2641" s="0"/>
      <c r="N2641" s="0"/>
    </row>
    <row r="2642" customFormat="false" ht="12.8" hidden="false" customHeight="false" outlineLevel="0" collapsed="false">
      <c r="A2642" s="0"/>
      <c r="B2642" s="0"/>
      <c r="C2642" s="0"/>
      <c r="D2642" s="0"/>
      <c r="E2642" s="0"/>
      <c r="F2642" s="0"/>
      <c r="G2642" s="0"/>
      <c r="H2642" s="0"/>
      <c r="I2642" s="0"/>
      <c r="J2642" s="0"/>
      <c r="K2642" s="0"/>
      <c r="L2642" s="0"/>
      <c r="M2642" s="0"/>
      <c r="N2642" s="0"/>
    </row>
    <row r="2643" customFormat="false" ht="12.8" hidden="false" customHeight="false" outlineLevel="0" collapsed="false">
      <c r="A2643" s="0"/>
      <c r="B2643" s="0"/>
      <c r="C2643" s="0"/>
      <c r="D2643" s="0"/>
      <c r="E2643" s="0"/>
      <c r="F2643" s="0"/>
      <c r="G2643" s="0"/>
      <c r="H2643" s="0"/>
      <c r="I2643" s="0"/>
      <c r="J2643" s="0"/>
      <c r="K2643" s="0"/>
      <c r="L2643" s="0"/>
      <c r="M2643" s="0"/>
      <c r="N2643" s="0"/>
    </row>
    <row r="2644" customFormat="false" ht="12.8" hidden="false" customHeight="false" outlineLevel="0" collapsed="false">
      <c r="A2644" s="0"/>
      <c r="B2644" s="0"/>
      <c r="C2644" s="0"/>
      <c r="D2644" s="0"/>
      <c r="E2644" s="0"/>
      <c r="F2644" s="0"/>
      <c r="G2644" s="0"/>
      <c r="H2644" s="0"/>
      <c r="I2644" s="0"/>
      <c r="J2644" s="0"/>
      <c r="K2644" s="0"/>
      <c r="L2644" s="0"/>
      <c r="M2644" s="0"/>
      <c r="N2644" s="0"/>
    </row>
    <row r="2645" customFormat="false" ht="12.8" hidden="false" customHeight="false" outlineLevel="0" collapsed="false">
      <c r="A2645" s="0"/>
      <c r="B2645" s="0"/>
      <c r="C2645" s="0"/>
      <c r="D2645" s="0"/>
      <c r="E2645" s="0"/>
      <c r="F2645" s="0"/>
      <c r="G2645" s="0"/>
      <c r="H2645" s="0"/>
      <c r="I2645" s="0"/>
      <c r="J2645" s="0"/>
      <c r="K2645" s="0"/>
      <c r="L2645" s="0"/>
      <c r="M2645" s="0"/>
      <c r="N2645" s="0"/>
    </row>
    <row r="2646" customFormat="false" ht="12.8" hidden="false" customHeight="false" outlineLevel="0" collapsed="false">
      <c r="A2646" s="0"/>
      <c r="B2646" s="0"/>
      <c r="C2646" s="0"/>
      <c r="D2646" s="0"/>
      <c r="E2646" s="0"/>
      <c r="F2646" s="0"/>
      <c r="G2646" s="0"/>
      <c r="H2646" s="0"/>
      <c r="I2646" s="0"/>
      <c r="J2646" s="0"/>
      <c r="K2646" s="0"/>
      <c r="L2646" s="0"/>
      <c r="M2646" s="0"/>
      <c r="N2646" s="0"/>
    </row>
    <row r="2647" customFormat="false" ht="12.8" hidden="false" customHeight="false" outlineLevel="0" collapsed="false">
      <c r="A2647" s="0"/>
      <c r="B2647" s="0"/>
      <c r="C2647" s="0"/>
      <c r="D2647" s="0"/>
      <c r="E2647" s="0"/>
      <c r="F2647" s="0"/>
      <c r="G2647" s="0"/>
      <c r="H2647" s="0"/>
      <c r="I2647" s="0"/>
      <c r="J2647" s="0"/>
      <c r="K2647" s="0"/>
      <c r="L2647" s="0"/>
      <c r="M2647" s="0"/>
      <c r="N2647" s="0"/>
    </row>
    <row r="2648" customFormat="false" ht="12.8" hidden="false" customHeight="false" outlineLevel="0" collapsed="false">
      <c r="A2648" s="0"/>
      <c r="B2648" s="0"/>
      <c r="C2648" s="0"/>
      <c r="D2648" s="0"/>
      <c r="E2648" s="0"/>
      <c r="F2648" s="0"/>
      <c r="G2648" s="0"/>
      <c r="H2648" s="0"/>
      <c r="I2648" s="0"/>
      <c r="J2648" s="0"/>
      <c r="K2648" s="0"/>
      <c r="L2648" s="0"/>
      <c r="M2648" s="0"/>
      <c r="N2648" s="0"/>
    </row>
    <row r="2649" customFormat="false" ht="12.8" hidden="false" customHeight="false" outlineLevel="0" collapsed="false">
      <c r="A2649" s="0"/>
      <c r="B2649" s="0"/>
      <c r="C2649" s="0"/>
      <c r="D2649" s="0"/>
      <c r="E2649" s="0"/>
      <c r="F2649" s="0"/>
      <c r="G2649" s="0"/>
      <c r="H2649" s="0"/>
      <c r="I2649" s="0"/>
      <c r="J2649" s="0"/>
      <c r="K2649" s="0"/>
      <c r="L2649" s="0"/>
      <c r="M2649" s="0"/>
      <c r="N2649" s="0"/>
    </row>
    <row r="2650" customFormat="false" ht="12.8" hidden="false" customHeight="false" outlineLevel="0" collapsed="false">
      <c r="A2650" s="0"/>
      <c r="B2650" s="0"/>
      <c r="C2650" s="0"/>
      <c r="D2650" s="0"/>
      <c r="E2650" s="0"/>
      <c r="F2650" s="0"/>
      <c r="G2650" s="0"/>
      <c r="H2650" s="0"/>
      <c r="I2650" s="0"/>
      <c r="J2650" s="0"/>
      <c r="K2650" s="0"/>
      <c r="L2650" s="0"/>
      <c r="M2650" s="0"/>
      <c r="N2650" s="0"/>
    </row>
    <row r="2651" customFormat="false" ht="12.8" hidden="false" customHeight="false" outlineLevel="0" collapsed="false">
      <c r="A2651" s="0"/>
      <c r="B2651" s="0"/>
      <c r="C2651" s="0"/>
      <c r="D2651" s="0"/>
      <c r="E2651" s="0"/>
      <c r="F2651" s="0"/>
      <c r="G2651" s="0"/>
      <c r="H2651" s="0"/>
      <c r="I2651" s="0"/>
      <c r="J2651" s="0"/>
      <c r="K2651" s="0"/>
      <c r="L2651" s="0"/>
      <c r="M2651" s="0"/>
      <c r="N2651" s="0"/>
    </row>
    <row r="2652" customFormat="false" ht="12.8" hidden="false" customHeight="false" outlineLevel="0" collapsed="false">
      <c r="A2652" s="0"/>
      <c r="B2652" s="0"/>
      <c r="C2652" s="0"/>
      <c r="D2652" s="0"/>
      <c r="E2652" s="0"/>
      <c r="F2652" s="0"/>
      <c r="G2652" s="0"/>
      <c r="H2652" s="0"/>
      <c r="I2652" s="0"/>
      <c r="J2652" s="0"/>
      <c r="K2652" s="0"/>
      <c r="L2652" s="0"/>
      <c r="M2652" s="0"/>
      <c r="N2652" s="0"/>
    </row>
    <row r="2653" customFormat="false" ht="12.8" hidden="false" customHeight="false" outlineLevel="0" collapsed="false">
      <c r="A2653" s="0"/>
      <c r="B2653" s="0"/>
      <c r="C2653" s="0"/>
      <c r="D2653" s="0"/>
      <c r="E2653" s="0"/>
      <c r="F2653" s="0"/>
      <c r="G2653" s="0"/>
      <c r="H2653" s="0"/>
      <c r="I2653" s="0"/>
      <c r="J2653" s="0"/>
      <c r="K2653" s="0"/>
      <c r="L2653" s="0"/>
      <c r="M2653" s="0"/>
      <c r="N2653" s="0"/>
    </row>
    <row r="2654" customFormat="false" ht="12.8" hidden="false" customHeight="false" outlineLevel="0" collapsed="false">
      <c r="A2654" s="0"/>
      <c r="B2654" s="0"/>
      <c r="C2654" s="0"/>
      <c r="D2654" s="0"/>
      <c r="E2654" s="0"/>
      <c r="F2654" s="0"/>
      <c r="G2654" s="0"/>
      <c r="H2654" s="0"/>
      <c r="I2654" s="0"/>
      <c r="J2654" s="0"/>
      <c r="K2654" s="0"/>
      <c r="L2654" s="0"/>
      <c r="M2654" s="0"/>
      <c r="N2654" s="0"/>
    </row>
    <row r="2655" customFormat="false" ht="12.8" hidden="false" customHeight="false" outlineLevel="0" collapsed="false">
      <c r="A2655" s="0"/>
      <c r="B2655" s="0"/>
      <c r="C2655" s="0"/>
      <c r="D2655" s="0"/>
      <c r="E2655" s="0"/>
      <c r="F2655" s="0"/>
      <c r="G2655" s="0"/>
      <c r="H2655" s="0"/>
      <c r="I2655" s="0"/>
      <c r="J2655" s="0"/>
      <c r="K2655" s="0"/>
      <c r="L2655" s="0"/>
      <c r="M2655" s="0"/>
      <c r="N2655" s="0"/>
    </row>
    <row r="2656" customFormat="false" ht="12.8" hidden="false" customHeight="false" outlineLevel="0" collapsed="false">
      <c r="A2656" s="0"/>
      <c r="B2656" s="0"/>
      <c r="C2656" s="0"/>
      <c r="D2656" s="0"/>
      <c r="E2656" s="0"/>
      <c r="F2656" s="0"/>
      <c r="G2656" s="0"/>
      <c r="H2656" s="0"/>
      <c r="I2656" s="0"/>
      <c r="J2656" s="0"/>
      <c r="K2656" s="0"/>
      <c r="L2656" s="0"/>
      <c r="M2656" s="0"/>
      <c r="N2656" s="0"/>
    </row>
    <row r="2657" customFormat="false" ht="12.8" hidden="false" customHeight="false" outlineLevel="0" collapsed="false">
      <c r="A2657" s="0"/>
      <c r="B2657" s="0"/>
      <c r="C2657" s="0"/>
      <c r="D2657" s="0"/>
      <c r="E2657" s="0"/>
      <c r="F2657" s="0"/>
      <c r="G2657" s="0"/>
      <c r="H2657" s="0"/>
      <c r="I2657" s="0"/>
      <c r="J2657" s="0"/>
      <c r="K2657" s="0"/>
      <c r="L2657" s="0"/>
      <c r="M2657" s="0"/>
      <c r="N2657" s="0"/>
    </row>
    <row r="2658" customFormat="false" ht="12.8" hidden="false" customHeight="false" outlineLevel="0" collapsed="false">
      <c r="A2658" s="0"/>
      <c r="B2658" s="0"/>
      <c r="C2658" s="0"/>
      <c r="D2658" s="0"/>
      <c r="E2658" s="0"/>
      <c r="F2658" s="0"/>
      <c r="G2658" s="0"/>
      <c r="H2658" s="0"/>
      <c r="I2658" s="0"/>
      <c r="J2658" s="0"/>
      <c r="K2658" s="0"/>
      <c r="L2658" s="0"/>
      <c r="M2658" s="0"/>
      <c r="N2658" s="0"/>
    </row>
    <row r="2659" customFormat="false" ht="12.8" hidden="false" customHeight="false" outlineLevel="0" collapsed="false">
      <c r="A2659" s="0"/>
      <c r="B2659" s="0"/>
      <c r="C2659" s="0"/>
      <c r="D2659" s="0"/>
      <c r="E2659" s="0"/>
      <c r="F2659" s="0"/>
      <c r="G2659" s="0"/>
      <c r="H2659" s="0"/>
      <c r="I2659" s="0"/>
      <c r="J2659" s="0"/>
      <c r="K2659" s="0"/>
      <c r="L2659" s="0"/>
      <c r="M2659" s="0"/>
      <c r="N2659" s="0"/>
    </row>
    <row r="2660" customFormat="false" ht="12.8" hidden="false" customHeight="false" outlineLevel="0" collapsed="false">
      <c r="A2660" s="0"/>
      <c r="B2660" s="0"/>
      <c r="C2660" s="0"/>
      <c r="D2660" s="0"/>
      <c r="E2660" s="0"/>
      <c r="F2660" s="0"/>
      <c r="G2660" s="0"/>
      <c r="H2660" s="0"/>
      <c r="I2660" s="0"/>
      <c r="J2660" s="0"/>
      <c r="K2660" s="0"/>
      <c r="L2660" s="0"/>
      <c r="M2660" s="0"/>
      <c r="N2660" s="0"/>
    </row>
    <row r="2661" customFormat="false" ht="12.8" hidden="false" customHeight="false" outlineLevel="0" collapsed="false">
      <c r="A2661" s="0"/>
      <c r="B2661" s="0"/>
      <c r="C2661" s="0"/>
      <c r="D2661" s="0"/>
      <c r="E2661" s="0"/>
      <c r="F2661" s="0"/>
      <c r="G2661" s="0"/>
      <c r="H2661" s="0"/>
      <c r="I2661" s="0"/>
      <c r="J2661" s="0"/>
      <c r="K2661" s="0"/>
      <c r="L2661" s="0"/>
      <c r="M2661" s="0"/>
      <c r="N2661" s="0"/>
    </row>
    <row r="2662" customFormat="false" ht="12.8" hidden="false" customHeight="false" outlineLevel="0" collapsed="false">
      <c r="A2662" s="0"/>
      <c r="B2662" s="0"/>
      <c r="C2662" s="0"/>
      <c r="D2662" s="0"/>
      <c r="E2662" s="0"/>
      <c r="F2662" s="0"/>
      <c r="G2662" s="0"/>
      <c r="H2662" s="0"/>
      <c r="I2662" s="0"/>
      <c r="J2662" s="0"/>
      <c r="K2662" s="0"/>
      <c r="L2662" s="0"/>
      <c r="M2662" s="0"/>
      <c r="N2662" s="0"/>
    </row>
    <row r="2663" customFormat="false" ht="12.8" hidden="false" customHeight="false" outlineLevel="0" collapsed="false">
      <c r="A2663" s="0"/>
      <c r="B2663" s="0"/>
      <c r="C2663" s="0"/>
      <c r="D2663" s="0"/>
      <c r="E2663" s="0"/>
      <c r="F2663" s="0"/>
      <c r="G2663" s="0"/>
      <c r="H2663" s="0"/>
      <c r="I2663" s="0"/>
      <c r="J2663" s="0"/>
      <c r="K2663" s="0"/>
      <c r="L2663" s="0"/>
      <c r="M2663" s="0"/>
      <c r="N2663" s="0"/>
    </row>
    <row r="2664" customFormat="false" ht="12.8" hidden="false" customHeight="false" outlineLevel="0" collapsed="false">
      <c r="A2664" s="0"/>
      <c r="B2664" s="0"/>
      <c r="C2664" s="0"/>
      <c r="D2664" s="0"/>
      <c r="E2664" s="0"/>
      <c r="F2664" s="0"/>
      <c r="G2664" s="0"/>
      <c r="H2664" s="0"/>
      <c r="I2664" s="0"/>
      <c r="J2664" s="0"/>
      <c r="K2664" s="0"/>
      <c r="L2664" s="0"/>
      <c r="M2664" s="0"/>
      <c r="N2664" s="0"/>
    </row>
    <row r="2665" customFormat="false" ht="12.8" hidden="false" customHeight="false" outlineLevel="0" collapsed="false">
      <c r="A2665" s="0"/>
      <c r="B2665" s="0"/>
      <c r="C2665" s="0"/>
      <c r="D2665" s="0"/>
      <c r="E2665" s="0"/>
      <c r="F2665" s="0"/>
      <c r="G2665" s="0"/>
      <c r="H2665" s="0"/>
      <c r="I2665" s="0"/>
      <c r="J2665" s="0"/>
      <c r="K2665" s="0"/>
      <c r="L2665" s="0"/>
      <c r="M2665" s="0"/>
      <c r="N2665" s="0"/>
    </row>
    <row r="2666" customFormat="false" ht="12.8" hidden="false" customHeight="false" outlineLevel="0" collapsed="false">
      <c r="A2666" s="0"/>
      <c r="B2666" s="0"/>
      <c r="C2666" s="0"/>
      <c r="D2666" s="0"/>
      <c r="E2666" s="0"/>
      <c r="F2666" s="0"/>
      <c r="G2666" s="0"/>
      <c r="H2666" s="0"/>
      <c r="I2666" s="0"/>
      <c r="J2666" s="0"/>
      <c r="K2666" s="0"/>
      <c r="L2666" s="0"/>
      <c r="M2666" s="0"/>
      <c r="N2666" s="0"/>
    </row>
    <row r="2667" customFormat="false" ht="12.8" hidden="false" customHeight="false" outlineLevel="0" collapsed="false">
      <c r="A2667" s="0"/>
      <c r="B2667" s="0"/>
      <c r="C2667" s="0"/>
      <c r="D2667" s="0"/>
      <c r="E2667" s="0"/>
      <c r="F2667" s="0"/>
      <c r="G2667" s="0"/>
      <c r="H2667" s="0"/>
      <c r="I2667" s="0"/>
      <c r="J2667" s="0"/>
      <c r="K2667" s="0"/>
      <c r="L2667" s="0"/>
      <c r="M2667" s="0"/>
      <c r="N2667" s="0"/>
    </row>
    <row r="2668" customFormat="false" ht="12.8" hidden="false" customHeight="false" outlineLevel="0" collapsed="false">
      <c r="A2668" s="0"/>
      <c r="B2668" s="0"/>
      <c r="C2668" s="0"/>
      <c r="D2668" s="0"/>
      <c r="E2668" s="0"/>
      <c r="F2668" s="0"/>
      <c r="G2668" s="0"/>
      <c r="H2668" s="0"/>
      <c r="I2668" s="0"/>
      <c r="J2668" s="0"/>
      <c r="K2668" s="0"/>
      <c r="L2668" s="0"/>
      <c r="M2668" s="0"/>
      <c r="N2668" s="0"/>
    </row>
    <row r="2669" customFormat="false" ht="12.8" hidden="false" customHeight="false" outlineLevel="0" collapsed="false">
      <c r="A2669" s="0"/>
      <c r="B2669" s="0"/>
      <c r="C2669" s="0"/>
      <c r="D2669" s="0"/>
      <c r="E2669" s="0"/>
      <c r="F2669" s="0"/>
      <c r="G2669" s="0"/>
      <c r="H2669" s="0"/>
      <c r="I2669" s="0"/>
      <c r="J2669" s="0"/>
      <c r="K2669" s="0"/>
      <c r="L2669" s="0"/>
      <c r="M2669" s="0"/>
      <c r="N2669" s="0"/>
    </row>
    <row r="2670" customFormat="false" ht="12.8" hidden="false" customHeight="false" outlineLevel="0" collapsed="false">
      <c r="A2670" s="0"/>
      <c r="B2670" s="0"/>
      <c r="C2670" s="0"/>
      <c r="D2670" s="0"/>
      <c r="E2670" s="0"/>
      <c r="F2670" s="0"/>
      <c r="G2670" s="0"/>
      <c r="H2670" s="0"/>
      <c r="I2670" s="0"/>
      <c r="J2670" s="0"/>
      <c r="K2670" s="0"/>
      <c r="L2670" s="0"/>
      <c r="M2670" s="0"/>
      <c r="N2670" s="0"/>
    </row>
    <row r="2671" customFormat="false" ht="12.8" hidden="false" customHeight="false" outlineLevel="0" collapsed="false">
      <c r="A2671" s="0"/>
      <c r="B2671" s="0"/>
      <c r="C2671" s="0"/>
      <c r="D2671" s="0"/>
      <c r="E2671" s="0"/>
      <c r="F2671" s="0"/>
      <c r="G2671" s="0"/>
      <c r="H2671" s="0"/>
      <c r="I2671" s="0"/>
      <c r="J2671" s="0"/>
      <c r="K2671" s="0"/>
      <c r="L2671" s="0"/>
      <c r="M2671" s="0"/>
      <c r="N2671" s="0"/>
    </row>
    <row r="2672" customFormat="false" ht="12.8" hidden="false" customHeight="false" outlineLevel="0" collapsed="false">
      <c r="A2672" s="0"/>
      <c r="B2672" s="0"/>
      <c r="C2672" s="0"/>
      <c r="D2672" s="0"/>
      <c r="E2672" s="0"/>
      <c r="F2672" s="0"/>
      <c r="G2672" s="0"/>
      <c r="H2672" s="0"/>
      <c r="I2672" s="0"/>
      <c r="J2672" s="0"/>
      <c r="K2672" s="0"/>
      <c r="L2672" s="0"/>
      <c r="M2672" s="0"/>
      <c r="N2672" s="0"/>
    </row>
    <row r="2673" customFormat="false" ht="12.8" hidden="false" customHeight="false" outlineLevel="0" collapsed="false">
      <c r="A2673" s="0"/>
      <c r="B2673" s="0"/>
      <c r="C2673" s="0"/>
      <c r="D2673" s="0"/>
      <c r="E2673" s="0"/>
      <c r="F2673" s="0"/>
      <c r="G2673" s="0"/>
      <c r="H2673" s="0"/>
      <c r="I2673" s="0"/>
      <c r="J2673" s="0"/>
      <c r="K2673" s="0"/>
      <c r="L2673" s="0"/>
      <c r="M2673" s="0"/>
      <c r="N2673" s="0"/>
    </row>
    <row r="2674" customFormat="false" ht="12.8" hidden="false" customHeight="false" outlineLevel="0" collapsed="false">
      <c r="A2674" s="0"/>
      <c r="B2674" s="0"/>
      <c r="C2674" s="0"/>
      <c r="D2674" s="0"/>
      <c r="E2674" s="0"/>
      <c r="F2674" s="0"/>
      <c r="G2674" s="0"/>
      <c r="H2674" s="0"/>
      <c r="I2674" s="0"/>
      <c r="J2674" s="0"/>
      <c r="K2674" s="0"/>
      <c r="L2674" s="0"/>
      <c r="M2674" s="0"/>
      <c r="N2674" s="0"/>
    </row>
    <row r="2675" customFormat="false" ht="12.8" hidden="false" customHeight="false" outlineLevel="0" collapsed="false">
      <c r="A2675" s="0"/>
      <c r="B2675" s="0"/>
      <c r="C2675" s="0"/>
      <c r="D2675" s="0"/>
      <c r="E2675" s="0"/>
      <c r="F2675" s="0"/>
      <c r="G2675" s="0"/>
      <c r="H2675" s="0"/>
      <c r="I2675" s="0"/>
      <c r="J2675" s="0"/>
      <c r="K2675" s="0"/>
      <c r="L2675" s="0"/>
      <c r="M2675" s="0"/>
      <c r="N2675" s="0"/>
    </row>
    <row r="2676" customFormat="false" ht="12.8" hidden="false" customHeight="false" outlineLevel="0" collapsed="false">
      <c r="A2676" s="0"/>
      <c r="B2676" s="0"/>
      <c r="C2676" s="0"/>
      <c r="D2676" s="0"/>
      <c r="E2676" s="0"/>
      <c r="F2676" s="0"/>
      <c r="G2676" s="0"/>
      <c r="H2676" s="0"/>
      <c r="I2676" s="0"/>
      <c r="J2676" s="0"/>
      <c r="K2676" s="0"/>
      <c r="L2676" s="0"/>
      <c r="M2676" s="0"/>
      <c r="N2676" s="0"/>
    </row>
    <row r="2677" customFormat="false" ht="12.8" hidden="false" customHeight="false" outlineLevel="0" collapsed="false">
      <c r="A2677" s="0"/>
      <c r="B2677" s="0"/>
      <c r="C2677" s="0"/>
      <c r="D2677" s="0"/>
      <c r="E2677" s="0"/>
      <c r="F2677" s="0"/>
      <c r="G2677" s="0"/>
      <c r="H2677" s="0"/>
      <c r="I2677" s="0"/>
      <c r="J2677" s="0"/>
      <c r="K2677" s="0"/>
      <c r="L2677" s="0"/>
      <c r="M2677" s="0"/>
      <c r="N2677" s="0"/>
    </row>
    <row r="2678" customFormat="false" ht="12.8" hidden="false" customHeight="false" outlineLevel="0" collapsed="false">
      <c r="A2678" s="0"/>
      <c r="B2678" s="0"/>
      <c r="C2678" s="0"/>
      <c r="D2678" s="0"/>
      <c r="E2678" s="0"/>
      <c r="F2678" s="0"/>
      <c r="G2678" s="0"/>
      <c r="H2678" s="0"/>
      <c r="I2678" s="0"/>
      <c r="J2678" s="0"/>
      <c r="K2678" s="0"/>
      <c r="L2678" s="0"/>
      <c r="M2678" s="0"/>
      <c r="N2678" s="0"/>
    </row>
    <row r="2679" customFormat="false" ht="12.8" hidden="false" customHeight="false" outlineLevel="0" collapsed="false">
      <c r="A2679" s="0"/>
      <c r="B2679" s="0"/>
      <c r="C2679" s="0"/>
      <c r="D2679" s="0"/>
      <c r="E2679" s="0"/>
      <c r="F2679" s="0"/>
      <c r="G2679" s="0"/>
      <c r="H2679" s="0"/>
      <c r="I2679" s="0"/>
      <c r="J2679" s="0"/>
      <c r="K2679" s="0"/>
      <c r="L2679" s="0"/>
      <c r="M2679" s="0"/>
      <c r="N2679" s="0"/>
    </row>
    <row r="2680" customFormat="false" ht="12.8" hidden="false" customHeight="false" outlineLevel="0" collapsed="false">
      <c r="A2680" s="0"/>
      <c r="B2680" s="0"/>
      <c r="C2680" s="0"/>
      <c r="D2680" s="0"/>
      <c r="E2680" s="0"/>
      <c r="F2680" s="0"/>
      <c r="G2680" s="0"/>
      <c r="H2680" s="0"/>
      <c r="I2680" s="0"/>
      <c r="J2680" s="0"/>
      <c r="K2680" s="0"/>
      <c r="L2680" s="0"/>
      <c r="M2680" s="0"/>
      <c r="N2680" s="0"/>
    </row>
    <row r="2681" customFormat="false" ht="12.8" hidden="false" customHeight="false" outlineLevel="0" collapsed="false">
      <c r="A2681" s="0"/>
      <c r="B2681" s="0"/>
      <c r="C2681" s="0"/>
      <c r="D2681" s="0"/>
      <c r="E2681" s="0"/>
      <c r="F2681" s="0"/>
      <c r="G2681" s="0"/>
      <c r="H2681" s="0"/>
      <c r="I2681" s="0"/>
      <c r="J2681" s="0"/>
      <c r="K2681" s="0"/>
      <c r="L2681" s="0"/>
      <c r="M2681" s="0"/>
      <c r="N2681" s="0"/>
    </row>
    <row r="2682" customFormat="false" ht="12.8" hidden="false" customHeight="false" outlineLevel="0" collapsed="false">
      <c r="A2682" s="0"/>
      <c r="B2682" s="0"/>
      <c r="C2682" s="0"/>
      <c r="D2682" s="0"/>
      <c r="E2682" s="0"/>
      <c r="F2682" s="0"/>
      <c r="G2682" s="0"/>
      <c r="H2682" s="0"/>
      <c r="I2682" s="0"/>
      <c r="J2682" s="0"/>
      <c r="K2682" s="0"/>
      <c r="L2682" s="0"/>
      <c r="M2682" s="0"/>
      <c r="N2682" s="0"/>
    </row>
    <row r="2683" customFormat="false" ht="12.8" hidden="false" customHeight="false" outlineLevel="0" collapsed="false">
      <c r="A2683" s="0"/>
      <c r="B2683" s="0"/>
      <c r="C2683" s="0"/>
      <c r="D2683" s="0"/>
      <c r="E2683" s="0"/>
      <c r="F2683" s="0"/>
      <c r="G2683" s="0"/>
      <c r="H2683" s="0"/>
      <c r="I2683" s="0"/>
      <c r="J2683" s="0"/>
      <c r="K2683" s="0"/>
      <c r="L2683" s="0"/>
      <c r="M2683" s="0"/>
      <c r="N2683" s="0"/>
    </row>
    <row r="2684" customFormat="false" ht="12.8" hidden="false" customHeight="false" outlineLevel="0" collapsed="false">
      <c r="A2684" s="0"/>
      <c r="B2684" s="0"/>
      <c r="C2684" s="0"/>
      <c r="D2684" s="0"/>
      <c r="E2684" s="0"/>
      <c r="F2684" s="0"/>
      <c r="G2684" s="0"/>
      <c r="H2684" s="0"/>
      <c r="I2684" s="0"/>
      <c r="J2684" s="0"/>
      <c r="K2684" s="0"/>
      <c r="L2684" s="0"/>
      <c r="M2684" s="0"/>
      <c r="N2684" s="0"/>
    </row>
    <row r="2685" customFormat="false" ht="12.8" hidden="false" customHeight="false" outlineLevel="0" collapsed="false">
      <c r="A2685" s="0"/>
      <c r="B2685" s="0"/>
      <c r="C2685" s="0"/>
      <c r="D2685" s="0"/>
      <c r="E2685" s="0"/>
      <c r="F2685" s="0"/>
      <c r="G2685" s="0"/>
      <c r="H2685" s="0"/>
      <c r="I2685" s="0"/>
      <c r="J2685" s="0"/>
      <c r="K2685" s="0"/>
      <c r="L2685" s="0"/>
      <c r="M2685" s="0"/>
      <c r="N2685" s="0"/>
    </row>
    <row r="2686" customFormat="false" ht="12.8" hidden="false" customHeight="false" outlineLevel="0" collapsed="false">
      <c r="A2686" s="0"/>
      <c r="B2686" s="0"/>
      <c r="C2686" s="0"/>
      <c r="D2686" s="0"/>
      <c r="E2686" s="0"/>
      <c r="F2686" s="0"/>
      <c r="G2686" s="0"/>
      <c r="H2686" s="0"/>
      <c r="I2686" s="0"/>
      <c r="J2686" s="0"/>
      <c r="K2686" s="0"/>
      <c r="L2686" s="0"/>
      <c r="M2686" s="0"/>
      <c r="N2686" s="0"/>
    </row>
    <row r="2687" customFormat="false" ht="12.8" hidden="false" customHeight="false" outlineLevel="0" collapsed="false">
      <c r="A2687" s="0"/>
      <c r="B2687" s="0"/>
      <c r="C2687" s="0"/>
      <c r="D2687" s="0"/>
      <c r="E2687" s="0"/>
      <c r="F2687" s="0"/>
      <c r="G2687" s="0"/>
      <c r="H2687" s="0"/>
      <c r="I2687" s="0"/>
      <c r="J2687" s="0"/>
      <c r="K2687" s="0"/>
      <c r="L2687" s="0"/>
      <c r="M2687" s="0"/>
      <c r="N2687" s="0"/>
    </row>
    <row r="2688" customFormat="false" ht="12.8" hidden="false" customHeight="false" outlineLevel="0" collapsed="false">
      <c r="A2688" s="0"/>
      <c r="B2688" s="0"/>
      <c r="C2688" s="0"/>
      <c r="D2688" s="0"/>
      <c r="E2688" s="0"/>
      <c r="F2688" s="0"/>
      <c r="G2688" s="0"/>
      <c r="H2688" s="0"/>
      <c r="I2688" s="0"/>
      <c r="J2688" s="0"/>
      <c r="K2688" s="0"/>
      <c r="L2688" s="0"/>
      <c r="M2688" s="0"/>
      <c r="N2688" s="0"/>
    </row>
    <row r="2689" customFormat="false" ht="12.8" hidden="false" customHeight="false" outlineLevel="0" collapsed="false">
      <c r="A2689" s="0"/>
      <c r="B2689" s="0"/>
      <c r="C2689" s="0"/>
      <c r="D2689" s="0"/>
      <c r="E2689" s="0"/>
      <c r="F2689" s="0"/>
      <c r="G2689" s="0"/>
      <c r="H2689" s="0"/>
      <c r="I2689" s="0"/>
      <c r="J2689" s="0"/>
      <c r="K2689" s="0"/>
      <c r="L2689" s="0"/>
      <c r="M2689" s="0"/>
      <c r="N2689" s="0"/>
    </row>
    <row r="2690" customFormat="false" ht="12.8" hidden="false" customHeight="false" outlineLevel="0" collapsed="false">
      <c r="A2690" s="0"/>
      <c r="B2690" s="0"/>
      <c r="C2690" s="0"/>
      <c r="D2690" s="0"/>
      <c r="E2690" s="0"/>
      <c r="F2690" s="0"/>
      <c r="G2690" s="0"/>
      <c r="H2690" s="0"/>
      <c r="I2690" s="0"/>
      <c r="J2690" s="0"/>
      <c r="K2690" s="0"/>
      <c r="L2690" s="0"/>
      <c r="M2690" s="0"/>
      <c r="N2690" s="0"/>
    </row>
    <row r="2691" customFormat="false" ht="12.8" hidden="false" customHeight="false" outlineLevel="0" collapsed="false">
      <c r="A2691" s="0"/>
      <c r="B2691" s="0"/>
      <c r="C2691" s="0"/>
      <c r="D2691" s="0"/>
      <c r="E2691" s="0"/>
      <c r="F2691" s="0"/>
      <c r="G2691" s="0"/>
      <c r="H2691" s="0"/>
      <c r="I2691" s="0"/>
      <c r="J2691" s="0"/>
      <c r="K2691" s="0"/>
      <c r="L2691" s="0"/>
      <c r="M2691" s="0"/>
      <c r="N2691" s="0"/>
    </row>
    <row r="2692" customFormat="false" ht="12.8" hidden="false" customHeight="false" outlineLevel="0" collapsed="false">
      <c r="A2692" s="0"/>
      <c r="B2692" s="0"/>
      <c r="C2692" s="0"/>
      <c r="D2692" s="0"/>
      <c r="E2692" s="0"/>
      <c r="F2692" s="0"/>
      <c r="G2692" s="0"/>
      <c r="H2692" s="0"/>
      <c r="I2692" s="0"/>
      <c r="J2692" s="0"/>
      <c r="K2692" s="0"/>
      <c r="L2692" s="0"/>
      <c r="M2692" s="0"/>
      <c r="N2692" s="0"/>
    </row>
    <row r="2693" customFormat="false" ht="12.8" hidden="false" customHeight="false" outlineLevel="0" collapsed="false">
      <c r="A2693" s="0"/>
      <c r="B2693" s="0"/>
      <c r="C2693" s="0"/>
      <c r="D2693" s="0"/>
      <c r="E2693" s="0"/>
      <c r="F2693" s="0"/>
      <c r="G2693" s="0"/>
      <c r="H2693" s="0"/>
      <c r="I2693" s="0"/>
      <c r="J2693" s="0"/>
      <c r="K2693" s="0"/>
      <c r="L2693" s="0"/>
      <c r="M2693" s="0"/>
      <c r="N2693" s="0"/>
    </row>
    <row r="2694" customFormat="false" ht="12.8" hidden="false" customHeight="false" outlineLevel="0" collapsed="false">
      <c r="A2694" s="0"/>
      <c r="B2694" s="0"/>
      <c r="C2694" s="0"/>
      <c r="D2694" s="0"/>
      <c r="E2694" s="0"/>
      <c r="F2694" s="0"/>
      <c r="G2694" s="0"/>
      <c r="H2694" s="0"/>
      <c r="I2694" s="0"/>
      <c r="J2694" s="0"/>
      <c r="K2694" s="0"/>
      <c r="L2694" s="0"/>
      <c r="M2694" s="0"/>
      <c r="N2694" s="0"/>
    </row>
    <row r="2695" customFormat="false" ht="12.8" hidden="false" customHeight="false" outlineLevel="0" collapsed="false">
      <c r="A2695" s="0"/>
      <c r="B2695" s="0"/>
      <c r="C2695" s="0"/>
      <c r="D2695" s="0"/>
      <c r="E2695" s="0"/>
      <c r="F2695" s="0"/>
      <c r="G2695" s="0"/>
      <c r="H2695" s="0"/>
      <c r="I2695" s="0"/>
      <c r="J2695" s="0"/>
      <c r="K2695" s="0"/>
      <c r="L2695" s="0"/>
      <c r="M2695" s="0"/>
      <c r="N2695" s="0"/>
    </row>
    <row r="2696" customFormat="false" ht="12.8" hidden="false" customHeight="false" outlineLevel="0" collapsed="false">
      <c r="A2696" s="0"/>
      <c r="B2696" s="0"/>
      <c r="C2696" s="0"/>
      <c r="D2696" s="0"/>
      <c r="E2696" s="0"/>
      <c r="F2696" s="0"/>
      <c r="G2696" s="0"/>
      <c r="H2696" s="0"/>
      <c r="I2696" s="0"/>
      <c r="J2696" s="0"/>
      <c r="K2696" s="0"/>
      <c r="L2696" s="0"/>
      <c r="M2696" s="0"/>
      <c r="N2696" s="0"/>
    </row>
    <row r="2697" customFormat="false" ht="12.8" hidden="false" customHeight="false" outlineLevel="0" collapsed="false">
      <c r="A2697" s="0"/>
      <c r="B2697" s="0"/>
      <c r="C2697" s="0"/>
      <c r="D2697" s="0"/>
      <c r="E2697" s="0"/>
      <c r="F2697" s="0"/>
      <c r="G2697" s="0"/>
      <c r="H2697" s="0"/>
      <c r="I2697" s="0"/>
      <c r="J2697" s="0"/>
      <c r="K2697" s="0"/>
      <c r="L2697" s="0"/>
      <c r="M2697" s="0"/>
      <c r="N2697" s="0"/>
    </row>
    <row r="2698" customFormat="false" ht="12.8" hidden="false" customHeight="false" outlineLevel="0" collapsed="false">
      <c r="A2698" s="0"/>
      <c r="B2698" s="0"/>
      <c r="C2698" s="0"/>
      <c r="D2698" s="0"/>
      <c r="E2698" s="0"/>
      <c r="F2698" s="0"/>
      <c r="G2698" s="0"/>
      <c r="H2698" s="0"/>
      <c r="I2698" s="0"/>
      <c r="J2698" s="0"/>
      <c r="K2698" s="0"/>
      <c r="L2698" s="0"/>
      <c r="M2698" s="0"/>
      <c r="N2698" s="0"/>
    </row>
    <row r="2699" customFormat="false" ht="12.8" hidden="false" customHeight="false" outlineLevel="0" collapsed="false">
      <c r="A2699" s="0"/>
      <c r="B2699" s="0"/>
      <c r="C2699" s="0"/>
      <c r="D2699" s="0"/>
      <c r="E2699" s="0"/>
      <c r="F2699" s="0"/>
      <c r="G2699" s="0"/>
      <c r="H2699" s="0"/>
      <c r="I2699" s="0"/>
      <c r="J2699" s="0"/>
      <c r="K2699" s="0"/>
      <c r="L2699" s="0"/>
      <c r="M2699" s="0"/>
      <c r="N2699" s="0"/>
    </row>
    <row r="2700" customFormat="false" ht="12.8" hidden="false" customHeight="false" outlineLevel="0" collapsed="false">
      <c r="A2700" s="0"/>
      <c r="B2700" s="0"/>
      <c r="C2700" s="0"/>
      <c r="D2700" s="0"/>
      <c r="E2700" s="0"/>
      <c r="F2700" s="0"/>
      <c r="G2700" s="0"/>
      <c r="H2700" s="0"/>
      <c r="I2700" s="0"/>
      <c r="J2700" s="0"/>
      <c r="K2700" s="0"/>
      <c r="L2700" s="0"/>
      <c r="M2700" s="0"/>
      <c r="N2700" s="0"/>
    </row>
    <row r="2701" customFormat="false" ht="12.8" hidden="false" customHeight="false" outlineLevel="0" collapsed="false">
      <c r="A2701" s="0"/>
      <c r="B2701" s="0"/>
      <c r="C2701" s="0"/>
      <c r="D2701" s="0"/>
      <c r="E2701" s="0"/>
      <c r="F2701" s="0"/>
      <c r="G2701" s="0"/>
      <c r="H2701" s="0"/>
      <c r="I2701" s="0"/>
      <c r="J2701" s="0"/>
      <c r="K2701" s="0"/>
      <c r="L2701" s="0"/>
      <c r="M2701" s="0"/>
      <c r="N2701" s="0"/>
    </row>
    <row r="2702" customFormat="false" ht="12.8" hidden="false" customHeight="false" outlineLevel="0" collapsed="false">
      <c r="A2702" s="0"/>
      <c r="B2702" s="0"/>
      <c r="C2702" s="0"/>
      <c r="D2702" s="0"/>
      <c r="E2702" s="0"/>
      <c r="F2702" s="0"/>
      <c r="G2702" s="0"/>
      <c r="H2702" s="0"/>
      <c r="I2702" s="0"/>
      <c r="J2702" s="0"/>
      <c r="K2702" s="0"/>
      <c r="L2702" s="0"/>
      <c r="M2702" s="0"/>
      <c r="N2702" s="0"/>
    </row>
    <row r="2703" customFormat="false" ht="12.8" hidden="false" customHeight="false" outlineLevel="0" collapsed="false">
      <c r="A2703" s="0"/>
      <c r="B2703" s="0"/>
      <c r="C2703" s="0"/>
      <c r="D2703" s="0"/>
      <c r="E2703" s="0"/>
      <c r="F2703" s="0"/>
      <c r="G2703" s="0"/>
      <c r="H2703" s="0"/>
      <c r="I2703" s="0"/>
      <c r="J2703" s="0"/>
      <c r="K2703" s="0"/>
      <c r="L2703" s="0"/>
      <c r="M2703" s="0"/>
      <c r="N2703" s="0"/>
    </row>
    <row r="2704" customFormat="false" ht="12.8" hidden="false" customHeight="false" outlineLevel="0" collapsed="false">
      <c r="A2704" s="0"/>
      <c r="B2704" s="0"/>
      <c r="C2704" s="0"/>
      <c r="D2704" s="0"/>
      <c r="E2704" s="0"/>
      <c r="F2704" s="0"/>
      <c r="G2704" s="0"/>
      <c r="H2704" s="0"/>
      <c r="I2704" s="0"/>
      <c r="J2704" s="0"/>
      <c r="K2704" s="0"/>
      <c r="L2704" s="0"/>
      <c r="M2704" s="0"/>
      <c r="N2704" s="0"/>
    </row>
    <row r="2705" customFormat="false" ht="12.8" hidden="false" customHeight="false" outlineLevel="0" collapsed="false">
      <c r="A2705" s="0"/>
      <c r="B2705" s="0"/>
      <c r="C2705" s="0"/>
      <c r="D2705" s="0"/>
      <c r="E2705" s="0"/>
      <c r="F2705" s="0"/>
      <c r="G2705" s="0"/>
      <c r="H2705" s="0"/>
      <c r="I2705" s="0"/>
      <c r="J2705" s="0"/>
      <c r="K2705" s="0"/>
      <c r="L2705" s="0"/>
      <c r="M2705" s="0"/>
      <c r="N2705" s="0"/>
    </row>
    <row r="2706" customFormat="false" ht="12.8" hidden="false" customHeight="false" outlineLevel="0" collapsed="false">
      <c r="A2706" s="0"/>
      <c r="B2706" s="0"/>
      <c r="C2706" s="0"/>
      <c r="D2706" s="0"/>
      <c r="E2706" s="0"/>
      <c r="F2706" s="0"/>
      <c r="G2706" s="0"/>
      <c r="H2706" s="0"/>
      <c r="I2706" s="0"/>
      <c r="J2706" s="0"/>
      <c r="K2706" s="0"/>
      <c r="L2706" s="0"/>
      <c r="M2706" s="0"/>
      <c r="N2706" s="0"/>
    </row>
    <row r="2707" customFormat="false" ht="12.8" hidden="false" customHeight="false" outlineLevel="0" collapsed="false">
      <c r="A2707" s="0"/>
      <c r="B2707" s="0"/>
      <c r="C2707" s="0"/>
      <c r="D2707" s="0"/>
      <c r="E2707" s="0"/>
      <c r="F2707" s="0"/>
      <c r="G2707" s="0"/>
      <c r="H2707" s="0"/>
      <c r="I2707" s="0"/>
      <c r="J2707" s="0"/>
      <c r="K2707" s="0"/>
      <c r="L2707" s="0"/>
      <c r="M2707" s="0"/>
      <c r="N2707" s="0"/>
    </row>
    <row r="2708" customFormat="false" ht="12.8" hidden="false" customHeight="false" outlineLevel="0" collapsed="false">
      <c r="A2708" s="0"/>
      <c r="B2708" s="0"/>
      <c r="C2708" s="0"/>
      <c r="D2708" s="0"/>
      <c r="E2708" s="0"/>
      <c r="F2708" s="0"/>
      <c r="G2708" s="0"/>
      <c r="H2708" s="0"/>
      <c r="I2708" s="0"/>
      <c r="J2708" s="0"/>
      <c r="K2708" s="0"/>
      <c r="L2708" s="0"/>
      <c r="M2708" s="0"/>
      <c r="N2708" s="0"/>
    </row>
    <row r="2709" customFormat="false" ht="12.8" hidden="false" customHeight="false" outlineLevel="0" collapsed="false">
      <c r="A2709" s="0"/>
      <c r="B2709" s="0"/>
      <c r="C2709" s="0"/>
      <c r="D2709" s="0"/>
      <c r="E2709" s="0"/>
      <c r="F2709" s="0"/>
      <c r="G2709" s="0"/>
      <c r="H2709" s="0"/>
      <c r="I2709" s="0"/>
      <c r="J2709" s="0"/>
      <c r="K2709" s="0"/>
      <c r="L2709" s="0"/>
      <c r="M2709" s="0"/>
      <c r="N2709" s="0"/>
    </row>
    <row r="2710" customFormat="false" ht="12.8" hidden="false" customHeight="false" outlineLevel="0" collapsed="false">
      <c r="A2710" s="0"/>
      <c r="B2710" s="0"/>
      <c r="C2710" s="0"/>
      <c r="D2710" s="0"/>
      <c r="E2710" s="0"/>
      <c r="F2710" s="0"/>
      <c r="G2710" s="0"/>
      <c r="H2710" s="0"/>
      <c r="I2710" s="0"/>
      <c r="J2710" s="0"/>
      <c r="K2710" s="0"/>
      <c r="L2710" s="0"/>
      <c r="M2710" s="0"/>
      <c r="N2710" s="0"/>
    </row>
    <row r="2711" customFormat="false" ht="12.8" hidden="false" customHeight="false" outlineLevel="0" collapsed="false">
      <c r="A2711" s="0"/>
      <c r="B2711" s="0"/>
      <c r="C2711" s="0"/>
      <c r="D2711" s="0"/>
      <c r="E2711" s="0"/>
      <c r="F2711" s="0"/>
      <c r="G2711" s="0"/>
      <c r="H2711" s="0"/>
      <c r="I2711" s="0"/>
      <c r="J2711" s="0"/>
      <c r="K2711" s="0"/>
      <c r="L2711" s="0"/>
      <c r="M2711" s="0"/>
      <c r="N2711" s="0"/>
    </row>
    <row r="2712" customFormat="false" ht="12.8" hidden="false" customHeight="false" outlineLevel="0" collapsed="false">
      <c r="A2712" s="0"/>
      <c r="B2712" s="0"/>
      <c r="C2712" s="0"/>
      <c r="D2712" s="0"/>
      <c r="E2712" s="0"/>
      <c r="F2712" s="0"/>
      <c r="G2712" s="0"/>
      <c r="H2712" s="0"/>
      <c r="I2712" s="0"/>
      <c r="J2712" s="0"/>
      <c r="K2712" s="0"/>
      <c r="L2712" s="0"/>
      <c r="M2712" s="0"/>
      <c r="N2712" s="0"/>
    </row>
    <row r="2713" customFormat="false" ht="12.8" hidden="false" customHeight="false" outlineLevel="0" collapsed="false">
      <c r="A2713" s="0"/>
      <c r="B2713" s="0"/>
      <c r="C2713" s="0"/>
      <c r="D2713" s="0"/>
      <c r="E2713" s="0"/>
      <c r="F2713" s="0"/>
      <c r="G2713" s="0"/>
      <c r="H2713" s="0"/>
      <c r="I2713" s="0"/>
      <c r="J2713" s="0"/>
      <c r="K2713" s="0"/>
      <c r="L2713" s="0"/>
      <c r="M2713" s="0"/>
      <c r="N2713" s="0"/>
    </row>
    <row r="2714" customFormat="false" ht="12.8" hidden="false" customHeight="false" outlineLevel="0" collapsed="false">
      <c r="A2714" s="0"/>
      <c r="B2714" s="0"/>
      <c r="C2714" s="0"/>
      <c r="D2714" s="0"/>
      <c r="E2714" s="0"/>
      <c r="F2714" s="0"/>
      <c r="G2714" s="0"/>
      <c r="H2714" s="0"/>
      <c r="I2714" s="0"/>
      <c r="J2714" s="0"/>
      <c r="K2714" s="0"/>
      <c r="L2714" s="0"/>
      <c r="M2714" s="0"/>
      <c r="N2714" s="0"/>
    </row>
    <row r="2715" customFormat="false" ht="12.8" hidden="false" customHeight="false" outlineLevel="0" collapsed="false">
      <c r="A2715" s="0"/>
      <c r="B2715" s="0"/>
      <c r="C2715" s="0"/>
      <c r="D2715" s="0"/>
      <c r="E2715" s="0"/>
      <c r="F2715" s="0"/>
      <c r="G2715" s="0"/>
      <c r="H2715" s="0"/>
      <c r="I2715" s="0"/>
      <c r="J2715" s="0"/>
      <c r="K2715" s="0"/>
      <c r="L2715" s="0"/>
      <c r="M2715" s="0"/>
      <c r="N2715" s="0"/>
    </row>
    <row r="2716" customFormat="false" ht="12.8" hidden="false" customHeight="false" outlineLevel="0" collapsed="false">
      <c r="A2716" s="0"/>
      <c r="B2716" s="0"/>
      <c r="C2716" s="0"/>
      <c r="D2716" s="0"/>
      <c r="E2716" s="0"/>
      <c r="F2716" s="0"/>
      <c r="G2716" s="0"/>
      <c r="H2716" s="0"/>
      <c r="I2716" s="0"/>
      <c r="J2716" s="0"/>
      <c r="K2716" s="0"/>
      <c r="L2716" s="0"/>
      <c r="M2716" s="0"/>
      <c r="N2716" s="0"/>
    </row>
    <row r="2717" customFormat="false" ht="12.8" hidden="false" customHeight="false" outlineLevel="0" collapsed="false">
      <c r="A2717" s="0"/>
      <c r="B2717" s="0"/>
      <c r="C2717" s="0"/>
      <c r="D2717" s="0"/>
      <c r="E2717" s="0"/>
      <c r="F2717" s="0"/>
      <c r="G2717" s="0"/>
      <c r="H2717" s="0"/>
      <c r="I2717" s="0"/>
      <c r="J2717" s="0"/>
      <c r="K2717" s="0"/>
      <c r="L2717" s="0"/>
      <c r="M2717" s="0"/>
      <c r="N2717" s="0"/>
    </row>
    <row r="2718" customFormat="false" ht="12.8" hidden="false" customHeight="false" outlineLevel="0" collapsed="false">
      <c r="A2718" s="0"/>
      <c r="B2718" s="0"/>
      <c r="C2718" s="0"/>
      <c r="D2718" s="0"/>
      <c r="E2718" s="0"/>
      <c r="F2718" s="0"/>
      <c r="G2718" s="0"/>
      <c r="H2718" s="0"/>
      <c r="I2718" s="0"/>
      <c r="J2718" s="0"/>
      <c r="K2718" s="0"/>
      <c r="L2718" s="0"/>
      <c r="M2718" s="0"/>
      <c r="N2718" s="0"/>
    </row>
    <row r="2719" customFormat="false" ht="12.8" hidden="false" customHeight="false" outlineLevel="0" collapsed="false">
      <c r="A2719" s="0"/>
      <c r="B2719" s="0"/>
      <c r="C2719" s="0"/>
      <c r="D2719" s="0"/>
      <c r="E2719" s="0"/>
      <c r="F2719" s="0"/>
      <c r="G2719" s="0"/>
      <c r="H2719" s="0"/>
      <c r="I2719" s="0"/>
      <c r="J2719" s="0"/>
      <c r="K2719" s="0"/>
      <c r="L2719" s="0"/>
      <c r="M2719" s="0"/>
      <c r="N2719" s="0"/>
    </row>
    <row r="2720" customFormat="false" ht="12.8" hidden="false" customHeight="false" outlineLevel="0" collapsed="false">
      <c r="A2720" s="0"/>
      <c r="B2720" s="0"/>
      <c r="C2720" s="0"/>
      <c r="D2720" s="0"/>
      <c r="E2720" s="0"/>
      <c r="F2720" s="0"/>
      <c r="G2720" s="0"/>
      <c r="H2720" s="0"/>
      <c r="I2720" s="0"/>
      <c r="J2720" s="0"/>
      <c r="K2720" s="0"/>
      <c r="L2720" s="0"/>
      <c r="M2720" s="0"/>
      <c r="N2720" s="0"/>
    </row>
    <row r="2721" customFormat="false" ht="12.8" hidden="false" customHeight="false" outlineLevel="0" collapsed="false">
      <c r="A2721" s="0"/>
      <c r="B2721" s="0"/>
      <c r="C2721" s="0"/>
      <c r="D2721" s="0"/>
      <c r="E2721" s="0"/>
      <c r="F2721" s="0"/>
      <c r="G2721" s="0"/>
      <c r="H2721" s="0"/>
      <c r="I2721" s="0"/>
      <c r="J2721" s="0"/>
      <c r="K2721" s="0"/>
      <c r="L2721" s="0"/>
      <c r="M2721" s="0"/>
      <c r="N2721" s="0"/>
    </row>
    <row r="2722" customFormat="false" ht="12.8" hidden="false" customHeight="false" outlineLevel="0" collapsed="false">
      <c r="A2722" s="0"/>
      <c r="B2722" s="0"/>
      <c r="C2722" s="0"/>
      <c r="D2722" s="0"/>
      <c r="E2722" s="0"/>
      <c r="F2722" s="0"/>
      <c r="G2722" s="0"/>
      <c r="H2722" s="0"/>
      <c r="I2722" s="0"/>
      <c r="J2722" s="0"/>
      <c r="K2722" s="0"/>
      <c r="L2722" s="0"/>
      <c r="M2722" s="0"/>
      <c r="N2722" s="0"/>
    </row>
    <row r="2723" customFormat="false" ht="12.8" hidden="false" customHeight="false" outlineLevel="0" collapsed="false">
      <c r="A2723" s="0"/>
      <c r="B2723" s="0"/>
      <c r="C2723" s="0"/>
      <c r="D2723" s="0"/>
      <c r="E2723" s="0"/>
      <c r="F2723" s="0"/>
      <c r="G2723" s="0"/>
      <c r="H2723" s="0"/>
      <c r="I2723" s="0"/>
      <c r="J2723" s="0"/>
      <c r="K2723" s="0"/>
      <c r="L2723" s="0"/>
      <c r="M2723" s="0"/>
      <c r="N2723" s="0"/>
    </row>
    <row r="2724" customFormat="false" ht="12.8" hidden="false" customHeight="false" outlineLevel="0" collapsed="false">
      <c r="A2724" s="0"/>
      <c r="B2724" s="0"/>
      <c r="C2724" s="0"/>
      <c r="D2724" s="0"/>
      <c r="E2724" s="0"/>
      <c r="F2724" s="0"/>
      <c r="G2724" s="0"/>
      <c r="H2724" s="0"/>
      <c r="I2724" s="0"/>
      <c r="J2724" s="0"/>
      <c r="K2724" s="0"/>
      <c r="L2724" s="0"/>
      <c r="M2724" s="0"/>
      <c r="N2724" s="0"/>
    </row>
    <row r="2725" customFormat="false" ht="12.8" hidden="false" customHeight="false" outlineLevel="0" collapsed="false">
      <c r="A2725" s="0"/>
      <c r="B2725" s="0"/>
      <c r="C2725" s="0"/>
      <c r="D2725" s="0"/>
      <c r="E2725" s="0"/>
      <c r="F2725" s="0"/>
      <c r="G2725" s="0"/>
      <c r="H2725" s="0"/>
      <c r="I2725" s="0"/>
      <c r="J2725" s="0"/>
      <c r="K2725" s="0"/>
      <c r="L2725" s="0"/>
      <c r="M2725" s="0"/>
      <c r="N2725" s="0"/>
    </row>
    <row r="2726" customFormat="false" ht="12.8" hidden="false" customHeight="false" outlineLevel="0" collapsed="false">
      <c r="A2726" s="0"/>
      <c r="B2726" s="0"/>
      <c r="C2726" s="0"/>
      <c r="D2726" s="0"/>
      <c r="E2726" s="0"/>
      <c r="F2726" s="0"/>
      <c r="G2726" s="0"/>
      <c r="H2726" s="0"/>
      <c r="I2726" s="0"/>
      <c r="J2726" s="0"/>
      <c r="K2726" s="0"/>
      <c r="L2726" s="0"/>
      <c r="M2726" s="0"/>
      <c r="N2726" s="0"/>
    </row>
    <row r="2727" customFormat="false" ht="12.8" hidden="false" customHeight="false" outlineLevel="0" collapsed="false">
      <c r="A2727" s="0"/>
      <c r="B2727" s="0"/>
      <c r="C2727" s="0"/>
      <c r="D2727" s="0"/>
      <c r="E2727" s="0"/>
      <c r="F2727" s="0"/>
      <c r="G2727" s="0"/>
      <c r="H2727" s="0"/>
      <c r="I2727" s="0"/>
      <c r="J2727" s="0"/>
      <c r="K2727" s="0"/>
      <c r="L2727" s="0"/>
      <c r="M2727" s="0"/>
      <c r="N2727" s="0"/>
    </row>
    <row r="2728" customFormat="false" ht="12.8" hidden="false" customHeight="false" outlineLevel="0" collapsed="false">
      <c r="A2728" s="0"/>
      <c r="B2728" s="0"/>
      <c r="C2728" s="0"/>
      <c r="D2728" s="0"/>
      <c r="E2728" s="0"/>
      <c r="F2728" s="0"/>
      <c r="G2728" s="0"/>
      <c r="H2728" s="0"/>
      <c r="I2728" s="0"/>
      <c r="J2728" s="0"/>
      <c r="K2728" s="0"/>
      <c r="L2728" s="0"/>
      <c r="M2728" s="0"/>
      <c r="N2728" s="0"/>
    </row>
    <row r="2729" customFormat="false" ht="12.8" hidden="false" customHeight="false" outlineLevel="0" collapsed="false">
      <c r="A2729" s="0"/>
      <c r="B2729" s="0"/>
      <c r="C2729" s="0"/>
      <c r="D2729" s="0"/>
      <c r="E2729" s="0"/>
      <c r="F2729" s="0"/>
      <c r="G2729" s="0"/>
      <c r="H2729" s="0"/>
      <c r="I2729" s="0"/>
      <c r="J2729" s="0"/>
      <c r="K2729" s="0"/>
      <c r="L2729" s="0"/>
      <c r="M2729" s="0"/>
      <c r="N2729" s="0"/>
    </row>
    <row r="2730" customFormat="false" ht="12.8" hidden="false" customHeight="false" outlineLevel="0" collapsed="false">
      <c r="A2730" s="0"/>
      <c r="B2730" s="0"/>
      <c r="C2730" s="0"/>
      <c r="D2730" s="0"/>
      <c r="E2730" s="0"/>
      <c r="F2730" s="0"/>
      <c r="G2730" s="0"/>
      <c r="H2730" s="0"/>
      <c r="I2730" s="0"/>
      <c r="J2730" s="0"/>
      <c r="K2730" s="0"/>
      <c r="L2730" s="0"/>
      <c r="M2730" s="0"/>
      <c r="N2730" s="0"/>
    </row>
    <row r="2731" customFormat="false" ht="12.8" hidden="false" customHeight="false" outlineLevel="0" collapsed="false">
      <c r="A2731" s="0"/>
      <c r="B2731" s="0"/>
      <c r="C2731" s="0"/>
      <c r="D2731" s="0"/>
      <c r="E2731" s="0"/>
      <c r="F2731" s="0"/>
      <c r="G2731" s="0"/>
      <c r="H2731" s="0"/>
      <c r="I2731" s="0"/>
      <c r="J2731" s="0"/>
      <c r="K2731" s="0"/>
      <c r="L2731" s="0"/>
      <c r="M2731" s="0"/>
      <c r="N2731" s="0"/>
    </row>
    <row r="2732" customFormat="false" ht="12.8" hidden="false" customHeight="false" outlineLevel="0" collapsed="false">
      <c r="A2732" s="0"/>
      <c r="B2732" s="0"/>
      <c r="C2732" s="0"/>
      <c r="D2732" s="0"/>
      <c r="E2732" s="0"/>
      <c r="F2732" s="0"/>
      <c r="G2732" s="0"/>
      <c r="H2732" s="0"/>
      <c r="I2732" s="0"/>
      <c r="J2732" s="0"/>
      <c r="K2732" s="0"/>
      <c r="L2732" s="0"/>
      <c r="M2732" s="0"/>
      <c r="N2732" s="0"/>
    </row>
    <row r="2733" customFormat="false" ht="12.8" hidden="false" customHeight="false" outlineLevel="0" collapsed="false">
      <c r="A2733" s="0"/>
      <c r="B2733" s="0"/>
      <c r="C2733" s="0"/>
      <c r="D2733" s="0"/>
      <c r="E2733" s="0"/>
      <c r="F2733" s="0"/>
      <c r="G2733" s="0"/>
      <c r="H2733" s="0"/>
      <c r="I2733" s="0"/>
      <c r="J2733" s="0"/>
      <c r="K2733" s="0"/>
      <c r="L2733" s="0"/>
      <c r="M2733" s="0"/>
      <c r="N2733" s="0"/>
    </row>
    <row r="2734" customFormat="false" ht="12.8" hidden="false" customHeight="false" outlineLevel="0" collapsed="false">
      <c r="A2734" s="0"/>
      <c r="B2734" s="0"/>
      <c r="C2734" s="0"/>
      <c r="D2734" s="0"/>
      <c r="E2734" s="0"/>
      <c r="F2734" s="0"/>
      <c r="G2734" s="0"/>
      <c r="H2734" s="0"/>
      <c r="I2734" s="0"/>
      <c r="J2734" s="0"/>
      <c r="K2734" s="0"/>
      <c r="L2734" s="0"/>
      <c r="M2734" s="0"/>
      <c r="N2734" s="0"/>
    </row>
    <row r="2735" customFormat="false" ht="12.8" hidden="false" customHeight="false" outlineLevel="0" collapsed="false">
      <c r="A2735" s="0"/>
      <c r="B2735" s="0"/>
      <c r="C2735" s="0"/>
      <c r="D2735" s="0"/>
      <c r="E2735" s="0"/>
      <c r="F2735" s="0"/>
      <c r="G2735" s="0"/>
      <c r="H2735" s="0"/>
      <c r="I2735" s="0"/>
      <c r="J2735" s="0"/>
      <c r="K2735" s="0"/>
      <c r="L2735" s="0"/>
      <c r="M2735" s="0"/>
      <c r="N2735" s="0"/>
    </row>
    <row r="2736" customFormat="false" ht="12.8" hidden="false" customHeight="false" outlineLevel="0" collapsed="false">
      <c r="A2736" s="0"/>
      <c r="B2736" s="0"/>
      <c r="C2736" s="0"/>
      <c r="D2736" s="0"/>
      <c r="E2736" s="0"/>
      <c r="F2736" s="0"/>
      <c r="G2736" s="0"/>
      <c r="H2736" s="0"/>
      <c r="I2736" s="0"/>
      <c r="J2736" s="0"/>
      <c r="K2736" s="0"/>
      <c r="L2736" s="0"/>
      <c r="M2736" s="0"/>
      <c r="N2736" s="0"/>
    </row>
    <row r="2737" customFormat="false" ht="12.8" hidden="false" customHeight="false" outlineLevel="0" collapsed="false">
      <c r="A2737" s="0"/>
      <c r="B2737" s="0"/>
      <c r="C2737" s="0"/>
      <c r="D2737" s="0"/>
      <c r="E2737" s="0"/>
      <c r="F2737" s="0"/>
      <c r="G2737" s="0"/>
      <c r="H2737" s="0"/>
      <c r="I2737" s="0"/>
      <c r="J2737" s="0"/>
      <c r="K2737" s="0"/>
      <c r="L2737" s="0"/>
      <c r="M2737" s="0"/>
      <c r="N2737" s="0"/>
    </row>
    <row r="2738" customFormat="false" ht="12.8" hidden="false" customHeight="false" outlineLevel="0" collapsed="false">
      <c r="A2738" s="0"/>
      <c r="B2738" s="0"/>
      <c r="C2738" s="0"/>
      <c r="D2738" s="0"/>
      <c r="E2738" s="0"/>
      <c r="F2738" s="0"/>
      <c r="G2738" s="0"/>
      <c r="H2738" s="0"/>
      <c r="I2738" s="0"/>
      <c r="J2738" s="0"/>
      <c r="K2738" s="0"/>
      <c r="L2738" s="0"/>
      <c r="M2738" s="0"/>
      <c r="N2738" s="0"/>
    </row>
    <row r="2739" customFormat="false" ht="12.8" hidden="false" customHeight="false" outlineLevel="0" collapsed="false">
      <c r="A2739" s="0"/>
      <c r="B2739" s="0"/>
      <c r="C2739" s="0"/>
      <c r="D2739" s="0"/>
      <c r="E2739" s="0"/>
      <c r="F2739" s="0"/>
      <c r="G2739" s="0"/>
      <c r="H2739" s="0"/>
      <c r="I2739" s="0"/>
      <c r="J2739" s="0"/>
      <c r="K2739" s="0"/>
      <c r="L2739" s="0"/>
      <c r="M2739" s="0"/>
      <c r="N2739" s="0"/>
    </row>
    <row r="2740" customFormat="false" ht="12.8" hidden="false" customHeight="false" outlineLevel="0" collapsed="false">
      <c r="A2740" s="0"/>
      <c r="B2740" s="0"/>
      <c r="C2740" s="0"/>
      <c r="D2740" s="0"/>
      <c r="E2740" s="0"/>
      <c r="F2740" s="0"/>
      <c r="G2740" s="0"/>
      <c r="H2740" s="0"/>
      <c r="I2740" s="0"/>
      <c r="J2740" s="0"/>
      <c r="K2740" s="0"/>
      <c r="L2740" s="0"/>
      <c r="M2740" s="0"/>
      <c r="N2740" s="0"/>
    </row>
    <row r="2741" customFormat="false" ht="12.8" hidden="false" customHeight="false" outlineLevel="0" collapsed="false">
      <c r="A2741" s="0"/>
      <c r="B2741" s="0"/>
      <c r="C2741" s="0"/>
      <c r="D2741" s="0"/>
      <c r="E2741" s="0"/>
      <c r="F2741" s="0"/>
      <c r="G2741" s="0"/>
      <c r="H2741" s="0"/>
      <c r="I2741" s="0"/>
      <c r="J2741" s="0"/>
      <c r="K2741" s="0"/>
      <c r="L2741" s="0"/>
      <c r="M2741" s="0"/>
      <c r="N2741" s="0"/>
    </row>
    <row r="2742" customFormat="false" ht="12.8" hidden="false" customHeight="false" outlineLevel="0" collapsed="false">
      <c r="A2742" s="0"/>
      <c r="B2742" s="0"/>
      <c r="C2742" s="0"/>
      <c r="D2742" s="0"/>
      <c r="E2742" s="0"/>
      <c r="F2742" s="0"/>
      <c r="G2742" s="0"/>
      <c r="H2742" s="0"/>
      <c r="I2742" s="0"/>
      <c r="J2742" s="0"/>
      <c r="K2742" s="0"/>
      <c r="L2742" s="0"/>
      <c r="M2742" s="0"/>
      <c r="N2742" s="0"/>
    </row>
    <row r="2743" customFormat="false" ht="12.8" hidden="false" customHeight="false" outlineLevel="0" collapsed="false">
      <c r="A2743" s="0"/>
      <c r="B2743" s="0"/>
      <c r="C2743" s="0"/>
      <c r="D2743" s="0"/>
      <c r="E2743" s="0"/>
      <c r="F2743" s="0"/>
      <c r="G2743" s="0"/>
      <c r="H2743" s="0"/>
      <c r="I2743" s="0"/>
      <c r="J2743" s="0"/>
      <c r="K2743" s="0"/>
      <c r="L2743" s="0"/>
      <c r="M2743" s="0"/>
      <c r="N2743" s="0"/>
    </row>
    <row r="2744" customFormat="false" ht="12.8" hidden="false" customHeight="false" outlineLevel="0" collapsed="false">
      <c r="A2744" s="0"/>
      <c r="B2744" s="0"/>
      <c r="C2744" s="0"/>
      <c r="D2744" s="0"/>
      <c r="E2744" s="0"/>
      <c r="F2744" s="0"/>
      <c r="G2744" s="0"/>
      <c r="H2744" s="0"/>
      <c r="I2744" s="0"/>
      <c r="J2744" s="0"/>
      <c r="K2744" s="0"/>
      <c r="L2744" s="0"/>
      <c r="M2744" s="0"/>
      <c r="N2744" s="0"/>
    </row>
    <row r="2745" customFormat="false" ht="12.8" hidden="false" customHeight="false" outlineLevel="0" collapsed="false">
      <c r="A2745" s="0"/>
      <c r="B2745" s="0"/>
      <c r="C2745" s="0"/>
      <c r="D2745" s="0"/>
      <c r="E2745" s="0"/>
      <c r="F2745" s="0"/>
      <c r="G2745" s="0"/>
      <c r="H2745" s="0"/>
      <c r="I2745" s="0"/>
      <c r="J2745" s="0"/>
      <c r="K2745" s="0"/>
      <c r="L2745" s="0"/>
      <c r="M2745" s="0"/>
      <c r="N2745" s="0"/>
    </row>
    <row r="2746" customFormat="false" ht="12.8" hidden="false" customHeight="false" outlineLevel="0" collapsed="false">
      <c r="A2746" s="0"/>
      <c r="B2746" s="0"/>
      <c r="C2746" s="0"/>
      <c r="D2746" s="0"/>
      <c r="E2746" s="0"/>
      <c r="F2746" s="0"/>
      <c r="G2746" s="0"/>
      <c r="H2746" s="0"/>
      <c r="I2746" s="0"/>
      <c r="J2746" s="0"/>
      <c r="K2746" s="0"/>
      <c r="L2746" s="0"/>
      <c r="M2746" s="0"/>
      <c r="N2746" s="0"/>
    </row>
    <row r="2747" customFormat="false" ht="12.8" hidden="false" customHeight="false" outlineLevel="0" collapsed="false">
      <c r="A2747" s="0"/>
      <c r="B2747" s="0"/>
      <c r="C2747" s="0"/>
      <c r="D2747" s="0"/>
      <c r="E2747" s="0"/>
      <c r="F2747" s="0"/>
      <c r="G2747" s="0"/>
      <c r="H2747" s="0"/>
      <c r="I2747" s="0"/>
      <c r="J2747" s="0"/>
      <c r="K2747" s="0"/>
      <c r="L2747" s="0"/>
      <c r="M2747" s="0"/>
      <c r="N2747" s="0"/>
    </row>
    <row r="2748" customFormat="false" ht="12.8" hidden="false" customHeight="false" outlineLevel="0" collapsed="false">
      <c r="A2748" s="0"/>
      <c r="B2748" s="0"/>
      <c r="C2748" s="0"/>
      <c r="D2748" s="0"/>
      <c r="E2748" s="0"/>
      <c r="F2748" s="0"/>
      <c r="G2748" s="0"/>
      <c r="H2748" s="0"/>
      <c r="I2748" s="0"/>
      <c r="J2748" s="0"/>
      <c r="K2748" s="0"/>
      <c r="L2748" s="0"/>
      <c r="M2748" s="0"/>
      <c r="N2748" s="0"/>
    </row>
    <row r="2749" customFormat="false" ht="12.8" hidden="false" customHeight="false" outlineLevel="0" collapsed="false">
      <c r="A2749" s="0"/>
      <c r="B2749" s="0"/>
      <c r="C2749" s="0"/>
      <c r="D2749" s="0"/>
      <c r="E2749" s="0"/>
      <c r="F2749" s="0"/>
      <c r="G2749" s="0"/>
      <c r="H2749" s="0"/>
      <c r="I2749" s="0"/>
      <c r="J2749" s="0"/>
      <c r="K2749" s="0"/>
      <c r="L2749" s="0"/>
      <c r="M2749" s="0"/>
      <c r="N2749" s="0"/>
    </row>
    <row r="2750" customFormat="false" ht="12.8" hidden="false" customHeight="false" outlineLevel="0" collapsed="false">
      <c r="A2750" s="0"/>
      <c r="B2750" s="0"/>
      <c r="C2750" s="0"/>
      <c r="D2750" s="0"/>
      <c r="E2750" s="0"/>
      <c r="F2750" s="0"/>
      <c r="G2750" s="0"/>
      <c r="H2750" s="0"/>
      <c r="I2750" s="0"/>
      <c r="J2750" s="0"/>
      <c r="K2750" s="0"/>
      <c r="L2750" s="0"/>
      <c r="M2750" s="0"/>
      <c r="N2750" s="0"/>
    </row>
    <row r="2751" customFormat="false" ht="12.8" hidden="false" customHeight="false" outlineLevel="0" collapsed="false">
      <c r="A2751" s="0"/>
      <c r="B2751" s="0"/>
      <c r="C2751" s="0"/>
      <c r="D2751" s="0"/>
      <c r="E2751" s="0"/>
      <c r="F2751" s="0"/>
      <c r="G2751" s="0"/>
      <c r="H2751" s="0"/>
      <c r="I2751" s="0"/>
      <c r="J2751" s="0"/>
      <c r="K2751" s="0"/>
      <c r="L2751" s="0"/>
      <c r="M2751" s="0"/>
      <c r="N2751" s="0"/>
    </row>
    <row r="2752" customFormat="false" ht="12.8" hidden="false" customHeight="false" outlineLevel="0" collapsed="false">
      <c r="A2752" s="0"/>
      <c r="B2752" s="0"/>
      <c r="C2752" s="0"/>
      <c r="D2752" s="0"/>
      <c r="E2752" s="0"/>
      <c r="F2752" s="0"/>
      <c r="G2752" s="0"/>
      <c r="H2752" s="0"/>
      <c r="I2752" s="0"/>
      <c r="J2752" s="0"/>
      <c r="K2752" s="0"/>
      <c r="L2752" s="0"/>
      <c r="M2752" s="0"/>
      <c r="N2752" s="0"/>
    </row>
    <row r="2753" customFormat="false" ht="12.8" hidden="false" customHeight="false" outlineLevel="0" collapsed="false">
      <c r="A2753" s="0"/>
      <c r="B2753" s="0"/>
      <c r="C2753" s="0"/>
      <c r="D2753" s="0"/>
      <c r="E2753" s="0"/>
      <c r="F2753" s="0"/>
      <c r="G2753" s="0"/>
      <c r="H2753" s="0"/>
      <c r="I2753" s="0"/>
      <c r="J2753" s="0"/>
      <c r="K2753" s="0"/>
      <c r="L2753" s="0"/>
      <c r="M2753" s="0"/>
      <c r="N2753" s="0"/>
    </row>
    <row r="2754" customFormat="false" ht="12.8" hidden="false" customHeight="false" outlineLevel="0" collapsed="false">
      <c r="A2754" s="0"/>
      <c r="B2754" s="0"/>
      <c r="C2754" s="0"/>
      <c r="D2754" s="0"/>
      <c r="E2754" s="0"/>
      <c r="F2754" s="0"/>
      <c r="G2754" s="0"/>
      <c r="H2754" s="0"/>
      <c r="I2754" s="0"/>
      <c r="J2754" s="0"/>
      <c r="K2754" s="0"/>
      <c r="L2754" s="0"/>
      <c r="M2754" s="0"/>
      <c r="N2754" s="0"/>
    </row>
    <row r="2755" customFormat="false" ht="12.8" hidden="false" customHeight="false" outlineLevel="0" collapsed="false">
      <c r="A2755" s="0"/>
      <c r="B2755" s="0"/>
      <c r="C2755" s="0"/>
      <c r="D2755" s="0"/>
      <c r="E2755" s="0"/>
      <c r="F2755" s="0"/>
      <c r="G2755" s="0"/>
      <c r="H2755" s="0"/>
      <c r="I2755" s="0"/>
      <c r="J2755" s="0"/>
      <c r="K2755" s="0"/>
      <c r="L2755" s="0"/>
      <c r="M2755" s="0"/>
      <c r="N2755" s="0"/>
    </row>
    <row r="2756" customFormat="false" ht="12.8" hidden="false" customHeight="false" outlineLevel="0" collapsed="false">
      <c r="A2756" s="0"/>
      <c r="B2756" s="0"/>
      <c r="C2756" s="0"/>
      <c r="D2756" s="0"/>
      <c r="E2756" s="0"/>
      <c r="F2756" s="0"/>
      <c r="G2756" s="0"/>
      <c r="H2756" s="0"/>
      <c r="I2756" s="0"/>
      <c r="J2756" s="0"/>
      <c r="K2756" s="0"/>
      <c r="L2756" s="0"/>
      <c r="M2756" s="0"/>
      <c r="N2756" s="0"/>
    </row>
    <row r="2757" customFormat="false" ht="12.8" hidden="false" customHeight="false" outlineLevel="0" collapsed="false">
      <c r="A2757" s="0"/>
      <c r="B2757" s="0"/>
      <c r="C2757" s="0"/>
      <c r="D2757" s="0"/>
      <c r="E2757" s="0"/>
      <c r="F2757" s="0"/>
      <c r="G2757" s="0"/>
      <c r="H2757" s="0"/>
      <c r="I2757" s="0"/>
      <c r="J2757" s="0"/>
      <c r="K2757" s="0"/>
      <c r="L2757" s="0"/>
      <c r="M2757" s="0"/>
      <c r="N2757" s="0"/>
    </row>
    <row r="2758" customFormat="false" ht="12.8" hidden="false" customHeight="false" outlineLevel="0" collapsed="false">
      <c r="A2758" s="0"/>
      <c r="B2758" s="0"/>
      <c r="C2758" s="0"/>
      <c r="D2758" s="0"/>
      <c r="E2758" s="0"/>
      <c r="F2758" s="0"/>
      <c r="G2758" s="0"/>
      <c r="H2758" s="0"/>
      <c r="I2758" s="0"/>
      <c r="J2758" s="0"/>
      <c r="K2758" s="0"/>
      <c r="L2758" s="0"/>
      <c r="M2758" s="0"/>
      <c r="N2758" s="0"/>
    </row>
    <row r="2759" customFormat="false" ht="12.8" hidden="false" customHeight="false" outlineLevel="0" collapsed="false">
      <c r="A2759" s="0"/>
      <c r="B2759" s="0"/>
      <c r="C2759" s="0"/>
      <c r="D2759" s="0"/>
      <c r="E2759" s="0"/>
      <c r="F2759" s="0"/>
      <c r="G2759" s="0"/>
      <c r="H2759" s="0"/>
      <c r="I2759" s="0"/>
      <c r="J2759" s="0"/>
      <c r="K2759" s="0"/>
      <c r="L2759" s="0"/>
      <c r="M2759" s="0"/>
      <c r="N2759" s="0"/>
    </row>
    <row r="2760" customFormat="false" ht="12.8" hidden="false" customHeight="false" outlineLevel="0" collapsed="false">
      <c r="A2760" s="0"/>
      <c r="B2760" s="0"/>
      <c r="C2760" s="0"/>
      <c r="D2760" s="0"/>
      <c r="E2760" s="0"/>
      <c r="F2760" s="0"/>
      <c r="G2760" s="0"/>
      <c r="H2760" s="0"/>
      <c r="I2760" s="0"/>
      <c r="J2760" s="0"/>
      <c r="K2760" s="0"/>
      <c r="L2760" s="0"/>
      <c r="M2760" s="0"/>
      <c r="N2760" s="0"/>
    </row>
    <row r="2761" customFormat="false" ht="12.8" hidden="false" customHeight="false" outlineLevel="0" collapsed="false">
      <c r="A2761" s="0"/>
      <c r="B2761" s="0"/>
      <c r="C2761" s="0"/>
      <c r="D2761" s="0"/>
      <c r="E2761" s="0"/>
      <c r="F2761" s="0"/>
      <c r="G2761" s="0"/>
      <c r="H2761" s="0"/>
      <c r="I2761" s="0"/>
      <c r="J2761" s="0"/>
      <c r="K2761" s="0"/>
      <c r="L2761" s="0"/>
      <c r="M2761" s="0"/>
      <c r="N2761" s="0"/>
    </row>
    <row r="2762" customFormat="false" ht="12.8" hidden="false" customHeight="false" outlineLevel="0" collapsed="false">
      <c r="A2762" s="0"/>
      <c r="B2762" s="0"/>
      <c r="C2762" s="0"/>
      <c r="D2762" s="0"/>
      <c r="E2762" s="0"/>
      <c r="F2762" s="0"/>
      <c r="G2762" s="0"/>
      <c r="H2762" s="0"/>
      <c r="I2762" s="0"/>
      <c r="J2762" s="0"/>
      <c r="K2762" s="0"/>
      <c r="L2762" s="0"/>
      <c r="M2762" s="0"/>
      <c r="N2762" s="0"/>
    </row>
    <row r="2763" customFormat="false" ht="12.8" hidden="false" customHeight="false" outlineLevel="0" collapsed="false">
      <c r="A2763" s="0"/>
      <c r="B2763" s="0"/>
      <c r="C2763" s="0"/>
      <c r="D2763" s="0"/>
      <c r="E2763" s="0"/>
      <c r="F2763" s="0"/>
      <c r="G2763" s="0"/>
      <c r="H2763" s="0"/>
      <c r="I2763" s="0"/>
      <c r="J2763" s="0"/>
      <c r="K2763" s="0"/>
      <c r="L2763" s="0"/>
      <c r="M2763" s="0"/>
      <c r="N2763" s="0"/>
    </row>
    <row r="2764" customFormat="false" ht="12.8" hidden="false" customHeight="false" outlineLevel="0" collapsed="false">
      <c r="A2764" s="0"/>
      <c r="B2764" s="0"/>
      <c r="C2764" s="0"/>
      <c r="D2764" s="0"/>
      <c r="E2764" s="0"/>
      <c r="F2764" s="0"/>
      <c r="G2764" s="0"/>
      <c r="H2764" s="0"/>
      <c r="I2764" s="0"/>
      <c r="J2764" s="0"/>
      <c r="K2764" s="0"/>
      <c r="L2764" s="0"/>
      <c r="M2764" s="0"/>
      <c r="N2764" s="0"/>
    </row>
    <row r="2765" customFormat="false" ht="12.8" hidden="false" customHeight="false" outlineLevel="0" collapsed="false">
      <c r="A2765" s="0"/>
      <c r="B2765" s="0"/>
      <c r="C2765" s="0"/>
      <c r="D2765" s="0"/>
      <c r="E2765" s="0"/>
      <c r="F2765" s="0"/>
      <c r="G2765" s="0"/>
      <c r="H2765" s="0"/>
      <c r="I2765" s="0"/>
      <c r="J2765" s="0"/>
      <c r="K2765" s="0"/>
      <c r="L2765" s="0"/>
      <c r="M2765" s="0"/>
      <c r="N2765" s="0"/>
    </row>
    <row r="2766" customFormat="false" ht="12.8" hidden="false" customHeight="false" outlineLevel="0" collapsed="false">
      <c r="A2766" s="0"/>
      <c r="B2766" s="0"/>
      <c r="C2766" s="0"/>
      <c r="D2766" s="0"/>
      <c r="E2766" s="0"/>
      <c r="F2766" s="0"/>
      <c r="G2766" s="0"/>
      <c r="H2766" s="0"/>
      <c r="I2766" s="0"/>
      <c r="J2766" s="0"/>
      <c r="K2766" s="0"/>
      <c r="L2766" s="0"/>
      <c r="M2766" s="0"/>
      <c r="N2766" s="0"/>
    </row>
    <row r="2767" customFormat="false" ht="12.8" hidden="false" customHeight="false" outlineLevel="0" collapsed="false">
      <c r="A2767" s="0"/>
      <c r="B2767" s="0"/>
      <c r="C2767" s="0"/>
      <c r="D2767" s="0"/>
      <c r="E2767" s="0"/>
      <c r="F2767" s="0"/>
      <c r="G2767" s="0"/>
      <c r="H2767" s="0"/>
      <c r="I2767" s="0"/>
      <c r="J2767" s="0"/>
      <c r="K2767" s="0"/>
      <c r="L2767" s="0"/>
      <c r="M2767" s="0"/>
      <c r="N2767" s="0"/>
    </row>
    <row r="2768" customFormat="false" ht="12.8" hidden="false" customHeight="false" outlineLevel="0" collapsed="false">
      <c r="A2768" s="0"/>
      <c r="B2768" s="0"/>
      <c r="C2768" s="0"/>
      <c r="D2768" s="0"/>
      <c r="E2768" s="0"/>
      <c r="F2768" s="0"/>
      <c r="G2768" s="0"/>
      <c r="H2768" s="0"/>
      <c r="I2768" s="0"/>
      <c r="J2768" s="0"/>
      <c r="K2768" s="0"/>
      <c r="L2768" s="0"/>
      <c r="M2768" s="0"/>
      <c r="N2768" s="0"/>
    </row>
    <row r="2769" customFormat="false" ht="12.8" hidden="false" customHeight="false" outlineLevel="0" collapsed="false">
      <c r="A2769" s="0"/>
      <c r="B2769" s="0"/>
      <c r="C2769" s="0"/>
      <c r="D2769" s="0"/>
      <c r="E2769" s="0"/>
      <c r="F2769" s="0"/>
      <c r="G2769" s="0"/>
      <c r="H2769" s="0"/>
      <c r="I2769" s="0"/>
      <c r="J2769" s="0"/>
      <c r="K2769" s="0"/>
      <c r="L2769" s="0"/>
      <c r="M2769" s="0"/>
      <c r="N2769" s="0"/>
    </row>
    <row r="2770" customFormat="false" ht="12.8" hidden="false" customHeight="false" outlineLevel="0" collapsed="false">
      <c r="A2770" s="0"/>
      <c r="B2770" s="0"/>
      <c r="C2770" s="0"/>
      <c r="D2770" s="0"/>
      <c r="E2770" s="0"/>
      <c r="F2770" s="0"/>
      <c r="G2770" s="0"/>
      <c r="H2770" s="0"/>
      <c r="I2770" s="0"/>
      <c r="J2770" s="0"/>
      <c r="K2770" s="0"/>
      <c r="L2770" s="0"/>
      <c r="M2770" s="0"/>
      <c r="N2770" s="0"/>
    </row>
    <row r="2771" customFormat="false" ht="12.8" hidden="false" customHeight="false" outlineLevel="0" collapsed="false">
      <c r="A2771" s="0"/>
      <c r="B2771" s="0"/>
      <c r="C2771" s="0"/>
      <c r="D2771" s="0"/>
      <c r="E2771" s="0"/>
      <c r="F2771" s="0"/>
      <c r="G2771" s="0"/>
      <c r="H2771" s="0"/>
      <c r="I2771" s="0"/>
      <c r="J2771" s="0"/>
      <c r="K2771" s="0"/>
      <c r="L2771" s="0"/>
      <c r="M2771" s="0"/>
      <c r="N2771" s="0"/>
    </row>
    <row r="2772" customFormat="false" ht="12.8" hidden="false" customHeight="false" outlineLevel="0" collapsed="false">
      <c r="A2772" s="0"/>
      <c r="B2772" s="0"/>
      <c r="C2772" s="0"/>
      <c r="D2772" s="0"/>
      <c r="E2772" s="0"/>
      <c r="F2772" s="0"/>
      <c r="G2772" s="0"/>
      <c r="H2772" s="0"/>
      <c r="I2772" s="0"/>
      <c r="J2772" s="0"/>
      <c r="K2772" s="0"/>
      <c r="L2772" s="0"/>
      <c r="M2772" s="0"/>
      <c r="N2772" s="0"/>
    </row>
    <row r="2773" customFormat="false" ht="12.8" hidden="false" customHeight="false" outlineLevel="0" collapsed="false">
      <c r="A2773" s="0"/>
      <c r="B2773" s="0"/>
      <c r="C2773" s="0"/>
      <c r="D2773" s="0"/>
      <c r="E2773" s="0"/>
      <c r="F2773" s="0"/>
      <c r="G2773" s="0"/>
      <c r="H2773" s="0"/>
      <c r="I2773" s="0"/>
      <c r="J2773" s="0"/>
      <c r="K2773" s="0"/>
      <c r="L2773" s="0"/>
      <c r="M2773" s="0"/>
      <c r="N2773" s="0"/>
    </row>
    <row r="2774" customFormat="false" ht="12.8" hidden="false" customHeight="false" outlineLevel="0" collapsed="false">
      <c r="A2774" s="0"/>
      <c r="B2774" s="0"/>
      <c r="C2774" s="0"/>
      <c r="D2774" s="0"/>
      <c r="E2774" s="0"/>
      <c r="F2774" s="0"/>
      <c r="G2774" s="0"/>
      <c r="H2774" s="0"/>
      <c r="I2774" s="0"/>
      <c r="J2774" s="0"/>
      <c r="K2774" s="0"/>
      <c r="L2774" s="0"/>
      <c r="M2774" s="0"/>
      <c r="N2774" s="0"/>
    </row>
    <row r="2775" customFormat="false" ht="12.8" hidden="false" customHeight="false" outlineLevel="0" collapsed="false">
      <c r="A2775" s="0"/>
      <c r="B2775" s="0"/>
      <c r="C2775" s="0"/>
      <c r="D2775" s="0"/>
      <c r="E2775" s="0"/>
      <c r="F2775" s="0"/>
      <c r="G2775" s="0"/>
      <c r="H2775" s="0"/>
      <c r="I2775" s="0"/>
      <c r="J2775" s="0"/>
      <c r="K2775" s="0"/>
      <c r="L2775" s="0"/>
      <c r="M2775" s="0"/>
      <c r="N2775" s="0"/>
    </row>
    <row r="2776" customFormat="false" ht="12.8" hidden="false" customHeight="false" outlineLevel="0" collapsed="false">
      <c r="A2776" s="0"/>
      <c r="B2776" s="0"/>
      <c r="C2776" s="0"/>
      <c r="D2776" s="0"/>
      <c r="E2776" s="0"/>
      <c r="F2776" s="0"/>
      <c r="G2776" s="0"/>
      <c r="H2776" s="0"/>
      <c r="I2776" s="0"/>
      <c r="J2776" s="0"/>
      <c r="K2776" s="0"/>
      <c r="L2776" s="0"/>
      <c r="M2776" s="0"/>
      <c r="N2776" s="0"/>
    </row>
    <row r="2777" customFormat="false" ht="12.8" hidden="false" customHeight="false" outlineLevel="0" collapsed="false">
      <c r="A2777" s="0"/>
      <c r="B2777" s="0"/>
      <c r="C2777" s="0"/>
      <c r="D2777" s="0"/>
      <c r="E2777" s="0"/>
      <c r="F2777" s="0"/>
      <c r="G2777" s="0"/>
      <c r="H2777" s="0"/>
      <c r="I2777" s="0"/>
      <c r="J2777" s="0"/>
      <c r="K2777" s="0"/>
      <c r="L2777" s="0"/>
      <c r="M2777" s="0"/>
      <c r="N2777" s="0"/>
    </row>
    <row r="2778" customFormat="false" ht="12.8" hidden="false" customHeight="false" outlineLevel="0" collapsed="false">
      <c r="A2778" s="0"/>
      <c r="B2778" s="0"/>
      <c r="C2778" s="0"/>
      <c r="D2778" s="0"/>
      <c r="E2778" s="0"/>
      <c r="F2778" s="0"/>
      <c r="G2778" s="0"/>
      <c r="H2778" s="0"/>
      <c r="I2778" s="0"/>
      <c r="J2778" s="0"/>
      <c r="K2778" s="0"/>
      <c r="L2778" s="0"/>
      <c r="M2778" s="0"/>
      <c r="N2778" s="0"/>
    </row>
    <row r="2779" customFormat="false" ht="12.8" hidden="false" customHeight="false" outlineLevel="0" collapsed="false">
      <c r="A2779" s="0"/>
      <c r="B2779" s="0"/>
      <c r="C2779" s="0"/>
      <c r="D2779" s="0"/>
      <c r="E2779" s="0"/>
      <c r="F2779" s="0"/>
      <c r="G2779" s="0"/>
      <c r="H2779" s="0"/>
      <c r="I2779" s="0"/>
      <c r="J2779" s="0"/>
      <c r="K2779" s="0"/>
      <c r="L2779" s="0"/>
      <c r="M2779" s="0"/>
      <c r="N2779" s="0"/>
    </row>
    <row r="2780" customFormat="false" ht="12.8" hidden="false" customHeight="false" outlineLevel="0" collapsed="false">
      <c r="A2780" s="0"/>
      <c r="B2780" s="0"/>
      <c r="C2780" s="0"/>
      <c r="D2780" s="0"/>
      <c r="E2780" s="0"/>
      <c r="F2780" s="0"/>
      <c r="G2780" s="0"/>
      <c r="H2780" s="0"/>
      <c r="I2780" s="0"/>
      <c r="J2780" s="0"/>
      <c r="K2780" s="0"/>
      <c r="L2780" s="0"/>
      <c r="M2780" s="0"/>
      <c r="N2780" s="0"/>
    </row>
    <row r="2781" customFormat="false" ht="12.8" hidden="false" customHeight="false" outlineLevel="0" collapsed="false">
      <c r="A2781" s="0"/>
      <c r="B2781" s="0"/>
      <c r="C2781" s="0"/>
      <c r="D2781" s="0"/>
      <c r="E2781" s="0"/>
      <c r="F2781" s="0"/>
      <c r="G2781" s="0"/>
      <c r="H2781" s="0"/>
      <c r="I2781" s="0"/>
      <c r="J2781" s="0"/>
      <c r="K2781" s="0"/>
      <c r="L2781" s="0"/>
      <c r="M2781" s="0"/>
      <c r="N2781" s="0"/>
    </row>
    <row r="2782" customFormat="false" ht="12.8" hidden="false" customHeight="false" outlineLevel="0" collapsed="false">
      <c r="A2782" s="0"/>
      <c r="B2782" s="0"/>
      <c r="C2782" s="0"/>
      <c r="D2782" s="0"/>
      <c r="E2782" s="0"/>
      <c r="F2782" s="0"/>
      <c r="G2782" s="0"/>
      <c r="H2782" s="0"/>
      <c r="I2782" s="0"/>
      <c r="J2782" s="0"/>
      <c r="K2782" s="0"/>
      <c r="L2782" s="0"/>
      <c r="M2782" s="0"/>
      <c r="N2782" s="0"/>
    </row>
    <row r="2783" customFormat="false" ht="12.8" hidden="false" customHeight="false" outlineLevel="0" collapsed="false">
      <c r="A2783" s="0"/>
      <c r="B2783" s="0"/>
      <c r="C2783" s="0"/>
      <c r="D2783" s="0"/>
      <c r="E2783" s="0"/>
      <c r="F2783" s="0"/>
      <c r="G2783" s="0"/>
      <c r="H2783" s="0"/>
      <c r="I2783" s="0"/>
      <c r="J2783" s="0"/>
      <c r="K2783" s="0"/>
      <c r="L2783" s="0"/>
      <c r="M2783" s="0"/>
      <c r="N2783" s="0"/>
    </row>
    <row r="2784" customFormat="false" ht="12.8" hidden="false" customHeight="false" outlineLevel="0" collapsed="false">
      <c r="A2784" s="0"/>
      <c r="B2784" s="0"/>
      <c r="C2784" s="0"/>
      <c r="D2784" s="0"/>
      <c r="E2784" s="0"/>
      <c r="F2784" s="0"/>
      <c r="G2784" s="0"/>
      <c r="H2784" s="0"/>
      <c r="I2784" s="0"/>
      <c r="J2784" s="0"/>
      <c r="K2784" s="0"/>
      <c r="L2784" s="0"/>
      <c r="M2784" s="0"/>
      <c r="N2784" s="0"/>
    </row>
    <row r="2785" customFormat="false" ht="12.8" hidden="false" customHeight="false" outlineLevel="0" collapsed="false">
      <c r="A2785" s="0"/>
      <c r="B2785" s="0"/>
      <c r="C2785" s="0"/>
      <c r="D2785" s="0"/>
      <c r="E2785" s="0"/>
      <c r="F2785" s="0"/>
      <c r="G2785" s="0"/>
      <c r="H2785" s="0"/>
      <c r="I2785" s="0"/>
      <c r="J2785" s="0"/>
      <c r="K2785" s="0"/>
      <c r="L2785" s="0"/>
      <c r="M2785" s="0"/>
      <c r="N2785" s="0"/>
    </row>
    <row r="2786" customFormat="false" ht="12.8" hidden="false" customHeight="false" outlineLevel="0" collapsed="false">
      <c r="A2786" s="0"/>
      <c r="B2786" s="0"/>
      <c r="C2786" s="0"/>
      <c r="D2786" s="0"/>
      <c r="E2786" s="0"/>
      <c r="F2786" s="0"/>
      <c r="G2786" s="0"/>
      <c r="H2786" s="0"/>
      <c r="I2786" s="0"/>
      <c r="J2786" s="0"/>
      <c r="K2786" s="0"/>
      <c r="L2786" s="0"/>
      <c r="M2786" s="0"/>
      <c r="N2786" s="0"/>
    </row>
    <row r="2787" customFormat="false" ht="12.8" hidden="false" customHeight="false" outlineLevel="0" collapsed="false">
      <c r="A2787" s="0"/>
      <c r="B2787" s="0"/>
      <c r="C2787" s="0"/>
      <c r="D2787" s="0"/>
      <c r="E2787" s="0"/>
      <c r="F2787" s="0"/>
      <c r="G2787" s="0"/>
      <c r="H2787" s="0"/>
      <c r="I2787" s="0"/>
      <c r="J2787" s="0"/>
      <c r="K2787" s="0"/>
      <c r="L2787" s="0"/>
      <c r="M2787" s="0"/>
      <c r="N2787" s="0"/>
    </row>
    <row r="2788" customFormat="false" ht="12.8" hidden="false" customHeight="false" outlineLevel="0" collapsed="false">
      <c r="A2788" s="0"/>
      <c r="B2788" s="0"/>
      <c r="C2788" s="0"/>
      <c r="D2788" s="0"/>
      <c r="E2788" s="0"/>
      <c r="F2788" s="0"/>
      <c r="G2788" s="0"/>
      <c r="H2788" s="0"/>
      <c r="I2788" s="0"/>
      <c r="J2788" s="0"/>
      <c r="K2788" s="0"/>
      <c r="L2788" s="0"/>
      <c r="M2788" s="0"/>
      <c r="N2788" s="0"/>
    </row>
    <row r="2789" customFormat="false" ht="12.8" hidden="false" customHeight="false" outlineLevel="0" collapsed="false">
      <c r="A2789" s="0"/>
      <c r="B2789" s="0"/>
      <c r="C2789" s="0"/>
      <c r="D2789" s="0"/>
      <c r="E2789" s="0"/>
      <c r="F2789" s="0"/>
      <c r="G2789" s="0"/>
      <c r="H2789" s="0"/>
      <c r="I2789" s="0"/>
      <c r="J2789" s="0"/>
      <c r="K2789" s="0"/>
      <c r="L2789" s="0"/>
      <c r="M2789" s="0"/>
      <c r="N2789" s="0"/>
    </row>
    <row r="2790" customFormat="false" ht="12.8" hidden="false" customHeight="false" outlineLevel="0" collapsed="false">
      <c r="A2790" s="0"/>
      <c r="B2790" s="0"/>
      <c r="C2790" s="0"/>
      <c r="D2790" s="0"/>
      <c r="E2790" s="0"/>
      <c r="F2790" s="0"/>
      <c r="G2790" s="0"/>
      <c r="H2790" s="0"/>
      <c r="I2790" s="0"/>
      <c r="J2790" s="0"/>
      <c r="K2790" s="0"/>
      <c r="L2790" s="0"/>
      <c r="M2790" s="0"/>
      <c r="N2790" s="0"/>
    </row>
    <row r="2791" customFormat="false" ht="12.8" hidden="false" customHeight="false" outlineLevel="0" collapsed="false">
      <c r="A2791" s="0"/>
      <c r="B2791" s="0"/>
      <c r="C2791" s="0"/>
      <c r="D2791" s="0"/>
      <c r="E2791" s="0"/>
      <c r="F2791" s="0"/>
      <c r="G2791" s="0"/>
      <c r="H2791" s="0"/>
      <c r="I2791" s="0"/>
      <c r="J2791" s="0"/>
      <c r="K2791" s="0"/>
      <c r="L2791" s="0"/>
      <c r="M2791" s="0"/>
      <c r="N2791" s="0"/>
    </row>
    <row r="2792" customFormat="false" ht="12.8" hidden="false" customHeight="false" outlineLevel="0" collapsed="false">
      <c r="A2792" s="0"/>
      <c r="B2792" s="0"/>
      <c r="C2792" s="0"/>
      <c r="D2792" s="0"/>
      <c r="E2792" s="0"/>
      <c r="F2792" s="0"/>
      <c r="G2792" s="0"/>
      <c r="H2792" s="0"/>
      <c r="I2792" s="0"/>
      <c r="J2792" s="0"/>
      <c r="K2792" s="0"/>
      <c r="L2792" s="0"/>
      <c r="M2792" s="0"/>
      <c r="N2792" s="0"/>
    </row>
    <row r="2793" customFormat="false" ht="12.8" hidden="false" customHeight="false" outlineLevel="0" collapsed="false">
      <c r="A2793" s="0"/>
      <c r="B2793" s="0"/>
      <c r="C2793" s="0"/>
      <c r="D2793" s="0"/>
      <c r="E2793" s="0"/>
      <c r="F2793" s="0"/>
      <c r="G2793" s="0"/>
      <c r="H2793" s="0"/>
      <c r="I2793" s="0"/>
      <c r="J2793" s="0"/>
      <c r="K2793" s="0"/>
      <c r="L2793" s="0"/>
      <c r="M2793" s="0"/>
      <c r="N2793" s="0"/>
    </row>
    <row r="2794" customFormat="false" ht="12.8" hidden="false" customHeight="false" outlineLevel="0" collapsed="false">
      <c r="A2794" s="0"/>
      <c r="B2794" s="0"/>
      <c r="C2794" s="0"/>
      <c r="D2794" s="0"/>
      <c r="E2794" s="0"/>
      <c r="F2794" s="0"/>
      <c r="G2794" s="0"/>
      <c r="H2794" s="0"/>
      <c r="I2794" s="0"/>
      <c r="J2794" s="0"/>
      <c r="K2794" s="0"/>
      <c r="L2794" s="0"/>
      <c r="M2794" s="0"/>
      <c r="N2794" s="0"/>
    </row>
    <row r="2795" customFormat="false" ht="12.8" hidden="false" customHeight="false" outlineLevel="0" collapsed="false">
      <c r="A2795" s="0"/>
      <c r="B2795" s="0"/>
      <c r="C2795" s="0"/>
      <c r="D2795" s="0"/>
      <c r="E2795" s="0"/>
      <c r="F2795" s="0"/>
      <c r="G2795" s="0"/>
      <c r="H2795" s="0"/>
      <c r="I2795" s="0"/>
      <c r="J2795" s="0"/>
      <c r="K2795" s="0"/>
      <c r="L2795" s="0"/>
      <c r="M2795" s="0"/>
      <c r="N2795" s="0"/>
    </row>
    <row r="2796" customFormat="false" ht="12.8" hidden="false" customHeight="false" outlineLevel="0" collapsed="false">
      <c r="A2796" s="0"/>
      <c r="B2796" s="0"/>
      <c r="C2796" s="0"/>
      <c r="D2796" s="0"/>
      <c r="E2796" s="0"/>
      <c r="F2796" s="0"/>
      <c r="G2796" s="0"/>
      <c r="H2796" s="0"/>
      <c r="I2796" s="0"/>
      <c r="J2796" s="0"/>
      <c r="K2796" s="0"/>
      <c r="L2796" s="0"/>
      <c r="M2796" s="0"/>
      <c r="N2796" s="0"/>
    </row>
    <row r="2797" customFormat="false" ht="12.8" hidden="false" customHeight="false" outlineLevel="0" collapsed="false">
      <c r="A2797" s="0"/>
      <c r="B2797" s="0"/>
      <c r="C2797" s="0"/>
      <c r="D2797" s="0"/>
      <c r="E2797" s="0"/>
      <c r="F2797" s="0"/>
      <c r="G2797" s="0"/>
      <c r="H2797" s="0"/>
      <c r="I2797" s="0"/>
      <c r="J2797" s="0"/>
      <c r="K2797" s="0"/>
      <c r="L2797" s="0"/>
      <c r="M2797" s="0"/>
      <c r="N2797" s="0"/>
    </row>
    <row r="2798" customFormat="false" ht="12.8" hidden="false" customHeight="false" outlineLevel="0" collapsed="false">
      <c r="A2798" s="0"/>
      <c r="B2798" s="0"/>
      <c r="C2798" s="0"/>
      <c r="D2798" s="0"/>
      <c r="E2798" s="0"/>
      <c r="F2798" s="0"/>
      <c r="G2798" s="0"/>
      <c r="H2798" s="0"/>
      <c r="I2798" s="0"/>
      <c r="J2798" s="0"/>
      <c r="K2798" s="0"/>
      <c r="L2798" s="0"/>
      <c r="M2798" s="0"/>
      <c r="N2798" s="0"/>
    </row>
    <row r="2799" customFormat="false" ht="12.8" hidden="false" customHeight="false" outlineLevel="0" collapsed="false">
      <c r="A2799" s="0"/>
      <c r="B2799" s="0"/>
      <c r="C2799" s="0"/>
      <c r="D2799" s="0"/>
      <c r="E2799" s="0"/>
      <c r="F2799" s="0"/>
      <c r="G2799" s="0"/>
      <c r="H2799" s="0"/>
      <c r="I2799" s="0"/>
      <c r="J2799" s="0"/>
      <c r="K2799" s="0"/>
      <c r="L2799" s="0"/>
      <c r="M2799" s="0"/>
      <c r="N2799" s="0"/>
    </row>
    <row r="2800" customFormat="false" ht="12.8" hidden="false" customHeight="false" outlineLevel="0" collapsed="false">
      <c r="A2800" s="0"/>
      <c r="B2800" s="0"/>
      <c r="C2800" s="0"/>
      <c r="D2800" s="0"/>
      <c r="E2800" s="0"/>
      <c r="F2800" s="0"/>
      <c r="G2800" s="0"/>
      <c r="H2800" s="0"/>
      <c r="I2800" s="0"/>
      <c r="J2800" s="0"/>
      <c r="K2800" s="0"/>
      <c r="L2800" s="0"/>
      <c r="M2800" s="0"/>
      <c r="N2800" s="0"/>
    </row>
    <row r="2801" customFormat="false" ht="12.8" hidden="false" customHeight="false" outlineLevel="0" collapsed="false">
      <c r="A2801" s="0"/>
      <c r="B2801" s="0"/>
      <c r="C2801" s="0"/>
      <c r="D2801" s="0"/>
      <c r="E2801" s="0"/>
      <c r="F2801" s="0"/>
      <c r="G2801" s="0"/>
      <c r="H2801" s="0"/>
      <c r="I2801" s="0"/>
      <c r="J2801" s="0"/>
      <c r="K2801" s="0"/>
      <c r="L2801" s="0"/>
      <c r="M2801" s="0"/>
      <c r="N2801" s="0"/>
    </row>
    <row r="2802" customFormat="false" ht="12.8" hidden="false" customHeight="false" outlineLevel="0" collapsed="false">
      <c r="A2802" s="0"/>
      <c r="B2802" s="0"/>
      <c r="C2802" s="0"/>
      <c r="D2802" s="0"/>
      <c r="E2802" s="0"/>
      <c r="F2802" s="0"/>
      <c r="G2802" s="0"/>
      <c r="H2802" s="0"/>
      <c r="I2802" s="0"/>
      <c r="J2802" s="0"/>
      <c r="K2802" s="0"/>
      <c r="L2802" s="0"/>
      <c r="M2802" s="0"/>
      <c r="N2802" s="0"/>
    </row>
    <row r="2803" customFormat="false" ht="12.8" hidden="false" customHeight="false" outlineLevel="0" collapsed="false">
      <c r="A2803" s="0"/>
      <c r="B2803" s="0"/>
      <c r="C2803" s="0"/>
      <c r="D2803" s="0"/>
      <c r="E2803" s="0"/>
      <c r="F2803" s="0"/>
      <c r="G2803" s="0"/>
      <c r="H2803" s="0"/>
      <c r="I2803" s="0"/>
      <c r="J2803" s="0"/>
      <c r="K2803" s="0"/>
      <c r="L2803" s="0"/>
      <c r="M2803" s="0"/>
      <c r="N2803" s="0"/>
    </row>
    <row r="2804" customFormat="false" ht="12.8" hidden="false" customHeight="false" outlineLevel="0" collapsed="false">
      <c r="A2804" s="0"/>
      <c r="B2804" s="0"/>
      <c r="C2804" s="0"/>
      <c r="D2804" s="0"/>
      <c r="E2804" s="0"/>
      <c r="F2804" s="0"/>
      <c r="G2804" s="0"/>
      <c r="H2804" s="0"/>
      <c r="I2804" s="0"/>
      <c r="J2804" s="0"/>
      <c r="K2804" s="0"/>
      <c r="L2804" s="0"/>
      <c r="M2804" s="0"/>
      <c r="N2804" s="0"/>
    </row>
    <row r="2805" customFormat="false" ht="12.8" hidden="false" customHeight="false" outlineLevel="0" collapsed="false">
      <c r="A2805" s="0"/>
      <c r="B2805" s="0"/>
      <c r="C2805" s="0"/>
      <c r="D2805" s="0"/>
      <c r="E2805" s="0"/>
      <c r="F2805" s="0"/>
      <c r="G2805" s="0"/>
      <c r="H2805" s="0"/>
      <c r="I2805" s="0"/>
      <c r="J2805" s="0"/>
      <c r="K2805" s="0"/>
      <c r="L2805" s="0"/>
      <c r="M2805" s="0"/>
      <c r="N2805" s="0"/>
    </row>
    <row r="2806" customFormat="false" ht="12.8" hidden="false" customHeight="false" outlineLevel="0" collapsed="false">
      <c r="A2806" s="0"/>
      <c r="B2806" s="0"/>
      <c r="C2806" s="0"/>
      <c r="D2806" s="0"/>
      <c r="E2806" s="0"/>
      <c r="F2806" s="0"/>
      <c r="G2806" s="0"/>
      <c r="H2806" s="0"/>
      <c r="I2806" s="0"/>
      <c r="J2806" s="0"/>
      <c r="K2806" s="0"/>
      <c r="L2806" s="0"/>
      <c r="M2806" s="0"/>
      <c r="N2806" s="0"/>
    </row>
    <row r="2807" customFormat="false" ht="12.8" hidden="false" customHeight="false" outlineLevel="0" collapsed="false">
      <c r="A2807" s="0"/>
      <c r="B2807" s="0"/>
      <c r="C2807" s="0"/>
      <c r="D2807" s="0"/>
      <c r="E2807" s="0"/>
      <c r="F2807" s="0"/>
      <c r="G2807" s="0"/>
      <c r="H2807" s="0"/>
      <c r="I2807" s="0"/>
      <c r="J2807" s="0"/>
      <c r="K2807" s="0"/>
      <c r="L2807" s="0"/>
      <c r="M2807" s="0"/>
      <c r="N2807" s="0"/>
    </row>
    <row r="2808" customFormat="false" ht="12.8" hidden="false" customHeight="false" outlineLevel="0" collapsed="false">
      <c r="A2808" s="0"/>
      <c r="B2808" s="0"/>
      <c r="C2808" s="0"/>
      <c r="D2808" s="0"/>
      <c r="E2808" s="0"/>
      <c r="F2808" s="0"/>
      <c r="G2808" s="0"/>
      <c r="H2808" s="0"/>
      <c r="I2808" s="0"/>
      <c r="J2808" s="0"/>
      <c r="K2808" s="0"/>
      <c r="L2808" s="0"/>
      <c r="M2808" s="0"/>
      <c r="N2808" s="0"/>
    </row>
    <row r="2809" customFormat="false" ht="12.8" hidden="false" customHeight="false" outlineLevel="0" collapsed="false">
      <c r="A2809" s="0"/>
      <c r="B2809" s="0"/>
      <c r="C2809" s="0"/>
      <c r="D2809" s="0"/>
      <c r="E2809" s="0"/>
      <c r="F2809" s="0"/>
      <c r="G2809" s="0"/>
      <c r="H2809" s="0"/>
      <c r="I2809" s="0"/>
      <c r="J2809" s="0"/>
      <c r="K2809" s="0"/>
      <c r="L2809" s="0"/>
      <c r="M2809" s="0"/>
      <c r="N2809" s="0"/>
    </row>
    <row r="2810" customFormat="false" ht="12.8" hidden="false" customHeight="false" outlineLevel="0" collapsed="false">
      <c r="A2810" s="0"/>
      <c r="B2810" s="0"/>
      <c r="C2810" s="0"/>
      <c r="D2810" s="0"/>
      <c r="E2810" s="0"/>
      <c r="F2810" s="0"/>
      <c r="G2810" s="0"/>
      <c r="H2810" s="0"/>
      <c r="I2810" s="0"/>
      <c r="J2810" s="0"/>
      <c r="K2810" s="0"/>
      <c r="L2810" s="0"/>
      <c r="M2810" s="0"/>
      <c r="N2810" s="0"/>
    </row>
    <row r="2811" customFormat="false" ht="12.8" hidden="false" customHeight="false" outlineLevel="0" collapsed="false">
      <c r="A2811" s="0"/>
      <c r="B2811" s="0"/>
      <c r="C2811" s="0"/>
      <c r="D2811" s="0"/>
      <c r="E2811" s="0"/>
      <c r="F2811" s="0"/>
      <c r="G2811" s="0"/>
      <c r="H2811" s="0"/>
      <c r="I2811" s="0"/>
      <c r="J2811" s="0"/>
      <c r="K2811" s="0"/>
      <c r="L2811" s="0"/>
      <c r="M2811" s="0"/>
      <c r="N2811" s="0"/>
    </row>
    <row r="2812" customFormat="false" ht="12.8" hidden="false" customHeight="false" outlineLevel="0" collapsed="false">
      <c r="A2812" s="0"/>
      <c r="B2812" s="0"/>
      <c r="C2812" s="0"/>
      <c r="D2812" s="0"/>
      <c r="E2812" s="0"/>
      <c r="F2812" s="0"/>
      <c r="G2812" s="0"/>
      <c r="H2812" s="0"/>
      <c r="I2812" s="0"/>
      <c r="J2812" s="0"/>
      <c r="K2812" s="0"/>
      <c r="L2812" s="0"/>
      <c r="M2812" s="0"/>
      <c r="N2812" s="0"/>
    </row>
    <row r="2813" customFormat="false" ht="12.8" hidden="false" customHeight="false" outlineLevel="0" collapsed="false">
      <c r="A2813" s="0"/>
      <c r="B2813" s="0"/>
      <c r="C2813" s="0"/>
      <c r="D2813" s="0"/>
      <c r="E2813" s="0"/>
      <c r="F2813" s="0"/>
      <c r="G2813" s="0"/>
      <c r="H2813" s="0"/>
      <c r="I2813" s="0"/>
      <c r="J2813" s="0"/>
      <c r="K2813" s="0"/>
      <c r="L2813" s="0"/>
      <c r="M2813" s="0"/>
      <c r="N2813" s="0"/>
    </row>
    <row r="2814" customFormat="false" ht="12.8" hidden="false" customHeight="false" outlineLevel="0" collapsed="false">
      <c r="A2814" s="0"/>
      <c r="B2814" s="0"/>
      <c r="C2814" s="0"/>
      <c r="D2814" s="0"/>
      <c r="E2814" s="0"/>
      <c r="F2814" s="0"/>
      <c r="G2814" s="0"/>
      <c r="H2814" s="0"/>
      <c r="I2814" s="0"/>
      <c r="J2814" s="0"/>
      <c r="K2814" s="0"/>
      <c r="L2814" s="0"/>
      <c r="M2814" s="0"/>
      <c r="N2814" s="0"/>
    </row>
    <row r="2815" customFormat="false" ht="12.8" hidden="false" customHeight="false" outlineLevel="0" collapsed="false">
      <c r="A2815" s="0"/>
      <c r="B2815" s="0"/>
      <c r="C2815" s="0"/>
      <c r="D2815" s="0"/>
      <c r="E2815" s="0"/>
      <c r="F2815" s="0"/>
      <c r="G2815" s="0"/>
      <c r="H2815" s="0"/>
      <c r="I2815" s="0"/>
      <c r="J2815" s="0"/>
      <c r="K2815" s="0"/>
      <c r="L2815" s="0"/>
      <c r="M2815" s="0"/>
      <c r="N2815" s="0"/>
    </row>
    <row r="2816" customFormat="false" ht="12.8" hidden="false" customHeight="false" outlineLevel="0" collapsed="false">
      <c r="A2816" s="0"/>
      <c r="B2816" s="0"/>
      <c r="C2816" s="0"/>
      <c r="D2816" s="0"/>
      <c r="E2816" s="0"/>
      <c r="F2816" s="0"/>
      <c r="G2816" s="0"/>
      <c r="H2816" s="0"/>
      <c r="I2816" s="0"/>
      <c r="J2816" s="0"/>
      <c r="K2816" s="0"/>
      <c r="L2816" s="0"/>
      <c r="M2816" s="0"/>
      <c r="N2816" s="0"/>
    </row>
    <row r="2817" customFormat="false" ht="12.8" hidden="false" customHeight="false" outlineLevel="0" collapsed="false">
      <c r="A2817" s="0"/>
      <c r="B2817" s="0"/>
      <c r="C2817" s="0"/>
      <c r="D2817" s="0"/>
      <c r="E2817" s="0"/>
      <c r="F2817" s="0"/>
      <c r="G2817" s="0"/>
      <c r="H2817" s="0"/>
      <c r="I2817" s="0"/>
      <c r="J2817" s="0"/>
      <c r="K2817" s="0"/>
      <c r="L2817" s="0"/>
      <c r="M2817" s="0"/>
      <c r="N2817" s="0"/>
    </row>
    <row r="2818" customFormat="false" ht="12.8" hidden="false" customHeight="false" outlineLevel="0" collapsed="false">
      <c r="A2818" s="0"/>
      <c r="B2818" s="0"/>
      <c r="C2818" s="0"/>
      <c r="D2818" s="0"/>
      <c r="E2818" s="0"/>
      <c r="F2818" s="0"/>
      <c r="G2818" s="0"/>
      <c r="H2818" s="0"/>
      <c r="I2818" s="0"/>
      <c r="J2818" s="0"/>
      <c r="K2818" s="0"/>
      <c r="L2818" s="0"/>
      <c r="M2818" s="0"/>
      <c r="N2818" s="0"/>
    </row>
    <row r="2819" customFormat="false" ht="12.8" hidden="false" customHeight="false" outlineLevel="0" collapsed="false">
      <c r="A2819" s="0"/>
      <c r="B2819" s="0"/>
      <c r="C2819" s="0"/>
      <c r="D2819" s="0"/>
      <c r="E2819" s="0"/>
      <c r="F2819" s="0"/>
      <c r="G2819" s="0"/>
      <c r="H2819" s="0"/>
      <c r="I2819" s="0"/>
      <c r="J2819" s="0"/>
      <c r="K2819" s="0"/>
      <c r="L2819" s="0"/>
      <c r="M2819" s="0"/>
      <c r="N2819" s="0"/>
    </row>
    <row r="2820" customFormat="false" ht="12.8" hidden="false" customHeight="false" outlineLevel="0" collapsed="false">
      <c r="A2820" s="0"/>
      <c r="B2820" s="0"/>
      <c r="C2820" s="0"/>
      <c r="D2820" s="0"/>
      <c r="E2820" s="0"/>
      <c r="F2820" s="0"/>
      <c r="G2820" s="0"/>
      <c r="H2820" s="0"/>
      <c r="I2820" s="0"/>
      <c r="J2820" s="0"/>
      <c r="K2820" s="0"/>
      <c r="L2820" s="0"/>
      <c r="M2820" s="0"/>
      <c r="N2820" s="0"/>
    </row>
    <row r="2821" customFormat="false" ht="12.8" hidden="false" customHeight="false" outlineLevel="0" collapsed="false">
      <c r="A2821" s="0"/>
      <c r="B2821" s="0"/>
      <c r="C2821" s="0"/>
      <c r="D2821" s="0"/>
      <c r="E2821" s="0"/>
      <c r="F2821" s="0"/>
      <c r="G2821" s="0"/>
      <c r="H2821" s="0"/>
      <c r="I2821" s="0"/>
      <c r="J2821" s="0"/>
      <c r="K2821" s="0"/>
      <c r="L2821" s="0"/>
      <c r="M2821" s="0"/>
      <c r="N2821" s="0"/>
    </row>
    <row r="2822" customFormat="false" ht="12.8" hidden="false" customHeight="false" outlineLevel="0" collapsed="false">
      <c r="A2822" s="0"/>
      <c r="B2822" s="0"/>
      <c r="C2822" s="0"/>
      <c r="D2822" s="0"/>
      <c r="E2822" s="0"/>
      <c r="F2822" s="0"/>
      <c r="G2822" s="0"/>
      <c r="H2822" s="0"/>
      <c r="I2822" s="0"/>
      <c r="J2822" s="0"/>
      <c r="K2822" s="0"/>
      <c r="L2822" s="0"/>
      <c r="M2822" s="0"/>
      <c r="N2822" s="0"/>
    </row>
    <row r="2823" customFormat="false" ht="12.8" hidden="false" customHeight="false" outlineLevel="0" collapsed="false">
      <c r="A2823" s="0"/>
      <c r="B2823" s="0"/>
      <c r="C2823" s="0"/>
      <c r="D2823" s="0"/>
      <c r="E2823" s="0"/>
      <c r="F2823" s="0"/>
      <c r="G2823" s="0"/>
      <c r="H2823" s="0"/>
      <c r="I2823" s="0"/>
      <c r="J2823" s="0"/>
      <c r="K2823" s="0"/>
      <c r="L2823" s="0"/>
      <c r="M2823" s="0"/>
      <c r="N2823" s="0"/>
    </row>
    <row r="2824" customFormat="false" ht="12.8" hidden="false" customHeight="false" outlineLevel="0" collapsed="false">
      <c r="A2824" s="0"/>
      <c r="B2824" s="0"/>
      <c r="C2824" s="0"/>
      <c r="D2824" s="0"/>
      <c r="E2824" s="0"/>
      <c r="F2824" s="0"/>
      <c r="G2824" s="0"/>
      <c r="H2824" s="0"/>
      <c r="I2824" s="0"/>
      <c r="J2824" s="0"/>
      <c r="K2824" s="0"/>
      <c r="L2824" s="0"/>
      <c r="M2824" s="0"/>
      <c r="N2824" s="0"/>
    </row>
    <row r="2825" customFormat="false" ht="12.8" hidden="false" customHeight="false" outlineLevel="0" collapsed="false">
      <c r="A2825" s="0"/>
      <c r="B2825" s="0"/>
      <c r="C2825" s="0"/>
      <c r="D2825" s="0"/>
      <c r="E2825" s="0"/>
      <c r="F2825" s="0"/>
      <c r="G2825" s="0"/>
      <c r="H2825" s="0"/>
      <c r="I2825" s="0"/>
      <c r="J2825" s="0"/>
      <c r="K2825" s="0"/>
      <c r="L2825" s="0"/>
      <c r="M2825" s="0"/>
      <c r="N2825" s="0"/>
    </row>
    <row r="2826" customFormat="false" ht="12.8" hidden="false" customHeight="false" outlineLevel="0" collapsed="false">
      <c r="A2826" s="0"/>
      <c r="B2826" s="0"/>
      <c r="C2826" s="0"/>
      <c r="D2826" s="0"/>
      <c r="E2826" s="0"/>
      <c r="F2826" s="0"/>
      <c r="G2826" s="0"/>
      <c r="H2826" s="0"/>
      <c r="I2826" s="0"/>
      <c r="J2826" s="0"/>
      <c r="K2826" s="0"/>
      <c r="L2826" s="0"/>
      <c r="M2826" s="0"/>
      <c r="N2826" s="0"/>
    </row>
    <row r="2827" customFormat="false" ht="12.8" hidden="false" customHeight="false" outlineLevel="0" collapsed="false">
      <c r="A2827" s="0"/>
      <c r="B2827" s="0"/>
      <c r="C2827" s="0"/>
      <c r="D2827" s="0"/>
      <c r="E2827" s="0"/>
      <c r="F2827" s="0"/>
      <c r="G2827" s="0"/>
      <c r="H2827" s="0"/>
      <c r="I2827" s="0"/>
      <c r="J2827" s="0"/>
      <c r="K2827" s="0"/>
      <c r="L2827" s="0"/>
      <c r="M2827" s="0"/>
      <c r="N2827" s="0"/>
    </row>
    <row r="2828" customFormat="false" ht="12.8" hidden="false" customHeight="false" outlineLevel="0" collapsed="false">
      <c r="A2828" s="0"/>
      <c r="B2828" s="0"/>
      <c r="C2828" s="0"/>
      <c r="D2828" s="0"/>
      <c r="E2828" s="0"/>
      <c r="F2828" s="0"/>
      <c r="G2828" s="0"/>
      <c r="H2828" s="0"/>
      <c r="I2828" s="0"/>
      <c r="J2828" s="0"/>
      <c r="K2828" s="0"/>
      <c r="L2828" s="0"/>
      <c r="M2828" s="0"/>
      <c r="N2828" s="0"/>
    </row>
    <row r="2829" customFormat="false" ht="12.8" hidden="false" customHeight="false" outlineLevel="0" collapsed="false">
      <c r="A2829" s="0"/>
      <c r="B2829" s="0"/>
      <c r="C2829" s="0"/>
      <c r="D2829" s="0"/>
      <c r="E2829" s="0"/>
      <c r="F2829" s="0"/>
      <c r="G2829" s="0"/>
      <c r="H2829" s="0"/>
      <c r="I2829" s="0"/>
      <c r="J2829" s="0"/>
      <c r="K2829" s="0"/>
      <c r="L2829" s="0"/>
      <c r="M2829" s="0"/>
      <c r="N2829" s="0"/>
    </row>
    <row r="2830" customFormat="false" ht="12.8" hidden="false" customHeight="false" outlineLevel="0" collapsed="false">
      <c r="A2830" s="0"/>
      <c r="B2830" s="0"/>
      <c r="C2830" s="0"/>
      <c r="D2830" s="0"/>
      <c r="E2830" s="0"/>
      <c r="F2830" s="0"/>
      <c r="G2830" s="0"/>
      <c r="H2830" s="0"/>
      <c r="I2830" s="0"/>
      <c r="J2830" s="0"/>
      <c r="K2830" s="0"/>
      <c r="L2830" s="0"/>
      <c r="M2830" s="0"/>
      <c r="N2830" s="0"/>
    </row>
    <row r="2831" customFormat="false" ht="12.8" hidden="false" customHeight="false" outlineLevel="0" collapsed="false">
      <c r="A2831" s="0"/>
      <c r="B2831" s="0"/>
      <c r="C2831" s="0"/>
      <c r="D2831" s="0"/>
      <c r="E2831" s="0"/>
      <c r="F2831" s="0"/>
      <c r="G2831" s="0"/>
      <c r="H2831" s="0"/>
      <c r="I2831" s="0"/>
      <c r="J2831" s="0"/>
      <c r="K2831" s="0"/>
      <c r="L2831" s="0"/>
      <c r="M2831" s="0"/>
      <c r="N2831" s="0"/>
    </row>
    <row r="2832" customFormat="false" ht="12.8" hidden="false" customHeight="false" outlineLevel="0" collapsed="false">
      <c r="A2832" s="0"/>
      <c r="B2832" s="0"/>
      <c r="C2832" s="0"/>
      <c r="D2832" s="0"/>
      <c r="E2832" s="0"/>
      <c r="F2832" s="0"/>
      <c r="G2832" s="0"/>
      <c r="H2832" s="0"/>
      <c r="I2832" s="0"/>
      <c r="J2832" s="0"/>
      <c r="K2832" s="0"/>
      <c r="L2832" s="0"/>
      <c r="M2832" s="0"/>
      <c r="N2832" s="0"/>
    </row>
    <row r="2833" customFormat="false" ht="12.8" hidden="false" customHeight="false" outlineLevel="0" collapsed="false">
      <c r="A2833" s="0"/>
      <c r="B2833" s="0"/>
      <c r="C2833" s="0"/>
      <c r="D2833" s="0"/>
      <c r="E2833" s="0"/>
      <c r="F2833" s="0"/>
      <c r="G2833" s="0"/>
      <c r="H2833" s="0"/>
      <c r="I2833" s="0"/>
      <c r="J2833" s="0"/>
      <c r="K2833" s="0"/>
      <c r="L2833" s="0"/>
      <c r="M2833" s="0"/>
      <c r="N2833" s="0"/>
    </row>
    <row r="2834" customFormat="false" ht="12.8" hidden="false" customHeight="false" outlineLevel="0" collapsed="false">
      <c r="A2834" s="0"/>
      <c r="B2834" s="0"/>
      <c r="C2834" s="0"/>
      <c r="D2834" s="0"/>
      <c r="E2834" s="0"/>
      <c r="F2834" s="0"/>
      <c r="G2834" s="0"/>
      <c r="H2834" s="0"/>
      <c r="I2834" s="0"/>
      <c r="J2834" s="0"/>
      <c r="K2834" s="0"/>
      <c r="L2834" s="0"/>
      <c r="M2834" s="0"/>
      <c r="N2834" s="0"/>
    </row>
    <row r="2835" customFormat="false" ht="12.8" hidden="false" customHeight="false" outlineLevel="0" collapsed="false">
      <c r="A2835" s="0"/>
      <c r="B2835" s="0"/>
      <c r="C2835" s="0"/>
      <c r="D2835" s="0"/>
      <c r="E2835" s="0"/>
      <c r="F2835" s="0"/>
      <c r="G2835" s="0"/>
      <c r="H2835" s="0"/>
      <c r="I2835" s="0"/>
      <c r="J2835" s="0"/>
      <c r="K2835" s="0"/>
      <c r="L2835" s="0"/>
      <c r="M2835" s="0"/>
      <c r="N2835" s="0"/>
    </row>
    <row r="2836" customFormat="false" ht="12.8" hidden="false" customHeight="false" outlineLevel="0" collapsed="false">
      <c r="A2836" s="0"/>
      <c r="B2836" s="0"/>
      <c r="C2836" s="0"/>
      <c r="D2836" s="0"/>
      <c r="E2836" s="0"/>
      <c r="F2836" s="0"/>
      <c r="G2836" s="0"/>
      <c r="H2836" s="0"/>
      <c r="I2836" s="0"/>
      <c r="J2836" s="0"/>
      <c r="K2836" s="0"/>
      <c r="L2836" s="0"/>
      <c r="M2836" s="0"/>
      <c r="N2836" s="0"/>
    </row>
    <row r="2837" customFormat="false" ht="12.8" hidden="false" customHeight="false" outlineLevel="0" collapsed="false">
      <c r="A2837" s="0"/>
      <c r="B2837" s="0"/>
      <c r="C2837" s="0"/>
      <c r="D2837" s="0"/>
      <c r="E2837" s="0"/>
      <c r="F2837" s="0"/>
      <c r="G2837" s="0"/>
      <c r="H2837" s="0"/>
      <c r="I2837" s="0"/>
      <c r="J2837" s="0"/>
      <c r="K2837" s="0"/>
      <c r="L2837" s="0"/>
      <c r="M2837" s="0"/>
      <c r="N2837" s="0"/>
    </row>
    <row r="2838" customFormat="false" ht="12.8" hidden="false" customHeight="false" outlineLevel="0" collapsed="false">
      <c r="A2838" s="0"/>
      <c r="B2838" s="0"/>
      <c r="C2838" s="0"/>
      <c r="D2838" s="0"/>
      <c r="E2838" s="0"/>
      <c r="F2838" s="0"/>
      <c r="G2838" s="0"/>
      <c r="H2838" s="0"/>
      <c r="I2838" s="0"/>
      <c r="J2838" s="0"/>
      <c r="K2838" s="0"/>
      <c r="L2838" s="0"/>
      <c r="M2838" s="0"/>
      <c r="N2838" s="0"/>
    </row>
    <row r="2839" customFormat="false" ht="12.8" hidden="false" customHeight="false" outlineLevel="0" collapsed="false">
      <c r="A2839" s="0"/>
      <c r="B2839" s="0"/>
      <c r="C2839" s="0"/>
      <c r="D2839" s="0"/>
      <c r="E2839" s="0"/>
      <c r="F2839" s="0"/>
      <c r="G2839" s="0"/>
      <c r="H2839" s="0"/>
      <c r="I2839" s="0"/>
      <c r="J2839" s="0"/>
      <c r="K2839" s="0"/>
      <c r="L2839" s="0"/>
      <c r="M2839" s="0"/>
      <c r="N2839" s="0"/>
    </row>
    <row r="2840" customFormat="false" ht="12.8" hidden="false" customHeight="false" outlineLevel="0" collapsed="false">
      <c r="A2840" s="0"/>
      <c r="B2840" s="0"/>
      <c r="C2840" s="0"/>
      <c r="D2840" s="0"/>
      <c r="E2840" s="0"/>
      <c r="F2840" s="0"/>
      <c r="G2840" s="0"/>
      <c r="H2840" s="0"/>
      <c r="I2840" s="0"/>
      <c r="J2840" s="0"/>
      <c r="K2840" s="0"/>
      <c r="L2840" s="0"/>
      <c r="M2840" s="0"/>
      <c r="N2840" s="0"/>
    </row>
    <row r="2841" customFormat="false" ht="12.8" hidden="false" customHeight="false" outlineLevel="0" collapsed="false">
      <c r="A2841" s="0"/>
      <c r="B2841" s="0"/>
      <c r="C2841" s="0"/>
      <c r="D2841" s="0"/>
      <c r="E2841" s="0"/>
      <c r="F2841" s="0"/>
      <c r="G2841" s="0"/>
      <c r="H2841" s="0"/>
      <c r="I2841" s="0"/>
      <c r="J2841" s="0"/>
      <c r="K2841" s="0"/>
      <c r="L2841" s="0"/>
      <c r="M2841" s="0"/>
      <c r="N2841" s="0"/>
    </row>
    <row r="2842" customFormat="false" ht="12.8" hidden="false" customHeight="false" outlineLevel="0" collapsed="false">
      <c r="A2842" s="0"/>
      <c r="B2842" s="0"/>
      <c r="C2842" s="0"/>
      <c r="D2842" s="0"/>
      <c r="E2842" s="0"/>
      <c r="F2842" s="0"/>
      <c r="G2842" s="0"/>
      <c r="H2842" s="0"/>
      <c r="I2842" s="0"/>
      <c r="J2842" s="0"/>
      <c r="K2842" s="0"/>
      <c r="L2842" s="0"/>
      <c r="M2842" s="0"/>
      <c r="N2842" s="0"/>
    </row>
    <row r="2843" customFormat="false" ht="12.8" hidden="false" customHeight="false" outlineLevel="0" collapsed="false">
      <c r="A2843" s="0"/>
      <c r="B2843" s="0"/>
      <c r="C2843" s="0"/>
      <c r="D2843" s="0"/>
      <c r="E2843" s="0"/>
      <c r="F2843" s="0"/>
      <c r="G2843" s="0"/>
      <c r="H2843" s="0"/>
      <c r="I2843" s="0"/>
      <c r="J2843" s="0"/>
      <c r="K2843" s="0"/>
      <c r="L2843" s="0"/>
      <c r="M2843" s="0"/>
      <c r="N2843" s="0"/>
    </row>
    <row r="2844" customFormat="false" ht="12.8" hidden="false" customHeight="false" outlineLevel="0" collapsed="false">
      <c r="A2844" s="0"/>
      <c r="B2844" s="0"/>
      <c r="C2844" s="0"/>
      <c r="D2844" s="0"/>
      <c r="E2844" s="0"/>
      <c r="F2844" s="0"/>
      <c r="G2844" s="0"/>
      <c r="H2844" s="0"/>
      <c r="I2844" s="0"/>
      <c r="J2844" s="0"/>
      <c r="K2844" s="0"/>
      <c r="L2844" s="0"/>
      <c r="M2844" s="0"/>
      <c r="N2844" s="0"/>
    </row>
    <row r="2845" customFormat="false" ht="12.8" hidden="false" customHeight="false" outlineLevel="0" collapsed="false">
      <c r="A2845" s="0"/>
      <c r="B2845" s="0"/>
      <c r="C2845" s="0"/>
      <c r="D2845" s="0"/>
      <c r="E2845" s="0"/>
      <c r="F2845" s="0"/>
      <c r="G2845" s="0"/>
      <c r="H2845" s="0"/>
      <c r="I2845" s="0"/>
      <c r="J2845" s="0"/>
      <c r="K2845" s="0"/>
      <c r="L2845" s="0"/>
      <c r="M2845" s="0"/>
      <c r="N2845" s="0"/>
    </row>
    <row r="2846" customFormat="false" ht="12.8" hidden="false" customHeight="false" outlineLevel="0" collapsed="false">
      <c r="A2846" s="0"/>
      <c r="B2846" s="0"/>
      <c r="C2846" s="0"/>
      <c r="D2846" s="0"/>
      <c r="E2846" s="0"/>
      <c r="F2846" s="0"/>
      <c r="G2846" s="0"/>
      <c r="H2846" s="0"/>
      <c r="I2846" s="0"/>
      <c r="J2846" s="0"/>
      <c r="K2846" s="0"/>
      <c r="L2846" s="0"/>
      <c r="M2846" s="0"/>
      <c r="N2846" s="0"/>
    </row>
    <row r="2847" customFormat="false" ht="12.8" hidden="false" customHeight="false" outlineLevel="0" collapsed="false">
      <c r="A2847" s="0"/>
      <c r="B2847" s="0"/>
      <c r="C2847" s="0"/>
      <c r="D2847" s="0"/>
      <c r="E2847" s="0"/>
      <c r="F2847" s="0"/>
      <c r="G2847" s="0"/>
      <c r="H2847" s="0"/>
      <c r="I2847" s="0"/>
      <c r="J2847" s="0"/>
      <c r="K2847" s="0"/>
      <c r="L2847" s="0"/>
      <c r="M2847" s="0"/>
      <c r="N2847" s="0"/>
    </row>
    <row r="2848" customFormat="false" ht="12.8" hidden="false" customHeight="false" outlineLevel="0" collapsed="false">
      <c r="A2848" s="0"/>
      <c r="B2848" s="0"/>
      <c r="C2848" s="0"/>
      <c r="D2848" s="0"/>
      <c r="E2848" s="0"/>
      <c r="F2848" s="0"/>
      <c r="G2848" s="0"/>
      <c r="H2848" s="0"/>
      <c r="I2848" s="0"/>
      <c r="J2848" s="0"/>
      <c r="K2848" s="0"/>
      <c r="L2848" s="0"/>
      <c r="M2848" s="0"/>
      <c r="N2848" s="0"/>
    </row>
    <row r="2849" customFormat="false" ht="12.8" hidden="false" customHeight="false" outlineLevel="0" collapsed="false">
      <c r="A2849" s="0"/>
      <c r="B2849" s="0"/>
      <c r="C2849" s="0"/>
      <c r="D2849" s="0"/>
      <c r="E2849" s="0"/>
      <c r="F2849" s="0"/>
      <c r="G2849" s="0"/>
      <c r="H2849" s="0"/>
      <c r="I2849" s="0"/>
      <c r="J2849" s="0"/>
      <c r="K2849" s="0"/>
      <c r="L2849" s="0"/>
      <c r="M2849" s="0"/>
      <c r="N2849" s="0"/>
    </row>
    <row r="2850" customFormat="false" ht="12.8" hidden="false" customHeight="false" outlineLevel="0" collapsed="false">
      <c r="A2850" s="0"/>
      <c r="B2850" s="0"/>
      <c r="C2850" s="0"/>
      <c r="D2850" s="0"/>
      <c r="E2850" s="0"/>
      <c r="F2850" s="0"/>
      <c r="G2850" s="0"/>
      <c r="H2850" s="0"/>
      <c r="I2850" s="0"/>
      <c r="J2850" s="0"/>
      <c r="K2850" s="0"/>
      <c r="L2850" s="0"/>
      <c r="M2850" s="0"/>
      <c r="N2850" s="0"/>
    </row>
    <row r="2851" customFormat="false" ht="12.8" hidden="false" customHeight="false" outlineLevel="0" collapsed="false">
      <c r="A2851" s="0"/>
      <c r="B2851" s="0"/>
      <c r="C2851" s="0"/>
      <c r="D2851" s="0"/>
      <c r="E2851" s="0"/>
      <c r="F2851" s="0"/>
      <c r="G2851" s="0"/>
      <c r="H2851" s="0"/>
      <c r="I2851" s="0"/>
      <c r="J2851" s="0"/>
      <c r="K2851" s="0"/>
      <c r="L2851" s="0"/>
      <c r="M2851" s="0"/>
      <c r="N2851" s="0"/>
    </row>
    <row r="2852" customFormat="false" ht="12.8" hidden="false" customHeight="false" outlineLevel="0" collapsed="false">
      <c r="A2852" s="0"/>
      <c r="B2852" s="0"/>
      <c r="C2852" s="0"/>
      <c r="D2852" s="0"/>
      <c r="E2852" s="0"/>
      <c r="F2852" s="0"/>
      <c r="G2852" s="0"/>
      <c r="H2852" s="0"/>
      <c r="I2852" s="0"/>
      <c r="J2852" s="0"/>
      <c r="K2852" s="0"/>
      <c r="L2852" s="0"/>
      <c r="M2852" s="0"/>
      <c r="N2852" s="0"/>
    </row>
    <row r="2853" customFormat="false" ht="12.8" hidden="false" customHeight="false" outlineLevel="0" collapsed="false">
      <c r="A2853" s="0"/>
      <c r="B2853" s="0"/>
      <c r="C2853" s="0"/>
      <c r="D2853" s="0"/>
      <c r="E2853" s="0"/>
      <c r="F2853" s="0"/>
      <c r="G2853" s="0"/>
      <c r="H2853" s="0"/>
      <c r="I2853" s="0"/>
      <c r="J2853" s="0"/>
      <c r="K2853" s="0"/>
      <c r="L2853" s="0"/>
      <c r="M2853" s="0"/>
      <c r="N2853" s="0"/>
    </row>
    <row r="2854" customFormat="false" ht="12.8" hidden="false" customHeight="false" outlineLevel="0" collapsed="false">
      <c r="A2854" s="0"/>
      <c r="B2854" s="0"/>
      <c r="C2854" s="0"/>
      <c r="D2854" s="0"/>
      <c r="E2854" s="0"/>
      <c r="F2854" s="0"/>
      <c r="G2854" s="0"/>
      <c r="H2854" s="0"/>
      <c r="I2854" s="0"/>
      <c r="J2854" s="0"/>
      <c r="K2854" s="0"/>
      <c r="L2854" s="0"/>
      <c r="M2854" s="0"/>
      <c r="N2854" s="0"/>
    </row>
    <row r="2855" customFormat="false" ht="12.8" hidden="false" customHeight="false" outlineLevel="0" collapsed="false">
      <c r="A2855" s="0"/>
      <c r="B2855" s="0"/>
      <c r="C2855" s="0"/>
      <c r="D2855" s="0"/>
      <c r="E2855" s="0"/>
      <c r="F2855" s="0"/>
      <c r="G2855" s="0"/>
      <c r="H2855" s="0"/>
      <c r="I2855" s="0"/>
      <c r="J2855" s="0"/>
      <c r="K2855" s="0"/>
      <c r="L2855" s="0"/>
      <c r="M2855" s="0"/>
      <c r="N2855" s="0"/>
    </row>
    <row r="2856" customFormat="false" ht="12.8" hidden="false" customHeight="false" outlineLevel="0" collapsed="false">
      <c r="A2856" s="0"/>
      <c r="B2856" s="0"/>
      <c r="C2856" s="0"/>
      <c r="D2856" s="0"/>
      <c r="E2856" s="0"/>
      <c r="F2856" s="0"/>
      <c r="G2856" s="0"/>
      <c r="H2856" s="0"/>
      <c r="I2856" s="0"/>
      <c r="J2856" s="0"/>
      <c r="K2856" s="0"/>
      <c r="L2856" s="0"/>
      <c r="M2856" s="0"/>
      <c r="N2856" s="0"/>
    </row>
    <row r="2857" customFormat="false" ht="12.8" hidden="false" customHeight="false" outlineLevel="0" collapsed="false">
      <c r="A2857" s="0"/>
      <c r="B2857" s="0"/>
      <c r="C2857" s="0"/>
      <c r="D2857" s="0"/>
      <c r="E2857" s="0"/>
      <c r="F2857" s="0"/>
      <c r="G2857" s="0"/>
      <c r="H2857" s="0"/>
      <c r="I2857" s="0"/>
      <c r="J2857" s="0"/>
      <c r="K2857" s="0"/>
      <c r="L2857" s="0"/>
      <c r="M2857" s="0"/>
      <c r="N2857" s="0"/>
    </row>
    <row r="2858" customFormat="false" ht="12.8" hidden="false" customHeight="false" outlineLevel="0" collapsed="false">
      <c r="A2858" s="0"/>
      <c r="B2858" s="0"/>
      <c r="C2858" s="0"/>
      <c r="D2858" s="0"/>
      <c r="E2858" s="0"/>
      <c r="F2858" s="0"/>
      <c r="G2858" s="0"/>
      <c r="H2858" s="0"/>
      <c r="I2858" s="0"/>
      <c r="J2858" s="0"/>
      <c r="K2858" s="0"/>
      <c r="L2858" s="0"/>
      <c r="M2858" s="0"/>
      <c r="N2858" s="0"/>
    </row>
    <row r="2859" customFormat="false" ht="12.8" hidden="false" customHeight="false" outlineLevel="0" collapsed="false">
      <c r="A2859" s="0"/>
      <c r="B2859" s="0"/>
      <c r="C2859" s="0"/>
      <c r="D2859" s="0"/>
      <c r="E2859" s="0"/>
      <c r="F2859" s="0"/>
      <c r="G2859" s="0"/>
      <c r="H2859" s="0"/>
      <c r="I2859" s="0"/>
      <c r="J2859" s="0"/>
      <c r="K2859" s="0"/>
      <c r="L2859" s="0"/>
      <c r="M2859" s="0"/>
      <c r="N2859" s="0"/>
    </row>
    <row r="2860" customFormat="false" ht="12.8" hidden="false" customHeight="false" outlineLevel="0" collapsed="false">
      <c r="A2860" s="0"/>
      <c r="B2860" s="0"/>
      <c r="C2860" s="0"/>
      <c r="D2860" s="0"/>
      <c r="E2860" s="0"/>
      <c r="F2860" s="0"/>
      <c r="G2860" s="0"/>
      <c r="H2860" s="0"/>
      <c r="I2860" s="0"/>
      <c r="J2860" s="0"/>
      <c r="K2860" s="0"/>
      <c r="L2860" s="0"/>
      <c r="M2860" s="0"/>
      <c r="N2860" s="0"/>
    </row>
    <row r="2861" customFormat="false" ht="12.8" hidden="false" customHeight="false" outlineLevel="0" collapsed="false">
      <c r="A2861" s="0"/>
      <c r="B2861" s="0"/>
      <c r="C2861" s="0"/>
      <c r="D2861" s="0"/>
      <c r="E2861" s="0"/>
      <c r="F2861" s="0"/>
      <c r="G2861" s="0"/>
      <c r="H2861" s="0"/>
      <c r="I2861" s="0"/>
      <c r="J2861" s="0"/>
      <c r="K2861" s="0"/>
      <c r="L2861" s="0"/>
      <c r="M2861" s="0"/>
      <c r="N2861" s="0"/>
    </row>
    <row r="2862" customFormat="false" ht="12.8" hidden="false" customHeight="false" outlineLevel="0" collapsed="false">
      <c r="A2862" s="0"/>
      <c r="B2862" s="0"/>
      <c r="C2862" s="0"/>
      <c r="D2862" s="0"/>
      <c r="E2862" s="0"/>
      <c r="F2862" s="0"/>
      <c r="G2862" s="0"/>
      <c r="H2862" s="0"/>
      <c r="I2862" s="0"/>
      <c r="J2862" s="0"/>
      <c r="K2862" s="0"/>
      <c r="L2862" s="0"/>
      <c r="M2862" s="0"/>
      <c r="N2862" s="0"/>
    </row>
    <row r="2863" customFormat="false" ht="12.8" hidden="false" customHeight="false" outlineLevel="0" collapsed="false">
      <c r="A2863" s="0"/>
      <c r="B2863" s="0"/>
      <c r="C2863" s="0"/>
      <c r="D2863" s="0"/>
      <c r="E2863" s="0"/>
      <c r="F2863" s="0"/>
      <c r="G2863" s="0"/>
      <c r="H2863" s="0"/>
      <c r="I2863" s="0"/>
      <c r="J2863" s="0"/>
      <c r="K2863" s="0"/>
      <c r="L2863" s="0"/>
      <c r="M2863" s="0"/>
      <c r="N2863" s="0"/>
    </row>
    <row r="2864" customFormat="false" ht="12.8" hidden="false" customHeight="false" outlineLevel="0" collapsed="false">
      <c r="A2864" s="0"/>
      <c r="B2864" s="0"/>
      <c r="C2864" s="0"/>
      <c r="D2864" s="0"/>
      <c r="E2864" s="0"/>
      <c r="F2864" s="0"/>
      <c r="G2864" s="0"/>
      <c r="H2864" s="0"/>
      <c r="I2864" s="0"/>
      <c r="J2864" s="0"/>
      <c r="K2864" s="0"/>
      <c r="L2864" s="0"/>
      <c r="M2864" s="0"/>
      <c r="N2864" s="0"/>
    </row>
    <row r="2865" customFormat="false" ht="12.8" hidden="false" customHeight="false" outlineLevel="0" collapsed="false">
      <c r="A2865" s="0"/>
      <c r="B2865" s="0"/>
      <c r="C2865" s="0"/>
      <c r="D2865" s="0"/>
      <c r="E2865" s="0"/>
      <c r="F2865" s="0"/>
      <c r="G2865" s="0"/>
      <c r="H2865" s="0"/>
      <c r="I2865" s="0"/>
      <c r="J2865" s="0"/>
      <c r="K2865" s="0"/>
      <c r="L2865" s="0"/>
      <c r="M2865" s="0"/>
      <c r="N2865" s="0"/>
    </row>
    <row r="2866" customFormat="false" ht="12.8" hidden="false" customHeight="false" outlineLevel="0" collapsed="false">
      <c r="A2866" s="0"/>
      <c r="B2866" s="0"/>
      <c r="C2866" s="0"/>
      <c r="D2866" s="0"/>
      <c r="E2866" s="0"/>
      <c r="F2866" s="0"/>
      <c r="G2866" s="0"/>
      <c r="H2866" s="0"/>
      <c r="I2866" s="0"/>
      <c r="J2866" s="0"/>
      <c r="K2866" s="0"/>
      <c r="L2866" s="0"/>
      <c r="M2866" s="0"/>
      <c r="N2866" s="0"/>
    </row>
    <row r="2867" customFormat="false" ht="12.8" hidden="false" customHeight="false" outlineLevel="0" collapsed="false">
      <c r="A2867" s="0"/>
      <c r="B2867" s="0"/>
      <c r="C2867" s="0"/>
      <c r="D2867" s="0"/>
      <c r="E2867" s="0"/>
      <c r="F2867" s="0"/>
      <c r="G2867" s="0"/>
      <c r="H2867" s="0"/>
      <c r="I2867" s="0"/>
      <c r="J2867" s="0"/>
      <c r="K2867" s="0"/>
      <c r="L2867" s="0"/>
      <c r="M2867" s="0"/>
      <c r="N2867" s="0"/>
    </row>
    <row r="2868" customFormat="false" ht="12.8" hidden="false" customHeight="false" outlineLevel="0" collapsed="false">
      <c r="A2868" s="0"/>
      <c r="B2868" s="0"/>
      <c r="C2868" s="0"/>
      <c r="D2868" s="0"/>
      <c r="E2868" s="0"/>
      <c r="F2868" s="0"/>
      <c r="G2868" s="0"/>
      <c r="H2868" s="0"/>
      <c r="I2868" s="0"/>
      <c r="J2868" s="0"/>
      <c r="K2868" s="0"/>
      <c r="L2868" s="0"/>
      <c r="M2868" s="0"/>
      <c r="N2868" s="0"/>
    </row>
    <row r="2869" customFormat="false" ht="12.8" hidden="false" customHeight="false" outlineLevel="0" collapsed="false">
      <c r="A2869" s="0"/>
      <c r="B2869" s="0"/>
      <c r="C2869" s="0"/>
      <c r="D2869" s="0"/>
      <c r="E2869" s="0"/>
      <c r="F2869" s="0"/>
      <c r="G2869" s="0"/>
      <c r="H2869" s="0"/>
      <c r="I2869" s="0"/>
      <c r="J2869" s="0"/>
      <c r="K2869" s="0"/>
      <c r="L2869" s="0"/>
      <c r="M2869" s="0"/>
      <c r="N2869" s="0"/>
    </row>
    <row r="2870" customFormat="false" ht="12.8" hidden="false" customHeight="false" outlineLevel="0" collapsed="false">
      <c r="A2870" s="0"/>
      <c r="B2870" s="0"/>
      <c r="C2870" s="0"/>
      <c r="D2870" s="0"/>
      <c r="E2870" s="0"/>
      <c r="F2870" s="0"/>
      <c r="G2870" s="0"/>
      <c r="H2870" s="0"/>
      <c r="I2870" s="0"/>
      <c r="J2870" s="0"/>
      <c r="K2870" s="0"/>
      <c r="L2870" s="0"/>
      <c r="M2870" s="0"/>
      <c r="N2870" s="0"/>
    </row>
    <row r="2871" customFormat="false" ht="12.8" hidden="false" customHeight="false" outlineLevel="0" collapsed="false">
      <c r="A2871" s="0"/>
      <c r="B2871" s="0"/>
      <c r="C2871" s="0"/>
      <c r="D2871" s="0"/>
      <c r="E2871" s="0"/>
      <c r="F2871" s="0"/>
      <c r="G2871" s="0"/>
      <c r="H2871" s="0"/>
      <c r="I2871" s="0"/>
      <c r="J2871" s="0"/>
      <c r="K2871" s="0"/>
      <c r="L2871" s="0"/>
      <c r="M2871" s="0"/>
      <c r="N2871" s="0"/>
    </row>
    <row r="2872" customFormat="false" ht="12.8" hidden="false" customHeight="false" outlineLevel="0" collapsed="false">
      <c r="A2872" s="0"/>
      <c r="B2872" s="0"/>
      <c r="C2872" s="0"/>
      <c r="D2872" s="0"/>
      <c r="E2872" s="0"/>
      <c r="F2872" s="0"/>
      <c r="G2872" s="0"/>
      <c r="H2872" s="0"/>
      <c r="I2872" s="0"/>
      <c r="J2872" s="0"/>
      <c r="K2872" s="0"/>
      <c r="L2872" s="0"/>
      <c r="M2872" s="0"/>
      <c r="N2872" s="0"/>
    </row>
    <row r="2873" customFormat="false" ht="12.8" hidden="false" customHeight="false" outlineLevel="0" collapsed="false">
      <c r="A2873" s="0"/>
      <c r="B2873" s="0"/>
      <c r="C2873" s="0"/>
      <c r="D2873" s="0"/>
      <c r="E2873" s="0"/>
      <c r="F2873" s="0"/>
      <c r="G2873" s="0"/>
      <c r="H2873" s="0"/>
      <c r="I2873" s="0"/>
      <c r="J2873" s="0"/>
      <c r="K2873" s="0"/>
      <c r="L2873" s="0"/>
      <c r="M2873" s="0"/>
      <c r="N2873" s="0"/>
    </row>
    <row r="2874" customFormat="false" ht="12.8" hidden="false" customHeight="false" outlineLevel="0" collapsed="false">
      <c r="A2874" s="0"/>
      <c r="B2874" s="0"/>
      <c r="C2874" s="0"/>
      <c r="D2874" s="0"/>
      <c r="E2874" s="0"/>
      <c r="F2874" s="0"/>
      <c r="G2874" s="0"/>
      <c r="H2874" s="0"/>
      <c r="I2874" s="0"/>
      <c r="J2874" s="0"/>
      <c r="K2874" s="0"/>
      <c r="L2874" s="0"/>
      <c r="M2874" s="0"/>
      <c r="N2874" s="0"/>
    </row>
    <row r="2875" customFormat="false" ht="12.8" hidden="false" customHeight="false" outlineLevel="0" collapsed="false">
      <c r="A2875" s="0"/>
      <c r="B2875" s="0"/>
      <c r="C2875" s="0"/>
      <c r="D2875" s="0"/>
      <c r="E2875" s="0"/>
      <c r="F2875" s="0"/>
      <c r="G2875" s="0"/>
      <c r="H2875" s="0"/>
      <c r="I2875" s="0"/>
      <c r="J2875" s="0"/>
      <c r="K2875" s="0"/>
      <c r="L2875" s="0"/>
      <c r="M2875" s="0"/>
      <c r="N2875" s="0"/>
    </row>
    <row r="2876" customFormat="false" ht="12.8" hidden="false" customHeight="false" outlineLevel="0" collapsed="false">
      <c r="A2876" s="0"/>
      <c r="B2876" s="0"/>
      <c r="C2876" s="0"/>
      <c r="D2876" s="0"/>
      <c r="E2876" s="0"/>
      <c r="F2876" s="0"/>
      <c r="G2876" s="0"/>
      <c r="H2876" s="0"/>
      <c r="I2876" s="0"/>
      <c r="J2876" s="0"/>
      <c r="K2876" s="0"/>
      <c r="L2876" s="0"/>
      <c r="M2876" s="0"/>
      <c r="N2876" s="0"/>
    </row>
    <row r="2877" customFormat="false" ht="12.8" hidden="false" customHeight="false" outlineLevel="0" collapsed="false">
      <c r="A2877" s="0"/>
      <c r="B2877" s="0"/>
      <c r="C2877" s="0"/>
      <c r="D2877" s="0"/>
      <c r="E2877" s="0"/>
      <c r="F2877" s="0"/>
      <c r="G2877" s="0"/>
      <c r="H2877" s="0"/>
      <c r="I2877" s="0"/>
      <c r="J2877" s="0"/>
      <c r="K2877" s="0"/>
      <c r="L2877" s="0"/>
      <c r="M2877" s="0"/>
      <c r="N2877" s="0"/>
    </row>
    <row r="2878" customFormat="false" ht="12.8" hidden="false" customHeight="false" outlineLevel="0" collapsed="false">
      <c r="A2878" s="0"/>
      <c r="B2878" s="0"/>
      <c r="C2878" s="0"/>
      <c r="D2878" s="0"/>
      <c r="E2878" s="0"/>
      <c r="F2878" s="0"/>
      <c r="G2878" s="0"/>
      <c r="H2878" s="0"/>
      <c r="I2878" s="0"/>
      <c r="J2878" s="0"/>
      <c r="K2878" s="0"/>
      <c r="L2878" s="0"/>
      <c r="M2878" s="0"/>
      <c r="N2878" s="0"/>
    </row>
    <row r="2879" customFormat="false" ht="12.8" hidden="false" customHeight="false" outlineLevel="0" collapsed="false">
      <c r="A2879" s="0"/>
      <c r="B2879" s="0"/>
      <c r="C2879" s="0"/>
      <c r="D2879" s="0"/>
      <c r="E2879" s="0"/>
      <c r="F2879" s="0"/>
      <c r="G2879" s="0"/>
      <c r="H2879" s="0"/>
      <c r="I2879" s="0"/>
      <c r="J2879" s="0"/>
      <c r="K2879" s="0"/>
      <c r="L2879" s="0"/>
      <c r="M2879" s="0"/>
      <c r="N2879" s="0"/>
    </row>
    <row r="2880" customFormat="false" ht="12.8" hidden="false" customHeight="false" outlineLevel="0" collapsed="false">
      <c r="A2880" s="0"/>
      <c r="B2880" s="0"/>
      <c r="C2880" s="0"/>
      <c r="D2880" s="0"/>
      <c r="E2880" s="0"/>
      <c r="F2880" s="0"/>
      <c r="G2880" s="0"/>
      <c r="H2880" s="0"/>
      <c r="I2880" s="0"/>
      <c r="J2880" s="0"/>
      <c r="K2880" s="0"/>
      <c r="L2880" s="0"/>
      <c r="M2880" s="0"/>
      <c r="N2880" s="0"/>
    </row>
    <row r="2881" customFormat="false" ht="12.8" hidden="false" customHeight="false" outlineLevel="0" collapsed="false">
      <c r="A2881" s="0"/>
      <c r="B2881" s="0"/>
      <c r="C2881" s="0"/>
      <c r="D2881" s="0"/>
      <c r="E2881" s="0"/>
      <c r="F2881" s="0"/>
      <c r="G2881" s="0"/>
      <c r="H2881" s="0"/>
      <c r="I2881" s="0"/>
      <c r="J2881" s="0"/>
      <c r="K2881" s="0"/>
      <c r="L2881" s="0"/>
      <c r="M2881" s="0"/>
      <c r="N2881" s="0"/>
    </row>
    <row r="2882" customFormat="false" ht="12.8" hidden="false" customHeight="false" outlineLevel="0" collapsed="false">
      <c r="A2882" s="0"/>
      <c r="B2882" s="0"/>
      <c r="C2882" s="0"/>
      <c r="D2882" s="0"/>
      <c r="E2882" s="0"/>
      <c r="F2882" s="0"/>
      <c r="G2882" s="0"/>
      <c r="H2882" s="0"/>
      <c r="I2882" s="0"/>
      <c r="J2882" s="0"/>
      <c r="K2882" s="0"/>
      <c r="L2882" s="0"/>
      <c r="M2882" s="0"/>
      <c r="N2882" s="0"/>
    </row>
    <row r="2883" customFormat="false" ht="12.8" hidden="false" customHeight="false" outlineLevel="0" collapsed="false">
      <c r="A2883" s="0"/>
      <c r="B2883" s="0"/>
      <c r="C2883" s="0"/>
      <c r="D2883" s="0"/>
      <c r="E2883" s="0"/>
      <c r="F2883" s="0"/>
      <c r="G2883" s="0"/>
      <c r="H2883" s="0"/>
      <c r="I2883" s="0"/>
      <c r="J2883" s="0"/>
      <c r="K2883" s="0"/>
      <c r="L2883" s="0"/>
      <c r="M2883" s="0"/>
      <c r="N2883" s="0"/>
    </row>
    <row r="2884" customFormat="false" ht="12.8" hidden="false" customHeight="false" outlineLevel="0" collapsed="false">
      <c r="A2884" s="0"/>
      <c r="B2884" s="0"/>
      <c r="C2884" s="0"/>
      <c r="D2884" s="0"/>
      <c r="E2884" s="0"/>
      <c r="F2884" s="0"/>
      <c r="G2884" s="0"/>
      <c r="H2884" s="0"/>
      <c r="I2884" s="0"/>
      <c r="J2884" s="0"/>
      <c r="K2884" s="0"/>
      <c r="L2884" s="0"/>
      <c r="M2884" s="0"/>
      <c r="N2884" s="0"/>
    </row>
    <row r="2885" customFormat="false" ht="12.8" hidden="false" customHeight="false" outlineLevel="0" collapsed="false">
      <c r="A2885" s="0"/>
      <c r="B2885" s="0"/>
      <c r="C2885" s="0"/>
      <c r="D2885" s="0"/>
      <c r="E2885" s="0"/>
      <c r="F2885" s="0"/>
      <c r="G2885" s="0"/>
      <c r="H2885" s="0"/>
      <c r="I2885" s="0"/>
      <c r="J2885" s="0"/>
      <c r="K2885" s="0"/>
      <c r="L2885" s="0"/>
      <c r="M2885" s="0"/>
      <c r="N2885" s="0"/>
    </row>
    <row r="2886" customFormat="false" ht="12.8" hidden="false" customHeight="false" outlineLevel="0" collapsed="false">
      <c r="A2886" s="0"/>
      <c r="B2886" s="0"/>
      <c r="C2886" s="0"/>
      <c r="D2886" s="0"/>
      <c r="E2886" s="0"/>
      <c r="F2886" s="0"/>
      <c r="G2886" s="0"/>
      <c r="H2886" s="0"/>
      <c r="I2886" s="0"/>
      <c r="J2886" s="0"/>
      <c r="K2886" s="0"/>
      <c r="L2886" s="0"/>
      <c r="M2886" s="0"/>
      <c r="N2886" s="0"/>
    </row>
    <row r="2887" customFormat="false" ht="12.8" hidden="false" customHeight="false" outlineLevel="0" collapsed="false">
      <c r="A2887" s="0"/>
      <c r="B2887" s="0"/>
      <c r="C2887" s="0"/>
      <c r="D2887" s="0"/>
      <c r="E2887" s="0"/>
      <c r="F2887" s="0"/>
      <c r="G2887" s="0"/>
      <c r="H2887" s="0"/>
      <c r="I2887" s="0"/>
      <c r="J2887" s="0"/>
      <c r="K2887" s="0"/>
      <c r="L2887" s="0"/>
      <c r="M2887" s="0"/>
      <c r="N2887" s="0"/>
    </row>
    <row r="2888" customFormat="false" ht="12.8" hidden="false" customHeight="false" outlineLevel="0" collapsed="false">
      <c r="A2888" s="0"/>
      <c r="B2888" s="0"/>
      <c r="C2888" s="0"/>
      <c r="D2888" s="0"/>
      <c r="E2888" s="0"/>
      <c r="F2888" s="0"/>
      <c r="G2888" s="0"/>
      <c r="H2888" s="0"/>
      <c r="I2888" s="0"/>
      <c r="J2888" s="0"/>
      <c r="K2888" s="0"/>
      <c r="L2888" s="0"/>
      <c r="M2888" s="0"/>
      <c r="N2888" s="0"/>
    </row>
    <row r="2889" customFormat="false" ht="12.8" hidden="false" customHeight="false" outlineLevel="0" collapsed="false">
      <c r="A2889" s="0"/>
      <c r="B2889" s="0"/>
      <c r="C2889" s="0"/>
      <c r="D2889" s="0"/>
      <c r="E2889" s="0"/>
      <c r="F2889" s="0"/>
      <c r="G2889" s="0"/>
      <c r="H2889" s="0"/>
      <c r="I2889" s="0"/>
      <c r="J2889" s="0"/>
      <c r="K2889" s="0"/>
      <c r="L2889" s="0"/>
      <c r="M2889" s="0"/>
      <c r="N2889" s="0"/>
    </row>
    <row r="2890" customFormat="false" ht="12.8" hidden="false" customHeight="false" outlineLevel="0" collapsed="false">
      <c r="A2890" s="0"/>
      <c r="B2890" s="0"/>
      <c r="C2890" s="0"/>
      <c r="D2890" s="0"/>
      <c r="E2890" s="0"/>
      <c r="F2890" s="0"/>
      <c r="G2890" s="0"/>
      <c r="H2890" s="0"/>
      <c r="I2890" s="0"/>
      <c r="J2890" s="0"/>
      <c r="K2890" s="0"/>
      <c r="L2890" s="0"/>
      <c r="M2890" s="0"/>
      <c r="N2890" s="0"/>
    </row>
    <row r="2891" customFormat="false" ht="12.8" hidden="false" customHeight="false" outlineLevel="0" collapsed="false">
      <c r="A2891" s="0"/>
      <c r="B2891" s="0"/>
      <c r="C2891" s="0"/>
      <c r="D2891" s="0"/>
      <c r="E2891" s="0"/>
      <c r="F2891" s="0"/>
      <c r="G2891" s="0"/>
      <c r="H2891" s="0"/>
      <c r="I2891" s="0"/>
      <c r="J2891" s="0"/>
      <c r="K2891" s="0"/>
      <c r="L2891" s="0"/>
      <c r="M2891" s="0"/>
      <c r="N2891" s="0"/>
    </row>
    <row r="2892" customFormat="false" ht="12.8" hidden="false" customHeight="false" outlineLevel="0" collapsed="false">
      <c r="A2892" s="0"/>
      <c r="B2892" s="0"/>
      <c r="C2892" s="0"/>
      <c r="D2892" s="0"/>
      <c r="E2892" s="0"/>
      <c r="F2892" s="0"/>
      <c r="G2892" s="0"/>
      <c r="H2892" s="0"/>
      <c r="I2892" s="0"/>
      <c r="J2892" s="0"/>
      <c r="K2892" s="0"/>
      <c r="L2892" s="0"/>
      <c r="M2892" s="0"/>
      <c r="N2892" s="0"/>
    </row>
    <row r="2893" customFormat="false" ht="12.8" hidden="false" customHeight="false" outlineLevel="0" collapsed="false">
      <c r="A2893" s="0"/>
      <c r="B2893" s="0"/>
      <c r="C2893" s="0"/>
      <c r="D2893" s="0"/>
      <c r="E2893" s="0"/>
      <c r="F2893" s="0"/>
      <c r="G2893" s="0"/>
      <c r="H2893" s="0"/>
      <c r="I2893" s="0"/>
      <c r="J2893" s="0"/>
      <c r="K2893" s="0"/>
      <c r="L2893" s="0"/>
      <c r="M2893" s="0"/>
      <c r="N2893" s="0"/>
    </row>
    <row r="2894" customFormat="false" ht="12.8" hidden="false" customHeight="false" outlineLevel="0" collapsed="false">
      <c r="A2894" s="0"/>
      <c r="B2894" s="0"/>
      <c r="C2894" s="0"/>
      <c r="D2894" s="0"/>
      <c r="E2894" s="0"/>
      <c r="F2894" s="0"/>
      <c r="G2894" s="0"/>
      <c r="H2894" s="0"/>
      <c r="I2894" s="0"/>
      <c r="J2894" s="0"/>
      <c r="K2894" s="0"/>
      <c r="L2894" s="0"/>
      <c r="M2894" s="0"/>
      <c r="N2894" s="0"/>
    </row>
    <row r="2895" customFormat="false" ht="12.8" hidden="false" customHeight="false" outlineLevel="0" collapsed="false">
      <c r="A2895" s="0"/>
      <c r="B2895" s="0"/>
      <c r="C2895" s="0"/>
      <c r="D2895" s="0"/>
      <c r="E2895" s="0"/>
      <c r="F2895" s="0"/>
      <c r="G2895" s="0"/>
      <c r="H2895" s="0"/>
      <c r="I2895" s="0"/>
      <c r="J2895" s="0"/>
      <c r="K2895" s="0"/>
      <c r="L2895" s="0"/>
      <c r="M2895" s="0"/>
      <c r="N2895" s="0"/>
    </row>
    <row r="2896" customFormat="false" ht="12.8" hidden="false" customHeight="false" outlineLevel="0" collapsed="false">
      <c r="A2896" s="0"/>
      <c r="B2896" s="0"/>
      <c r="C2896" s="0"/>
      <c r="D2896" s="0"/>
      <c r="E2896" s="0"/>
      <c r="F2896" s="0"/>
      <c r="G2896" s="0"/>
      <c r="H2896" s="0"/>
      <c r="I2896" s="0"/>
      <c r="J2896" s="0"/>
      <c r="K2896" s="0"/>
      <c r="L2896" s="0"/>
      <c r="M2896" s="0"/>
      <c r="N2896" s="0"/>
    </row>
    <row r="2897" customFormat="false" ht="12.8" hidden="false" customHeight="false" outlineLevel="0" collapsed="false">
      <c r="A2897" s="0"/>
      <c r="B2897" s="0"/>
      <c r="C2897" s="0"/>
      <c r="D2897" s="0"/>
      <c r="E2897" s="0"/>
      <c r="F2897" s="0"/>
      <c r="G2897" s="0"/>
      <c r="H2897" s="0"/>
      <c r="I2897" s="0"/>
      <c r="J2897" s="0"/>
      <c r="K2897" s="0"/>
      <c r="L2897" s="0"/>
      <c r="M2897" s="0"/>
      <c r="N2897" s="0"/>
    </row>
    <row r="2898" customFormat="false" ht="12.8" hidden="false" customHeight="false" outlineLevel="0" collapsed="false">
      <c r="A2898" s="0"/>
      <c r="B2898" s="0"/>
      <c r="C2898" s="0"/>
      <c r="D2898" s="0"/>
      <c r="E2898" s="0"/>
      <c r="F2898" s="0"/>
      <c r="G2898" s="0"/>
      <c r="H2898" s="0"/>
      <c r="I2898" s="0"/>
      <c r="J2898" s="0"/>
      <c r="K2898" s="0"/>
      <c r="L2898" s="0"/>
      <c r="M2898" s="0"/>
      <c r="N2898" s="0"/>
    </row>
    <row r="2899" customFormat="false" ht="12.8" hidden="false" customHeight="false" outlineLevel="0" collapsed="false">
      <c r="A2899" s="0"/>
      <c r="B2899" s="0"/>
      <c r="C2899" s="0"/>
      <c r="D2899" s="0"/>
      <c r="E2899" s="0"/>
      <c r="F2899" s="0"/>
      <c r="G2899" s="0"/>
      <c r="H2899" s="0"/>
      <c r="I2899" s="0"/>
      <c r="J2899" s="0"/>
      <c r="K2899" s="0"/>
      <c r="L2899" s="0"/>
      <c r="M2899" s="0"/>
      <c r="N2899" s="0"/>
    </row>
    <row r="2900" customFormat="false" ht="12.8" hidden="false" customHeight="false" outlineLevel="0" collapsed="false">
      <c r="A2900" s="0"/>
      <c r="B2900" s="0"/>
      <c r="C2900" s="0"/>
      <c r="D2900" s="0"/>
      <c r="E2900" s="0"/>
      <c r="F2900" s="0"/>
      <c r="G2900" s="0"/>
      <c r="H2900" s="0"/>
      <c r="I2900" s="0"/>
      <c r="J2900" s="0"/>
      <c r="K2900" s="0"/>
      <c r="L2900" s="0"/>
      <c r="M2900" s="0"/>
      <c r="N2900" s="0"/>
    </row>
    <row r="2901" customFormat="false" ht="12.8" hidden="false" customHeight="false" outlineLevel="0" collapsed="false">
      <c r="A2901" s="0"/>
      <c r="B2901" s="0"/>
      <c r="C2901" s="0"/>
      <c r="D2901" s="0"/>
      <c r="E2901" s="0"/>
      <c r="F2901" s="0"/>
      <c r="G2901" s="0"/>
      <c r="H2901" s="0"/>
      <c r="I2901" s="0"/>
      <c r="J2901" s="0"/>
      <c r="K2901" s="0"/>
      <c r="L2901" s="0"/>
      <c r="M2901" s="0"/>
      <c r="N2901" s="0"/>
    </row>
    <row r="2902" customFormat="false" ht="12.8" hidden="false" customHeight="false" outlineLevel="0" collapsed="false">
      <c r="A2902" s="0"/>
      <c r="B2902" s="0"/>
      <c r="C2902" s="0"/>
      <c r="D2902" s="0"/>
      <c r="E2902" s="0"/>
      <c r="F2902" s="0"/>
      <c r="G2902" s="0"/>
      <c r="H2902" s="0"/>
      <c r="I2902" s="0"/>
      <c r="J2902" s="0"/>
      <c r="K2902" s="0"/>
      <c r="L2902" s="0"/>
      <c r="M2902" s="0"/>
      <c r="N2902" s="0"/>
    </row>
    <row r="2903" customFormat="false" ht="12.8" hidden="false" customHeight="false" outlineLevel="0" collapsed="false">
      <c r="A2903" s="0"/>
      <c r="B2903" s="0"/>
      <c r="C2903" s="0"/>
      <c r="D2903" s="0"/>
      <c r="E2903" s="0"/>
      <c r="F2903" s="0"/>
      <c r="G2903" s="0"/>
      <c r="H2903" s="0"/>
      <c r="I2903" s="0"/>
      <c r="J2903" s="0"/>
      <c r="K2903" s="0"/>
      <c r="L2903" s="0"/>
      <c r="M2903" s="0"/>
      <c r="N2903" s="0"/>
    </row>
    <row r="2904" customFormat="false" ht="12.8" hidden="false" customHeight="false" outlineLevel="0" collapsed="false">
      <c r="A2904" s="0"/>
      <c r="B2904" s="0"/>
      <c r="C2904" s="0"/>
      <c r="D2904" s="0"/>
      <c r="E2904" s="0"/>
      <c r="F2904" s="0"/>
      <c r="G2904" s="0"/>
      <c r="H2904" s="0"/>
      <c r="I2904" s="0"/>
      <c r="J2904" s="0"/>
      <c r="K2904" s="0"/>
      <c r="L2904" s="0"/>
      <c r="M2904" s="0"/>
      <c r="N2904" s="0"/>
    </row>
    <row r="2905" customFormat="false" ht="12.8" hidden="false" customHeight="false" outlineLevel="0" collapsed="false">
      <c r="A2905" s="0"/>
      <c r="B2905" s="0"/>
      <c r="C2905" s="0"/>
      <c r="D2905" s="0"/>
      <c r="E2905" s="0"/>
      <c r="F2905" s="0"/>
      <c r="G2905" s="0"/>
      <c r="H2905" s="0"/>
      <c r="I2905" s="0"/>
      <c r="J2905" s="0"/>
      <c r="K2905" s="0"/>
      <c r="L2905" s="0"/>
      <c r="M2905" s="0"/>
      <c r="N2905" s="0"/>
    </row>
    <row r="2906" customFormat="false" ht="12.8" hidden="false" customHeight="false" outlineLevel="0" collapsed="false">
      <c r="A2906" s="0"/>
      <c r="B2906" s="0"/>
      <c r="C2906" s="0"/>
      <c r="D2906" s="0"/>
      <c r="E2906" s="0"/>
      <c r="F2906" s="0"/>
      <c r="G2906" s="0"/>
      <c r="H2906" s="0"/>
      <c r="I2906" s="0"/>
      <c r="J2906" s="0"/>
      <c r="K2906" s="0"/>
      <c r="L2906" s="0"/>
      <c r="M2906" s="0"/>
      <c r="N2906" s="0"/>
    </row>
    <row r="2907" customFormat="false" ht="12.8" hidden="false" customHeight="false" outlineLevel="0" collapsed="false">
      <c r="A2907" s="0"/>
      <c r="B2907" s="0"/>
      <c r="C2907" s="0"/>
      <c r="D2907" s="0"/>
      <c r="E2907" s="0"/>
      <c r="F2907" s="0"/>
      <c r="G2907" s="0"/>
      <c r="H2907" s="0"/>
      <c r="I2907" s="0"/>
      <c r="J2907" s="0"/>
      <c r="K2907" s="0"/>
      <c r="L2907" s="0"/>
      <c r="M2907" s="0"/>
      <c r="N2907" s="0"/>
    </row>
    <row r="2908" customFormat="false" ht="12.8" hidden="false" customHeight="false" outlineLevel="0" collapsed="false">
      <c r="A2908" s="0"/>
      <c r="B2908" s="0"/>
      <c r="C2908" s="0"/>
      <c r="D2908" s="0"/>
      <c r="E2908" s="0"/>
      <c r="F2908" s="0"/>
      <c r="G2908" s="0"/>
      <c r="H2908" s="0"/>
      <c r="I2908" s="0"/>
      <c r="J2908" s="0"/>
      <c r="K2908" s="0"/>
      <c r="L2908" s="0"/>
      <c r="M2908" s="0"/>
      <c r="N2908" s="0"/>
    </row>
    <row r="2909" customFormat="false" ht="12.8" hidden="false" customHeight="false" outlineLevel="0" collapsed="false">
      <c r="A2909" s="0"/>
      <c r="B2909" s="0"/>
      <c r="C2909" s="0"/>
      <c r="D2909" s="0"/>
      <c r="E2909" s="0"/>
      <c r="F2909" s="0"/>
      <c r="G2909" s="0"/>
      <c r="H2909" s="0"/>
      <c r="I2909" s="0"/>
      <c r="J2909" s="0"/>
      <c r="K2909" s="0"/>
      <c r="L2909" s="0"/>
      <c r="M2909" s="0"/>
      <c r="N2909" s="0"/>
    </row>
    <row r="2910" customFormat="false" ht="12.8" hidden="false" customHeight="false" outlineLevel="0" collapsed="false">
      <c r="A2910" s="0"/>
      <c r="B2910" s="0"/>
      <c r="C2910" s="0"/>
      <c r="D2910" s="0"/>
      <c r="E2910" s="0"/>
      <c r="F2910" s="0"/>
      <c r="G2910" s="0"/>
      <c r="H2910" s="0"/>
      <c r="I2910" s="0"/>
      <c r="J2910" s="0"/>
      <c r="K2910" s="0"/>
      <c r="L2910" s="0"/>
      <c r="M2910" s="0"/>
      <c r="N2910" s="0"/>
    </row>
    <row r="2911" customFormat="false" ht="12.8" hidden="false" customHeight="false" outlineLevel="0" collapsed="false">
      <c r="A2911" s="0"/>
      <c r="B2911" s="0"/>
      <c r="C2911" s="0"/>
      <c r="D2911" s="0"/>
      <c r="E2911" s="0"/>
      <c r="F2911" s="0"/>
      <c r="G2911" s="0"/>
      <c r="H2911" s="0"/>
      <c r="I2911" s="0"/>
      <c r="J2911" s="0"/>
      <c r="K2911" s="0"/>
      <c r="L2911" s="0"/>
      <c r="M2911" s="0"/>
      <c r="N2911" s="0"/>
    </row>
    <row r="2912" customFormat="false" ht="12.8" hidden="false" customHeight="false" outlineLevel="0" collapsed="false">
      <c r="A2912" s="0"/>
      <c r="B2912" s="0"/>
      <c r="C2912" s="0"/>
      <c r="D2912" s="0"/>
      <c r="E2912" s="0"/>
      <c r="F2912" s="0"/>
      <c r="G2912" s="0"/>
      <c r="H2912" s="0"/>
      <c r="I2912" s="0"/>
      <c r="J2912" s="0"/>
      <c r="K2912" s="0"/>
      <c r="L2912" s="0"/>
      <c r="M2912" s="0"/>
      <c r="N2912" s="0"/>
    </row>
    <row r="2913" customFormat="false" ht="12.8" hidden="false" customHeight="false" outlineLevel="0" collapsed="false">
      <c r="A2913" s="0"/>
      <c r="B2913" s="0"/>
      <c r="C2913" s="0"/>
      <c r="D2913" s="0"/>
      <c r="E2913" s="0"/>
      <c r="F2913" s="0"/>
      <c r="G2913" s="0"/>
      <c r="H2913" s="0"/>
      <c r="I2913" s="0"/>
      <c r="J2913" s="0"/>
      <c r="K2913" s="0"/>
      <c r="L2913" s="0"/>
      <c r="M2913" s="0"/>
      <c r="N2913" s="0"/>
    </row>
    <row r="2914" customFormat="false" ht="12.8" hidden="false" customHeight="false" outlineLevel="0" collapsed="false">
      <c r="A2914" s="0"/>
      <c r="B2914" s="0"/>
      <c r="C2914" s="0"/>
      <c r="D2914" s="0"/>
      <c r="E2914" s="0"/>
      <c r="F2914" s="0"/>
      <c r="G2914" s="0"/>
      <c r="H2914" s="0"/>
      <c r="I2914" s="0"/>
      <c r="J2914" s="0"/>
      <c r="K2914" s="0"/>
      <c r="L2914" s="0"/>
      <c r="M2914" s="0"/>
      <c r="N2914" s="0"/>
    </row>
    <row r="2915" customFormat="false" ht="12.8" hidden="false" customHeight="false" outlineLevel="0" collapsed="false">
      <c r="A2915" s="0"/>
      <c r="B2915" s="0"/>
      <c r="C2915" s="0"/>
      <c r="D2915" s="0"/>
      <c r="E2915" s="0"/>
      <c r="F2915" s="0"/>
      <c r="G2915" s="0"/>
      <c r="H2915" s="0"/>
      <c r="I2915" s="0"/>
      <c r="J2915" s="0"/>
      <c r="K2915" s="0"/>
      <c r="L2915" s="0"/>
      <c r="M2915" s="0"/>
      <c r="N2915" s="0"/>
    </row>
    <row r="2916" customFormat="false" ht="12.8" hidden="false" customHeight="false" outlineLevel="0" collapsed="false">
      <c r="A2916" s="0"/>
      <c r="B2916" s="0"/>
      <c r="C2916" s="0"/>
      <c r="D2916" s="0"/>
      <c r="E2916" s="0"/>
      <c r="F2916" s="0"/>
      <c r="G2916" s="0"/>
      <c r="H2916" s="0"/>
      <c r="I2916" s="0"/>
      <c r="J2916" s="0"/>
      <c r="K2916" s="0"/>
      <c r="L2916" s="0"/>
      <c r="M2916" s="0"/>
      <c r="N2916" s="0"/>
    </row>
    <row r="2917" customFormat="false" ht="12.8" hidden="false" customHeight="false" outlineLevel="0" collapsed="false">
      <c r="A2917" s="0"/>
      <c r="B2917" s="0"/>
      <c r="C2917" s="0"/>
      <c r="D2917" s="0"/>
      <c r="E2917" s="0"/>
      <c r="F2917" s="0"/>
      <c r="G2917" s="0"/>
      <c r="H2917" s="0"/>
      <c r="I2917" s="0"/>
      <c r="J2917" s="0"/>
      <c r="K2917" s="0"/>
      <c r="L2917" s="0"/>
      <c r="M2917" s="0"/>
      <c r="N2917" s="0"/>
    </row>
    <row r="2918" customFormat="false" ht="12.8" hidden="false" customHeight="false" outlineLevel="0" collapsed="false">
      <c r="A2918" s="0"/>
      <c r="B2918" s="0"/>
      <c r="C2918" s="0"/>
      <c r="D2918" s="0"/>
      <c r="E2918" s="0"/>
      <c r="F2918" s="0"/>
      <c r="G2918" s="0"/>
      <c r="H2918" s="0"/>
      <c r="I2918" s="0"/>
      <c r="J2918" s="0"/>
      <c r="K2918" s="0"/>
      <c r="L2918" s="0"/>
      <c r="M2918" s="0"/>
      <c r="N2918" s="0"/>
    </row>
    <row r="2919" customFormat="false" ht="12.8" hidden="false" customHeight="false" outlineLevel="0" collapsed="false">
      <c r="A2919" s="0"/>
      <c r="B2919" s="0"/>
      <c r="C2919" s="0"/>
      <c r="D2919" s="0"/>
      <c r="E2919" s="0"/>
      <c r="F2919" s="0"/>
      <c r="G2919" s="0"/>
      <c r="H2919" s="0"/>
      <c r="I2919" s="0"/>
      <c r="J2919" s="0"/>
      <c r="K2919" s="0"/>
      <c r="L2919" s="0"/>
      <c r="M2919" s="0"/>
      <c r="N2919" s="0"/>
    </row>
    <row r="2920" customFormat="false" ht="12.8" hidden="false" customHeight="false" outlineLevel="0" collapsed="false">
      <c r="A2920" s="0"/>
      <c r="B2920" s="0"/>
      <c r="C2920" s="0"/>
      <c r="D2920" s="0"/>
      <c r="E2920" s="0"/>
      <c r="F2920" s="0"/>
      <c r="G2920" s="0"/>
      <c r="H2920" s="0"/>
      <c r="I2920" s="0"/>
      <c r="J2920" s="0"/>
      <c r="K2920" s="0"/>
      <c r="L2920" s="0"/>
      <c r="M2920" s="0"/>
      <c r="N2920" s="0"/>
    </row>
    <row r="2921" customFormat="false" ht="12.8" hidden="false" customHeight="false" outlineLevel="0" collapsed="false">
      <c r="A2921" s="0"/>
      <c r="B2921" s="0"/>
      <c r="C2921" s="0"/>
      <c r="D2921" s="0"/>
      <c r="E2921" s="0"/>
      <c r="F2921" s="0"/>
      <c r="G2921" s="0"/>
      <c r="H2921" s="0"/>
      <c r="I2921" s="0"/>
      <c r="J2921" s="0"/>
      <c r="K2921" s="0"/>
      <c r="L2921" s="0"/>
      <c r="M2921" s="0"/>
      <c r="N2921" s="0"/>
    </row>
    <row r="2922" customFormat="false" ht="12.8" hidden="false" customHeight="false" outlineLevel="0" collapsed="false">
      <c r="A2922" s="0"/>
      <c r="B2922" s="0"/>
      <c r="C2922" s="0"/>
      <c r="D2922" s="0"/>
      <c r="E2922" s="0"/>
      <c r="F2922" s="0"/>
      <c r="G2922" s="0"/>
      <c r="H2922" s="0"/>
      <c r="I2922" s="0"/>
      <c r="J2922" s="0"/>
      <c r="K2922" s="0"/>
      <c r="L2922" s="0"/>
      <c r="M2922" s="0"/>
      <c r="N2922" s="0"/>
    </row>
    <row r="2923" customFormat="false" ht="12.8" hidden="false" customHeight="false" outlineLevel="0" collapsed="false">
      <c r="A2923" s="0"/>
      <c r="B2923" s="0"/>
      <c r="C2923" s="0"/>
      <c r="D2923" s="0"/>
      <c r="E2923" s="0"/>
      <c r="F2923" s="0"/>
      <c r="G2923" s="0"/>
      <c r="H2923" s="0"/>
      <c r="I2923" s="0"/>
      <c r="J2923" s="0"/>
      <c r="K2923" s="0"/>
      <c r="L2923" s="0"/>
      <c r="M2923" s="0"/>
      <c r="N2923" s="0"/>
    </row>
    <row r="2924" customFormat="false" ht="12.8" hidden="false" customHeight="false" outlineLevel="0" collapsed="false">
      <c r="A2924" s="0"/>
      <c r="B2924" s="0"/>
      <c r="C2924" s="0"/>
      <c r="D2924" s="0"/>
      <c r="E2924" s="0"/>
      <c r="F2924" s="0"/>
      <c r="G2924" s="0"/>
      <c r="H2924" s="0"/>
      <c r="I2924" s="0"/>
      <c r="J2924" s="0"/>
      <c r="K2924" s="0"/>
      <c r="L2924" s="0"/>
      <c r="M2924" s="0"/>
      <c r="N2924" s="0"/>
    </row>
    <row r="2925" customFormat="false" ht="12.8" hidden="false" customHeight="false" outlineLevel="0" collapsed="false">
      <c r="A2925" s="0"/>
      <c r="B2925" s="0"/>
      <c r="C2925" s="0"/>
      <c r="D2925" s="0"/>
      <c r="E2925" s="0"/>
      <c r="F2925" s="0"/>
      <c r="G2925" s="0"/>
      <c r="H2925" s="0"/>
      <c r="I2925" s="0"/>
      <c r="J2925" s="0"/>
      <c r="K2925" s="0"/>
      <c r="L2925" s="0"/>
      <c r="M2925" s="0"/>
      <c r="N2925" s="0"/>
    </row>
    <row r="2926" customFormat="false" ht="12.8" hidden="false" customHeight="false" outlineLevel="0" collapsed="false">
      <c r="A2926" s="0"/>
      <c r="B2926" s="0"/>
      <c r="C2926" s="0"/>
      <c r="D2926" s="0"/>
      <c r="E2926" s="0"/>
      <c r="F2926" s="0"/>
      <c r="G2926" s="0"/>
      <c r="H2926" s="0"/>
      <c r="I2926" s="0"/>
      <c r="J2926" s="0"/>
      <c r="K2926" s="0"/>
      <c r="L2926" s="0"/>
      <c r="M2926" s="0"/>
      <c r="N2926" s="0"/>
    </row>
    <row r="2927" customFormat="false" ht="12.8" hidden="false" customHeight="false" outlineLevel="0" collapsed="false">
      <c r="A2927" s="0"/>
      <c r="B2927" s="0"/>
      <c r="C2927" s="0"/>
      <c r="D2927" s="0"/>
      <c r="E2927" s="0"/>
      <c r="F2927" s="0"/>
      <c r="G2927" s="0"/>
      <c r="H2927" s="0"/>
      <c r="I2927" s="0"/>
      <c r="J2927" s="0"/>
      <c r="K2927" s="0"/>
      <c r="L2927" s="0"/>
      <c r="M2927" s="0"/>
      <c r="N2927" s="0"/>
    </row>
    <row r="2928" customFormat="false" ht="12.8" hidden="false" customHeight="false" outlineLevel="0" collapsed="false">
      <c r="A2928" s="0"/>
      <c r="B2928" s="0"/>
      <c r="C2928" s="0"/>
      <c r="D2928" s="0"/>
      <c r="E2928" s="0"/>
      <c r="F2928" s="0"/>
      <c r="G2928" s="0"/>
      <c r="H2928" s="0"/>
      <c r="I2928" s="0"/>
      <c r="J2928" s="0"/>
      <c r="K2928" s="0"/>
      <c r="L2928" s="0"/>
      <c r="M2928" s="0"/>
      <c r="N2928" s="0"/>
    </row>
    <row r="2929" customFormat="false" ht="12.8" hidden="false" customHeight="false" outlineLevel="0" collapsed="false">
      <c r="A2929" s="0"/>
      <c r="B2929" s="0"/>
      <c r="C2929" s="0"/>
      <c r="D2929" s="0"/>
      <c r="E2929" s="0"/>
      <c r="F2929" s="0"/>
      <c r="G2929" s="0"/>
      <c r="H2929" s="0"/>
      <c r="I2929" s="0"/>
      <c r="J2929" s="0"/>
      <c r="K2929" s="0"/>
      <c r="L2929" s="0"/>
      <c r="M2929" s="0"/>
      <c r="N2929" s="0"/>
    </row>
    <row r="2930" customFormat="false" ht="12.8" hidden="false" customHeight="false" outlineLevel="0" collapsed="false">
      <c r="A2930" s="0"/>
      <c r="B2930" s="0"/>
      <c r="C2930" s="0"/>
      <c r="D2930" s="0"/>
      <c r="E2930" s="0"/>
      <c r="F2930" s="0"/>
      <c r="G2930" s="0"/>
      <c r="H2930" s="0"/>
      <c r="I2930" s="0"/>
      <c r="J2930" s="0"/>
      <c r="K2930" s="0"/>
      <c r="L2930" s="0"/>
      <c r="M2930" s="0"/>
      <c r="N2930" s="0"/>
    </row>
    <row r="2931" customFormat="false" ht="12.8" hidden="false" customHeight="false" outlineLevel="0" collapsed="false">
      <c r="A2931" s="0"/>
      <c r="B2931" s="0"/>
      <c r="C2931" s="0"/>
      <c r="D2931" s="0"/>
      <c r="E2931" s="0"/>
      <c r="F2931" s="0"/>
      <c r="G2931" s="0"/>
      <c r="H2931" s="0"/>
      <c r="I2931" s="0"/>
      <c r="J2931" s="0"/>
      <c r="K2931" s="0"/>
      <c r="L2931" s="0"/>
      <c r="M2931" s="0"/>
      <c r="N2931" s="0"/>
    </row>
    <row r="2932" customFormat="false" ht="12.8" hidden="false" customHeight="false" outlineLevel="0" collapsed="false">
      <c r="A2932" s="0"/>
      <c r="B2932" s="0"/>
      <c r="C2932" s="0"/>
      <c r="D2932" s="0"/>
      <c r="E2932" s="0"/>
      <c r="F2932" s="0"/>
      <c r="G2932" s="0"/>
      <c r="H2932" s="0"/>
      <c r="I2932" s="0"/>
      <c r="J2932" s="0"/>
      <c r="K2932" s="0"/>
      <c r="L2932" s="0"/>
      <c r="M2932" s="0"/>
      <c r="N2932" s="0"/>
    </row>
    <row r="2933" customFormat="false" ht="12.8" hidden="false" customHeight="false" outlineLevel="0" collapsed="false">
      <c r="A2933" s="0"/>
      <c r="B2933" s="0"/>
      <c r="C2933" s="0"/>
      <c r="D2933" s="0"/>
      <c r="E2933" s="0"/>
      <c r="F2933" s="0"/>
      <c r="G2933" s="0"/>
      <c r="H2933" s="0"/>
      <c r="I2933" s="0"/>
      <c r="J2933" s="0"/>
      <c r="K2933" s="0"/>
      <c r="L2933" s="0"/>
      <c r="M2933" s="0"/>
      <c r="N2933" s="0"/>
    </row>
    <row r="2934" customFormat="false" ht="12.8" hidden="false" customHeight="false" outlineLevel="0" collapsed="false">
      <c r="A2934" s="0"/>
      <c r="B2934" s="0"/>
      <c r="C2934" s="0"/>
      <c r="D2934" s="0"/>
      <c r="E2934" s="0"/>
      <c r="F2934" s="0"/>
      <c r="G2934" s="0"/>
      <c r="H2934" s="0"/>
      <c r="I2934" s="0"/>
      <c r="J2934" s="0"/>
      <c r="K2934" s="0"/>
      <c r="L2934" s="0"/>
      <c r="M2934" s="0"/>
      <c r="N2934" s="0"/>
    </row>
    <row r="2935" customFormat="false" ht="12.8" hidden="false" customHeight="false" outlineLevel="0" collapsed="false">
      <c r="A2935" s="0"/>
      <c r="B2935" s="0"/>
      <c r="C2935" s="0"/>
      <c r="D2935" s="0"/>
      <c r="E2935" s="0"/>
      <c r="F2935" s="0"/>
      <c r="G2935" s="0"/>
      <c r="H2935" s="0"/>
      <c r="I2935" s="0"/>
      <c r="J2935" s="0"/>
      <c r="K2935" s="0"/>
      <c r="L2935" s="0"/>
      <c r="M2935" s="0"/>
      <c r="N2935" s="0"/>
    </row>
    <row r="2936" customFormat="false" ht="12.8" hidden="false" customHeight="false" outlineLevel="0" collapsed="false">
      <c r="A2936" s="0"/>
      <c r="B2936" s="0"/>
      <c r="C2936" s="0"/>
      <c r="D2936" s="0"/>
      <c r="E2936" s="0"/>
      <c r="F2936" s="0"/>
      <c r="G2936" s="0"/>
      <c r="H2936" s="0"/>
      <c r="I2936" s="0"/>
      <c r="J2936" s="0"/>
      <c r="K2936" s="0"/>
      <c r="L2936" s="0"/>
      <c r="M2936" s="0"/>
      <c r="N2936" s="0"/>
    </row>
    <row r="2937" customFormat="false" ht="12.8" hidden="false" customHeight="false" outlineLevel="0" collapsed="false">
      <c r="A2937" s="0"/>
      <c r="B2937" s="0"/>
      <c r="C2937" s="0"/>
      <c r="D2937" s="0"/>
      <c r="E2937" s="0"/>
      <c r="F2937" s="0"/>
      <c r="G2937" s="0"/>
      <c r="H2937" s="0"/>
      <c r="I2937" s="0"/>
      <c r="J2937" s="0"/>
      <c r="K2937" s="0"/>
      <c r="L2937" s="0"/>
      <c r="M2937" s="0"/>
      <c r="N2937" s="0"/>
    </row>
    <row r="2938" customFormat="false" ht="12.8" hidden="false" customHeight="false" outlineLevel="0" collapsed="false">
      <c r="A2938" s="0"/>
      <c r="B2938" s="0"/>
      <c r="C2938" s="0"/>
      <c r="D2938" s="0"/>
      <c r="E2938" s="0"/>
      <c r="F2938" s="0"/>
      <c r="G2938" s="0"/>
      <c r="H2938" s="0"/>
      <c r="I2938" s="0"/>
      <c r="J2938" s="0"/>
      <c r="K2938" s="0"/>
      <c r="L2938" s="0"/>
      <c r="M2938" s="0"/>
      <c r="N2938" s="0"/>
    </row>
    <row r="2939" customFormat="false" ht="12.8" hidden="false" customHeight="false" outlineLevel="0" collapsed="false">
      <c r="A2939" s="0"/>
      <c r="B2939" s="0"/>
      <c r="C2939" s="0"/>
      <c r="D2939" s="0"/>
      <c r="E2939" s="0"/>
      <c r="F2939" s="0"/>
      <c r="G2939" s="0"/>
      <c r="H2939" s="0"/>
      <c r="I2939" s="0"/>
      <c r="J2939" s="0"/>
      <c r="K2939" s="0"/>
      <c r="L2939" s="0"/>
      <c r="M2939" s="0"/>
      <c r="N2939" s="0"/>
    </row>
    <row r="2940" customFormat="false" ht="12.8" hidden="false" customHeight="false" outlineLevel="0" collapsed="false">
      <c r="A2940" s="0"/>
      <c r="B2940" s="0"/>
      <c r="C2940" s="0"/>
      <c r="D2940" s="0"/>
      <c r="E2940" s="0"/>
      <c r="F2940" s="0"/>
      <c r="G2940" s="0"/>
      <c r="H2940" s="0"/>
      <c r="I2940" s="0"/>
      <c r="J2940" s="0"/>
      <c r="K2940" s="0"/>
      <c r="L2940" s="0"/>
      <c r="M2940" s="0"/>
      <c r="N2940" s="0"/>
    </row>
    <row r="2941" customFormat="false" ht="12.8" hidden="false" customHeight="false" outlineLevel="0" collapsed="false">
      <c r="A2941" s="0"/>
      <c r="B2941" s="0"/>
      <c r="C2941" s="0"/>
      <c r="D2941" s="0"/>
      <c r="E2941" s="0"/>
      <c r="F2941" s="0"/>
      <c r="G2941" s="0"/>
      <c r="H2941" s="0"/>
      <c r="I2941" s="0"/>
      <c r="J2941" s="0"/>
      <c r="K2941" s="0"/>
      <c r="L2941" s="0"/>
      <c r="M2941" s="0"/>
      <c r="N2941" s="0"/>
    </row>
    <row r="2942" customFormat="false" ht="12.8" hidden="false" customHeight="false" outlineLevel="0" collapsed="false">
      <c r="A2942" s="0"/>
      <c r="B2942" s="0"/>
      <c r="C2942" s="0"/>
      <c r="D2942" s="0"/>
      <c r="E2942" s="0"/>
      <c r="F2942" s="0"/>
      <c r="G2942" s="0"/>
      <c r="H2942" s="0"/>
      <c r="I2942" s="0"/>
      <c r="J2942" s="0"/>
      <c r="K2942" s="0"/>
      <c r="L2942" s="0"/>
      <c r="M2942" s="0"/>
      <c r="N2942" s="0"/>
    </row>
    <row r="2943" customFormat="false" ht="12.8" hidden="false" customHeight="false" outlineLevel="0" collapsed="false">
      <c r="A2943" s="0"/>
      <c r="B2943" s="0"/>
      <c r="C2943" s="0"/>
      <c r="D2943" s="0"/>
      <c r="E2943" s="0"/>
      <c r="F2943" s="0"/>
      <c r="G2943" s="0"/>
      <c r="H2943" s="0"/>
      <c r="I2943" s="0"/>
      <c r="J2943" s="0"/>
      <c r="K2943" s="0"/>
      <c r="L2943" s="0"/>
      <c r="M2943" s="0"/>
      <c r="N2943" s="0"/>
    </row>
    <row r="2944" customFormat="false" ht="12.8" hidden="false" customHeight="false" outlineLevel="0" collapsed="false">
      <c r="A2944" s="0"/>
      <c r="B2944" s="0"/>
      <c r="C2944" s="0"/>
      <c r="D2944" s="0"/>
      <c r="E2944" s="0"/>
      <c r="F2944" s="0"/>
      <c r="G2944" s="0"/>
      <c r="H2944" s="0"/>
      <c r="I2944" s="0"/>
      <c r="J2944" s="0"/>
      <c r="K2944" s="0"/>
      <c r="L2944" s="0"/>
      <c r="M2944" s="0"/>
      <c r="N2944" s="0"/>
    </row>
    <row r="2945" customFormat="false" ht="12.8" hidden="false" customHeight="false" outlineLevel="0" collapsed="false">
      <c r="A2945" s="0"/>
      <c r="B2945" s="0"/>
      <c r="C2945" s="0"/>
      <c r="D2945" s="0"/>
      <c r="E2945" s="0"/>
      <c r="F2945" s="0"/>
      <c r="G2945" s="0"/>
      <c r="H2945" s="0"/>
      <c r="I2945" s="0"/>
      <c r="J2945" s="0"/>
      <c r="K2945" s="0"/>
      <c r="L2945" s="0"/>
      <c r="M2945" s="0"/>
      <c r="N2945" s="0"/>
    </row>
    <row r="2946" customFormat="false" ht="12.8" hidden="false" customHeight="false" outlineLevel="0" collapsed="false">
      <c r="A2946" s="0"/>
      <c r="B2946" s="0"/>
      <c r="C2946" s="0"/>
      <c r="D2946" s="0"/>
      <c r="E2946" s="0"/>
      <c r="F2946" s="0"/>
      <c r="G2946" s="0"/>
      <c r="H2946" s="0"/>
      <c r="I2946" s="0"/>
      <c r="J2946" s="0"/>
      <c r="K2946" s="0"/>
      <c r="L2946" s="0"/>
      <c r="M2946" s="0"/>
      <c r="N2946" s="0"/>
    </row>
    <row r="2947" customFormat="false" ht="12.8" hidden="false" customHeight="false" outlineLevel="0" collapsed="false">
      <c r="A2947" s="0"/>
      <c r="B2947" s="0"/>
      <c r="C2947" s="0"/>
      <c r="D2947" s="0"/>
      <c r="E2947" s="0"/>
      <c r="F2947" s="0"/>
      <c r="G2947" s="0"/>
      <c r="H2947" s="0"/>
      <c r="I2947" s="0"/>
      <c r="J2947" s="0"/>
      <c r="K2947" s="0"/>
      <c r="L2947" s="0"/>
      <c r="M2947" s="0"/>
      <c r="N2947" s="0"/>
    </row>
    <row r="2948" customFormat="false" ht="12.8" hidden="false" customHeight="false" outlineLevel="0" collapsed="false">
      <c r="A2948" s="0"/>
      <c r="B2948" s="0"/>
      <c r="C2948" s="0"/>
      <c r="D2948" s="0"/>
      <c r="E2948" s="0"/>
      <c r="F2948" s="0"/>
      <c r="G2948" s="0"/>
      <c r="H2948" s="0"/>
      <c r="I2948" s="0"/>
      <c r="J2948" s="0"/>
      <c r="K2948" s="0"/>
      <c r="L2948" s="0"/>
      <c r="M2948" s="0"/>
      <c r="N2948" s="0"/>
    </row>
    <row r="2949" customFormat="false" ht="12.8" hidden="false" customHeight="false" outlineLevel="0" collapsed="false">
      <c r="A2949" s="0"/>
      <c r="B2949" s="0"/>
      <c r="C2949" s="0"/>
      <c r="D2949" s="0"/>
      <c r="E2949" s="0"/>
      <c r="F2949" s="0"/>
      <c r="G2949" s="0"/>
      <c r="H2949" s="0"/>
      <c r="I2949" s="0"/>
      <c r="J2949" s="0"/>
      <c r="K2949" s="0"/>
      <c r="L2949" s="0"/>
      <c r="M2949" s="0"/>
      <c r="N2949" s="0"/>
    </row>
    <row r="2950" customFormat="false" ht="12.8" hidden="false" customHeight="false" outlineLevel="0" collapsed="false">
      <c r="A2950" s="0"/>
      <c r="B2950" s="0"/>
      <c r="C2950" s="0"/>
      <c r="D2950" s="0"/>
      <c r="E2950" s="0"/>
      <c r="F2950" s="0"/>
      <c r="G2950" s="0"/>
      <c r="H2950" s="0"/>
      <c r="I2950" s="0"/>
      <c r="J2950" s="0"/>
      <c r="K2950" s="0"/>
      <c r="L2950" s="0"/>
      <c r="M2950" s="0"/>
      <c r="N2950" s="0"/>
    </row>
    <row r="2951" customFormat="false" ht="12.8" hidden="false" customHeight="false" outlineLevel="0" collapsed="false">
      <c r="A2951" s="0"/>
      <c r="B2951" s="0"/>
      <c r="C2951" s="0"/>
      <c r="D2951" s="0"/>
      <c r="E2951" s="0"/>
      <c r="F2951" s="0"/>
      <c r="G2951" s="0"/>
      <c r="H2951" s="0"/>
      <c r="I2951" s="0"/>
      <c r="J2951" s="0"/>
      <c r="K2951" s="0"/>
      <c r="L2951" s="0"/>
      <c r="M2951" s="0"/>
      <c r="N2951" s="0"/>
    </row>
    <row r="2952" customFormat="false" ht="12.8" hidden="false" customHeight="false" outlineLevel="0" collapsed="false">
      <c r="A2952" s="0"/>
      <c r="B2952" s="0"/>
      <c r="C2952" s="0"/>
      <c r="D2952" s="0"/>
      <c r="E2952" s="0"/>
      <c r="F2952" s="0"/>
      <c r="G2952" s="0"/>
      <c r="H2952" s="0"/>
      <c r="I2952" s="0"/>
      <c r="J2952" s="0"/>
      <c r="K2952" s="0"/>
      <c r="L2952" s="0"/>
      <c r="M2952" s="0"/>
      <c r="N2952" s="0"/>
    </row>
    <row r="2953" customFormat="false" ht="12.8" hidden="false" customHeight="false" outlineLevel="0" collapsed="false">
      <c r="A2953" s="0"/>
      <c r="B2953" s="0"/>
      <c r="C2953" s="0"/>
      <c r="D2953" s="0"/>
      <c r="E2953" s="0"/>
      <c r="F2953" s="0"/>
      <c r="G2953" s="0"/>
      <c r="H2953" s="0"/>
      <c r="I2953" s="0"/>
      <c r="J2953" s="0"/>
      <c r="K2953" s="0"/>
      <c r="L2953" s="0"/>
      <c r="M2953" s="0"/>
      <c r="N2953" s="0"/>
    </row>
    <row r="2954" customFormat="false" ht="12.8" hidden="false" customHeight="false" outlineLevel="0" collapsed="false">
      <c r="A2954" s="0"/>
      <c r="B2954" s="0"/>
      <c r="C2954" s="0"/>
      <c r="D2954" s="0"/>
      <c r="E2954" s="0"/>
      <c r="F2954" s="0"/>
      <c r="G2954" s="0"/>
      <c r="H2954" s="0"/>
      <c r="I2954" s="0"/>
      <c r="J2954" s="0"/>
      <c r="K2954" s="0"/>
      <c r="L2954" s="0"/>
      <c r="M2954" s="0"/>
      <c r="N2954" s="0"/>
    </row>
    <row r="2955" customFormat="false" ht="12.8" hidden="false" customHeight="false" outlineLevel="0" collapsed="false">
      <c r="A2955" s="0"/>
      <c r="B2955" s="0"/>
      <c r="C2955" s="0"/>
      <c r="D2955" s="0"/>
      <c r="E2955" s="0"/>
      <c r="F2955" s="0"/>
      <c r="G2955" s="0"/>
      <c r="H2955" s="0"/>
      <c r="I2955" s="0"/>
      <c r="J2955" s="0"/>
      <c r="K2955" s="0"/>
      <c r="L2955" s="0"/>
      <c r="M2955" s="0"/>
      <c r="N2955" s="0"/>
    </row>
    <row r="2956" customFormat="false" ht="12.8" hidden="false" customHeight="false" outlineLevel="0" collapsed="false">
      <c r="A2956" s="0"/>
      <c r="B2956" s="0"/>
      <c r="C2956" s="0"/>
      <c r="D2956" s="0"/>
      <c r="E2956" s="0"/>
      <c r="F2956" s="0"/>
      <c r="G2956" s="0"/>
      <c r="H2956" s="0"/>
      <c r="I2956" s="0"/>
      <c r="J2956" s="0"/>
      <c r="K2956" s="0"/>
      <c r="L2956" s="0"/>
      <c r="M2956" s="0"/>
      <c r="N2956" s="0"/>
    </row>
    <row r="2957" customFormat="false" ht="12.8" hidden="false" customHeight="false" outlineLevel="0" collapsed="false">
      <c r="A2957" s="0"/>
      <c r="B2957" s="0"/>
      <c r="C2957" s="0"/>
      <c r="D2957" s="0"/>
      <c r="E2957" s="0"/>
      <c r="F2957" s="0"/>
      <c r="G2957" s="0"/>
      <c r="H2957" s="0"/>
      <c r="I2957" s="0"/>
      <c r="J2957" s="0"/>
      <c r="K2957" s="0"/>
      <c r="L2957" s="0"/>
      <c r="M2957" s="0"/>
      <c r="N2957" s="0"/>
    </row>
    <row r="2958" customFormat="false" ht="12.8" hidden="false" customHeight="false" outlineLevel="0" collapsed="false">
      <c r="A2958" s="0"/>
      <c r="B2958" s="0"/>
      <c r="C2958" s="0"/>
      <c r="D2958" s="0"/>
      <c r="E2958" s="0"/>
      <c r="F2958" s="0"/>
      <c r="G2958" s="0"/>
      <c r="H2958" s="0"/>
      <c r="I2958" s="0"/>
      <c r="J2958" s="0"/>
      <c r="K2958" s="0"/>
      <c r="L2958" s="0"/>
      <c r="M2958" s="0"/>
      <c r="N2958" s="0"/>
    </row>
    <row r="2959" customFormat="false" ht="12.8" hidden="false" customHeight="false" outlineLevel="0" collapsed="false">
      <c r="A2959" s="0"/>
      <c r="B2959" s="0"/>
      <c r="C2959" s="0"/>
      <c r="D2959" s="0"/>
      <c r="E2959" s="0"/>
      <c r="F2959" s="0"/>
      <c r="G2959" s="0"/>
      <c r="H2959" s="0"/>
      <c r="I2959" s="0"/>
      <c r="J2959" s="0"/>
      <c r="K2959" s="0"/>
      <c r="L2959" s="0"/>
      <c r="M2959" s="0"/>
      <c r="N2959" s="0"/>
    </row>
    <row r="2960" customFormat="false" ht="12.8" hidden="false" customHeight="false" outlineLevel="0" collapsed="false">
      <c r="A2960" s="0"/>
      <c r="B2960" s="0"/>
      <c r="C2960" s="0"/>
      <c r="D2960" s="0"/>
      <c r="E2960" s="0"/>
      <c r="F2960" s="0"/>
      <c r="G2960" s="0"/>
      <c r="H2960" s="0"/>
      <c r="I2960" s="0"/>
      <c r="J2960" s="0"/>
      <c r="K2960" s="0"/>
      <c r="L2960" s="0"/>
      <c r="M2960" s="0"/>
      <c r="N2960" s="0"/>
    </row>
    <row r="2961" customFormat="false" ht="12.8" hidden="false" customHeight="false" outlineLevel="0" collapsed="false">
      <c r="A2961" s="0"/>
      <c r="B2961" s="0"/>
      <c r="C2961" s="0"/>
      <c r="D2961" s="0"/>
      <c r="E2961" s="0"/>
      <c r="F2961" s="0"/>
      <c r="G2961" s="0"/>
      <c r="H2961" s="0"/>
      <c r="I2961" s="0"/>
      <c r="J2961" s="0"/>
      <c r="K2961" s="0"/>
      <c r="L2961" s="0"/>
      <c r="M2961" s="0"/>
      <c r="N2961" s="0"/>
    </row>
    <row r="2962" customFormat="false" ht="12.8" hidden="false" customHeight="false" outlineLevel="0" collapsed="false">
      <c r="A2962" s="0"/>
      <c r="B2962" s="0"/>
      <c r="C2962" s="0"/>
      <c r="D2962" s="0"/>
      <c r="E2962" s="0"/>
      <c r="F2962" s="0"/>
      <c r="G2962" s="0"/>
      <c r="H2962" s="0"/>
      <c r="I2962" s="0"/>
      <c r="J2962" s="0"/>
      <c r="K2962" s="0"/>
      <c r="L2962" s="0"/>
      <c r="M2962" s="0"/>
      <c r="N2962" s="0"/>
    </row>
    <row r="2963" customFormat="false" ht="12.8" hidden="false" customHeight="false" outlineLevel="0" collapsed="false">
      <c r="A2963" s="0"/>
      <c r="B2963" s="0"/>
      <c r="C2963" s="0"/>
      <c r="D2963" s="0"/>
      <c r="E2963" s="0"/>
      <c r="F2963" s="0"/>
      <c r="G2963" s="0"/>
      <c r="H2963" s="0"/>
      <c r="I2963" s="0"/>
      <c r="J2963" s="0"/>
      <c r="K2963" s="0"/>
      <c r="L2963" s="0"/>
      <c r="M2963" s="0"/>
      <c r="N2963" s="0"/>
    </row>
    <row r="2964" customFormat="false" ht="12.8" hidden="false" customHeight="false" outlineLevel="0" collapsed="false">
      <c r="A2964" s="0"/>
      <c r="B2964" s="0"/>
      <c r="C2964" s="0"/>
      <c r="D2964" s="0"/>
      <c r="E2964" s="0"/>
      <c r="F2964" s="0"/>
      <c r="G2964" s="0"/>
      <c r="H2964" s="0"/>
      <c r="I2964" s="0"/>
      <c r="J2964" s="0"/>
      <c r="K2964" s="0"/>
      <c r="L2964" s="0"/>
      <c r="M2964" s="0"/>
      <c r="N2964" s="0"/>
    </row>
    <row r="2965" customFormat="false" ht="12.8" hidden="false" customHeight="false" outlineLevel="0" collapsed="false">
      <c r="A2965" s="0"/>
      <c r="B2965" s="0"/>
      <c r="C2965" s="0"/>
      <c r="D2965" s="0"/>
      <c r="E2965" s="0"/>
      <c r="F2965" s="0"/>
      <c r="G2965" s="0"/>
      <c r="H2965" s="0"/>
      <c r="I2965" s="0"/>
      <c r="J2965" s="0"/>
      <c r="K2965" s="0"/>
      <c r="L2965" s="0"/>
      <c r="M2965" s="0"/>
      <c r="N2965" s="0"/>
    </row>
    <row r="2966" customFormat="false" ht="12.8" hidden="false" customHeight="false" outlineLevel="0" collapsed="false">
      <c r="A2966" s="0"/>
      <c r="B2966" s="0"/>
      <c r="C2966" s="0"/>
      <c r="D2966" s="0"/>
      <c r="E2966" s="0"/>
      <c r="F2966" s="0"/>
      <c r="G2966" s="0"/>
      <c r="H2966" s="0"/>
      <c r="I2966" s="0"/>
      <c r="J2966" s="0"/>
      <c r="K2966" s="0"/>
      <c r="L2966" s="0"/>
      <c r="M2966" s="0"/>
      <c r="N2966" s="0"/>
    </row>
    <row r="2967" customFormat="false" ht="12.8" hidden="false" customHeight="false" outlineLevel="0" collapsed="false">
      <c r="A2967" s="0"/>
      <c r="B2967" s="0"/>
      <c r="C2967" s="0"/>
      <c r="D2967" s="0"/>
      <c r="E2967" s="0"/>
      <c r="F2967" s="0"/>
      <c r="G2967" s="0"/>
      <c r="H2967" s="0"/>
      <c r="I2967" s="0"/>
      <c r="J2967" s="0"/>
      <c r="K2967" s="0"/>
      <c r="L2967" s="0"/>
      <c r="M2967" s="0"/>
      <c r="N2967" s="0"/>
    </row>
    <row r="2968" customFormat="false" ht="12.8" hidden="false" customHeight="false" outlineLevel="0" collapsed="false">
      <c r="A2968" s="0"/>
      <c r="B2968" s="0"/>
      <c r="C2968" s="0"/>
      <c r="D2968" s="0"/>
      <c r="E2968" s="0"/>
      <c r="F2968" s="0"/>
      <c r="G2968" s="0"/>
      <c r="H2968" s="0"/>
      <c r="I2968" s="0"/>
      <c r="J2968" s="0"/>
      <c r="K2968" s="0"/>
      <c r="L2968" s="0"/>
      <c r="M2968" s="0"/>
      <c r="N2968" s="0"/>
    </row>
    <row r="2969" customFormat="false" ht="12.8" hidden="false" customHeight="false" outlineLevel="0" collapsed="false">
      <c r="A2969" s="0"/>
      <c r="B2969" s="0"/>
      <c r="C2969" s="0"/>
      <c r="D2969" s="0"/>
      <c r="E2969" s="0"/>
      <c r="F2969" s="0"/>
      <c r="G2969" s="0"/>
      <c r="H2969" s="0"/>
      <c r="I2969" s="0"/>
      <c r="J2969" s="0"/>
      <c r="K2969" s="0"/>
      <c r="L2969" s="0"/>
      <c r="M2969" s="0"/>
      <c r="N2969" s="0"/>
    </row>
    <row r="2970" customFormat="false" ht="12.8" hidden="false" customHeight="false" outlineLevel="0" collapsed="false">
      <c r="A2970" s="0"/>
      <c r="B2970" s="0"/>
      <c r="C2970" s="0"/>
      <c r="D2970" s="0"/>
      <c r="E2970" s="0"/>
      <c r="F2970" s="0"/>
      <c r="G2970" s="0"/>
      <c r="H2970" s="0"/>
      <c r="I2970" s="0"/>
      <c r="J2970" s="0"/>
      <c r="K2970" s="0"/>
      <c r="L2970" s="0"/>
      <c r="M2970" s="0"/>
      <c r="N2970" s="0"/>
    </row>
    <row r="2971" customFormat="false" ht="12.8" hidden="false" customHeight="false" outlineLevel="0" collapsed="false">
      <c r="A2971" s="0"/>
      <c r="B2971" s="0"/>
      <c r="C2971" s="0"/>
      <c r="D2971" s="0"/>
      <c r="E2971" s="0"/>
      <c r="F2971" s="0"/>
      <c r="G2971" s="0"/>
      <c r="H2971" s="0"/>
      <c r="I2971" s="0"/>
      <c r="J2971" s="0"/>
      <c r="K2971" s="0"/>
      <c r="L2971" s="0"/>
      <c r="M2971" s="0"/>
      <c r="N2971" s="0"/>
    </row>
    <row r="2972" customFormat="false" ht="12.8" hidden="false" customHeight="false" outlineLevel="0" collapsed="false">
      <c r="A2972" s="0"/>
      <c r="B2972" s="0"/>
      <c r="C2972" s="0"/>
      <c r="D2972" s="0"/>
      <c r="E2972" s="0"/>
      <c r="F2972" s="0"/>
      <c r="G2972" s="0"/>
      <c r="H2972" s="0"/>
      <c r="I2972" s="0"/>
      <c r="J2972" s="0"/>
      <c r="K2972" s="0"/>
      <c r="L2972" s="0"/>
      <c r="M2972" s="0"/>
      <c r="N2972" s="0"/>
    </row>
    <row r="2973" customFormat="false" ht="12.8" hidden="false" customHeight="false" outlineLevel="0" collapsed="false">
      <c r="A2973" s="0"/>
      <c r="B2973" s="0"/>
      <c r="C2973" s="0"/>
      <c r="D2973" s="0"/>
      <c r="E2973" s="0"/>
      <c r="F2973" s="0"/>
      <c r="G2973" s="0"/>
      <c r="H2973" s="0"/>
      <c r="I2973" s="0"/>
      <c r="J2973" s="0"/>
      <c r="K2973" s="0"/>
      <c r="L2973" s="0"/>
      <c r="M2973" s="0"/>
      <c r="N2973" s="0"/>
    </row>
    <row r="2974" customFormat="false" ht="12.8" hidden="false" customHeight="false" outlineLevel="0" collapsed="false">
      <c r="A2974" s="0"/>
      <c r="B2974" s="0"/>
      <c r="C2974" s="0"/>
      <c r="D2974" s="0"/>
      <c r="E2974" s="0"/>
      <c r="F2974" s="0"/>
      <c r="G2974" s="0"/>
      <c r="H2974" s="0"/>
      <c r="I2974" s="0"/>
      <c r="J2974" s="0"/>
      <c r="K2974" s="0"/>
      <c r="L2974" s="0"/>
      <c r="M2974" s="0"/>
      <c r="N2974" s="0"/>
    </row>
    <row r="2975" customFormat="false" ht="12.8" hidden="false" customHeight="false" outlineLevel="0" collapsed="false">
      <c r="A2975" s="0"/>
      <c r="B2975" s="0"/>
      <c r="C2975" s="0"/>
      <c r="D2975" s="0"/>
      <c r="E2975" s="0"/>
      <c r="F2975" s="0"/>
      <c r="G2975" s="0"/>
      <c r="H2975" s="0"/>
      <c r="I2975" s="0"/>
      <c r="J2975" s="0"/>
      <c r="K2975" s="0"/>
      <c r="L2975" s="0"/>
      <c r="M2975" s="0"/>
      <c r="N2975" s="0"/>
    </row>
    <row r="2976" customFormat="false" ht="12.8" hidden="false" customHeight="false" outlineLevel="0" collapsed="false">
      <c r="A2976" s="0"/>
      <c r="B2976" s="0"/>
      <c r="C2976" s="0"/>
      <c r="D2976" s="0"/>
      <c r="E2976" s="0"/>
      <c r="F2976" s="0"/>
      <c r="G2976" s="0"/>
      <c r="H2976" s="0"/>
      <c r="I2976" s="0"/>
      <c r="J2976" s="0"/>
      <c r="K2976" s="0"/>
      <c r="L2976" s="0"/>
      <c r="M2976" s="0"/>
      <c r="N2976" s="0"/>
    </row>
    <row r="2977" customFormat="false" ht="12.8" hidden="false" customHeight="false" outlineLevel="0" collapsed="false">
      <c r="A2977" s="0"/>
      <c r="B2977" s="0"/>
      <c r="C2977" s="0"/>
      <c r="D2977" s="0"/>
      <c r="E2977" s="0"/>
      <c r="F2977" s="0"/>
      <c r="G2977" s="0"/>
      <c r="H2977" s="0"/>
      <c r="I2977" s="0"/>
      <c r="J2977" s="0"/>
      <c r="K2977" s="0"/>
      <c r="L2977" s="0"/>
      <c r="M2977" s="0"/>
      <c r="N2977" s="0"/>
    </row>
    <row r="2978" customFormat="false" ht="12.8" hidden="false" customHeight="false" outlineLevel="0" collapsed="false">
      <c r="A2978" s="0"/>
      <c r="B2978" s="0"/>
      <c r="C2978" s="0"/>
      <c r="D2978" s="0"/>
      <c r="E2978" s="0"/>
      <c r="F2978" s="0"/>
      <c r="G2978" s="0"/>
      <c r="H2978" s="0"/>
      <c r="I2978" s="0"/>
      <c r="J2978" s="0"/>
      <c r="K2978" s="0"/>
      <c r="L2978" s="0"/>
      <c r="M2978" s="0"/>
      <c r="N2978" s="0"/>
    </row>
    <row r="2979" customFormat="false" ht="12.8" hidden="false" customHeight="false" outlineLevel="0" collapsed="false">
      <c r="A2979" s="0"/>
      <c r="B2979" s="0"/>
      <c r="C2979" s="0"/>
      <c r="D2979" s="0"/>
      <c r="E2979" s="0"/>
      <c r="F2979" s="0"/>
      <c r="G2979" s="0"/>
      <c r="H2979" s="0"/>
      <c r="I2979" s="0"/>
      <c r="J2979" s="0"/>
      <c r="K2979" s="0"/>
      <c r="L2979" s="0"/>
      <c r="M2979" s="0"/>
      <c r="N2979" s="0"/>
    </row>
    <row r="2980" customFormat="false" ht="12.8" hidden="false" customHeight="false" outlineLevel="0" collapsed="false">
      <c r="A2980" s="0"/>
      <c r="B2980" s="0"/>
      <c r="C2980" s="0"/>
      <c r="D2980" s="0"/>
      <c r="E2980" s="0"/>
      <c r="F2980" s="0"/>
      <c r="G2980" s="0"/>
      <c r="H2980" s="0"/>
      <c r="I2980" s="0"/>
      <c r="J2980" s="0"/>
      <c r="K2980" s="0"/>
      <c r="L2980" s="0"/>
      <c r="M2980" s="0"/>
      <c r="N2980" s="0"/>
    </row>
    <row r="2981" customFormat="false" ht="12.8" hidden="false" customHeight="false" outlineLevel="0" collapsed="false">
      <c r="A2981" s="0"/>
      <c r="B2981" s="0"/>
      <c r="C2981" s="0"/>
      <c r="D2981" s="0"/>
      <c r="E2981" s="0"/>
      <c r="F2981" s="0"/>
      <c r="G2981" s="0"/>
      <c r="H2981" s="0"/>
      <c r="I2981" s="0"/>
      <c r="J2981" s="0"/>
      <c r="K2981" s="0"/>
      <c r="L2981" s="0"/>
      <c r="M2981" s="0"/>
      <c r="N2981" s="0"/>
    </row>
    <row r="2982" customFormat="false" ht="12.8" hidden="false" customHeight="false" outlineLevel="0" collapsed="false">
      <c r="A2982" s="0"/>
      <c r="B2982" s="0"/>
      <c r="C2982" s="0"/>
      <c r="D2982" s="0"/>
      <c r="E2982" s="0"/>
      <c r="F2982" s="0"/>
      <c r="G2982" s="0"/>
      <c r="H2982" s="0"/>
      <c r="I2982" s="0"/>
      <c r="J2982" s="0"/>
      <c r="K2982" s="0"/>
      <c r="L2982" s="0"/>
      <c r="M2982" s="0"/>
      <c r="N2982" s="0"/>
    </row>
    <row r="2983" customFormat="false" ht="12.8" hidden="false" customHeight="false" outlineLevel="0" collapsed="false">
      <c r="A2983" s="0"/>
      <c r="B2983" s="0"/>
      <c r="C2983" s="0"/>
      <c r="D2983" s="0"/>
      <c r="E2983" s="0"/>
      <c r="F2983" s="0"/>
      <c r="G2983" s="0"/>
      <c r="H2983" s="0"/>
      <c r="I2983" s="0"/>
      <c r="J2983" s="0"/>
      <c r="K2983" s="0"/>
      <c r="L2983" s="0"/>
      <c r="M2983" s="0"/>
      <c r="N2983" s="0"/>
    </row>
    <row r="2984" customFormat="false" ht="12.8" hidden="false" customHeight="false" outlineLevel="0" collapsed="false">
      <c r="A2984" s="0"/>
      <c r="B2984" s="0"/>
      <c r="C2984" s="0"/>
      <c r="D2984" s="0"/>
      <c r="E2984" s="0"/>
      <c r="F2984" s="0"/>
      <c r="G2984" s="0"/>
      <c r="H2984" s="0"/>
      <c r="I2984" s="0"/>
      <c r="J2984" s="0"/>
      <c r="K2984" s="0"/>
      <c r="L2984" s="0"/>
      <c r="M2984" s="0"/>
      <c r="N2984" s="0"/>
    </row>
    <row r="2985" customFormat="false" ht="12.8" hidden="false" customHeight="false" outlineLevel="0" collapsed="false">
      <c r="A2985" s="0"/>
      <c r="B2985" s="0"/>
      <c r="C2985" s="0"/>
      <c r="D2985" s="0"/>
      <c r="E2985" s="0"/>
      <c r="F2985" s="0"/>
      <c r="G2985" s="0"/>
      <c r="H2985" s="0"/>
      <c r="I2985" s="0"/>
      <c r="J2985" s="0"/>
      <c r="K2985" s="0"/>
      <c r="L2985" s="0"/>
      <c r="M2985" s="0"/>
      <c r="N2985" s="0"/>
    </row>
    <row r="2986" customFormat="false" ht="12.8" hidden="false" customHeight="false" outlineLevel="0" collapsed="false">
      <c r="A2986" s="0"/>
      <c r="B2986" s="0"/>
      <c r="C2986" s="0"/>
      <c r="D2986" s="0"/>
      <c r="E2986" s="0"/>
      <c r="F2986" s="0"/>
      <c r="G2986" s="0"/>
      <c r="H2986" s="0"/>
      <c r="I2986" s="0"/>
      <c r="J2986" s="0"/>
      <c r="K2986" s="0"/>
      <c r="L2986" s="0"/>
      <c r="M2986" s="0"/>
      <c r="N2986" s="0"/>
    </row>
    <row r="2987" customFormat="false" ht="12.8" hidden="false" customHeight="false" outlineLevel="0" collapsed="false">
      <c r="A2987" s="0"/>
      <c r="B2987" s="0"/>
      <c r="C2987" s="0"/>
      <c r="D2987" s="0"/>
      <c r="E2987" s="0"/>
      <c r="F2987" s="0"/>
      <c r="G2987" s="0"/>
      <c r="H2987" s="0"/>
      <c r="I2987" s="0"/>
      <c r="J2987" s="0"/>
      <c r="K2987" s="0"/>
      <c r="L2987" s="0"/>
      <c r="M2987" s="0"/>
      <c r="N2987" s="0"/>
    </row>
    <row r="2988" customFormat="false" ht="12.8" hidden="false" customHeight="false" outlineLevel="0" collapsed="false">
      <c r="A2988" s="0"/>
      <c r="B2988" s="0"/>
      <c r="C2988" s="0"/>
      <c r="D2988" s="0"/>
      <c r="E2988" s="0"/>
      <c r="F2988" s="0"/>
      <c r="G2988" s="0"/>
      <c r="H2988" s="0"/>
      <c r="I2988" s="0"/>
      <c r="J2988" s="0"/>
      <c r="K2988" s="0"/>
      <c r="L2988" s="0"/>
      <c r="M2988" s="0"/>
      <c r="N2988" s="0"/>
    </row>
    <row r="2989" customFormat="false" ht="12.8" hidden="false" customHeight="false" outlineLevel="0" collapsed="false">
      <c r="A2989" s="0"/>
      <c r="B2989" s="0"/>
      <c r="C2989" s="0"/>
      <c r="D2989" s="0"/>
      <c r="E2989" s="0"/>
      <c r="F2989" s="0"/>
      <c r="G2989" s="0"/>
      <c r="H2989" s="0"/>
      <c r="I2989" s="0"/>
      <c r="J2989" s="0"/>
      <c r="K2989" s="0"/>
      <c r="L2989" s="0"/>
      <c r="M2989" s="0"/>
      <c r="N2989" s="0"/>
    </row>
    <row r="2990" customFormat="false" ht="12.8" hidden="false" customHeight="false" outlineLevel="0" collapsed="false">
      <c r="A2990" s="0"/>
      <c r="B2990" s="0"/>
      <c r="C2990" s="0"/>
      <c r="D2990" s="0"/>
      <c r="E2990" s="0"/>
      <c r="F2990" s="0"/>
      <c r="G2990" s="0"/>
      <c r="H2990" s="0"/>
      <c r="I2990" s="0"/>
      <c r="J2990" s="0"/>
      <c r="K2990" s="0"/>
      <c r="L2990" s="0"/>
      <c r="M2990" s="0"/>
      <c r="N2990" s="0"/>
    </row>
    <row r="2991" customFormat="false" ht="12.8" hidden="false" customHeight="false" outlineLevel="0" collapsed="false">
      <c r="A2991" s="0"/>
      <c r="B2991" s="0"/>
      <c r="C2991" s="0"/>
      <c r="D2991" s="0"/>
      <c r="E2991" s="0"/>
      <c r="F2991" s="0"/>
      <c r="G2991" s="0"/>
      <c r="H2991" s="0"/>
      <c r="I2991" s="0"/>
      <c r="J2991" s="0"/>
      <c r="K2991" s="0"/>
      <c r="L2991" s="0"/>
      <c r="M2991" s="0"/>
      <c r="N2991" s="0"/>
    </row>
    <row r="2992" customFormat="false" ht="12.8" hidden="false" customHeight="false" outlineLevel="0" collapsed="false">
      <c r="A2992" s="0"/>
      <c r="B2992" s="0"/>
      <c r="C2992" s="0"/>
      <c r="D2992" s="0"/>
      <c r="E2992" s="0"/>
      <c r="F2992" s="0"/>
      <c r="G2992" s="0"/>
      <c r="H2992" s="0"/>
      <c r="I2992" s="0"/>
      <c r="J2992" s="0"/>
      <c r="K2992" s="0"/>
      <c r="L2992" s="0"/>
      <c r="M2992" s="0"/>
      <c r="N2992" s="0"/>
    </row>
    <row r="2993" customFormat="false" ht="12.8" hidden="false" customHeight="false" outlineLevel="0" collapsed="false">
      <c r="A2993" s="0"/>
      <c r="B2993" s="0"/>
      <c r="C2993" s="0"/>
      <c r="D2993" s="0"/>
      <c r="E2993" s="0"/>
      <c r="F2993" s="0"/>
      <c r="G2993" s="0"/>
      <c r="H2993" s="0"/>
      <c r="I2993" s="0"/>
      <c r="J2993" s="0"/>
      <c r="K2993" s="0"/>
      <c r="L2993" s="0"/>
      <c r="M2993" s="0"/>
      <c r="N2993" s="0"/>
    </row>
    <row r="2994" customFormat="false" ht="12.8" hidden="false" customHeight="false" outlineLevel="0" collapsed="false">
      <c r="A2994" s="0"/>
      <c r="B2994" s="0"/>
      <c r="C2994" s="0"/>
      <c r="D2994" s="0"/>
      <c r="E2994" s="0"/>
      <c r="F2994" s="0"/>
      <c r="G2994" s="0"/>
      <c r="H2994" s="0"/>
      <c r="I2994" s="0"/>
      <c r="J2994" s="0"/>
      <c r="K2994" s="0"/>
      <c r="L2994" s="0"/>
      <c r="M2994" s="0"/>
      <c r="N2994" s="0"/>
    </row>
    <row r="2995" customFormat="false" ht="12.8" hidden="false" customHeight="false" outlineLevel="0" collapsed="false">
      <c r="A2995" s="0"/>
      <c r="B2995" s="0"/>
      <c r="C2995" s="0"/>
      <c r="D2995" s="0"/>
      <c r="E2995" s="0"/>
      <c r="F2995" s="0"/>
      <c r="G2995" s="0"/>
      <c r="H2995" s="0"/>
      <c r="I2995" s="0"/>
      <c r="J2995" s="0"/>
      <c r="K2995" s="0"/>
      <c r="L2995" s="0"/>
      <c r="M2995" s="0"/>
      <c r="N2995" s="0"/>
    </row>
    <row r="2996" customFormat="false" ht="12.8" hidden="false" customHeight="false" outlineLevel="0" collapsed="false">
      <c r="A2996" s="0"/>
      <c r="B2996" s="0"/>
      <c r="C2996" s="0"/>
      <c r="D2996" s="0"/>
      <c r="E2996" s="0"/>
      <c r="F2996" s="0"/>
      <c r="G2996" s="0"/>
      <c r="H2996" s="0"/>
      <c r="I2996" s="0"/>
      <c r="J2996" s="0"/>
      <c r="K2996" s="0"/>
      <c r="L2996" s="0"/>
      <c r="M2996" s="0"/>
      <c r="N2996" s="0"/>
    </row>
    <row r="2997" customFormat="false" ht="12.8" hidden="false" customHeight="false" outlineLevel="0" collapsed="false">
      <c r="A2997" s="0"/>
      <c r="B2997" s="0"/>
      <c r="C2997" s="0"/>
      <c r="D2997" s="0"/>
      <c r="E2997" s="0"/>
      <c r="F2997" s="0"/>
      <c r="G2997" s="0"/>
      <c r="H2997" s="0"/>
      <c r="I2997" s="0"/>
      <c r="J2997" s="0"/>
      <c r="K2997" s="0"/>
      <c r="L2997" s="0"/>
      <c r="M2997" s="0"/>
      <c r="N2997" s="0"/>
    </row>
    <row r="2998" customFormat="false" ht="12.8" hidden="false" customHeight="false" outlineLevel="0" collapsed="false">
      <c r="A2998" s="0"/>
      <c r="B2998" s="0"/>
      <c r="C2998" s="0"/>
      <c r="D2998" s="0"/>
      <c r="E2998" s="0"/>
      <c r="F2998" s="0"/>
      <c r="G2998" s="0"/>
      <c r="H2998" s="0"/>
      <c r="I2998" s="0"/>
      <c r="J2998" s="0"/>
      <c r="K2998" s="0"/>
      <c r="L2998" s="0"/>
      <c r="M2998" s="0"/>
      <c r="N2998" s="0"/>
    </row>
    <row r="2999" customFormat="false" ht="12.8" hidden="false" customHeight="false" outlineLevel="0" collapsed="false">
      <c r="A2999" s="0"/>
      <c r="B2999" s="0"/>
      <c r="C2999" s="0"/>
      <c r="D2999" s="0"/>
      <c r="E2999" s="0"/>
      <c r="F2999" s="0"/>
      <c r="G2999" s="0"/>
      <c r="H2999" s="0"/>
      <c r="I2999" s="0"/>
      <c r="J2999" s="0"/>
      <c r="K2999" s="0"/>
      <c r="L2999" s="0"/>
      <c r="M2999" s="0"/>
      <c r="N2999" s="0"/>
    </row>
    <row r="3000" customFormat="false" ht="12.8" hidden="false" customHeight="false" outlineLevel="0" collapsed="false">
      <c r="A3000" s="0"/>
      <c r="B3000" s="0"/>
      <c r="C3000" s="0"/>
      <c r="D3000" s="0"/>
      <c r="E3000" s="0"/>
      <c r="F3000" s="0"/>
      <c r="G3000" s="0"/>
      <c r="H3000" s="0"/>
      <c r="I3000" s="0"/>
      <c r="J3000" s="0"/>
      <c r="K3000" s="0"/>
      <c r="L3000" s="0"/>
      <c r="M3000" s="0"/>
      <c r="N3000" s="0"/>
    </row>
    <row r="3001" customFormat="false" ht="12.8" hidden="false" customHeight="false" outlineLevel="0" collapsed="false">
      <c r="A3001" s="0"/>
      <c r="B3001" s="0"/>
      <c r="C3001" s="0"/>
      <c r="D3001" s="0"/>
      <c r="E3001" s="0"/>
      <c r="F3001" s="0"/>
      <c r="G3001" s="0"/>
      <c r="H3001" s="0"/>
      <c r="I3001" s="0"/>
      <c r="J3001" s="0"/>
      <c r="K3001" s="0"/>
      <c r="L3001" s="0"/>
      <c r="M3001" s="0"/>
      <c r="N3001" s="0"/>
    </row>
    <row r="3002" customFormat="false" ht="12.8" hidden="false" customHeight="false" outlineLevel="0" collapsed="false">
      <c r="A3002" s="0"/>
      <c r="B3002" s="0"/>
      <c r="C3002" s="0"/>
      <c r="D3002" s="0"/>
      <c r="E3002" s="0"/>
      <c r="F3002" s="0"/>
      <c r="G3002" s="0"/>
      <c r="H3002" s="0"/>
      <c r="I3002" s="0"/>
      <c r="J3002" s="0"/>
      <c r="K3002" s="0"/>
      <c r="L3002" s="0"/>
      <c r="M3002" s="0"/>
      <c r="N3002" s="0"/>
    </row>
    <row r="3003" customFormat="false" ht="12.8" hidden="false" customHeight="false" outlineLevel="0" collapsed="false">
      <c r="A3003" s="0"/>
      <c r="B3003" s="0"/>
      <c r="C3003" s="0"/>
      <c r="D3003" s="0"/>
      <c r="E3003" s="0"/>
      <c r="F3003" s="0"/>
      <c r="G3003" s="0"/>
      <c r="H3003" s="0"/>
      <c r="I3003" s="0"/>
      <c r="J3003" s="0"/>
      <c r="K3003" s="0"/>
      <c r="L3003" s="0"/>
      <c r="M3003" s="0"/>
      <c r="N3003" s="0"/>
    </row>
    <row r="3004" customFormat="false" ht="12.8" hidden="false" customHeight="false" outlineLevel="0" collapsed="false">
      <c r="A3004" s="0"/>
      <c r="B3004" s="0"/>
      <c r="C3004" s="0"/>
      <c r="D3004" s="0"/>
      <c r="E3004" s="0"/>
      <c r="F3004" s="0"/>
      <c r="G3004" s="0"/>
      <c r="H3004" s="0"/>
      <c r="I3004" s="0"/>
      <c r="J3004" s="0"/>
      <c r="K3004" s="0"/>
      <c r="L3004" s="0"/>
      <c r="M3004" s="0"/>
      <c r="N3004" s="0"/>
    </row>
    <row r="3005" customFormat="false" ht="12.8" hidden="false" customHeight="false" outlineLevel="0" collapsed="false">
      <c r="A3005" s="0"/>
      <c r="B3005" s="0"/>
      <c r="C3005" s="0"/>
      <c r="D3005" s="0"/>
      <c r="E3005" s="0"/>
      <c r="F3005" s="0"/>
      <c r="G3005" s="0"/>
      <c r="H3005" s="0"/>
      <c r="I3005" s="0"/>
      <c r="J3005" s="0"/>
      <c r="K3005" s="0"/>
      <c r="L3005" s="0"/>
      <c r="M3005" s="0"/>
      <c r="N3005" s="0"/>
    </row>
    <row r="3006" customFormat="false" ht="12.8" hidden="false" customHeight="false" outlineLevel="0" collapsed="false">
      <c r="A3006" s="0"/>
      <c r="B3006" s="0"/>
      <c r="C3006" s="0"/>
      <c r="D3006" s="0"/>
      <c r="E3006" s="0"/>
      <c r="F3006" s="0"/>
      <c r="G3006" s="0"/>
      <c r="H3006" s="0"/>
      <c r="I3006" s="0"/>
      <c r="J3006" s="0"/>
      <c r="K3006" s="0"/>
      <c r="L3006" s="0"/>
      <c r="M3006" s="0"/>
      <c r="N3006" s="0"/>
    </row>
    <row r="3007" customFormat="false" ht="12.8" hidden="false" customHeight="false" outlineLevel="0" collapsed="false">
      <c r="A3007" s="0"/>
      <c r="B3007" s="0"/>
      <c r="C3007" s="0"/>
      <c r="D3007" s="0"/>
      <c r="E3007" s="0"/>
      <c r="F3007" s="0"/>
      <c r="G3007" s="0"/>
      <c r="H3007" s="0"/>
      <c r="I3007" s="0"/>
      <c r="J3007" s="0"/>
      <c r="K3007" s="0"/>
      <c r="L3007" s="0"/>
      <c r="M3007" s="0"/>
      <c r="N3007" s="0"/>
    </row>
    <row r="3008" customFormat="false" ht="12.8" hidden="false" customHeight="false" outlineLevel="0" collapsed="false">
      <c r="A3008" s="0"/>
      <c r="B3008" s="0"/>
      <c r="C3008" s="0"/>
      <c r="D3008" s="0"/>
      <c r="E3008" s="0"/>
      <c r="F3008" s="0"/>
      <c r="G3008" s="0"/>
      <c r="H3008" s="0"/>
      <c r="I3008" s="0"/>
      <c r="J3008" s="0"/>
      <c r="K3008" s="0"/>
      <c r="L3008" s="0"/>
      <c r="M3008" s="0"/>
      <c r="N3008" s="0"/>
    </row>
    <row r="3009" customFormat="false" ht="12.8" hidden="false" customHeight="false" outlineLevel="0" collapsed="false">
      <c r="A3009" s="0"/>
      <c r="B3009" s="0"/>
      <c r="C3009" s="0"/>
      <c r="D3009" s="0"/>
      <c r="E3009" s="0"/>
      <c r="F3009" s="0"/>
      <c r="G3009" s="0"/>
      <c r="H3009" s="0"/>
      <c r="I3009" s="0"/>
      <c r="J3009" s="0"/>
      <c r="K3009" s="0"/>
      <c r="L3009" s="0"/>
      <c r="M3009" s="0"/>
      <c r="N3009" s="0"/>
    </row>
    <row r="3010" customFormat="false" ht="12.8" hidden="false" customHeight="false" outlineLevel="0" collapsed="false">
      <c r="A3010" s="0"/>
      <c r="B3010" s="0"/>
      <c r="C3010" s="0"/>
      <c r="D3010" s="0"/>
      <c r="E3010" s="0"/>
      <c r="F3010" s="0"/>
      <c r="G3010" s="0"/>
      <c r="H3010" s="0"/>
      <c r="I3010" s="0"/>
      <c r="J3010" s="0"/>
      <c r="K3010" s="0"/>
      <c r="L3010" s="0"/>
      <c r="M3010" s="0"/>
      <c r="N3010" s="0"/>
    </row>
    <row r="3011" customFormat="false" ht="12.8" hidden="false" customHeight="false" outlineLevel="0" collapsed="false">
      <c r="A3011" s="0"/>
      <c r="B3011" s="0"/>
      <c r="C3011" s="0"/>
      <c r="D3011" s="0"/>
      <c r="E3011" s="0"/>
      <c r="F3011" s="0"/>
      <c r="G3011" s="0"/>
      <c r="H3011" s="0"/>
      <c r="I3011" s="0"/>
      <c r="J3011" s="0"/>
      <c r="K3011" s="0"/>
      <c r="L3011" s="0"/>
      <c r="M3011" s="0"/>
      <c r="N3011" s="0"/>
    </row>
    <row r="3012" customFormat="false" ht="12.8" hidden="false" customHeight="false" outlineLevel="0" collapsed="false">
      <c r="A3012" s="0"/>
      <c r="B3012" s="0"/>
      <c r="C3012" s="0"/>
      <c r="D3012" s="0"/>
      <c r="E3012" s="0"/>
      <c r="F3012" s="0"/>
      <c r="G3012" s="0"/>
      <c r="H3012" s="0"/>
      <c r="I3012" s="0"/>
      <c r="J3012" s="0"/>
      <c r="K3012" s="0"/>
      <c r="L3012" s="0"/>
      <c r="M3012" s="0"/>
      <c r="N3012" s="0"/>
    </row>
    <row r="3013" customFormat="false" ht="12.8" hidden="false" customHeight="false" outlineLevel="0" collapsed="false">
      <c r="A3013" s="0"/>
      <c r="B3013" s="0"/>
      <c r="C3013" s="0"/>
      <c r="D3013" s="0"/>
      <c r="E3013" s="0"/>
      <c r="F3013" s="0"/>
      <c r="G3013" s="0"/>
      <c r="H3013" s="0"/>
      <c r="I3013" s="0"/>
      <c r="J3013" s="0"/>
      <c r="K3013" s="0"/>
      <c r="L3013" s="0"/>
      <c r="M3013" s="0"/>
      <c r="N3013" s="0"/>
    </row>
    <row r="3014" customFormat="false" ht="12.8" hidden="false" customHeight="false" outlineLevel="0" collapsed="false">
      <c r="A3014" s="0"/>
      <c r="B3014" s="0"/>
      <c r="C3014" s="0"/>
      <c r="D3014" s="0"/>
      <c r="E3014" s="0"/>
      <c r="F3014" s="0"/>
      <c r="G3014" s="0"/>
      <c r="H3014" s="0"/>
      <c r="I3014" s="0"/>
      <c r="J3014" s="0"/>
      <c r="K3014" s="0"/>
      <c r="L3014" s="0"/>
      <c r="M3014" s="0"/>
      <c r="N3014" s="0"/>
    </row>
    <row r="3015" customFormat="false" ht="12.8" hidden="false" customHeight="false" outlineLevel="0" collapsed="false">
      <c r="A3015" s="0"/>
      <c r="B3015" s="0"/>
      <c r="C3015" s="0"/>
      <c r="D3015" s="0"/>
      <c r="E3015" s="0"/>
      <c r="F3015" s="0"/>
      <c r="G3015" s="0"/>
      <c r="H3015" s="0"/>
      <c r="I3015" s="0"/>
      <c r="J3015" s="0"/>
      <c r="K3015" s="0"/>
      <c r="L3015" s="0"/>
      <c r="M3015" s="0"/>
      <c r="N3015" s="0"/>
    </row>
    <row r="3016" customFormat="false" ht="12.8" hidden="false" customHeight="false" outlineLevel="0" collapsed="false">
      <c r="A3016" s="0"/>
      <c r="B3016" s="0"/>
      <c r="C3016" s="0"/>
      <c r="D3016" s="0"/>
      <c r="E3016" s="0"/>
      <c r="F3016" s="0"/>
      <c r="G3016" s="0"/>
      <c r="H3016" s="0"/>
      <c r="I3016" s="0"/>
      <c r="J3016" s="0"/>
      <c r="K3016" s="0"/>
      <c r="L3016" s="0"/>
      <c r="M3016" s="0"/>
      <c r="N3016" s="0"/>
    </row>
    <row r="3017" customFormat="false" ht="12.8" hidden="false" customHeight="false" outlineLevel="0" collapsed="false">
      <c r="A3017" s="0"/>
      <c r="B3017" s="0"/>
      <c r="C3017" s="0"/>
      <c r="D3017" s="0"/>
      <c r="E3017" s="0"/>
      <c r="F3017" s="0"/>
      <c r="G3017" s="0"/>
      <c r="H3017" s="0"/>
      <c r="I3017" s="0"/>
      <c r="J3017" s="0"/>
      <c r="K3017" s="0"/>
      <c r="L3017" s="0"/>
      <c r="M3017" s="0"/>
      <c r="N3017" s="0"/>
    </row>
    <row r="3018" customFormat="false" ht="12.8" hidden="false" customHeight="false" outlineLevel="0" collapsed="false">
      <c r="A3018" s="0"/>
      <c r="B3018" s="0"/>
      <c r="C3018" s="0"/>
      <c r="D3018" s="0"/>
      <c r="E3018" s="0"/>
      <c r="F3018" s="0"/>
      <c r="G3018" s="0"/>
      <c r="H3018" s="0"/>
      <c r="I3018" s="0"/>
      <c r="J3018" s="0"/>
      <c r="K3018" s="0"/>
      <c r="L3018" s="0"/>
      <c r="M3018" s="0"/>
      <c r="N3018" s="0"/>
    </row>
    <row r="3019" customFormat="false" ht="12.8" hidden="false" customHeight="false" outlineLevel="0" collapsed="false">
      <c r="A3019" s="0"/>
      <c r="B3019" s="0"/>
      <c r="C3019" s="0"/>
      <c r="D3019" s="0"/>
      <c r="E3019" s="0"/>
      <c r="F3019" s="0"/>
      <c r="G3019" s="0"/>
      <c r="H3019" s="0"/>
      <c r="I3019" s="0"/>
      <c r="J3019" s="0"/>
      <c r="K3019" s="0"/>
      <c r="L3019" s="0"/>
      <c r="M3019" s="0"/>
      <c r="N3019" s="0"/>
    </row>
    <row r="3020" customFormat="false" ht="12.8" hidden="false" customHeight="false" outlineLevel="0" collapsed="false">
      <c r="A3020" s="0"/>
      <c r="B3020" s="0"/>
      <c r="C3020" s="0"/>
      <c r="D3020" s="0"/>
      <c r="E3020" s="0"/>
      <c r="F3020" s="0"/>
      <c r="G3020" s="0"/>
      <c r="H3020" s="0"/>
      <c r="I3020" s="0"/>
      <c r="J3020" s="0"/>
      <c r="K3020" s="0"/>
      <c r="L3020" s="0"/>
      <c r="M3020" s="0"/>
      <c r="N3020" s="0"/>
    </row>
    <row r="3021" customFormat="false" ht="12.8" hidden="false" customHeight="false" outlineLevel="0" collapsed="false">
      <c r="A3021" s="0"/>
      <c r="B3021" s="0"/>
      <c r="C3021" s="0"/>
      <c r="D3021" s="0"/>
      <c r="E3021" s="0"/>
      <c r="F3021" s="0"/>
      <c r="G3021" s="0"/>
      <c r="H3021" s="0"/>
      <c r="I3021" s="0"/>
      <c r="J3021" s="0"/>
      <c r="K3021" s="0"/>
      <c r="L3021" s="0"/>
      <c r="M3021" s="0"/>
      <c r="N3021" s="0"/>
    </row>
    <row r="3022" customFormat="false" ht="12.8" hidden="false" customHeight="false" outlineLevel="0" collapsed="false">
      <c r="A3022" s="0"/>
      <c r="B3022" s="0"/>
      <c r="C3022" s="0"/>
      <c r="D3022" s="0"/>
      <c r="E3022" s="0"/>
      <c r="F3022" s="0"/>
      <c r="G3022" s="0"/>
      <c r="H3022" s="0"/>
      <c r="I3022" s="0"/>
      <c r="J3022" s="0"/>
      <c r="K3022" s="0"/>
      <c r="L3022" s="0"/>
      <c r="M3022" s="0"/>
      <c r="N3022" s="0"/>
    </row>
    <row r="3023" customFormat="false" ht="12.8" hidden="false" customHeight="false" outlineLevel="0" collapsed="false">
      <c r="A3023" s="0"/>
      <c r="B3023" s="0"/>
      <c r="C3023" s="0"/>
      <c r="D3023" s="0"/>
      <c r="E3023" s="0"/>
      <c r="F3023" s="0"/>
      <c r="G3023" s="0"/>
      <c r="H3023" s="0"/>
      <c r="I3023" s="0"/>
      <c r="J3023" s="0"/>
      <c r="K3023" s="0"/>
      <c r="L3023" s="0"/>
      <c r="M3023" s="0"/>
      <c r="N3023" s="0"/>
    </row>
    <row r="3024" customFormat="false" ht="12.8" hidden="false" customHeight="false" outlineLevel="0" collapsed="false">
      <c r="A3024" s="0"/>
      <c r="B3024" s="0"/>
      <c r="C3024" s="0"/>
      <c r="D3024" s="0"/>
      <c r="E3024" s="0"/>
      <c r="F3024" s="0"/>
      <c r="G3024" s="0"/>
      <c r="H3024" s="0"/>
      <c r="I3024" s="0"/>
      <c r="J3024" s="0"/>
      <c r="K3024" s="0"/>
      <c r="L3024" s="0"/>
      <c r="M3024" s="0"/>
      <c r="N3024" s="0"/>
    </row>
    <row r="3025" customFormat="false" ht="12.8" hidden="false" customHeight="false" outlineLevel="0" collapsed="false">
      <c r="A3025" s="0"/>
      <c r="B3025" s="0"/>
      <c r="C3025" s="0"/>
      <c r="D3025" s="0"/>
      <c r="E3025" s="0"/>
      <c r="F3025" s="0"/>
      <c r="G3025" s="0"/>
      <c r="H3025" s="0"/>
      <c r="I3025" s="0"/>
      <c r="J3025" s="0"/>
      <c r="K3025" s="0"/>
      <c r="L3025" s="0"/>
      <c r="M3025" s="0"/>
      <c r="N3025" s="0"/>
    </row>
    <row r="3026" customFormat="false" ht="12.8" hidden="false" customHeight="false" outlineLevel="0" collapsed="false">
      <c r="A3026" s="0"/>
      <c r="B3026" s="0"/>
      <c r="C3026" s="0"/>
      <c r="D3026" s="0"/>
      <c r="E3026" s="0"/>
      <c r="F3026" s="0"/>
      <c r="G3026" s="0"/>
      <c r="H3026" s="0"/>
      <c r="I3026" s="0"/>
      <c r="J3026" s="0"/>
      <c r="K3026" s="0"/>
      <c r="L3026" s="0"/>
      <c r="M3026" s="0"/>
      <c r="N3026" s="0"/>
    </row>
    <row r="3027" customFormat="false" ht="12.8" hidden="false" customHeight="false" outlineLevel="0" collapsed="false">
      <c r="A3027" s="0"/>
      <c r="B3027" s="0"/>
      <c r="C3027" s="0"/>
      <c r="D3027" s="0"/>
      <c r="E3027" s="0"/>
      <c r="F3027" s="0"/>
      <c r="G3027" s="0"/>
      <c r="H3027" s="0"/>
      <c r="I3027" s="0"/>
      <c r="J3027" s="0"/>
      <c r="K3027" s="0"/>
      <c r="L3027" s="0"/>
      <c r="M3027" s="0"/>
      <c r="N3027" s="0"/>
    </row>
    <row r="3028" customFormat="false" ht="12.8" hidden="false" customHeight="false" outlineLevel="0" collapsed="false">
      <c r="A3028" s="0"/>
      <c r="B3028" s="0"/>
      <c r="C3028" s="0"/>
      <c r="D3028" s="0"/>
      <c r="E3028" s="0"/>
      <c r="F3028" s="0"/>
      <c r="G3028" s="0"/>
      <c r="H3028" s="0"/>
      <c r="I3028" s="0"/>
      <c r="J3028" s="0"/>
      <c r="K3028" s="0"/>
      <c r="L3028" s="0"/>
      <c r="M3028" s="0"/>
      <c r="N3028" s="0"/>
    </row>
    <row r="3029" customFormat="false" ht="12.8" hidden="false" customHeight="false" outlineLevel="0" collapsed="false">
      <c r="A3029" s="0"/>
      <c r="B3029" s="0"/>
      <c r="C3029" s="0"/>
      <c r="D3029" s="0"/>
      <c r="E3029" s="0"/>
      <c r="F3029" s="0"/>
      <c r="G3029" s="0"/>
      <c r="H3029" s="0"/>
      <c r="I3029" s="0"/>
      <c r="J3029" s="0"/>
      <c r="K3029" s="0"/>
      <c r="L3029" s="0"/>
      <c r="M3029" s="0"/>
      <c r="N3029" s="0"/>
    </row>
    <row r="3030" customFormat="false" ht="12.8" hidden="false" customHeight="false" outlineLevel="0" collapsed="false">
      <c r="A3030" s="0"/>
      <c r="B3030" s="0"/>
      <c r="C3030" s="0"/>
      <c r="D3030" s="0"/>
      <c r="E3030" s="0"/>
      <c r="F3030" s="0"/>
      <c r="G3030" s="0"/>
      <c r="H3030" s="0"/>
      <c r="I3030" s="0"/>
      <c r="J3030" s="0"/>
      <c r="K3030" s="0"/>
      <c r="L3030" s="0"/>
      <c r="M3030" s="0"/>
      <c r="N3030" s="0"/>
    </row>
    <row r="3031" customFormat="false" ht="12.8" hidden="false" customHeight="false" outlineLevel="0" collapsed="false">
      <c r="A3031" s="0"/>
      <c r="B3031" s="0"/>
      <c r="C3031" s="0"/>
      <c r="D3031" s="0"/>
      <c r="E3031" s="0"/>
      <c r="F3031" s="0"/>
      <c r="G3031" s="0"/>
      <c r="H3031" s="0"/>
      <c r="I3031" s="0"/>
      <c r="J3031" s="0"/>
      <c r="K3031" s="0"/>
      <c r="L3031" s="0"/>
      <c r="M3031" s="0"/>
      <c r="N3031" s="0"/>
    </row>
    <row r="3032" customFormat="false" ht="12.8" hidden="false" customHeight="false" outlineLevel="0" collapsed="false">
      <c r="A3032" s="0"/>
      <c r="B3032" s="0"/>
      <c r="C3032" s="0"/>
      <c r="D3032" s="0"/>
      <c r="E3032" s="0"/>
      <c r="F3032" s="0"/>
      <c r="G3032" s="0"/>
      <c r="H3032" s="0"/>
      <c r="I3032" s="0"/>
      <c r="J3032" s="0"/>
      <c r="K3032" s="0"/>
      <c r="L3032" s="0"/>
      <c r="M3032" s="0"/>
      <c r="N3032" s="0"/>
    </row>
    <row r="3033" customFormat="false" ht="12.8" hidden="false" customHeight="false" outlineLevel="0" collapsed="false">
      <c r="A3033" s="0"/>
      <c r="B3033" s="0"/>
      <c r="C3033" s="0"/>
      <c r="D3033" s="0"/>
      <c r="E3033" s="0"/>
      <c r="F3033" s="0"/>
      <c r="G3033" s="0"/>
      <c r="H3033" s="0"/>
      <c r="I3033" s="0"/>
      <c r="J3033" s="0"/>
      <c r="K3033" s="0"/>
      <c r="L3033" s="0"/>
      <c r="M3033" s="0"/>
      <c r="N3033" s="0"/>
    </row>
    <row r="3034" customFormat="false" ht="12.8" hidden="false" customHeight="false" outlineLevel="0" collapsed="false">
      <c r="A3034" s="0"/>
      <c r="B3034" s="0"/>
      <c r="C3034" s="0"/>
      <c r="D3034" s="0"/>
      <c r="E3034" s="0"/>
      <c r="F3034" s="0"/>
      <c r="G3034" s="0"/>
      <c r="H3034" s="0"/>
      <c r="I3034" s="0"/>
      <c r="J3034" s="0"/>
      <c r="K3034" s="0"/>
      <c r="L3034" s="0"/>
      <c r="M3034" s="0"/>
      <c r="N3034" s="0"/>
    </row>
    <row r="3035" customFormat="false" ht="12.8" hidden="false" customHeight="false" outlineLevel="0" collapsed="false">
      <c r="A3035" s="0"/>
      <c r="B3035" s="0"/>
      <c r="C3035" s="0"/>
      <c r="D3035" s="0"/>
      <c r="E3035" s="0"/>
      <c r="F3035" s="0"/>
      <c r="G3035" s="0"/>
      <c r="H3035" s="0"/>
      <c r="I3035" s="0"/>
      <c r="J3035" s="0"/>
      <c r="K3035" s="0"/>
      <c r="L3035" s="0"/>
      <c r="M3035" s="0"/>
      <c r="N3035" s="0"/>
    </row>
    <row r="3036" customFormat="false" ht="12.8" hidden="false" customHeight="false" outlineLevel="0" collapsed="false">
      <c r="A3036" s="0"/>
      <c r="B3036" s="0"/>
      <c r="C3036" s="0"/>
      <c r="D3036" s="0"/>
      <c r="E3036" s="0"/>
      <c r="F3036" s="0"/>
      <c r="G3036" s="0"/>
      <c r="H3036" s="0"/>
      <c r="I3036" s="0"/>
      <c r="J3036" s="0"/>
      <c r="K3036" s="0"/>
      <c r="L3036" s="0"/>
      <c r="M3036" s="0"/>
      <c r="N3036" s="0"/>
    </row>
    <row r="3037" customFormat="false" ht="12.8" hidden="false" customHeight="false" outlineLevel="0" collapsed="false">
      <c r="A3037" s="0"/>
      <c r="B3037" s="0"/>
      <c r="C3037" s="0"/>
      <c r="D3037" s="0"/>
      <c r="E3037" s="0"/>
      <c r="F3037" s="0"/>
      <c r="G3037" s="0"/>
      <c r="H3037" s="0"/>
      <c r="I3037" s="0"/>
      <c r="J3037" s="0"/>
      <c r="K3037" s="0"/>
      <c r="L3037" s="0"/>
      <c r="M3037" s="0"/>
      <c r="N3037" s="0"/>
    </row>
    <row r="3038" customFormat="false" ht="12.8" hidden="false" customHeight="false" outlineLevel="0" collapsed="false">
      <c r="A3038" s="0"/>
      <c r="B3038" s="0"/>
      <c r="C3038" s="0"/>
      <c r="D3038" s="0"/>
      <c r="E3038" s="0"/>
      <c r="F3038" s="0"/>
      <c r="G3038" s="0"/>
      <c r="H3038" s="0"/>
      <c r="I3038" s="0"/>
      <c r="J3038" s="0"/>
      <c r="K3038" s="0"/>
      <c r="L3038" s="0"/>
      <c r="M3038" s="0"/>
      <c r="N3038" s="0"/>
    </row>
    <row r="3039" customFormat="false" ht="12.8" hidden="false" customHeight="false" outlineLevel="0" collapsed="false">
      <c r="A3039" s="0"/>
      <c r="B3039" s="0"/>
      <c r="C3039" s="0"/>
      <c r="D3039" s="0"/>
      <c r="E3039" s="0"/>
      <c r="F3039" s="0"/>
      <c r="G3039" s="0"/>
      <c r="H3039" s="0"/>
      <c r="I3039" s="0"/>
      <c r="J3039" s="0"/>
      <c r="K3039" s="0"/>
      <c r="L3039" s="0"/>
      <c r="M3039" s="0"/>
      <c r="N3039" s="0"/>
    </row>
    <row r="3040" customFormat="false" ht="12.8" hidden="false" customHeight="false" outlineLevel="0" collapsed="false">
      <c r="A3040" s="0"/>
      <c r="B3040" s="0"/>
      <c r="C3040" s="0"/>
      <c r="D3040" s="0"/>
      <c r="E3040" s="0"/>
      <c r="F3040" s="0"/>
      <c r="G3040" s="0"/>
      <c r="H3040" s="0"/>
      <c r="I3040" s="0"/>
      <c r="J3040" s="0"/>
      <c r="K3040" s="0"/>
      <c r="L3040" s="0"/>
      <c r="M3040" s="0"/>
      <c r="N3040" s="0"/>
    </row>
    <row r="3041" customFormat="false" ht="12.8" hidden="false" customHeight="false" outlineLevel="0" collapsed="false">
      <c r="A3041" s="0"/>
      <c r="B3041" s="0"/>
      <c r="C3041" s="0"/>
      <c r="D3041" s="0"/>
      <c r="E3041" s="0"/>
      <c r="F3041" s="0"/>
      <c r="G3041" s="0"/>
      <c r="H3041" s="0"/>
      <c r="I3041" s="0"/>
      <c r="J3041" s="0"/>
      <c r="K3041" s="0"/>
      <c r="L3041" s="0"/>
      <c r="M3041" s="0"/>
      <c r="N3041" s="0"/>
    </row>
    <row r="3042" customFormat="false" ht="12.8" hidden="false" customHeight="false" outlineLevel="0" collapsed="false">
      <c r="A3042" s="0"/>
      <c r="B3042" s="0"/>
      <c r="C3042" s="0"/>
      <c r="D3042" s="0"/>
      <c r="E3042" s="0"/>
      <c r="F3042" s="0"/>
      <c r="G3042" s="0"/>
      <c r="H3042" s="0"/>
      <c r="I3042" s="0"/>
      <c r="J3042" s="0"/>
      <c r="K3042" s="0"/>
      <c r="L3042" s="0"/>
      <c r="M3042" s="0"/>
      <c r="N3042" s="0"/>
    </row>
    <row r="3043" customFormat="false" ht="12.8" hidden="false" customHeight="false" outlineLevel="0" collapsed="false">
      <c r="A3043" s="0"/>
      <c r="B3043" s="0"/>
      <c r="C3043" s="0"/>
      <c r="D3043" s="0"/>
      <c r="E3043" s="0"/>
      <c r="F3043" s="0"/>
      <c r="G3043" s="0"/>
      <c r="H3043" s="0"/>
      <c r="I3043" s="0"/>
      <c r="J3043" s="0"/>
      <c r="K3043" s="0"/>
      <c r="L3043" s="0"/>
      <c r="M3043" s="0"/>
      <c r="N3043" s="0"/>
    </row>
    <row r="3044" customFormat="false" ht="12.8" hidden="false" customHeight="false" outlineLevel="0" collapsed="false">
      <c r="A3044" s="0"/>
      <c r="B3044" s="0"/>
      <c r="C3044" s="0"/>
      <c r="D3044" s="0"/>
      <c r="E3044" s="0"/>
      <c r="F3044" s="0"/>
      <c r="G3044" s="0"/>
      <c r="H3044" s="0"/>
      <c r="I3044" s="0"/>
      <c r="J3044" s="0"/>
      <c r="K3044" s="0"/>
      <c r="L3044" s="0"/>
      <c r="M3044" s="0"/>
      <c r="N3044" s="0"/>
    </row>
    <row r="3045" customFormat="false" ht="12.8" hidden="false" customHeight="false" outlineLevel="0" collapsed="false">
      <c r="A3045" s="0"/>
      <c r="B3045" s="0"/>
      <c r="C3045" s="0"/>
      <c r="D3045" s="0"/>
      <c r="E3045" s="0"/>
      <c r="F3045" s="0"/>
      <c r="G3045" s="0"/>
      <c r="H3045" s="0"/>
      <c r="I3045" s="0"/>
      <c r="J3045" s="0"/>
      <c r="K3045" s="0"/>
      <c r="L3045" s="0"/>
      <c r="M3045" s="0"/>
      <c r="N3045" s="0"/>
    </row>
    <row r="3046" customFormat="false" ht="12.8" hidden="false" customHeight="false" outlineLevel="0" collapsed="false">
      <c r="A3046" s="0"/>
      <c r="B3046" s="0"/>
      <c r="C3046" s="0"/>
      <c r="D3046" s="0"/>
      <c r="E3046" s="0"/>
      <c r="F3046" s="0"/>
      <c r="G3046" s="0"/>
      <c r="H3046" s="0"/>
      <c r="I3046" s="0"/>
      <c r="J3046" s="0"/>
      <c r="K3046" s="0"/>
      <c r="L3046" s="0"/>
      <c r="M3046" s="0"/>
      <c r="N3046" s="0"/>
    </row>
    <row r="3047" customFormat="false" ht="12.8" hidden="false" customHeight="false" outlineLevel="0" collapsed="false">
      <c r="A3047" s="0"/>
      <c r="B3047" s="0"/>
      <c r="C3047" s="0"/>
      <c r="D3047" s="0"/>
      <c r="E3047" s="0"/>
      <c r="F3047" s="0"/>
      <c r="G3047" s="0"/>
      <c r="H3047" s="0"/>
      <c r="I3047" s="0"/>
      <c r="J3047" s="0"/>
      <c r="K3047" s="0"/>
      <c r="L3047" s="0"/>
      <c r="M3047" s="0"/>
      <c r="N3047" s="0"/>
    </row>
    <row r="3048" customFormat="false" ht="12.8" hidden="false" customHeight="false" outlineLevel="0" collapsed="false">
      <c r="A3048" s="0"/>
      <c r="B3048" s="0"/>
      <c r="C3048" s="0"/>
      <c r="D3048" s="0"/>
      <c r="E3048" s="0"/>
      <c r="F3048" s="0"/>
      <c r="G3048" s="0"/>
      <c r="H3048" s="0"/>
      <c r="I3048" s="0"/>
      <c r="J3048" s="0"/>
      <c r="K3048" s="0"/>
      <c r="L3048" s="0"/>
      <c r="M3048" s="0"/>
      <c r="N3048" s="0"/>
    </row>
    <row r="3049" customFormat="false" ht="12.8" hidden="false" customHeight="false" outlineLevel="0" collapsed="false">
      <c r="A3049" s="0"/>
      <c r="B3049" s="0"/>
      <c r="C3049" s="0"/>
      <c r="D3049" s="0"/>
      <c r="E3049" s="0"/>
      <c r="F3049" s="0"/>
      <c r="G3049" s="0"/>
      <c r="H3049" s="0"/>
      <c r="I3049" s="0"/>
      <c r="J3049" s="0"/>
      <c r="K3049" s="0"/>
      <c r="L3049" s="0"/>
      <c r="M3049" s="0"/>
      <c r="N3049" s="0"/>
    </row>
    <row r="3050" customFormat="false" ht="12.8" hidden="false" customHeight="false" outlineLevel="0" collapsed="false">
      <c r="A3050" s="0"/>
      <c r="B3050" s="0"/>
      <c r="C3050" s="0"/>
      <c r="D3050" s="0"/>
      <c r="E3050" s="0"/>
      <c r="F3050" s="0"/>
      <c r="G3050" s="0"/>
      <c r="H3050" s="0"/>
      <c r="I3050" s="0"/>
      <c r="J3050" s="0"/>
      <c r="K3050" s="0"/>
      <c r="L3050" s="0"/>
      <c r="M3050" s="0"/>
      <c r="N3050" s="0"/>
    </row>
    <row r="3051" customFormat="false" ht="12.8" hidden="false" customHeight="false" outlineLevel="0" collapsed="false">
      <c r="A3051" s="0"/>
      <c r="B3051" s="0"/>
      <c r="C3051" s="0"/>
      <c r="D3051" s="0"/>
      <c r="E3051" s="0"/>
      <c r="F3051" s="0"/>
      <c r="G3051" s="0"/>
      <c r="H3051" s="0"/>
      <c r="I3051" s="0"/>
      <c r="J3051" s="0"/>
      <c r="K3051" s="0"/>
      <c r="L3051" s="0"/>
      <c r="M3051" s="0"/>
      <c r="N3051" s="0"/>
    </row>
    <row r="3052" customFormat="false" ht="12.8" hidden="false" customHeight="false" outlineLevel="0" collapsed="false">
      <c r="A3052" s="0"/>
      <c r="B3052" s="0"/>
      <c r="C3052" s="0"/>
      <c r="D3052" s="0"/>
      <c r="E3052" s="0"/>
      <c r="F3052" s="0"/>
      <c r="G3052" s="0"/>
      <c r="H3052" s="0"/>
      <c r="I3052" s="0"/>
      <c r="J3052" s="0"/>
      <c r="K3052" s="0"/>
      <c r="L3052" s="0"/>
      <c r="M3052" s="0"/>
      <c r="N3052" s="0"/>
    </row>
    <row r="3053" customFormat="false" ht="12.8" hidden="false" customHeight="false" outlineLevel="0" collapsed="false">
      <c r="A3053" s="0"/>
      <c r="B3053" s="0"/>
      <c r="C3053" s="0"/>
      <c r="D3053" s="0"/>
      <c r="E3053" s="0"/>
      <c r="F3053" s="0"/>
      <c r="G3053" s="0"/>
      <c r="H3053" s="0"/>
      <c r="I3053" s="0"/>
      <c r="J3053" s="0"/>
      <c r="K3053" s="0"/>
      <c r="L3053" s="0"/>
      <c r="M3053" s="0"/>
      <c r="N3053" s="0"/>
    </row>
    <row r="3054" customFormat="false" ht="12.8" hidden="false" customHeight="false" outlineLevel="0" collapsed="false">
      <c r="A3054" s="0"/>
      <c r="B3054" s="0"/>
      <c r="C3054" s="0"/>
      <c r="D3054" s="0"/>
      <c r="E3054" s="0"/>
      <c r="F3054" s="0"/>
      <c r="G3054" s="0"/>
      <c r="H3054" s="0"/>
      <c r="I3054" s="0"/>
      <c r="J3054" s="0"/>
      <c r="K3054" s="0"/>
      <c r="L3054" s="0"/>
      <c r="M3054" s="0"/>
      <c r="N3054" s="0"/>
    </row>
    <row r="3055" customFormat="false" ht="12.8" hidden="false" customHeight="false" outlineLevel="0" collapsed="false">
      <c r="A3055" s="0"/>
      <c r="B3055" s="0"/>
      <c r="C3055" s="0"/>
      <c r="D3055" s="0"/>
      <c r="E3055" s="0"/>
      <c r="F3055" s="0"/>
      <c r="G3055" s="0"/>
      <c r="H3055" s="0"/>
      <c r="I3055" s="0"/>
      <c r="J3055" s="0"/>
      <c r="K3055" s="0"/>
      <c r="L3055" s="0"/>
      <c r="M3055" s="0"/>
      <c r="N3055" s="0"/>
    </row>
    <row r="3056" customFormat="false" ht="12.8" hidden="false" customHeight="false" outlineLevel="0" collapsed="false">
      <c r="A3056" s="0"/>
      <c r="B3056" s="0"/>
      <c r="C3056" s="0"/>
      <c r="D3056" s="0"/>
      <c r="E3056" s="0"/>
      <c r="F3056" s="0"/>
      <c r="G3056" s="0"/>
      <c r="H3056" s="0"/>
      <c r="I3056" s="0"/>
      <c r="J3056" s="0"/>
      <c r="K3056" s="0"/>
      <c r="L3056" s="0"/>
      <c r="M3056" s="0"/>
      <c r="N3056" s="0"/>
    </row>
    <row r="3057" customFormat="false" ht="12.8" hidden="false" customHeight="false" outlineLevel="0" collapsed="false">
      <c r="A3057" s="0"/>
      <c r="B3057" s="0"/>
      <c r="C3057" s="0"/>
      <c r="D3057" s="0"/>
      <c r="E3057" s="0"/>
      <c r="F3057" s="0"/>
      <c r="G3057" s="0"/>
      <c r="H3057" s="0"/>
      <c r="I3057" s="0"/>
      <c r="J3057" s="0"/>
      <c r="K3057" s="0"/>
      <c r="L3057" s="0"/>
      <c r="M3057" s="0"/>
      <c r="N3057" s="0"/>
    </row>
    <row r="3058" customFormat="false" ht="12.8" hidden="false" customHeight="false" outlineLevel="0" collapsed="false">
      <c r="A3058" s="0"/>
      <c r="B3058" s="0"/>
      <c r="C3058" s="0"/>
      <c r="D3058" s="0"/>
      <c r="E3058" s="0"/>
      <c r="F3058" s="0"/>
      <c r="G3058" s="0"/>
      <c r="H3058" s="0"/>
      <c r="I3058" s="0"/>
      <c r="J3058" s="0"/>
      <c r="K3058" s="0"/>
      <c r="L3058" s="0"/>
      <c r="M3058" s="0"/>
      <c r="N3058" s="0"/>
    </row>
    <row r="3059" customFormat="false" ht="12.8" hidden="false" customHeight="false" outlineLevel="0" collapsed="false">
      <c r="A3059" s="0"/>
      <c r="B3059" s="0"/>
      <c r="C3059" s="0"/>
      <c r="D3059" s="0"/>
      <c r="E3059" s="0"/>
      <c r="F3059" s="0"/>
      <c r="G3059" s="0"/>
      <c r="H3059" s="0"/>
      <c r="I3059" s="0"/>
      <c r="J3059" s="0"/>
      <c r="K3059" s="0"/>
      <c r="L3059" s="0"/>
      <c r="M3059" s="0"/>
      <c r="N3059" s="0"/>
    </row>
    <row r="3060" customFormat="false" ht="12.8" hidden="false" customHeight="false" outlineLevel="0" collapsed="false">
      <c r="A3060" s="0"/>
      <c r="B3060" s="0"/>
      <c r="C3060" s="0"/>
      <c r="D3060" s="0"/>
      <c r="E3060" s="0"/>
      <c r="F3060" s="0"/>
      <c r="G3060" s="0"/>
      <c r="H3060" s="0"/>
      <c r="I3060" s="0"/>
      <c r="J3060" s="0"/>
      <c r="K3060" s="0"/>
      <c r="L3060" s="0"/>
      <c r="M3060" s="0"/>
      <c r="N3060" s="0"/>
    </row>
    <row r="3061" customFormat="false" ht="12.8" hidden="false" customHeight="false" outlineLevel="0" collapsed="false">
      <c r="A3061" s="0"/>
      <c r="B3061" s="0"/>
      <c r="C3061" s="0"/>
      <c r="D3061" s="0"/>
      <c r="E3061" s="0"/>
      <c r="F3061" s="0"/>
      <c r="G3061" s="0"/>
      <c r="H3061" s="0"/>
      <c r="I3061" s="0"/>
      <c r="J3061" s="0"/>
      <c r="K3061" s="0"/>
      <c r="L3061" s="0"/>
      <c r="M3061" s="0"/>
      <c r="N3061" s="0"/>
    </row>
    <row r="3062" customFormat="false" ht="12.8" hidden="false" customHeight="false" outlineLevel="0" collapsed="false">
      <c r="A3062" s="0"/>
      <c r="B3062" s="0"/>
      <c r="C3062" s="0"/>
      <c r="D3062" s="0"/>
      <c r="E3062" s="0"/>
      <c r="F3062" s="0"/>
      <c r="G3062" s="0"/>
      <c r="H3062" s="0"/>
      <c r="I3062" s="0"/>
      <c r="J3062" s="0"/>
      <c r="K3062" s="0"/>
      <c r="L3062" s="0"/>
      <c r="M3062" s="0"/>
      <c r="N3062" s="0"/>
    </row>
    <row r="3063" customFormat="false" ht="12.8" hidden="false" customHeight="false" outlineLevel="0" collapsed="false">
      <c r="A3063" s="0"/>
      <c r="B3063" s="0"/>
      <c r="C3063" s="0"/>
      <c r="D3063" s="0"/>
      <c r="E3063" s="0"/>
      <c r="F3063" s="0"/>
      <c r="G3063" s="0"/>
      <c r="H3063" s="0"/>
      <c r="I3063" s="0"/>
      <c r="J3063" s="0"/>
      <c r="K3063" s="0"/>
      <c r="L3063" s="0"/>
      <c r="M3063" s="0"/>
      <c r="N3063" s="0"/>
    </row>
    <row r="3064" customFormat="false" ht="12.8" hidden="false" customHeight="false" outlineLevel="0" collapsed="false">
      <c r="A3064" s="0"/>
      <c r="B3064" s="0"/>
      <c r="C3064" s="0"/>
      <c r="D3064" s="0"/>
      <c r="E3064" s="0"/>
      <c r="F3064" s="0"/>
      <c r="G3064" s="0"/>
      <c r="H3064" s="0"/>
      <c r="I3064" s="0"/>
      <c r="J3064" s="0"/>
      <c r="K3064" s="0"/>
      <c r="L3064" s="0"/>
      <c r="M3064" s="0"/>
      <c r="N3064" s="0"/>
    </row>
    <row r="3065" customFormat="false" ht="12.8" hidden="false" customHeight="false" outlineLevel="0" collapsed="false">
      <c r="A3065" s="0"/>
      <c r="B3065" s="0"/>
      <c r="C3065" s="0"/>
      <c r="D3065" s="0"/>
      <c r="E3065" s="0"/>
      <c r="F3065" s="0"/>
      <c r="G3065" s="0"/>
      <c r="H3065" s="0"/>
      <c r="I3065" s="0"/>
      <c r="J3065" s="0"/>
      <c r="K3065" s="0"/>
      <c r="L3065" s="0"/>
      <c r="M3065" s="0"/>
      <c r="N3065" s="0"/>
    </row>
    <row r="3066" customFormat="false" ht="12.8" hidden="false" customHeight="false" outlineLevel="0" collapsed="false">
      <c r="A3066" s="0"/>
      <c r="B3066" s="0"/>
      <c r="C3066" s="0"/>
      <c r="D3066" s="0"/>
      <c r="E3066" s="0"/>
      <c r="F3066" s="0"/>
      <c r="G3066" s="0"/>
      <c r="H3066" s="0"/>
      <c r="I3066" s="0"/>
      <c r="J3066" s="0"/>
      <c r="K3066" s="0"/>
      <c r="L3066" s="0"/>
      <c r="M3066" s="0"/>
      <c r="N3066" s="0"/>
    </row>
    <row r="3067" customFormat="false" ht="12.8" hidden="false" customHeight="false" outlineLevel="0" collapsed="false">
      <c r="A3067" s="0"/>
      <c r="B3067" s="0"/>
      <c r="C3067" s="0"/>
      <c r="D3067" s="0"/>
      <c r="E3067" s="0"/>
      <c r="F3067" s="0"/>
      <c r="G3067" s="0"/>
      <c r="H3067" s="0"/>
      <c r="I3067" s="0"/>
      <c r="J3067" s="0"/>
      <c r="K3067" s="0"/>
      <c r="L3067" s="0"/>
      <c r="M3067" s="0"/>
      <c r="N3067" s="0"/>
    </row>
    <row r="3068" customFormat="false" ht="12.8" hidden="false" customHeight="false" outlineLevel="0" collapsed="false">
      <c r="A3068" s="0"/>
      <c r="B3068" s="0"/>
      <c r="C3068" s="0"/>
      <c r="D3068" s="0"/>
      <c r="E3068" s="0"/>
      <c r="F3068" s="0"/>
      <c r="G3068" s="0"/>
      <c r="H3068" s="0"/>
      <c r="I3068" s="0"/>
      <c r="J3068" s="0"/>
      <c r="K3068" s="0"/>
      <c r="L3068" s="0"/>
      <c r="M3068" s="0"/>
      <c r="N3068" s="0"/>
    </row>
    <row r="3069" customFormat="false" ht="12.8" hidden="false" customHeight="false" outlineLevel="0" collapsed="false">
      <c r="A3069" s="0"/>
      <c r="B3069" s="0"/>
      <c r="C3069" s="0"/>
      <c r="D3069" s="0"/>
      <c r="E3069" s="0"/>
      <c r="F3069" s="0"/>
      <c r="G3069" s="0"/>
      <c r="H3069" s="0"/>
      <c r="I3069" s="0"/>
      <c r="J3069" s="0"/>
      <c r="K3069" s="0"/>
      <c r="L3069" s="0"/>
      <c r="M3069" s="0"/>
      <c r="N3069" s="0"/>
    </row>
    <row r="3070" customFormat="false" ht="12.8" hidden="false" customHeight="false" outlineLevel="0" collapsed="false">
      <c r="A3070" s="0"/>
      <c r="B3070" s="0"/>
      <c r="C3070" s="0"/>
      <c r="D3070" s="0"/>
      <c r="E3070" s="0"/>
      <c r="F3070" s="0"/>
      <c r="G3070" s="0"/>
      <c r="H3070" s="0"/>
      <c r="I3070" s="0"/>
      <c r="J3070" s="0"/>
      <c r="K3070" s="0"/>
      <c r="L3070" s="0"/>
      <c r="M3070" s="0"/>
      <c r="N3070" s="0"/>
    </row>
    <row r="3071" customFormat="false" ht="12.8" hidden="false" customHeight="false" outlineLevel="0" collapsed="false">
      <c r="A3071" s="0"/>
      <c r="B3071" s="0"/>
      <c r="C3071" s="0"/>
      <c r="D3071" s="0"/>
      <c r="E3071" s="0"/>
      <c r="F3071" s="0"/>
      <c r="G3071" s="0"/>
      <c r="H3071" s="0"/>
      <c r="I3071" s="0"/>
      <c r="J3071" s="0"/>
      <c r="K3071" s="0"/>
      <c r="L3071" s="0"/>
      <c r="M3071" s="0"/>
      <c r="N3071" s="0"/>
    </row>
    <row r="3072" customFormat="false" ht="12.8" hidden="false" customHeight="false" outlineLevel="0" collapsed="false">
      <c r="A3072" s="0"/>
      <c r="B3072" s="0"/>
      <c r="C3072" s="0"/>
      <c r="D3072" s="0"/>
      <c r="E3072" s="0"/>
      <c r="F3072" s="0"/>
      <c r="G3072" s="0"/>
      <c r="H3072" s="0"/>
      <c r="I3072" s="0"/>
      <c r="J3072" s="0"/>
      <c r="K3072" s="0"/>
      <c r="L3072" s="0"/>
      <c r="M3072" s="0"/>
      <c r="N3072" s="0"/>
    </row>
    <row r="3073" customFormat="false" ht="12.8" hidden="false" customHeight="false" outlineLevel="0" collapsed="false">
      <c r="A3073" s="0"/>
      <c r="B3073" s="0"/>
      <c r="C3073" s="0"/>
      <c r="D3073" s="0"/>
      <c r="E3073" s="0"/>
      <c r="F3073" s="0"/>
      <c r="G3073" s="0"/>
      <c r="H3073" s="0"/>
      <c r="I3073" s="0"/>
      <c r="J3073" s="0"/>
      <c r="K3073" s="0"/>
      <c r="L3073" s="0"/>
      <c r="M3073" s="0"/>
      <c r="N3073" s="0"/>
    </row>
    <row r="3074" customFormat="false" ht="12.8" hidden="false" customHeight="false" outlineLevel="0" collapsed="false">
      <c r="A3074" s="0"/>
      <c r="B3074" s="0"/>
      <c r="C3074" s="0"/>
      <c r="D3074" s="0"/>
      <c r="E3074" s="0"/>
      <c r="F3074" s="0"/>
      <c r="G3074" s="0"/>
      <c r="H3074" s="0"/>
      <c r="I3074" s="0"/>
      <c r="J3074" s="0"/>
      <c r="K3074" s="0"/>
      <c r="L3074" s="0"/>
      <c r="M3074" s="0"/>
      <c r="N3074" s="0"/>
    </row>
    <row r="3075" customFormat="false" ht="12.8" hidden="false" customHeight="false" outlineLevel="0" collapsed="false">
      <c r="A3075" s="0"/>
      <c r="B3075" s="0"/>
      <c r="C3075" s="0"/>
      <c r="D3075" s="0"/>
      <c r="E3075" s="0"/>
      <c r="F3075" s="0"/>
      <c r="G3075" s="0"/>
      <c r="H3075" s="0"/>
      <c r="I3075" s="0"/>
      <c r="J3075" s="0"/>
      <c r="K3075" s="0"/>
      <c r="L3075" s="0"/>
      <c r="M3075" s="0"/>
      <c r="N3075" s="0"/>
    </row>
    <row r="3076" customFormat="false" ht="12.8" hidden="false" customHeight="false" outlineLevel="0" collapsed="false">
      <c r="A3076" s="0"/>
      <c r="B3076" s="0"/>
      <c r="C3076" s="0"/>
      <c r="D3076" s="0"/>
      <c r="E3076" s="0"/>
      <c r="F3076" s="0"/>
      <c r="G3076" s="0"/>
      <c r="H3076" s="0"/>
      <c r="I3076" s="0"/>
      <c r="J3076" s="0"/>
      <c r="K3076" s="0"/>
      <c r="L3076" s="0"/>
      <c r="M3076" s="0"/>
      <c r="N3076" s="0"/>
    </row>
    <row r="3077" customFormat="false" ht="12.8" hidden="false" customHeight="false" outlineLevel="0" collapsed="false">
      <c r="A3077" s="0"/>
      <c r="B3077" s="0"/>
      <c r="C3077" s="0"/>
      <c r="D3077" s="0"/>
      <c r="E3077" s="0"/>
      <c r="F3077" s="0"/>
      <c r="G3077" s="0"/>
      <c r="H3077" s="0"/>
      <c r="I3077" s="0"/>
      <c r="J3077" s="0"/>
      <c r="K3077" s="0"/>
      <c r="L3077" s="0"/>
      <c r="M3077" s="0"/>
      <c r="N3077" s="0"/>
    </row>
    <row r="3078" customFormat="false" ht="12.8" hidden="false" customHeight="false" outlineLevel="0" collapsed="false">
      <c r="A3078" s="0"/>
      <c r="B3078" s="0"/>
      <c r="C3078" s="0"/>
      <c r="D3078" s="0"/>
      <c r="E3078" s="0"/>
      <c r="F3078" s="0"/>
      <c r="G3078" s="0"/>
      <c r="H3078" s="0"/>
      <c r="I3078" s="0"/>
      <c r="J3078" s="0"/>
      <c r="K3078" s="0"/>
      <c r="L3078" s="0"/>
      <c r="M3078" s="0"/>
      <c r="N3078" s="0"/>
    </row>
    <row r="3079" customFormat="false" ht="12.8" hidden="false" customHeight="false" outlineLevel="0" collapsed="false">
      <c r="A3079" s="0"/>
      <c r="B3079" s="0"/>
      <c r="C3079" s="0"/>
      <c r="D3079" s="0"/>
      <c r="E3079" s="0"/>
      <c r="F3079" s="0"/>
      <c r="G3079" s="0"/>
      <c r="H3079" s="0"/>
      <c r="I3079" s="0"/>
      <c r="J3079" s="0"/>
      <c r="K3079" s="0"/>
      <c r="L3079" s="0"/>
      <c r="M3079" s="0"/>
      <c r="N3079" s="0"/>
    </row>
    <row r="3080" customFormat="false" ht="12.8" hidden="false" customHeight="false" outlineLevel="0" collapsed="false">
      <c r="A3080" s="0"/>
      <c r="B3080" s="0"/>
      <c r="C3080" s="0"/>
      <c r="D3080" s="0"/>
      <c r="E3080" s="0"/>
      <c r="F3080" s="0"/>
      <c r="G3080" s="0"/>
      <c r="H3080" s="0"/>
      <c r="I3080" s="0"/>
      <c r="J3080" s="0"/>
      <c r="K3080" s="0"/>
      <c r="L3080" s="0"/>
      <c r="M3080" s="0"/>
      <c r="N3080" s="0"/>
    </row>
    <row r="3081" customFormat="false" ht="12.8" hidden="false" customHeight="false" outlineLevel="0" collapsed="false">
      <c r="A3081" s="0"/>
      <c r="B3081" s="0"/>
      <c r="C3081" s="0"/>
      <c r="D3081" s="0"/>
      <c r="E3081" s="0"/>
      <c r="F3081" s="0"/>
      <c r="G3081" s="0"/>
      <c r="H3081" s="0"/>
      <c r="I3081" s="0"/>
      <c r="J3081" s="0"/>
      <c r="K3081" s="0"/>
      <c r="L3081" s="0"/>
      <c r="M3081" s="0"/>
      <c r="N3081" s="0"/>
    </row>
    <row r="3082" customFormat="false" ht="12.8" hidden="false" customHeight="false" outlineLevel="0" collapsed="false">
      <c r="A3082" s="0"/>
      <c r="B3082" s="0"/>
      <c r="C3082" s="0"/>
      <c r="D3082" s="0"/>
      <c r="E3082" s="0"/>
      <c r="F3082" s="0"/>
      <c r="G3082" s="0"/>
      <c r="H3082" s="0"/>
      <c r="I3082" s="0"/>
      <c r="J3082" s="0"/>
      <c r="K3082" s="0"/>
      <c r="L3082" s="0"/>
      <c r="M3082" s="0"/>
      <c r="N3082" s="0"/>
    </row>
    <row r="3083" customFormat="false" ht="12.8" hidden="false" customHeight="false" outlineLevel="0" collapsed="false">
      <c r="A3083" s="0"/>
      <c r="B3083" s="0"/>
      <c r="C3083" s="0"/>
      <c r="D3083" s="0"/>
      <c r="E3083" s="0"/>
      <c r="F3083" s="0"/>
      <c r="G3083" s="0"/>
      <c r="H3083" s="0"/>
      <c r="I3083" s="0"/>
      <c r="J3083" s="0"/>
      <c r="K3083" s="0"/>
      <c r="L3083" s="0"/>
      <c r="M3083" s="0"/>
      <c r="N3083" s="0"/>
    </row>
    <row r="3084" customFormat="false" ht="12.8" hidden="false" customHeight="false" outlineLevel="0" collapsed="false">
      <c r="A3084" s="0"/>
      <c r="B3084" s="0"/>
      <c r="C3084" s="0"/>
      <c r="D3084" s="0"/>
      <c r="E3084" s="0"/>
      <c r="F3084" s="0"/>
      <c r="G3084" s="0"/>
      <c r="H3084" s="0"/>
      <c r="I3084" s="0"/>
      <c r="J3084" s="0"/>
      <c r="K3084" s="0"/>
      <c r="L3084" s="0"/>
      <c r="M3084" s="0"/>
      <c r="N3084" s="0"/>
    </row>
    <row r="3085" customFormat="false" ht="12.8" hidden="false" customHeight="false" outlineLevel="0" collapsed="false">
      <c r="A3085" s="0"/>
      <c r="B3085" s="0"/>
      <c r="C3085" s="0"/>
      <c r="D3085" s="0"/>
      <c r="E3085" s="0"/>
      <c r="F3085" s="0"/>
      <c r="G3085" s="0"/>
      <c r="H3085" s="0"/>
      <c r="I3085" s="0"/>
      <c r="J3085" s="0"/>
      <c r="K3085" s="0"/>
      <c r="L3085" s="0"/>
      <c r="M3085" s="0"/>
      <c r="N3085" s="0"/>
    </row>
    <row r="3086" customFormat="false" ht="12.8" hidden="false" customHeight="false" outlineLevel="0" collapsed="false">
      <c r="A3086" s="0"/>
      <c r="B3086" s="0"/>
      <c r="C3086" s="0"/>
      <c r="D3086" s="0"/>
      <c r="E3086" s="0"/>
      <c r="F3086" s="0"/>
      <c r="G3086" s="0"/>
      <c r="H3086" s="0"/>
      <c r="I3086" s="0"/>
      <c r="J3086" s="0"/>
      <c r="K3086" s="0"/>
      <c r="L3086" s="0"/>
      <c r="M3086" s="0"/>
      <c r="N3086" s="0"/>
    </row>
    <row r="3087" customFormat="false" ht="12.8" hidden="false" customHeight="false" outlineLevel="0" collapsed="false">
      <c r="A3087" s="0"/>
      <c r="B3087" s="0"/>
      <c r="C3087" s="0"/>
      <c r="D3087" s="0"/>
      <c r="E3087" s="0"/>
      <c r="F3087" s="0"/>
      <c r="G3087" s="0"/>
      <c r="H3087" s="0"/>
      <c r="I3087" s="0"/>
      <c r="J3087" s="0"/>
      <c r="K3087" s="0"/>
      <c r="L3087" s="0"/>
      <c r="M3087" s="0"/>
      <c r="N3087" s="0"/>
    </row>
    <row r="3088" customFormat="false" ht="12.8" hidden="false" customHeight="false" outlineLevel="0" collapsed="false">
      <c r="A3088" s="0"/>
      <c r="B3088" s="0"/>
      <c r="C3088" s="0"/>
      <c r="D3088" s="0"/>
      <c r="E3088" s="0"/>
      <c r="F3088" s="0"/>
      <c r="G3088" s="0"/>
      <c r="H3088" s="0"/>
      <c r="I3088" s="0"/>
      <c r="J3088" s="0"/>
      <c r="K3088" s="0"/>
      <c r="L3088" s="0"/>
      <c r="M3088" s="0"/>
      <c r="N3088" s="0"/>
    </row>
    <row r="3089" customFormat="false" ht="12.8" hidden="false" customHeight="false" outlineLevel="0" collapsed="false">
      <c r="A3089" s="0"/>
      <c r="B3089" s="0"/>
      <c r="C3089" s="0"/>
      <c r="D3089" s="0"/>
      <c r="E3089" s="0"/>
      <c r="F3089" s="0"/>
      <c r="G3089" s="0"/>
      <c r="H3089" s="0"/>
      <c r="I3089" s="0"/>
      <c r="J3089" s="0"/>
      <c r="K3089" s="0"/>
      <c r="L3089" s="0"/>
      <c r="M3089" s="0"/>
      <c r="N3089" s="0"/>
    </row>
    <row r="3090" customFormat="false" ht="12.8" hidden="false" customHeight="false" outlineLevel="0" collapsed="false">
      <c r="A3090" s="0"/>
      <c r="B3090" s="0"/>
      <c r="C3090" s="0"/>
      <c r="D3090" s="0"/>
      <c r="E3090" s="0"/>
      <c r="F3090" s="0"/>
      <c r="G3090" s="0"/>
      <c r="H3090" s="0"/>
      <c r="I3090" s="0"/>
      <c r="J3090" s="0"/>
      <c r="K3090" s="0"/>
      <c r="L3090" s="0"/>
      <c r="M3090" s="0"/>
      <c r="N3090" s="0"/>
    </row>
    <row r="3091" customFormat="false" ht="12.8" hidden="false" customHeight="false" outlineLevel="0" collapsed="false">
      <c r="A3091" s="0"/>
      <c r="B3091" s="0"/>
      <c r="C3091" s="0"/>
      <c r="D3091" s="0"/>
      <c r="E3091" s="0"/>
      <c r="F3091" s="0"/>
      <c r="G3091" s="0"/>
      <c r="H3091" s="0"/>
      <c r="I3091" s="0"/>
      <c r="J3091" s="0"/>
      <c r="K3091" s="0"/>
      <c r="L3091" s="0"/>
      <c r="M3091" s="0"/>
      <c r="N3091" s="0"/>
    </row>
    <row r="3092" customFormat="false" ht="12.8" hidden="false" customHeight="false" outlineLevel="0" collapsed="false">
      <c r="A3092" s="0"/>
      <c r="B3092" s="0"/>
      <c r="C3092" s="0"/>
      <c r="D3092" s="0"/>
      <c r="E3092" s="0"/>
      <c r="F3092" s="0"/>
      <c r="G3092" s="0"/>
      <c r="H3092" s="0"/>
      <c r="I3092" s="0"/>
      <c r="J3092" s="0"/>
      <c r="K3092" s="0"/>
      <c r="L3092" s="0"/>
      <c r="M3092" s="0"/>
      <c r="N3092" s="0"/>
    </row>
    <row r="3093" customFormat="false" ht="12.8" hidden="false" customHeight="false" outlineLevel="0" collapsed="false">
      <c r="A3093" s="0"/>
      <c r="B3093" s="0"/>
      <c r="C3093" s="0"/>
      <c r="D3093" s="0"/>
      <c r="E3093" s="0"/>
      <c r="F3093" s="0"/>
      <c r="G3093" s="0"/>
      <c r="H3093" s="0"/>
      <c r="I3093" s="0"/>
      <c r="J3093" s="0"/>
      <c r="K3093" s="0"/>
      <c r="L3093" s="0"/>
      <c r="M3093" s="0"/>
      <c r="N3093" s="0"/>
    </row>
    <row r="3094" customFormat="false" ht="12.8" hidden="false" customHeight="false" outlineLevel="0" collapsed="false">
      <c r="A3094" s="0"/>
      <c r="B3094" s="0"/>
      <c r="C3094" s="0"/>
      <c r="D3094" s="0"/>
      <c r="E3094" s="0"/>
      <c r="F3094" s="0"/>
      <c r="G3094" s="0"/>
      <c r="H3094" s="0"/>
      <c r="I3094" s="0"/>
      <c r="J3094" s="0"/>
      <c r="K3094" s="0"/>
      <c r="L3094" s="0"/>
      <c r="M3094" s="0"/>
      <c r="N3094" s="0"/>
    </row>
    <row r="3095" customFormat="false" ht="12.8" hidden="false" customHeight="false" outlineLevel="0" collapsed="false">
      <c r="A3095" s="0"/>
      <c r="B3095" s="0"/>
      <c r="C3095" s="0"/>
      <c r="D3095" s="0"/>
      <c r="E3095" s="0"/>
      <c r="F3095" s="0"/>
      <c r="G3095" s="0"/>
      <c r="H3095" s="0"/>
      <c r="I3095" s="0"/>
      <c r="J3095" s="0"/>
      <c r="K3095" s="0"/>
      <c r="L3095" s="0"/>
      <c r="M3095" s="0"/>
      <c r="N3095" s="0"/>
    </row>
    <row r="3096" customFormat="false" ht="12.8" hidden="false" customHeight="false" outlineLevel="0" collapsed="false">
      <c r="A3096" s="0"/>
      <c r="B3096" s="0"/>
      <c r="C3096" s="0"/>
      <c r="D3096" s="0"/>
      <c r="E3096" s="0"/>
      <c r="F3096" s="0"/>
      <c r="G3096" s="0"/>
      <c r="H3096" s="0"/>
      <c r="I3096" s="0"/>
      <c r="J3096" s="0"/>
      <c r="K3096" s="0"/>
      <c r="L3096" s="0"/>
      <c r="M3096" s="0"/>
      <c r="N3096" s="0"/>
    </row>
    <row r="3097" customFormat="false" ht="12.8" hidden="false" customHeight="false" outlineLevel="0" collapsed="false">
      <c r="A3097" s="0"/>
      <c r="B3097" s="0"/>
      <c r="C3097" s="0"/>
      <c r="D3097" s="0"/>
      <c r="E3097" s="0"/>
      <c r="F3097" s="0"/>
      <c r="G3097" s="0"/>
      <c r="H3097" s="0"/>
      <c r="I3097" s="0"/>
      <c r="J3097" s="0"/>
      <c r="K3097" s="0"/>
      <c r="L3097" s="0"/>
      <c r="M3097" s="0"/>
      <c r="N3097" s="0"/>
    </row>
    <row r="3098" customFormat="false" ht="12.8" hidden="false" customHeight="false" outlineLevel="0" collapsed="false">
      <c r="A3098" s="0"/>
      <c r="B3098" s="0"/>
      <c r="C3098" s="0"/>
      <c r="D3098" s="0"/>
      <c r="E3098" s="0"/>
      <c r="F3098" s="0"/>
      <c r="G3098" s="0"/>
      <c r="H3098" s="0"/>
      <c r="I3098" s="0"/>
      <c r="J3098" s="0"/>
      <c r="K3098" s="0"/>
      <c r="L3098" s="0"/>
      <c r="M3098" s="0"/>
      <c r="N3098" s="0"/>
    </row>
    <row r="3099" customFormat="false" ht="12.8" hidden="false" customHeight="false" outlineLevel="0" collapsed="false">
      <c r="A3099" s="0"/>
      <c r="B3099" s="0"/>
      <c r="C3099" s="0"/>
      <c r="D3099" s="0"/>
      <c r="E3099" s="0"/>
      <c r="F3099" s="0"/>
      <c r="G3099" s="0"/>
      <c r="H3099" s="0"/>
      <c r="I3099" s="0"/>
      <c r="J3099" s="0"/>
      <c r="K3099" s="0"/>
      <c r="L3099" s="0"/>
      <c r="M3099" s="0"/>
      <c r="N3099" s="0"/>
    </row>
    <row r="3100" customFormat="false" ht="12.8" hidden="false" customHeight="false" outlineLevel="0" collapsed="false">
      <c r="A3100" s="0"/>
      <c r="B3100" s="0"/>
      <c r="C3100" s="0"/>
      <c r="D3100" s="0"/>
      <c r="E3100" s="0"/>
      <c r="F3100" s="0"/>
      <c r="G3100" s="0"/>
      <c r="H3100" s="0"/>
      <c r="I3100" s="0"/>
      <c r="J3100" s="0"/>
      <c r="K3100" s="0"/>
      <c r="L3100" s="0"/>
      <c r="M3100" s="0"/>
      <c r="N3100" s="0"/>
    </row>
    <row r="3101" customFormat="false" ht="12.8" hidden="false" customHeight="false" outlineLevel="0" collapsed="false">
      <c r="A3101" s="0"/>
      <c r="B3101" s="0"/>
      <c r="C3101" s="0"/>
      <c r="D3101" s="0"/>
      <c r="E3101" s="0"/>
      <c r="F3101" s="0"/>
      <c r="G3101" s="0"/>
      <c r="H3101" s="0"/>
      <c r="I3101" s="0"/>
      <c r="J3101" s="0"/>
      <c r="K3101" s="0"/>
      <c r="L3101" s="0"/>
      <c r="M3101" s="0"/>
      <c r="N3101" s="0"/>
    </row>
    <row r="3102" customFormat="false" ht="12.8" hidden="false" customHeight="false" outlineLevel="0" collapsed="false">
      <c r="A3102" s="0"/>
      <c r="B3102" s="0"/>
      <c r="C3102" s="0"/>
      <c r="D3102" s="0"/>
      <c r="E3102" s="0"/>
      <c r="F3102" s="0"/>
      <c r="G3102" s="0"/>
      <c r="H3102" s="0"/>
      <c r="I3102" s="0"/>
      <c r="J3102" s="0"/>
      <c r="K3102" s="0"/>
      <c r="L3102" s="0"/>
      <c r="M3102" s="0"/>
      <c r="N3102" s="0"/>
    </row>
    <row r="3103" customFormat="false" ht="12.8" hidden="false" customHeight="false" outlineLevel="0" collapsed="false">
      <c r="A3103" s="0"/>
      <c r="B3103" s="0"/>
      <c r="C3103" s="0"/>
      <c r="D3103" s="0"/>
      <c r="E3103" s="0"/>
      <c r="F3103" s="0"/>
      <c r="G3103" s="0"/>
      <c r="H3103" s="0"/>
      <c r="I3103" s="0"/>
      <c r="J3103" s="0"/>
      <c r="K3103" s="0"/>
      <c r="L3103" s="0"/>
      <c r="M3103" s="0"/>
      <c r="N3103" s="0"/>
    </row>
    <row r="3104" customFormat="false" ht="12.8" hidden="false" customHeight="false" outlineLevel="0" collapsed="false">
      <c r="A3104" s="0"/>
      <c r="B3104" s="0"/>
      <c r="C3104" s="0"/>
      <c r="D3104" s="0"/>
      <c r="E3104" s="0"/>
      <c r="F3104" s="0"/>
      <c r="G3104" s="0"/>
      <c r="H3104" s="0"/>
      <c r="I3104" s="0"/>
      <c r="J3104" s="0"/>
      <c r="K3104" s="0"/>
      <c r="L3104" s="0"/>
      <c r="M3104" s="0"/>
      <c r="N3104" s="0"/>
    </row>
    <row r="3105" customFormat="false" ht="12.8" hidden="false" customHeight="false" outlineLevel="0" collapsed="false">
      <c r="A3105" s="0"/>
      <c r="B3105" s="0"/>
      <c r="C3105" s="0"/>
      <c r="D3105" s="0"/>
      <c r="E3105" s="0"/>
      <c r="F3105" s="0"/>
      <c r="G3105" s="0"/>
      <c r="H3105" s="0"/>
      <c r="I3105" s="0"/>
      <c r="J3105" s="0"/>
      <c r="K3105" s="0"/>
      <c r="L3105" s="0"/>
      <c r="M3105" s="0"/>
      <c r="N3105" s="0"/>
    </row>
    <row r="3106" customFormat="false" ht="12.8" hidden="false" customHeight="false" outlineLevel="0" collapsed="false">
      <c r="A3106" s="0"/>
      <c r="B3106" s="0"/>
      <c r="C3106" s="0"/>
      <c r="D3106" s="0"/>
      <c r="E3106" s="0"/>
      <c r="F3106" s="0"/>
      <c r="G3106" s="0"/>
      <c r="H3106" s="0"/>
      <c r="I3106" s="0"/>
      <c r="J3106" s="0"/>
      <c r="K3106" s="0"/>
      <c r="L3106" s="0"/>
      <c r="M3106" s="0"/>
      <c r="N3106" s="0"/>
    </row>
    <row r="3107" customFormat="false" ht="12.8" hidden="false" customHeight="false" outlineLevel="0" collapsed="false">
      <c r="A3107" s="0"/>
      <c r="B3107" s="0"/>
      <c r="C3107" s="0"/>
      <c r="D3107" s="0"/>
      <c r="E3107" s="0"/>
      <c r="F3107" s="0"/>
      <c r="G3107" s="0"/>
      <c r="H3107" s="0"/>
      <c r="I3107" s="0"/>
      <c r="J3107" s="0"/>
      <c r="K3107" s="0"/>
      <c r="L3107" s="0"/>
      <c r="M3107" s="0"/>
      <c r="N3107" s="0"/>
    </row>
    <row r="3108" customFormat="false" ht="12.8" hidden="false" customHeight="false" outlineLevel="0" collapsed="false">
      <c r="A3108" s="0"/>
      <c r="B3108" s="0"/>
      <c r="C3108" s="0"/>
      <c r="D3108" s="0"/>
      <c r="E3108" s="0"/>
      <c r="F3108" s="0"/>
      <c r="G3108" s="0"/>
      <c r="H3108" s="0"/>
      <c r="I3108" s="0"/>
      <c r="J3108" s="0"/>
      <c r="K3108" s="0"/>
      <c r="L3108" s="0"/>
      <c r="M3108" s="0"/>
      <c r="N3108" s="0"/>
    </row>
    <row r="3109" customFormat="false" ht="12.8" hidden="false" customHeight="false" outlineLevel="0" collapsed="false">
      <c r="A3109" s="0"/>
      <c r="B3109" s="0"/>
      <c r="C3109" s="0"/>
      <c r="D3109" s="0"/>
      <c r="E3109" s="0"/>
      <c r="F3109" s="0"/>
      <c r="G3109" s="0"/>
      <c r="H3109" s="0"/>
      <c r="I3109" s="0"/>
      <c r="J3109" s="0"/>
      <c r="K3109" s="0"/>
      <c r="L3109" s="0"/>
      <c r="M3109" s="0"/>
      <c r="N3109" s="0"/>
    </row>
    <row r="3110" customFormat="false" ht="12.8" hidden="false" customHeight="false" outlineLevel="0" collapsed="false">
      <c r="A3110" s="0"/>
      <c r="B3110" s="0"/>
      <c r="C3110" s="0"/>
      <c r="D3110" s="0"/>
      <c r="E3110" s="0"/>
      <c r="F3110" s="0"/>
      <c r="G3110" s="0"/>
      <c r="H3110" s="0"/>
      <c r="I3110" s="0"/>
      <c r="J3110" s="0"/>
      <c r="K3110" s="0"/>
      <c r="L3110" s="0"/>
      <c r="M3110" s="0"/>
      <c r="N3110" s="0"/>
    </row>
    <row r="3111" customFormat="false" ht="12.8" hidden="false" customHeight="false" outlineLevel="0" collapsed="false">
      <c r="A3111" s="0"/>
      <c r="B3111" s="0"/>
      <c r="C3111" s="0"/>
      <c r="D3111" s="0"/>
      <c r="E3111" s="0"/>
      <c r="F3111" s="0"/>
      <c r="G3111" s="0"/>
      <c r="H3111" s="0"/>
      <c r="I3111" s="0"/>
      <c r="J3111" s="0"/>
      <c r="K3111" s="0"/>
      <c r="L3111" s="0"/>
      <c r="M3111" s="0"/>
      <c r="N3111" s="0"/>
    </row>
    <row r="3112" customFormat="false" ht="12.8" hidden="false" customHeight="false" outlineLevel="0" collapsed="false">
      <c r="A3112" s="0"/>
      <c r="B3112" s="0"/>
      <c r="C3112" s="0"/>
      <c r="D3112" s="0"/>
      <c r="E3112" s="0"/>
      <c r="F3112" s="0"/>
      <c r="G3112" s="0"/>
      <c r="H3112" s="0"/>
      <c r="I3112" s="0"/>
      <c r="J3112" s="0"/>
      <c r="K3112" s="0"/>
      <c r="L3112" s="0"/>
      <c r="M3112" s="0"/>
      <c r="N3112" s="0"/>
    </row>
    <row r="3113" customFormat="false" ht="12.8" hidden="false" customHeight="false" outlineLevel="0" collapsed="false">
      <c r="A3113" s="0"/>
      <c r="B3113" s="0"/>
      <c r="C3113" s="0"/>
      <c r="D3113" s="0"/>
      <c r="E3113" s="0"/>
      <c r="F3113" s="0"/>
      <c r="G3113" s="0"/>
      <c r="H3113" s="0"/>
      <c r="I3113" s="0"/>
      <c r="J3113" s="0"/>
      <c r="K3113" s="0"/>
      <c r="L3113" s="0"/>
      <c r="M3113" s="0"/>
      <c r="N3113" s="0"/>
    </row>
    <row r="3114" customFormat="false" ht="12.8" hidden="false" customHeight="false" outlineLevel="0" collapsed="false">
      <c r="A3114" s="0"/>
      <c r="B3114" s="0"/>
      <c r="C3114" s="0"/>
      <c r="D3114" s="0"/>
      <c r="E3114" s="0"/>
      <c r="F3114" s="0"/>
      <c r="G3114" s="0"/>
      <c r="H3114" s="0"/>
      <c r="I3114" s="0"/>
      <c r="J3114" s="0"/>
      <c r="K3114" s="0"/>
      <c r="L3114" s="0"/>
      <c r="M3114" s="0"/>
      <c r="N3114" s="0"/>
    </row>
    <row r="3115" customFormat="false" ht="12.8" hidden="false" customHeight="false" outlineLevel="0" collapsed="false">
      <c r="A3115" s="0"/>
      <c r="B3115" s="0"/>
      <c r="C3115" s="0"/>
      <c r="D3115" s="0"/>
      <c r="E3115" s="0"/>
      <c r="F3115" s="0"/>
      <c r="G3115" s="0"/>
      <c r="H3115" s="0"/>
      <c r="I3115" s="0"/>
      <c r="J3115" s="0"/>
      <c r="K3115" s="0"/>
      <c r="L3115" s="0"/>
      <c r="M3115" s="0"/>
      <c r="N3115" s="0"/>
    </row>
    <row r="3116" customFormat="false" ht="12.8" hidden="false" customHeight="false" outlineLevel="0" collapsed="false">
      <c r="A3116" s="0"/>
      <c r="B3116" s="0"/>
      <c r="C3116" s="0"/>
      <c r="D3116" s="0"/>
      <c r="E3116" s="0"/>
      <c r="F3116" s="0"/>
      <c r="G3116" s="0"/>
      <c r="H3116" s="0"/>
      <c r="I3116" s="0"/>
      <c r="J3116" s="0"/>
      <c r="K3116" s="0"/>
      <c r="L3116" s="0"/>
      <c r="M3116" s="0"/>
      <c r="N3116" s="0"/>
    </row>
    <row r="3117" customFormat="false" ht="12.8" hidden="false" customHeight="false" outlineLevel="0" collapsed="false">
      <c r="A3117" s="0"/>
      <c r="B3117" s="0"/>
      <c r="C3117" s="0"/>
      <c r="D3117" s="0"/>
      <c r="E3117" s="0"/>
      <c r="F3117" s="0"/>
      <c r="G3117" s="0"/>
      <c r="H3117" s="0"/>
      <c r="I3117" s="0"/>
      <c r="J3117" s="0"/>
      <c r="K3117" s="0"/>
      <c r="L3117" s="0"/>
      <c r="M3117" s="0"/>
      <c r="N3117" s="0"/>
    </row>
    <row r="3118" customFormat="false" ht="12.8" hidden="false" customHeight="false" outlineLevel="0" collapsed="false">
      <c r="A3118" s="0"/>
      <c r="B3118" s="0"/>
      <c r="C3118" s="0"/>
      <c r="D3118" s="0"/>
      <c r="E3118" s="0"/>
      <c r="F3118" s="0"/>
      <c r="G3118" s="0"/>
      <c r="H3118" s="0"/>
      <c r="I3118" s="0"/>
      <c r="J3118" s="0"/>
      <c r="K3118" s="0"/>
      <c r="L3118" s="0"/>
      <c r="M3118" s="0"/>
      <c r="N3118" s="0"/>
    </row>
    <row r="3119" customFormat="false" ht="12.8" hidden="false" customHeight="false" outlineLevel="0" collapsed="false">
      <c r="A3119" s="0"/>
      <c r="B3119" s="0"/>
      <c r="C3119" s="0"/>
      <c r="D3119" s="0"/>
      <c r="E3119" s="0"/>
      <c r="F3119" s="0"/>
      <c r="G3119" s="0"/>
      <c r="H3119" s="0"/>
      <c r="I3119" s="0"/>
      <c r="J3119" s="0"/>
      <c r="K3119" s="0"/>
      <c r="L3119" s="0"/>
      <c r="M3119" s="0"/>
      <c r="N3119" s="0"/>
    </row>
    <row r="3120" customFormat="false" ht="12.8" hidden="false" customHeight="false" outlineLevel="0" collapsed="false">
      <c r="A3120" s="0"/>
      <c r="B3120" s="0"/>
      <c r="C3120" s="0"/>
      <c r="D3120" s="0"/>
      <c r="E3120" s="0"/>
      <c r="F3120" s="0"/>
      <c r="G3120" s="0"/>
      <c r="H3120" s="0"/>
      <c r="I3120" s="0"/>
      <c r="J3120" s="0"/>
      <c r="K3120" s="0"/>
      <c r="L3120" s="0"/>
      <c r="M3120" s="0"/>
      <c r="N3120" s="0"/>
    </row>
    <row r="3121" customFormat="false" ht="12.8" hidden="false" customHeight="false" outlineLevel="0" collapsed="false">
      <c r="A3121" s="0"/>
      <c r="B3121" s="0"/>
      <c r="C3121" s="0"/>
      <c r="D3121" s="0"/>
      <c r="E3121" s="0"/>
      <c r="F3121" s="0"/>
      <c r="G3121" s="0"/>
      <c r="H3121" s="0"/>
      <c r="I3121" s="0"/>
      <c r="J3121" s="0"/>
      <c r="K3121" s="0"/>
      <c r="L3121" s="0"/>
      <c r="M3121" s="0"/>
      <c r="N3121" s="0"/>
    </row>
    <row r="3122" customFormat="false" ht="12.8" hidden="false" customHeight="false" outlineLevel="0" collapsed="false">
      <c r="A3122" s="0"/>
      <c r="B3122" s="0"/>
      <c r="C3122" s="0"/>
      <c r="D3122" s="0"/>
      <c r="E3122" s="0"/>
      <c r="F3122" s="0"/>
      <c r="G3122" s="0"/>
      <c r="H3122" s="0"/>
      <c r="I3122" s="0"/>
      <c r="J3122" s="0"/>
      <c r="K3122" s="0"/>
      <c r="L3122" s="0"/>
      <c r="M3122" s="0"/>
      <c r="N3122" s="0"/>
    </row>
    <row r="3123" customFormat="false" ht="12.8" hidden="false" customHeight="false" outlineLevel="0" collapsed="false">
      <c r="A3123" s="0"/>
      <c r="B3123" s="0"/>
      <c r="C3123" s="0"/>
      <c r="D3123" s="0"/>
      <c r="E3123" s="0"/>
      <c r="F3123" s="0"/>
      <c r="G3123" s="0"/>
      <c r="H3123" s="0"/>
      <c r="I3123" s="0"/>
      <c r="J3123" s="0"/>
      <c r="K3123" s="0"/>
      <c r="L3123" s="0"/>
      <c r="M3123" s="0"/>
      <c r="N3123" s="0"/>
    </row>
    <row r="3124" customFormat="false" ht="12.8" hidden="false" customHeight="false" outlineLevel="0" collapsed="false">
      <c r="A3124" s="0"/>
      <c r="B3124" s="0"/>
      <c r="C3124" s="0"/>
      <c r="D3124" s="0"/>
      <c r="E3124" s="0"/>
      <c r="F3124" s="0"/>
      <c r="G3124" s="0"/>
      <c r="H3124" s="0"/>
      <c r="I3124" s="0"/>
      <c r="J3124" s="0"/>
      <c r="K3124" s="0"/>
      <c r="L3124" s="0"/>
      <c r="M3124" s="0"/>
      <c r="N3124" s="0"/>
    </row>
    <row r="3125" customFormat="false" ht="12.8" hidden="false" customHeight="false" outlineLevel="0" collapsed="false">
      <c r="A3125" s="0"/>
      <c r="B3125" s="0"/>
      <c r="C3125" s="0"/>
      <c r="D3125" s="0"/>
      <c r="E3125" s="0"/>
      <c r="F3125" s="0"/>
      <c r="G3125" s="0"/>
      <c r="H3125" s="0"/>
      <c r="I3125" s="0"/>
      <c r="J3125" s="0"/>
      <c r="K3125" s="0"/>
      <c r="L3125" s="0"/>
      <c r="M3125" s="0"/>
      <c r="N3125" s="0"/>
    </row>
    <row r="3126" customFormat="false" ht="12.8" hidden="false" customHeight="false" outlineLevel="0" collapsed="false">
      <c r="A3126" s="0"/>
      <c r="B3126" s="0"/>
      <c r="C3126" s="0"/>
      <c r="D3126" s="0"/>
      <c r="E3126" s="0"/>
      <c r="F3126" s="0"/>
      <c r="G3126" s="0"/>
      <c r="H3126" s="0"/>
      <c r="I3126" s="0"/>
      <c r="J3126" s="0"/>
      <c r="K3126" s="0"/>
      <c r="L3126" s="0"/>
      <c r="M3126" s="0"/>
      <c r="N3126" s="0"/>
    </row>
    <row r="3127" customFormat="false" ht="12.8" hidden="false" customHeight="false" outlineLevel="0" collapsed="false">
      <c r="A3127" s="0"/>
      <c r="B3127" s="0"/>
      <c r="C3127" s="0"/>
      <c r="D3127" s="0"/>
      <c r="E3127" s="0"/>
      <c r="F3127" s="0"/>
      <c r="G3127" s="0"/>
      <c r="H3127" s="0"/>
      <c r="I3127" s="0"/>
      <c r="J3127" s="0"/>
      <c r="K3127" s="0"/>
      <c r="L3127" s="0"/>
      <c r="M3127" s="0"/>
      <c r="N3127" s="0"/>
    </row>
    <row r="3128" customFormat="false" ht="12.8" hidden="false" customHeight="false" outlineLevel="0" collapsed="false">
      <c r="A3128" s="0"/>
      <c r="B3128" s="0"/>
      <c r="C3128" s="0"/>
      <c r="D3128" s="0"/>
      <c r="E3128" s="0"/>
      <c r="F3128" s="0"/>
      <c r="G3128" s="0"/>
      <c r="H3128" s="0"/>
      <c r="I3128" s="0"/>
      <c r="J3128" s="0"/>
      <c r="K3128" s="0"/>
      <c r="L3128" s="0"/>
      <c r="M3128" s="0"/>
      <c r="N3128" s="0"/>
    </row>
    <row r="3129" customFormat="false" ht="12.8" hidden="false" customHeight="false" outlineLevel="0" collapsed="false">
      <c r="A3129" s="0"/>
      <c r="B3129" s="0"/>
      <c r="C3129" s="0"/>
      <c r="D3129" s="0"/>
      <c r="E3129" s="0"/>
      <c r="F3129" s="0"/>
      <c r="G3129" s="0"/>
      <c r="H3129" s="0"/>
      <c r="I3129" s="0"/>
      <c r="J3129" s="0"/>
      <c r="K3129" s="0"/>
      <c r="L3129" s="0"/>
      <c r="M3129" s="0"/>
      <c r="N3129" s="0"/>
    </row>
    <row r="3130" customFormat="false" ht="12.8" hidden="false" customHeight="false" outlineLevel="0" collapsed="false">
      <c r="A3130" s="0"/>
      <c r="B3130" s="0"/>
      <c r="C3130" s="0"/>
      <c r="D3130" s="0"/>
      <c r="E3130" s="0"/>
      <c r="F3130" s="0"/>
      <c r="G3130" s="0"/>
      <c r="H3130" s="0"/>
      <c r="I3130" s="0"/>
      <c r="J3130" s="0"/>
      <c r="K3130" s="0"/>
      <c r="L3130" s="0"/>
      <c r="M3130" s="0"/>
      <c r="N3130" s="0"/>
    </row>
    <row r="3131" customFormat="false" ht="12.8" hidden="false" customHeight="false" outlineLevel="0" collapsed="false">
      <c r="A3131" s="0"/>
      <c r="B3131" s="0"/>
      <c r="C3131" s="0"/>
      <c r="D3131" s="0"/>
      <c r="E3131" s="0"/>
      <c r="F3131" s="0"/>
      <c r="G3131" s="0"/>
      <c r="H3131" s="0"/>
      <c r="I3131" s="0"/>
      <c r="J3131" s="0"/>
      <c r="K3131" s="0"/>
      <c r="L3131" s="0"/>
      <c r="M3131" s="0"/>
      <c r="N3131" s="0"/>
    </row>
    <row r="3132" customFormat="false" ht="12.8" hidden="false" customHeight="false" outlineLevel="0" collapsed="false">
      <c r="A3132" s="0"/>
      <c r="B3132" s="0"/>
      <c r="C3132" s="0"/>
      <c r="D3132" s="0"/>
      <c r="E3132" s="0"/>
      <c r="F3132" s="0"/>
      <c r="G3132" s="0"/>
      <c r="H3132" s="0"/>
      <c r="I3132" s="0"/>
      <c r="J3132" s="0"/>
      <c r="K3132" s="0"/>
      <c r="L3132" s="0"/>
      <c r="M3132" s="0"/>
      <c r="N3132" s="0"/>
    </row>
    <row r="3133" customFormat="false" ht="12.8" hidden="false" customHeight="false" outlineLevel="0" collapsed="false">
      <c r="A3133" s="0"/>
      <c r="B3133" s="0"/>
      <c r="C3133" s="0"/>
      <c r="D3133" s="0"/>
      <c r="E3133" s="0"/>
      <c r="F3133" s="0"/>
      <c r="G3133" s="0"/>
      <c r="H3133" s="0"/>
      <c r="I3133" s="0"/>
      <c r="J3133" s="0"/>
      <c r="K3133" s="0"/>
      <c r="L3133" s="0"/>
      <c r="M3133" s="0"/>
      <c r="N3133" s="0"/>
    </row>
    <row r="3134" customFormat="false" ht="12.8" hidden="false" customHeight="false" outlineLevel="0" collapsed="false">
      <c r="A3134" s="0"/>
      <c r="B3134" s="0"/>
      <c r="C3134" s="0"/>
      <c r="D3134" s="0"/>
      <c r="E3134" s="0"/>
      <c r="F3134" s="0"/>
      <c r="G3134" s="0"/>
      <c r="H3134" s="0"/>
      <c r="I3134" s="0"/>
      <c r="J3134" s="0"/>
      <c r="K3134" s="0"/>
      <c r="L3134" s="0"/>
      <c r="M3134" s="0"/>
      <c r="N3134" s="0"/>
    </row>
    <row r="3135" customFormat="false" ht="12.8" hidden="false" customHeight="false" outlineLevel="0" collapsed="false">
      <c r="A3135" s="0"/>
      <c r="B3135" s="0"/>
      <c r="C3135" s="0"/>
      <c r="D3135" s="0"/>
      <c r="E3135" s="0"/>
      <c r="F3135" s="0"/>
      <c r="G3135" s="0"/>
      <c r="H3135" s="0"/>
      <c r="I3135" s="0"/>
      <c r="J3135" s="0"/>
      <c r="K3135" s="0"/>
      <c r="L3135" s="0"/>
      <c r="M3135" s="0"/>
      <c r="N3135" s="0"/>
    </row>
    <row r="3136" customFormat="false" ht="12.8" hidden="false" customHeight="false" outlineLevel="0" collapsed="false">
      <c r="A3136" s="0"/>
      <c r="B3136" s="0"/>
      <c r="C3136" s="0"/>
      <c r="D3136" s="0"/>
      <c r="E3136" s="0"/>
      <c r="F3136" s="0"/>
      <c r="G3136" s="0"/>
      <c r="H3136" s="0"/>
      <c r="I3136" s="0"/>
      <c r="J3136" s="0"/>
      <c r="K3136" s="0"/>
      <c r="L3136" s="0"/>
      <c r="M3136" s="0"/>
      <c r="N3136" s="0"/>
    </row>
    <row r="3137" customFormat="false" ht="12.8" hidden="false" customHeight="false" outlineLevel="0" collapsed="false">
      <c r="A3137" s="0"/>
      <c r="B3137" s="0"/>
      <c r="C3137" s="0"/>
      <c r="D3137" s="0"/>
      <c r="E3137" s="0"/>
      <c r="F3137" s="0"/>
      <c r="G3137" s="0"/>
      <c r="H3137" s="0"/>
      <c r="I3137" s="0"/>
      <c r="J3137" s="0"/>
      <c r="K3137" s="0"/>
      <c r="L3137" s="0"/>
      <c r="M3137" s="0"/>
      <c r="N3137" s="0"/>
    </row>
    <row r="3138" customFormat="false" ht="12.8" hidden="false" customHeight="false" outlineLevel="0" collapsed="false">
      <c r="A3138" s="0"/>
      <c r="B3138" s="0"/>
      <c r="C3138" s="0"/>
      <c r="D3138" s="0"/>
      <c r="E3138" s="0"/>
      <c r="F3138" s="0"/>
      <c r="G3138" s="0"/>
      <c r="H3138" s="0"/>
      <c r="I3138" s="0"/>
      <c r="J3138" s="0"/>
      <c r="K3138" s="0"/>
      <c r="L3138" s="0"/>
      <c r="M3138" s="0"/>
      <c r="N3138" s="0"/>
    </row>
    <row r="3139" customFormat="false" ht="12.8" hidden="false" customHeight="false" outlineLevel="0" collapsed="false">
      <c r="A3139" s="0"/>
      <c r="B3139" s="0"/>
      <c r="C3139" s="0"/>
      <c r="D3139" s="0"/>
      <c r="E3139" s="0"/>
      <c r="F3139" s="0"/>
      <c r="G3139" s="0"/>
      <c r="H3139" s="0"/>
      <c r="I3139" s="0"/>
      <c r="J3139" s="0"/>
      <c r="K3139" s="0"/>
      <c r="L3139" s="0"/>
      <c r="M3139" s="0"/>
      <c r="N3139" s="0"/>
    </row>
    <row r="3140" customFormat="false" ht="12.8" hidden="false" customHeight="false" outlineLevel="0" collapsed="false">
      <c r="A3140" s="0"/>
      <c r="B3140" s="0"/>
      <c r="C3140" s="0"/>
      <c r="D3140" s="0"/>
      <c r="E3140" s="0"/>
      <c r="F3140" s="0"/>
      <c r="G3140" s="0"/>
      <c r="H3140" s="0"/>
      <c r="I3140" s="0"/>
      <c r="J3140" s="0"/>
      <c r="K3140" s="0"/>
      <c r="L3140" s="0"/>
      <c r="M3140" s="0"/>
      <c r="N3140" s="0"/>
    </row>
    <row r="3141" customFormat="false" ht="12.8" hidden="false" customHeight="false" outlineLevel="0" collapsed="false">
      <c r="A3141" s="0"/>
      <c r="B3141" s="0"/>
      <c r="C3141" s="0"/>
      <c r="D3141" s="0"/>
      <c r="E3141" s="0"/>
      <c r="F3141" s="0"/>
      <c r="G3141" s="0"/>
      <c r="H3141" s="0"/>
      <c r="I3141" s="0"/>
      <c r="J3141" s="0"/>
      <c r="K3141" s="0"/>
      <c r="L3141" s="0"/>
      <c r="M3141" s="0"/>
      <c r="N3141" s="0"/>
    </row>
    <row r="3142" customFormat="false" ht="12.8" hidden="false" customHeight="false" outlineLevel="0" collapsed="false">
      <c r="A3142" s="0"/>
      <c r="B3142" s="0"/>
      <c r="C3142" s="0"/>
      <c r="D3142" s="0"/>
      <c r="E3142" s="0"/>
      <c r="F3142" s="0"/>
      <c r="G3142" s="0"/>
      <c r="H3142" s="0"/>
      <c r="I3142" s="0"/>
      <c r="J3142" s="0"/>
      <c r="K3142" s="0"/>
      <c r="L3142" s="0"/>
      <c r="M3142" s="0"/>
      <c r="N3142" s="0"/>
    </row>
    <row r="3143" customFormat="false" ht="12.8" hidden="false" customHeight="false" outlineLevel="0" collapsed="false">
      <c r="A3143" s="0"/>
      <c r="B3143" s="0"/>
      <c r="C3143" s="0"/>
      <c r="D3143" s="0"/>
      <c r="E3143" s="0"/>
      <c r="F3143" s="0"/>
      <c r="G3143" s="0"/>
      <c r="H3143" s="0"/>
      <c r="I3143" s="0"/>
      <c r="J3143" s="0"/>
      <c r="K3143" s="0"/>
      <c r="L3143" s="0"/>
      <c r="M3143" s="0"/>
      <c r="N3143" s="0"/>
    </row>
    <row r="3144" customFormat="false" ht="12.8" hidden="false" customHeight="false" outlineLevel="0" collapsed="false">
      <c r="A3144" s="0"/>
      <c r="B3144" s="0"/>
      <c r="C3144" s="0"/>
      <c r="D3144" s="0"/>
      <c r="E3144" s="0"/>
      <c r="F3144" s="0"/>
      <c r="G3144" s="0"/>
      <c r="H3144" s="0"/>
      <c r="I3144" s="0"/>
      <c r="J3144" s="0"/>
      <c r="K3144" s="0"/>
      <c r="L3144" s="0"/>
      <c r="M3144" s="0"/>
      <c r="N3144" s="0"/>
    </row>
    <row r="3145" customFormat="false" ht="12.8" hidden="false" customHeight="false" outlineLevel="0" collapsed="false">
      <c r="A3145" s="0"/>
      <c r="B3145" s="0"/>
      <c r="C3145" s="0"/>
      <c r="D3145" s="0"/>
      <c r="E3145" s="0"/>
      <c r="F3145" s="0"/>
      <c r="G3145" s="0"/>
      <c r="H3145" s="0"/>
      <c r="I3145" s="0"/>
      <c r="J3145" s="0"/>
      <c r="K3145" s="0"/>
      <c r="L3145" s="0"/>
      <c r="M3145" s="0"/>
      <c r="N3145" s="0"/>
    </row>
    <row r="3146" customFormat="false" ht="12.8" hidden="false" customHeight="false" outlineLevel="0" collapsed="false">
      <c r="A3146" s="0"/>
      <c r="B3146" s="0"/>
      <c r="C3146" s="0"/>
      <c r="D3146" s="0"/>
      <c r="E3146" s="0"/>
      <c r="F3146" s="0"/>
      <c r="G3146" s="0"/>
      <c r="H3146" s="0"/>
      <c r="I3146" s="0"/>
      <c r="J3146" s="0"/>
      <c r="K3146" s="0"/>
      <c r="L3146" s="0"/>
      <c r="M3146" s="0"/>
      <c r="N3146" s="0"/>
    </row>
    <row r="3147" customFormat="false" ht="12.8" hidden="false" customHeight="false" outlineLevel="0" collapsed="false">
      <c r="A3147" s="0"/>
      <c r="B3147" s="0"/>
      <c r="C3147" s="0"/>
      <c r="D3147" s="0"/>
      <c r="E3147" s="0"/>
      <c r="F3147" s="0"/>
      <c r="G3147" s="0"/>
      <c r="H3147" s="0"/>
      <c r="I3147" s="0"/>
      <c r="J3147" s="0"/>
      <c r="K3147" s="0"/>
      <c r="L3147" s="0"/>
      <c r="M3147" s="0"/>
      <c r="N3147" s="0"/>
    </row>
    <row r="3148" customFormat="false" ht="12.8" hidden="false" customHeight="false" outlineLevel="0" collapsed="false">
      <c r="A3148" s="0"/>
      <c r="B3148" s="0"/>
      <c r="C3148" s="0"/>
      <c r="D3148" s="0"/>
      <c r="E3148" s="0"/>
      <c r="F3148" s="0"/>
      <c r="G3148" s="0"/>
      <c r="H3148" s="0"/>
      <c r="I3148" s="0"/>
      <c r="J3148" s="0"/>
      <c r="K3148" s="0"/>
      <c r="L3148" s="0"/>
      <c r="M3148" s="0"/>
      <c r="N3148" s="0"/>
    </row>
    <row r="3149" customFormat="false" ht="12.8" hidden="false" customHeight="false" outlineLevel="0" collapsed="false">
      <c r="A3149" s="0"/>
      <c r="B3149" s="0"/>
      <c r="C3149" s="0"/>
      <c r="D3149" s="0"/>
      <c r="E3149" s="0"/>
      <c r="F3149" s="0"/>
      <c r="G3149" s="0"/>
      <c r="H3149" s="0"/>
      <c r="I3149" s="0"/>
      <c r="J3149" s="0"/>
      <c r="K3149" s="0"/>
      <c r="L3149" s="0"/>
      <c r="M3149" s="0"/>
      <c r="N3149" s="0"/>
    </row>
    <row r="3150" customFormat="false" ht="12.8" hidden="false" customHeight="false" outlineLevel="0" collapsed="false">
      <c r="A3150" s="0"/>
      <c r="B3150" s="0"/>
      <c r="C3150" s="0"/>
      <c r="D3150" s="0"/>
      <c r="E3150" s="0"/>
      <c r="F3150" s="0"/>
      <c r="G3150" s="0"/>
      <c r="H3150" s="0"/>
      <c r="I3150" s="0"/>
      <c r="J3150" s="0"/>
      <c r="K3150" s="0"/>
      <c r="L3150" s="0"/>
      <c r="M3150" s="0"/>
      <c r="N3150" s="0"/>
    </row>
    <row r="3151" customFormat="false" ht="12.8" hidden="false" customHeight="false" outlineLevel="0" collapsed="false">
      <c r="A3151" s="0"/>
      <c r="B3151" s="0"/>
      <c r="C3151" s="0"/>
      <c r="D3151" s="0"/>
      <c r="E3151" s="0"/>
      <c r="F3151" s="0"/>
      <c r="G3151" s="0"/>
      <c r="H3151" s="0"/>
      <c r="I3151" s="0"/>
      <c r="J3151" s="0"/>
      <c r="K3151" s="0"/>
      <c r="L3151" s="0"/>
      <c r="M3151" s="0"/>
      <c r="N3151" s="0"/>
    </row>
    <row r="3152" customFormat="false" ht="12.8" hidden="false" customHeight="false" outlineLevel="0" collapsed="false">
      <c r="A3152" s="0"/>
      <c r="B3152" s="0"/>
      <c r="C3152" s="0"/>
      <c r="D3152" s="0"/>
      <c r="E3152" s="0"/>
      <c r="F3152" s="0"/>
      <c r="G3152" s="0"/>
      <c r="H3152" s="0"/>
      <c r="I3152" s="0"/>
      <c r="J3152" s="0"/>
      <c r="K3152" s="0"/>
      <c r="L3152" s="0"/>
      <c r="M3152" s="0"/>
      <c r="N3152" s="0"/>
    </row>
    <row r="3153" customFormat="false" ht="12.8" hidden="false" customHeight="false" outlineLevel="0" collapsed="false">
      <c r="A3153" s="0"/>
      <c r="B3153" s="0"/>
      <c r="C3153" s="0"/>
      <c r="D3153" s="0"/>
      <c r="E3153" s="0"/>
      <c r="F3153" s="0"/>
      <c r="G3153" s="0"/>
      <c r="H3153" s="0"/>
      <c r="I3153" s="0"/>
      <c r="J3153" s="0"/>
      <c r="K3153" s="0"/>
      <c r="L3153" s="0"/>
      <c r="M3153" s="0"/>
      <c r="N3153" s="0"/>
    </row>
    <row r="3154" customFormat="false" ht="12.8" hidden="false" customHeight="false" outlineLevel="0" collapsed="false">
      <c r="A3154" s="0"/>
      <c r="B3154" s="0"/>
      <c r="C3154" s="0"/>
      <c r="D3154" s="0"/>
      <c r="E3154" s="0"/>
      <c r="F3154" s="0"/>
      <c r="G3154" s="0"/>
      <c r="H3154" s="0"/>
      <c r="I3154" s="0"/>
      <c r="J3154" s="0"/>
      <c r="K3154" s="0"/>
      <c r="L3154" s="0"/>
      <c r="M3154" s="0"/>
      <c r="N3154" s="0"/>
    </row>
    <row r="3155" customFormat="false" ht="12.8" hidden="false" customHeight="false" outlineLevel="0" collapsed="false">
      <c r="A3155" s="0"/>
      <c r="B3155" s="0"/>
      <c r="C3155" s="0"/>
      <c r="D3155" s="0"/>
      <c r="E3155" s="0"/>
      <c r="F3155" s="0"/>
      <c r="G3155" s="0"/>
      <c r="H3155" s="0"/>
      <c r="I3155" s="0"/>
      <c r="J3155" s="0"/>
      <c r="K3155" s="0"/>
      <c r="L3155" s="0"/>
      <c r="M3155" s="0"/>
      <c r="N3155" s="0"/>
    </row>
    <row r="3156" customFormat="false" ht="12.8" hidden="false" customHeight="false" outlineLevel="0" collapsed="false">
      <c r="A3156" s="0"/>
      <c r="B3156" s="0"/>
      <c r="C3156" s="0"/>
      <c r="D3156" s="0"/>
      <c r="E3156" s="0"/>
      <c r="F3156" s="0"/>
      <c r="G3156" s="0"/>
      <c r="H3156" s="0"/>
      <c r="I3156" s="0"/>
      <c r="J3156" s="0"/>
      <c r="K3156" s="0"/>
      <c r="L3156" s="0"/>
      <c r="M3156" s="0"/>
      <c r="N3156" s="0"/>
    </row>
    <row r="3157" customFormat="false" ht="12.8" hidden="false" customHeight="false" outlineLevel="0" collapsed="false">
      <c r="A3157" s="0"/>
      <c r="B3157" s="0"/>
      <c r="C3157" s="0"/>
      <c r="D3157" s="0"/>
      <c r="E3157" s="0"/>
      <c r="F3157" s="0"/>
      <c r="G3157" s="0"/>
      <c r="H3157" s="0"/>
      <c r="I3157" s="0"/>
      <c r="J3157" s="0"/>
      <c r="K3157" s="0"/>
      <c r="L3157" s="0"/>
      <c r="M3157" s="0"/>
      <c r="N3157" s="0"/>
    </row>
    <row r="3158" customFormat="false" ht="12.8" hidden="false" customHeight="false" outlineLevel="0" collapsed="false">
      <c r="A3158" s="0"/>
      <c r="B3158" s="0"/>
      <c r="C3158" s="0"/>
      <c r="D3158" s="0"/>
      <c r="E3158" s="0"/>
      <c r="F3158" s="0"/>
      <c r="G3158" s="0"/>
      <c r="H3158" s="0"/>
      <c r="I3158" s="0"/>
      <c r="J3158" s="0"/>
      <c r="K3158" s="0"/>
      <c r="L3158" s="0"/>
      <c r="M3158" s="0"/>
      <c r="N3158" s="0"/>
    </row>
    <row r="3159" customFormat="false" ht="12.8" hidden="false" customHeight="false" outlineLevel="0" collapsed="false">
      <c r="A3159" s="0"/>
      <c r="B3159" s="0"/>
      <c r="C3159" s="0"/>
      <c r="D3159" s="0"/>
      <c r="E3159" s="0"/>
      <c r="F3159" s="0"/>
      <c r="G3159" s="0"/>
      <c r="H3159" s="0"/>
      <c r="I3159" s="0"/>
      <c r="J3159" s="0"/>
      <c r="K3159" s="0"/>
      <c r="L3159" s="0"/>
      <c r="M3159" s="0"/>
      <c r="N3159" s="0"/>
    </row>
    <row r="3160" customFormat="false" ht="12.8" hidden="false" customHeight="false" outlineLevel="0" collapsed="false">
      <c r="A3160" s="0"/>
      <c r="B3160" s="0"/>
      <c r="C3160" s="0"/>
      <c r="D3160" s="0"/>
      <c r="E3160" s="0"/>
      <c r="F3160" s="0"/>
      <c r="G3160" s="0"/>
      <c r="H3160" s="0"/>
      <c r="I3160" s="0"/>
      <c r="J3160" s="0"/>
      <c r="K3160" s="0"/>
      <c r="L3160" s="0"/>
      <c r="M3160" s="0"/>
      <c r="N3160" s="0"/>
    </row>
    <row r="3161" customFormat="false" ht="12.8" hidden="false" customHeight="false" outlineLevel="0" collapsed="false">
      <c r="A3161" s="0"/>
      <c r="B3161" s="0"/>
      <c r="C3161" s="0"/>
      <c r="D3161" s="0"/>
      <c r="E3161" s="0"/>
      <c r="F3161" s="0"/>
      <c r="G3161" s="0"/>
      <c r="H3161" s="0"/>
      <c r="I3161" s="0"/>
      <c r="J3161" s="0"/>
      <c r="K3161" s="0"/>
      <c r="L3161" s="0"/>
      <c r="M3161" s="0"/>
      <c r="N3161" s="0"/>
    </row>
    <row r="3162" customFormat="false" ht="12.8" hidden="false" customHeight="false" outlineLevel="0" collapsed="false">
      <c r="A3162" s="0"/>
      <c r="B3162" s="0"/>
      <c r="C3162" s="0"/>
      <c r="D3162" s="0"/>
      <c r="E3162" s="0"/>
      <c r="F3162" s="0"/>
      <c r="G3162" s="0"/>
      <c r="H3162" s="0"/>
      <c r="I3162" s="0"/>
      <c r="J3162" s="0"/>
      <c r="K3162" s="0"/>
      <c r="L3162" s="0"/>
      <c r="M3162" s="0"/>
      <c r="N3162" s="0"/>
    </row>
    <row r="3163" customFormat="false" ht="12.8" hidden="false" customHeight="false" outlineLevel="0" collapsed="false">
      <c r="A3163" s="0"/>
      <c r="B3163" s="0"/>
      <c r="C3163" s="0"/>
      <c r="D3163" s="0"/>
      <c r="E3163" s="0"/>
      <c r="F3163" s="0"/>
      <c r="G3163" s="0"/>
      <c r="H3163" s="0"/>
      <c r="I3163" s="0"/>
      <c r="J3163" s="0"/>
      <c r="K3163" s="0"/>
      <c r="L3163" s="0"/>
      <c r="M3163" s="0"/>
      <c r="N3163" s="0"/>
    </row>
    <row r="3164" customFormat="false" ht="12.8" hidden="false" customHeight="false" outlineLevel="0" collapsed="false">
      <c r="A3164" s="0"/>
      <c r="B3164" s="0"/>
      <c r="C3164" s="0"/>
      <c r="D3164" s="0"/>
      <c r="E3164" s="0"/>
      <c r="F3164" s="0"/>
      <c r="G3164" s="0"/>
      <c r="H3164" s="0"/>
      <c r="I3164" s="0"/>
      <c r="J3164" s="0"/>
      <c r="K3164" s="0"/>
      <c r="L3164" s="0"/>
      <c r="M3164" s="0"/>
      <c r="N3164" s="0"/>
    </row>
    <row r="3165" customFormat="false" ht="12.8" hidden="false" customHeight="false" outlineLevel="0" collapsed="false">
      <c r="A3165" s="0"/>
      <c r="B3165" s="0"/>
      <c r="C3165" s="0"/>
      <c r="D3165" s="0"/>
      <c r="E3165" s="0"/>
      <c r="F3165" s="0"/>
      <c r="G3165" s="0"/>
      <c r="H3165" s="0"/>
      <c r="I3165" s="0"/>
      <c r="J3165" s="0"/>
      <c r="K3165" s="0"/>
      <c r="L3165" s="0"/>
      <c r="M3165" s="0"/>
      <c r="N3165" s="0"/>
    </row>
    <row r="3166" customFormat="false" ht="12.8" hidden="false" customHeight="false" outlineLevel="0" collapsed="false">
      <c r="A3166" s="0"/>
      <c r="B3166" s="0"/>
      <c r="C3166" s="0"/>
      <c r="D3166" s="0"/>
      <c r="E3166" s="0"/>
      <c r="F3166" s="0"/>
      <c r="G3166" s="0"/>
      <c r="H3166" s="0"/>
      <c r="I3166" s="0"/>
      <c r="J3166" s="0"/>
      <c r="K3166" s="0"/>
      <c r="L3166" s="0"/>
      <c r="M3166" s="0"/>
      <c r="N3166" s="0"/>
    </row>
    <row r="3167" customFormat="false" ht="12.8" hidden="false" customHeight="false" outlineLevel="0" collapsed="false">
      <c r="A3167" s="0"/>
      <c r="B3167" s="0"/>
      <c r="C3167" s="0"/>
      <c r="D3167" s="0"/>
      <c r="E3167" s="0"/>
      <c r="F3167" s="0"/>
      <c r="G3167" s="0"/>
      <c r="H3167" s="0"/>
      <c r="I3167" s="0"/>
      <c r="J3167" s="0"/>
      <c r="K3167" s="0"/>
      <c r="L3167" s="0"/>
      <c r="M3167" s="0"/>
      <c r="N3167" s="0"/>
    </row>
    <row r="3168" customFormat="false" ht="12.8" hidden="false" customHeight="false" outlineLevel="0" collapsed="false">
      <c r="A3168" s="0"/>
      <c r="B3168" s="0"/>
      <c r="C3168" s="0"/>
      <c r="D3168" s="0"/>
      <c r="E3168" s="0"/>
      <c r="F3168" s="0"/>
      <c r="G3168" s="0"/>
      <c r="H3168" s="0"/>
      <c r="I3168" s="0"/>
      <c r="J3168" s="0"/>
      <c r="K3168" s="0"/>
      <c r="L3168" s="0"/>
      <c r="M3168" s="0"/>
      <c r="N3168" s="0"/>
    </row>
    <row r="3169" customFormat="false" ht="12.8" hidden="false" customHeight="false" outlineLevel="0" collapsed="false">
      <c r="A3169" s="0"/>
      <c r="B3169" s="0"/>
      <c r="C3169" s="0"/>
      <c r="D3169" s="0"/>
      <c r="E3169" s="0"/>
      <c r="F3169" s="0"/>
      <c r="G3169" s="0"/>
      <c r="H3169" s="0"/>
      <c r="I3169" s="0"/>
      <c r="J3169" s="0"/>
      <c r="K3169" s="0"/>
      <c r="L3169" s="0"/>
      <c r="M3169" s="0"/>
      <c r="N3169" s="0"/>
    </row>
    <row r="3170" customFormat="false" ht="12.8" hidden="false" customHeight="false" outlineLevel="0" collapsed="false">
      <c r="A3170" s="0"/>
      <c r="B3170" s="0"/>
      <c r="C3170" s="0"/>
      <c r="D3170" s="0"/>
      <c r="E3170" s="0"/>
      <c r="F3170" s="0"/>
      <c r="G3170" s="0"/>
      <c r="H3170" s="0"/>
      <c r="I3170" s="0"/>
      <c r="J3170" s="0"/>
      <c r="K3170" s="0"/>
      <c r="L3170" s="0"/>
      <c r="M3170" s="0"/>
      <c r="N3170" s="0"/>
    </row>
    <row r="3171" customFormat="false" ht="12.8" hidden="false" customHeight="false" outlineLevel="0" collapsed="false">
      <c r="A3171" s="0"/>
      <c r="B3171" s="0"/>
      <c r="C3171" s="0"/>
      <c r="D3171" s="0"/>
      <c r="E3171" s="0"/>
      <c r="F3171" s="0"/>
      <c r="G3171" s="0"/>
      <c r="H3171" s="0"/>
      <c r="I3171" s="0"/>
      <c r="J3171" s="0"/>
      <c r="K3171" s="0"/>
      <c r="L3171" s="0"/>
      <c r="M3171" s="0"/>
      <c r="N3171" s="0"/>
    </row>
    <row r="3172" customFormat="false" ht="12.8" hidden="false" customHeight="false" outlineLevel="0" collapsed="false">
      <c r="A3172" s="0"/>
      <c r="B3172" s="0"/>
      <c r="C3172" s="0"/>
      <c r="D3172" s="0"/>
      <c r="E3172" s="0"/>
      <c r="F3172" s="0"/>
      <c r="G3172" s="0"/>
      <c r="H3172" s="0"/>
      <c r="I3172" s="0"/>
      <c r="J3172" s="0"/>
      <c r="K3172" s="0"/>
      <c r="L3172" s="0"/>
      <c r="M3172" s="0"/>
      <c r="N3172" s="0"/>
    </row>
    <row r="3173" customFormat="false" ht="12.8" hidden="false" customHeight="false" outlineLevel="0" collapsed="false">
      <c r="A3173" s="0"/>
      <c r="B3173" s="0"/>
      <c r="C3173" s="0"/>
      <c r="D3173" s="0"/>
      <c r="E3173" s="0"/>
      <c r="F3173" s="0"/>
      <c r="G3173" s="0"/>
      <c r="H3173" s="0"/>
      <c r="I3173" s="0"/>
      <c r="J3173" s="0"/>
      <c r="K3173" s="0"/>
      <c r="L3173" s="0"/>
      <c r="M3173" s="0"/>
      <c r="N3173" s="0"/>
    </row>
    <row r="3174" customFormat="false" ht="12.8" hidden="false" customHeight="false" outlineLevel="0" collapsed="false">
      <c r="A3174" s="0"/>
      <c r="B3174" s="0"/>
      <c r="C3174" s="0"/>
      <c r="D3174" s="0"/>
      <c r="E3174" s="0"/>
      <c r="F3174" s="0"/>
      <c r="G3174" s="0"/>
      <c r="H3174" s="0"/>
      <c r="I3174" s="0"/>
      <c r="J3174" s="0"/>
      <c r="K3174" s="0"/>
      <c r="L3174" s="0"/>
      <c r="M3174" s="0"/>
      <c r="N3174" s="0"/>
    </row>
    <row r="3175" customFormat="false" ht="12.8" hidden="false" customHeight="false" outlineLevel="0" collapsed="false">
      <c r="A3175" s="0"/>
      <c r="B3175" s="0"/>
      <c r="C3175" s="0"/>
      <c r="D3175" s="0"/>
      <c r="E3175" s="0"/>
      <c r="F3175" s="0"/>
      <c r="G3175" s="0"/>
      <c r="H3175" s="0"/>
      <c r="I3175" s="0"/>
      <c r="J3175" s="0"/>
      <c r="K3175" s="0"/>
      <c r="L3175" s="0"/>
      <c r="M3175" s="0"/>
      <c r="N3175" s="0"/>
    </row>
    <row r="3176" customFormat="false" ht="12.8" hidden="false" customHeight="false" outlineLevel="0" collapsed="false">
      <c r="A3176" s="0"/>
      <c r="B3176" s="0"/>
      <c r="C3176" s="0"/>
      <c r="D3176" s="0"/>
      <c r="E3176" s="0"/>
      <c r="F3176" s="0"/>
      <c r="G3176" s="0"/>
      <c r="H3176" s="0"/>
      <c r="I3176" s="0"/>
      <c r="J3176" s="0"/>
      <c r="K3176" s="0"/>
      <c r="L3176" s="0"/>
      <c r="M3176" s="0"/>
      <c r="N3176" s="0"/>
    </row>
    <row r="3177" customFormat="false" ht="12.8" hidden="false" customHeight="false" outlineLevel="0" collapsed="false">
      <c r="A3177" s="0"/>
      <c r="B3177" s="0"/>
      <c r="C3177" s="0"/>
      <c r="D3177" s="0"/>
      <c r="E3177" s="0"/>
      <c r="F3177" s="0"/>
      <c r="G3177" s="0"/>
      <c r="H3177" s="0"/>
      <c r="I3177" s="0"/>
      <c r="J3177" s="0"/>
      <c r="K3177" s="0"/>
      <c r="L3177" s="0"/>
      <c r="M3177" s="0"/>
      <c r="N3177" s="0"/>
    </row>
    <row r="3178" customFormat="false" ht="12.8" hidden="false" customHeight="false" outlineLevel="0" collapsed="false">
      <c r="A3178" s="0"/>
      <c r="B3178" s="0"/>
      <c r="C3178" s="0"/>
      <c r="D3178" s="0"/>
      <c r="E3178" s="0"/>
      <c r="F3178" s="0"/>
      <c r="G3178" s="0"/>
      <c r="H3178" s="0"/>
      <c r="I3178" s="0"/>
      <c r="J3178" s="0"/>
      <c r="K3178" s="0"/>
      <c r="L3178" s="0"/>
      <c r="M3178" s="0"/>
      <c r="N3178" s="0"/>
    </row>
    <row r="3179" customFormat="false" ht="12.8" hidden="false" customHeight="false" outlineLevel="0" collapsed="false">
      <c r="A3179" s="0"/>
      <c r="B3179" s="0"/>
      <c r="C3179" s="0"/>
      <c r="D3179" s="0"/>
      <c r="E3179" s="0"/>
      <c r="F3179" s="0"/>
      <c r="G3179" s="0"/>
      <c r="H3179" s="0"/>
      <c r="I3179" s="0"/>
      <c r="J3179" s="0"/>
      <c r="K3179" s="0"/>
      <c r="L3179" s="0"/>
      <c r="M3179" s="0"/>
      <c r="N3179" s="0"/>
    </row>
    <row r="3180" customFormat="false" ht="12.8" hidden="false" customHeight="false" outlineLevel="0" collapsed="false">
      <c r="A3180" s="0"/>
      <c r="B3180" s="0"/>
      <c r="C3180" s="0"/>
      <c r="D3180" s="0"/>
      <c r="E3180" s="0"/>
      <c r="F3180" s="0"/>
      <c r="G3180" s="0"/>
      <c r="H3180" s="0"/>
      <c r="I3180" s="0"/>
      <c r="J3180" s="0"/>
      <c r="K3180" s="0"/>
      <c r="L3180" s="0"/>
      <c r="M3180" s="0"/>
      <c r="N3180" s="0"/>
    </row>
    <row r="3181" customFormat="false" ht="12.8" hidden="false" customHeight="false" outlineLevel="0" collapsed="false">
      <c r="A3181" s="0"/>
      <c r="B3181" s="0"/>
      <c r="C3181" s="0"/>
      <c r="D3181" s="0"/>
      <c r="E3181" s="0"/>
      <c r="F3181" s="0"/>
      <c r="G3181" s="0"/>
      <c r="H3181" s="0"/>
      <c r="I3181" s="0"/>
      <c r="J3181" s="0"/>
      <c r="K3181" s="0"/>
      <c r="L3181" s="0"/>
      <c r="M3181" s="0"/>
      <c r="N3181" s="0"/>
    </row>
    <row r="3182" customFormat="false" ht="12.8" hidden="false" customHeight="false" outlineLevel="0" collapsed="false">
      <c r="A3182" s="0"/>
      <c r="B3182" s="0"/>
      <c r="C3182" s="0"/>
      <c r="D3182" s="0"/>
      <c r="E3182" s="0"/>
      <c r="F3182" s="0"/>
      <c r="G3182" s="0"/>
      <c r="H3182" s="0"/>
      <c r="I3182" s="0"/>
      <c r="J3182" s="0"/>
      <c r="K3182" s="0"/>
      <c r="L3182" s="0"/>
      <c r="M3182" s="0"/>
      <c r="N3182" s="0"/>
    </row>
    <row r="3183" customFormat="false" ht="12.8" hidden="false" customHeight="false" outlineLevel="0" collapsed="false">
      <c r="A3183" s="0"/>
      <c r="B3183" s="0"/>
      <c r="C3183" s="0"/>
      <c r="D3183" s="0"/>
      <c r="E3183" s="0"/>
      <c r="F3183" s="0"/>
      <c r="G3183" s="0"/>
      <c r="H3183" s="0"/>
      <c r="I3183" s="0"/>
      <c r="J3183" s="0"/>
      <c r="K3183" s="0"/>
      <c r="L3183" s="0"/>
      <c r="M3183" s="0"/>
      <c r="N3183" s="0"/>
    </row>
    <row r="3184" customFormat="false" ht="12.8" hidden="false" customHeight="false" outlineLevel="0" collapsed="false">
      <c r="A3184" s="0"/>
      <c r="B3184" s="0"/>
      <c r="C3184" s="0"/>
      <c r="D3184" s="0"/>
      <c r="E3184" s="0"/>
      <c r="F3184" s="0"/>
      <c r="G3184" s="0"/>
      <c r="H3184" s="0"/>
      <c r="I3184" s="0"/>
      <c r="J3184" s="0"/>
      <c r="K3184" s="0"/>
      <c r="L3184" s="0"/>
      <c r="M3184" s="0"/>
      <c r="N3184" s="0"/>
    </row>
    <row r="3185" customFormat="false" ht="12.8" hidden="false" customHeight="false" outlineLevel="0" collapsed="false">
      <c r="A3185" s="0"/>
      <c r="B3185" s="0"/>
      <c r="C3185" s="0"/>
      <c r="D3185" s="0"/>
      <c r="E3185" s="0"/>
      <c r="F3185" s="0"/>
      <c r="G3185" s="0"/>
      <c r="H3185" s="0"/>
      <c r="I3185" s="0"/>
      <c r="J3185" s="0"/>
      <c r="K3185" s="0"/>
      <c r="L3185" s="0"/>
      <c r="M3185" s="0"/>
      <c r="N3185" s="0"/>
    </row>
    <row r="3186" customFormat="false" ht="12.8" hidden="false" customHeight="false" outlineLevel="0" collapsed="false">
      <c r="A3186" s="0"/>
      <c r="B3186" s="0"/>
      <c r="C3186" s="0"/>
      <c r="D3186" s="0"/>
      <c r="E3186" s="0"/>
      <c r="F3186" s="0"/>
      <c r="G3186" s="0"/>
      <c r="H3186" s="0"/>
      <c r="I3186" s="0"/>
      <c r="J3186" s="0"/>
      <c r="K3186" s="0"/>
      <c r="L3186" s="0"/>
      <c r="M3186" s="0"/>
      <c r="N3186" s="0"/>
    </row>
    <row r="3187" customFormat="false" ht="12.8" hidden="false" customHeight="false" outlineLevel="0" collapsed="false">
      <c r="A3187" s="0"/>
      <c r="B3187" s="0"/>
      <c r="C3187" s="0"/>
      <c r="D3187" s="0"/>
      <c r="E3187" s="0"/>
      <c r="F3187" s="0"/>
      <c r="G3187" s="0"/>
      <c r="H3187" s="0"/>
      <c r="I3187" s="0"/>
      <c r="J3187" s="0"/>
      <c r="K3187" s="0"/>
      <c r="L3187" s="0"/>
      <c r="M3187" s="0"/>
      <c r="N3187" s="0"/>
    </row>
    <row r="3188" customFormat="false" ht="12.8" hidden="false" customHeight="false" outlineLevel="0" collapsed="false">
      <c r="A3188" s="0"/>
      <c r="B3188" s="0"/>
      <c r="C3188" s="0"/>
      <c r="D3188" s="0"/>
      <c r="E3188" s="0"/>
      <c r="F3188" s="0"/>
      <c r="G3188" s="0"/>
      <c r="H3188" s="0"/>
      <c r="I3188" s="0"/>
      <c r="J3188" s="0"/>
      <c r="K3188" s="0"/>
      <c r="L3188" s="0"/>
      <c r="M3188" s="0"/>
      <c r="N3188" s="0"/>
    </row>
    <row r="3189" customFormat="false" ht="12.8" hidden="false" customHeight="false" outlineLevel="0" collapsed="false">
      <c r="A3189" s="0"/>
      <c r="B3189" s="0"/>
      <c r="C3189" s="0"/>
      <c r="D3189" s="0"/>
      <c r="E3189" s="0"/>
      <c r="F3189" s="0"/>
      <c r="G3189" s="0"/>
      <c r="H3189" s="0"/>
      <c r="I3189" s="0"/>
      <c r="J3189" s="0"/>
      <c r="K3189" s="0"/>
      <c r="L3189" s="0"/>
      <c r="M3189" s="0"/>
      <c r="N3189" s="0"/>
    </row>
    <row r="3190" customFormat="false" ht="12.8" hidden="false" customHeight="false" outlineLevel="0" collapsed="false">
      <c r="A3190" s="0"/>
      <c r="B3190" s="0"/>
      <c r="C3190" s="0"/>
      <c r="D3190" s="0"/>
      <c r="E3190" s="0"/>
      <c r="F3190" s="0"/>
      <c r="G3190" s="0"/>
      <c r="H3190" s="0"/>
      <c r="I3190" s="0"/>
      <c r="J3190" s="0"/>
      <c r="K3190" s="0"/>
      <c r="L3190" s="0"/>
      <c r="M3190" s="0"/>
      <c r="N3190" s="0"/>
    </row>
    <row r="3191" customFormat="false" ht="12.8" hidden="false" customHeight="false" outlineLevel="0" collapsed="false">
      <c r="A3191" s="0"/>
      <c r="B3191" s="0"/>
      <c r="C3191" s="0"/>
      <c r="D3191" s="0"/>
      <c r="E3191" s="0"/>
      <c r="F3191" s="0"/>
      <c r="G3191" s="0"/>
      <c r="H3191" s="0"/>
      <c r="I3191" s="0"/>
      <c r="J3191" s="0"/>
      <c r="K3191" s="0"/>
      <c r="L3191" s="0"/>
      <c r="M3191" s="0"/>
      <c r="N3191" s="0"/>
    </row>
    <row r="3192" customFormat="false" ht="12.8" hidden="false" customHeight="false" outlineLevel="0" collapsed="false">
      <c r="A3192" s="0"/>
      <c r="B3192" s="0"/>
      <c r="C3192" s="0"/>
      <c r="D3192" s="0"/>
      <c r="E3192" s="0"/>
      <c r="F3192" s="0"/>
      <c r="G3192" s="0"/>
      <c r="H3192" s="0"/>
      <c r="I3192" s="0"/>
      <c r="J3192" s="0"/>
      <c r="K3192" s="0"/>
      <c r="L3192" s="0"/>
      <c r="M3192" s="0"/>
      <c r="N3192" s="0"/>
    </row>
    <row r="3193" customFormat="false" ht="12.8" hidden="false" customHeight="false" outlineLevel="0" collapsed="false">
      <c r="A3193" s="0"/>
      <c r="B3193" s="0"/>
      <c r="C3193" s="0"/>
      <c r="D3193" s="0"/>
      <c r="E3193" s="0"/>
      <c r="F3193" s="0"/>
      <c r="G3193" s="0"/>
      <c r="H3193" s="0"/>
      <c r="I3193" s="0"/>
      <c r="J3193" s="0"/>
      <c r="K3193" s="0"/>
      <c r="L3193" s="0"/>
      <c r="M3193" s="0"/>
      <c r="N3193" s="0"/>
    </row>
    <row r="3194" customFormat="false" ht="12.8" hidden="false" customHeight="false" outlineLevel="0" collapsed="false">
      <c r="A3194" s="0"/>
      <c r="B3194" s="0"/>
      <c r="C3194" s="0"/>
      <c r="D3194" s="0"/>
      <c r="E3194" s="0"/>
      <c r="F3194" s="0"/>
      <c r="G3194" s="0"/>
      <c r="H3194" s="0"/>
      <c r="I3194" s="0"/>
      <c r="J3194" s="0"/>
      <c r="K3194" s="0"/>
      <c r="L3194" s="0"/>
      <c r="M3194" s="0"/>
      <c r="N3194" s="0"/>
    </row>
    <row r="3195" customFormat="false" ht="12.8" hidden="false" customHeight="false" outlineLevel="0" collapsed="false">
      <c r="A3195" s="0"/>
      <c r="B3195" s="0"/>
      <c r="C3195" s="0"/>
      <c r="D3195" s="0"/>
      <c r="E3195" s="0"/>
      <c r="F3195" s="0"/>
      <c r="G3195" s="0"/>
      <c r="H3195" s="0"/>
      <c r="I3195" s="0"/>
      <c r="J3195" s="0"/>
      <c r="K3195" s="0"/>
      <c r="L3195" s="0"/>
      <c r="M3195" s="0"/>
      <c r="N3195" s="0"/>
    </row>
    <row r="3196" customFormat="false" ht="12.8" hidden="false" customHeight="false" outlineLevel="0" collapsed="false">
      <c r="A3196" s="0"/>
      <c r="B3196" s="0"/>
      <c r="C3196" s="0"/>
      <c r="D3196" s="0"/>
      <c r="E3196" s="0"/>
      <c r="F3196" s="0"/>
      <c r="G3196" s="0"/>
      <c r="H3196" s="0"/>
      <c r="I3196" s="0"/>
      <c r="J3196" s="0"/>
      <c r="K3196" s="0"/>
      <c r="L3196" s="0"/>
      <c r="M3196" s="0"/>
      <c r="N3196" s="0"/>
    </row>
    <row r="3197" customFormat="false" ht="12.8" hidden="false" customHeight="false" outlineLevel="0" collapsed="false">
      <c r="A3197" s="0"/>
      <c r="B3197" s="0"/>
      <c r="C3197" s="0"/>
      <c r="D3197" s="0"/>
      <c r="E3197" s="0"/>
      <c r="F3197" s="0"/>
      <c r="G3197" s="0"/>
      <c r="H3197" s="0"/>
      <c r="I3197" s="0"/>
      <c r="J3197" s="0"/>
      <c r="K3197" s="0"/>
      <c r="L3197" s="0"/>
      <c r="M3197" s="0"/>
      <c r="N3197" s="0"/>
    </row>
    <row r="3198" customFormat="false" ht="12.8" hidden="false" customHeight="false" outlineLevel="0" collapsed="false">
      <c r="A3198" s="0"/>
      <c r="B3198" s="0"/>
      <c r="C3198" s="0"/>
      <c r="D3198" s="0"/>
      <c r="E3198" s="0"/>
      <c r="F3198" s="0"/>
      <c r="G3198" s="0"/>
      <c r="H3198" s="0"/>
      <c r="I3198" s="0"/>
      <c r="J3198" s="0"/>
      <c r="K3198" s="0"/>
      <c r="L3198" s="0"/>
      <c r="M3198" s="0"/>
      <c r="N3198" s="0"/>
    </row>
    <row r="3199" customFormat="false" ht="12.8" hidden="false" customHeight="false" outlineLevel="0" collapsed="false">
      <c r="A3199" s="0"/>
      <c r="B3199" s="0"/>
      <c r="C3199" s="0"/>
      <c r="D3199" s="0"/>
      <c r="E3199" s="0"/>
      <c r="F3199" s="0"/>
      <c r="G3199" s="0"/>
      <c r="H3199" s="0"/>
      <c r="I3199" s="0"/>
      <c r="J3199" s="0"/>
      <c r="K3199" s="0"/>
      <c r="L3199" s="0"/>
      <c r="M3199" s="0"/>
      <c r="N3199" s="0"/>
    </row>
    <row r="3200" customFormat="false" ht="12.8" hidden="false" customHeight="false" outlineLevel="0" collapsed="false">
      <c r="A3200" s="0"/>
      <c r="B3200" s="0"/>
      <c r="C3200" s="0"/>
      <c r="D3200" s="0"/>
      <c r="E3200" s="0"/>
      <c r="F3200" s="0"/>
      <c r="G3200" s="0"/>
      <c r="H3200" s="0"/>
      <c r="I3200" s="0"/>
      <c r="J3200" s="0"/>
      <c r="K3200" s="0"/>
      <c r="L3200" s="0"/>
      <c r="M3200" s="0"/>
      <c r="N3200" s="0"/>
    </row>
    <row r="3201" customFormat="false" ht="12.8" hidden="false" customHeight="false" outlineLevel="0" collapsed="false">
      <c r="A3201" s="0"/>
      <c r="B3201" s="0"/>
      <c r="C3201" s="0"/>
      <c r="D3201" s="0"/>
      <c r="E3201" s="0"/>
      <c r="F3201" s="0"/>
      <c r="G3201" s="0"/>
      <c r="H3201" s="0"/>
      <c r="I3201" s="0"/>
      <c r="J3201" s="0"/>
      <c r="K3201" s="0"/>
      <c r="L3201" s="0"/>
      <c r="M3201" s="0"/>
      <c r="N3201" s="0"/>
    </row>
    <row r="3202" customFormat="false" ht="12.8" hidden="false" customHeight="false" outlineLevel="0" collapsed="false">
      <c r="A3202" s="0"/>
      <c r="B3202" s="0"/>
      <c r="C3202" s="0"/>
      <c r="D3202" s="0"/>
      <c r="E3202" s="0"/>
      <c r="F3202" s="0"/>
      <c r="G3202" s="0"/>
      <c r="H3202" s="0"/>
      <c r="I3202" s="0"/>
      <c r="J3202" s="0"/>
      <c r="K3202" s="0"/>
      <c r="L3202" s="0"/>
      <c r="M3202" s="0"/>
      <c r="N3202" s="0"/>
    </row>
    <row r="3203" customFormat="false" ht="12.8" hidden="false" customHeight="false" outlineLevel="0" collapsed="false">
      <c r="A3203" s="0"/>
      <c r="B3203" s="0"/>
      <c r="C3203" s="0"/>
      <c r="D3203" s="0"/>
      <c r="E3203" s="0"/>
      <c r="F3203" s="0"/>
      <c r="G3203" s="0"/>
      <c r="H3203" s="0"/>
      <c r="I3203" s="0"/>
      <c r="J3203" s="0"/>
      <c r="K3203" s="0"/>
      <c r="L3203" s="0"/>
      <c r="M3203" s="0"/>
      <c r="N3203" s="0"/>
    </row>
    <row r="3204" customFormat="false" ht="12.8" hidden="false" customHeight="false" outlineLevel="0" collapsed="false">
      <c r="A3204" s="0"/>
      <c r="B3204" s="0"/>
      <c r="C3204" s="0"/>
      <c r="D3204" s="0"/>
      <c r="E3204" s="0"/>
      <c r="F3204" s="0"/>
      <c r="G3204" s="0"/>
      <c r="H3204" s="0"/>
      <c r="I3204" s="0"/>
      <c r="J3204" s="0"/>
      <c r="K3204" s="0"/>
      <c r="L3204" s="0"/>
      <c r="M3204" s="0"/>
      <c r="N3204" s="0"/>
    </row>
    <row r="3205" customFormat="false" ht="12.8" hidden="false" customHeight="false" outlineLevel="0" collapsed="false">
      <c r="A3205" s="0"/>
      <c r="B3205" s="0"/>
      <c r="C3205" s="0"/>
      <c r="D3205" s="0"/>
      <c r="E3205" s="0"/>
      <c r="F3205" s="0"/>
      <c r="G3205" s="0"/>
      <c r="H3205" s="0"/>
      <c r="I3205" s="0"/>
      <c r="J3205" s="0"/>
      <c r="K3205" s="0"/>
      <c r="L3205" s="0"/>
      <c r="M3205" s="0"/>
      <c r="N3205" s="0"/>
    </row>
    <row r="3206" customFormat="false" ht="12.8" hidden="false" customHeight="false" outlineLevel="0" collapsed="false">
      <c r="A3206" s="0"/>
      <c r="B3206" s="0"/>
      <c r="C3206" s="0"/>
      <c r="D3206" s="0"/>
      <c r="E3206" s="0"/>
      <c r="F3206" s="0"/>
      <c r="G3206" s="0"/>
      <c r="H3206" s="0"/>
      <c r="I3206" s="0"/>
      <c r="J3206" s="0"/>
      <c r="K3206" s="0"/>
      <c r="L3206" s="0"/>
      <c r="M3206" s="0"/>
      <c r="N3206" s="0"/>
    </row>
    <row r="3207" customFormat="false" ht="12.8" hidden="false" customHeight="false" outlineLevel="0" collapsed="false">
      <c r="A3207" s="0"/>
      <c r="B3207" s="0"/>
      <c r="C3207" s="0"/>
      <c r="D3207" s="0"/>
      <c r="E3207" s="0"/>
      <c r="F3207" s="0"/>
      <c r="G3207" s="0"/>
      <c r="H3207" s="0"/>
      <c r="I3207" s="0"/>
      <c r="J3207" s="0"/>
      <c r="K3207" s="0"/>
      <c r="L3207" s="0"/>
      <c r="M3207" s="0"/>
      <c r="N3207" s="0"/>
    </row>
    <row r="3208" customFormat="false" ht="12.8" hidden="false" customHeight="false" outlineLevel="0" collapsed="false">
      <c r="A3208" s="0"/>
      <c r="B3208" s="0"/>
      <c r="C3208" s="0"/>
      <c r="D3208" s="0"/>
      <c r="E3208" s="0"/>
      <c r="F3208" s="0"/>
      <c r="G3208" s="0"/>
      <c r="H3208" s="0"/>
      <c r="I3208" s="0"/>
      <c r="J3208" s="0"/>
      <c r="K3208" s="0"/>
      <c r="L3208" s="0"/>
      <c r="M3208" s="0"/>
      <c r="N3208" s="0"/>
    </row>
    <row r="3209" customFormat="false" ht="12.8" hidden="false" customHeight="false" outlineLevel="0" collapsed="false">
      <c r="A3209" s="0"/>
      <c r="B3209" s="0"/>
      <c r="C3209" s="0"/>
      <c r="D3209" s="0"/>
      <c r="E3209" s="0"/>
      <c r="F3209" s="0"/>
      <c r="G3209" s="0"/>
      <c r="H3209" s="0"/>
      <c r="I3209" s="0"/>
      <c r="J3209" s="0"/>
      <c r="K3209" s="0"/>
      <c r="L3209" s="0"/>
      <c r="M3209" s="0"/>
      <c r="N3209" s="0"/>
    </row>
    <row r="3210" customFormat="false" ht="12.8" hidden="false" customHeight="false" outlineLevel="0" collapsed="false">
      <c r="A3210" s="0"/>
      <c r="B3210" s="0"/>
      <c r="C3210" s="0"/>
      <c r="D3210" s="0"/>
      <c r="E3210" s="0"/>
      <c r="F3210" s="0"/>
      <c r="G3210" s="0"/>
      <c r="H3210" s="0"/>
      <c r="I3210" s="0"/>
      <c r="J3210" s="0"/>
      <c r="K3210" s="0"/>
      <c r="L3210" s="0"/>
      <c r="M3210" s="0"/>
      <c r="N3210" s="0"/>
    </row>
    <row r="3211" customFormat="false" ht="12.8" hidden="false" customHeight="false" outlineLevel="0" collapsed="false">
      <c r="A3211" s="0"/>
      <c r="B3211" s="0"/>
      <c r="C3211" s="0"/>
      <c r="D3211" s="0"/>
      <c r="E3211" s="0"/>
      <c r="F3211" s="0"/>
      <c r="G3211" s="0"/>
      <c r="H3211" s="0"/>
      <c r="I3211" s="0"/>
      <c r="J3211" s="0"/>
      <c r="K3211" s="0"/>
      <c r="L3211" s="0"/>
      <c r="M3211" s="0"/>
      <c r="N3211" s="0"/>
    </row>
    <row r="3212" customFormat="false" ht="12.8" hidden="false" customHeight="false" outlineLevel="0" collapsed="false">
      <c r="A3212" s="0"/>
      <c r="B3212" s="0"/>
      <c r="C3212" s="0"/>
      <c r="D3212" s="0"/>
      <c r="E3212" s="0"/>
      <c r="F3212" s="0"/>
      <c r="G3212" s="0"/>
      <c r="H3212" s="0"/>
      <c r="I3212" s="0"/>
      <c r="J3212" s="0"/>
      <c r="K3212" s="0"/>
      <c r="L3212" s="0"/>
      <c r="M3212" s="0"/>
      <c r="N3212" s="0"/>
    </row>
    <row r="3213" customFormat="false" ht="12.8" hidden="false" customHeight="false" outlineLevel="0" collapsed="false">
      <c r="A3213" s="0"/>
      <c r="B3213" s="0"/>
      <c r="C3213" s="0"/>
      <c r="D3213" s="0"/>
      <c r="E3213" s="0"/>
      <c r="F3213" s="0"/>
      <c r="G3213" s="0"/>
      <c r="H3213" s="0"/>
      <c r="I3213" s="0"/>
      <c r="J3213" s="0"/>
      <c r="K3213" s="0"/>
      <c r="L3213" s="0"/>
      <c r="M3213" s="0"/>
      <c r="N3213" s="0"/>
    </row>
    <row r="3214" customFormat="false" ht="12.8" hidden="false" customHeight="false" outlineLevel="0" collapsed="false">
      <c r="A3214" s="0"/>
      <c r="B3214" s="0"/>
      <c r="C3214" s="0"/>
      <c r="D3214" s="0"/>
      <c r="E3214" s="0"/>
      <c r="F3214" s="0"/>
      <c r="G3214" s="0"/>
      <c r="H3214" s="0"/>
      <c r="I3214" s="0"/>
      <c r="J3214" s="0"/>
      <c r="K3214" s="0"/>
      <c r="L3214" s="0"/>
      <c r="M3214" s="0"/>
      <c r="N3214" s="0"/>
    </row>
    <row r="3215" customFormat="false" ht="12.8" hidden="false" customHeight="false" outlineLevel="0" collapsed="false">
      <c r="A3215" s="0"/>
      <c r="B3215" s="0"/>
      <c r="C3215" s="0"/>
      <c r="D3215" s="0"/>
      <c r="E3215" s="0"/>
      <c r="F3215" s="0"/>
      <c r="G3215" s="0"/>
      <c r="H3215" s="0"/>
      <c r="I3215" s="0"/>
      <c r="J3215" s="0"/>
      <c r="K3215" s="0"/>
      <c r="L3215" s="0"/>
      <c r="M3215" s="0"/>
      <c r="N3215" s="0"/>
    </row>
    <row r="3216" customFormat="false" ht="12.8" hidden="false" customHeight="false" outlineLevel="0" collapsed="false">
      <c r="A3216" s="0"/>
      <c r="B3216" s="0"/>
      <c r="C3216" s="0"/>
      <c r="D3216" s="0"/>
      <c r="E3216" s="0"/>
      <c r="F3216" s="0"/>
      <c r="G3216" s="0"/>
      <c r="H3216" s="0"/>
      <c r="I3216" s="0"/>
      <c r="J3216" s="0"/>
      <c r="K3216" s="0"/>
      <c r="L3216" s="0"/>
      <c r="M3216" s="0"/>
      <c r="N3216" s="0"/>
    </row>
    <row r="3217" customFormat="false" ht="12.8" hidden="false" customHeight="false" outlineLevel="0" collapsed="false">
      <c r="A3217" s="0"/>
      <c r="B3217" s="0"/>
      <c r="C3217" s="0"/>
      <c r="D3217" s="0"/>
      <c r="E3217" s="0"/>
      <c r="F3217" s="0"/>
      <c r="G3217" s="0"/>
      <c r="H3217" s="0"/>
      <c r="I3217" s="0"/>
      <c r="J3217" s="0"/>
      <c r="K3217" s="0"/>
      <c r="L3217" s="0"/>
      <c r="M3217" s="0"/>
      <c r="N3217" s="0"/>
    </row>
    <row r="3218" customFormat="false" ht="12.8" hidden="false" customHeight="false" outlineLevel="0" collapsed="false">
      <c r="A3218" s="0"/>
      <c r="B3218" s="0"/>
      <c r="C3218" s="0"/>
      <c r="D3218" s="0"/>
      <c r="E3218" s="0"/>
      <c r="F3218" s="0"/>
      <c r="G3218" s="0"/>
      <c r="H3218" s="0"/>
      <c r="I3218" s="0"/>
      <c r="J3218" s="0"/>
      <c r="K3218" s="0"/>
      <c r="L3218" s="0"/>
      <c r="M3218" s="0"/>
      <c r="N3218" s="0"/>
    </row>
    <row r="3219" customFormat="false" ht="12.8" hidden="false" customHeight="false" outlineLevel="0" collapsed="false">
      <c r="A3219" s="0"/>
      <c r="B3219" s="0"/>
      <c r="C3219" s="0"/>
      <c r="D3219" s="0"/>
      <c r="E3219" s="0"/>
      <c r="F3219" s="0"/>
      <c r="G3219" s="0"/>
      <c r="H3219" s="0"/>
      <c r="I3219" s="0"/>
      <c r="J3219" s="0"/>
      <c r="K3219" s="0"/>
      <c r="L3219" s="0"/>
      <c r="M3219" s="0"/>
      <c r="N3219" s="0"/>
    </row>
    <row r="3220" customFormat="false" ht="12.8" hidden="false" customHeight="false" outlineLevel="0" collapsed="false">
      <c r="A3220" s="0"/>
      <c r="B3220" s="0"/>
      <c r="C3220" s="0"/>
      <c r="D3220" s="0"/>
      <c r="E3220" s="0"/>
      <c r="F3220" s="0"/>
      <c r="G3220" s="0"/>
      <c r="H3220" s="0"/>
      <c r="I3220" s="0"/>
      <c r="J3220" s="0"/>
      <c r="K3220" s="0"/>
      <c r="L3220" s="0"/>
      <c r="M3220" s="0"/>
      <c r="N3220" s="0"/>
    </row>
    <row r="3221" customFormat="false" ht="12.8" hidden="false" customHeight="false" outlineLevel="0" collapsed="false">
      <c r="A3221" s="0"/>
      <c r="B3221" s="0"/>
      <c r="C3221" s="0"/>
      <c r="D3221" s="0"/>
      <c r="E3221" s="0"/>
      <c r="F3221" s="0"/>
      <c r="G3221" s="0"/>
      <c r="H3221" s="0"/>
      <c r="I3221" s="0"/>
      <c r="J3221" s="0"/>
      <c r="K3221" s="0"/>
      <c r="L3221" s="0"/>
      <c r="M3221" s="0"/>
      <c r="N3221" s="0"/>
    </row>
    <row r="3222" customFormat="false" ht="12.8" hidden="false" customHeight="false" outlineLevel="0" collapsed="false">
      <c r="A3222" s="0"/>
      <c r="B3222" s="0"/>
      <c r="C3222" s="0"/>
      <c r="D3222" s="0"/>
      <c r="E3222" s="0"/>
      <c r="F3222" s="0"/>
      <c r="G3222" s="0"/>
      <c r="H3222" s="0"/>
      <c r="I3222" s="0"/>
      <c r="J3222" s="0"/>
      <c r="K3222" s="0"/>
      <c r="L3222" s="0"/>
      <c r="M3222" s="0"/>
      <c r="N3222" s="0"/>
    </row>
    <row r="3223" customFormat="false" ht="12.8" hidden="false" customHeight="false" outlineLevel="0" collapsed="false">
      <c r="A3223" s="0"/>
      <c r="B3223" s="0"/>
      <c r="C3223" s="0"/>
      <c r="D3223" s="0"/>
      <c r="E3223" s="0"/>
      <c r="F3223" s="0"/>
      <c r="G3223" s="0"/>
      <c r="H3223" s="0"/>
      <c r="I3223" s="0"/>
      <c r="J3223" s="0"/>
      <c r="K3223" s="0"/>
      <c r="L3223" s="0"/>
      <c r="M3223" s="0"/>
      <c r="N3223" s="0"/>
    </row>
    <row r="3224" customFormat="false" ht="12.8" hidden="false" customHeight="false" outlineLevel="0" collapsed="false">
      <c r="A3224" s="0"/>
      <c r="B3224" s="0"/>
      <c r="C3224" s="0"/>
      <c r="D3224" s="0"/>
      <c r="E3224" s="0"/>
      <c r="F3224" s="0"/>
      <c r="G3224" s="0"/>
      <c r="H3224" s="0"/>
      <c r="I3224" s="0"/>
      <c r="J3224" s="0"/>
      <c r="K3224" s="0"/>
      <c r="L3224" s="0"/>
      <c r="M3224" s="0"/>
      <c r="N3224" s="0"/>
    </row>
    <row r="3225" customFormat="false" ht="12.8" hidden="false" customHeight="false" outlineLevel="0" collapsed="false">
      <c r="A3225" s="0"/>
      <c r="B3225" s="0"/>
      <c r="C3225" s="0"/>
      <c r="D3225" s="0"/>
      <c r="E3225" s="0"/>
      <c r="F3225" s="0"/>
      <c r="G3225" s="0"/>
      <c r="H3225" s="0"/>
      <c r="I3225" s="0"/>
      <c r="J3225" s="0"/>
      <c r="K3225" s="0"/>
      <c r="L3225" s="0"/>
      <c r="M3225" s="0"/>
      <c r="N3225" s="0"/>
    </row>
    <row r="3226" customFormat="false" ht="12.8" hidden="false" customHeight="false" outlineLevel="0" collapsed="false">
      <c r="A3226" s="0"/>
      <c r="B3226" s="0"/>
      <c r="C3226" s="0"/>
      <c r="D3226" s="0"/>
      <c r="E3226" s="0"/>
      <c r="F3226" s="0"/>
      <c r="G3226" s="0"/>
      <c r="H3226" s="0"/>
      <c r="I3226" s="0"/>
      <c r="J3226" s="0"/>
      <c r="K3226" s="0"/>
      <c r="L3226" s="0"/>
      <c r="M3226" s="0"/>
      <c r="N3226" s="0"/>
    </row>
    <row r="3227" customFormat="false" ht="12.8" hidden="false" customHeight="false" outlineLevel="0" collapsed="false">
      <c r="A3227" s="0"/>
      <c r="B3227" s="0"/>
      <c r="C3227" s="0"/>
      <c r="D3227" s="0"/>
      <c r="E3227" s="0"/>
      <c r="F3227" s="0"/>
      <c r="G3227" s="0"/>
      <c r="H3227" s="0"/>
      <c r="I3227" s="0"/>
      <c r="J3227" s="0"/>
      <c r="K3227" s="0"/>
      <c r="L3227" s="0"/>
      <c r="M3227" s="0"/>
      <c r="N3227" s="0"/>
    </row>
    <row r="3228" customFormat="false" ht="12.8" hidden="false" customHeight="false" outlineLevel="0" collapsed="false">
      <c r="A3228" s="0"/>
      <c r="B3228" s="0"/>
      <c r="C3228" s="0"/>
      <c r="D3228" s="0"/>
      <c r="E3228" s="0"/>
      <c r="F3228" s="0"/>
      <c r="G3228" s="0"/>
      <c r="H3228" s="0"/>
      <c r="I3228" s="0"/>
      <c r="J3228" s="0"/>
      <c r="K3228" s="0"/>
      <c r="L3228" s="0"/>
      <c r="M3228" s="0"/>
      <c r="N3228" s="0"/>
    </row>
    <row r="3229" customFormat="false" ht="12.8" hidden="false" customHeight="false" outlineLevel="0" collapsed="false">
      <c r="A3229" s="0"/>
      <c r="B3229" s="0"/>
      <c r="C3229" s="0"/>
      <c r="D3229" s="0"/>
      <c r="E3229" s="0"/>
      <c r="F3229" s="0"/>
      <c r="G3229" s="0"/>
      <c r="H3229" s="0"/>
      <c r="I3229" s="0"/>
      <c r="J3229" s="0"/>
      <c r="K3229" s="0"/>
      <c r="L3229" s="0"/>
      <c r="M3229" s="0"/>
      <c r="N3229" s="0"/>
    </row>
    <row r="3230" customFormat="false" ht="12.8" hidden="false" customHeight="false" outlineLevel="0" collapsed="false">
      <c r="A3230" s="0"/>
      <c r="B3230" s="0"/>
      <c r="C3230" s="0"/>
      <c r="D3230" s="0"/>
      <c r="E3230" s="0"/>
      <c r="F3230" s="0"/>
      <c r="G3230" s="0"/>
      <c r="H3230" s="0"/>
      <c r="I3230" s="0"/>
      <c r="J3230" s="0"/>
      <c r="K3230" s="0"/>
      <c r="L3230" s="0"/>
      <c r="M3230" s="0"/>
      <c r="N3230" s="0"/>
    </row>
    <row r="3231" customFormat="false" ht="12.8" hidden="false" customHeight="false" outlineLevel="0" collapsed="false">
      <c r="A3231" s="0"/>
      <c r="B3231" s="0"/>
      <c r="C3231" s="0"/>
      <c r="D3231" s="0"/>
      <c r="E3231" s="0"/>
      <c r="F3231" s="0"/>
      <c r="G3231" s="0"/>
      <c r="H3231" s="0"/>
      <c r="I3231" s="0"/>
      <c r="J3231" s="0"/>
      <c r="K3231" s="0"/>
      <c r="L3231" s="0"/>
      <c r="M3231" s="0"/>
      <c r="N3231" s="0"/>
    </row>
    <row r="3232" customFormat="false" ht="12.8" hidden="false" customHeight="false" outlineLevel="0" collapsed="false">
      <c r="A3232" s="0"/>
      <c r="B3232" s="0"/>
      <c r="C3232" s="0"/>
      <c r="D3232" s="0"/>
      <c r="E3232" s="0"/>
      <c r="F3232" s="0"/>
      <c r="G3232" s="0"/>
      <c r="H3232" s="0"/>
      <c r="I3232" s="0"/>
      <c r="J3232" s="0"/>
      <c r="K3232" s="0"/>
      <c r="L3232" s="0"/>
      <c r="M3232" s="0"/>
      <c r="N3232" s="0"/>
    </row>
    <row r="3233" customFormat="false" ht="12.8" hidden="false" customHeight="false" outlineLevel="0" collapsed="false">
      <c r="A3233" s="0"/>
      <c r="B3233" s="0"/>
      <c r="C3233" s="0"/>
      <c r="D3233" s="0"/>
      <c r="E3233" s="0"/>
      <c r="F3233" s="0"/>
      <c r="G3233" s="0"/>
      <c r="H3233" s="0"/>
      <c r="I3233" s="0"/>
      <c r="J3233" s="0"/>
      <c r="K3233" s="0"/>
      <c r="L3233" s="0"/>
      <c r="M3233" s="0"/>
      <c r="N3233" s="0"/>
    </row>
    <row r="3234" customFormat="false" ht="12.8" hidden="false" customHeight="false" outlineLevel="0" collapsed="false">
      <c r="A3234" s="0"/>
      <c r="B3234" s="0"/>
      <c r="C3234" s="0"/>
      <c r="D3234" s="0"/>
      <c r="E3234" s="0"/>
      <c r="F3234" s="0"/>
      <c r="G3234" s="0"/>
      <c r="H3234" s="0"/>
      <c r="I3234" s="0"/>
      <c r="J3234" s="0"/>
      <c r="K3234" s="0"/>
      <c r="L3234" s="0"/>
      <c r="M3234" s="0"/>
      <c r="N3234" s="0"/>
    </row>
    <row r="3235" customFormat="false" ht="12.8" hidden="false" customHeight="false" outlineLevel="0" collapsed="false">
      <c r="A3235" s="0"/>
      <c r="B3235" s="0"/>
      <c r="C3235" s="0"/>
      <c r="D3235" s="0"/>
      <c r="E3235" s="0"/>
      <c r="F3235" s="0"/>
      <c r="G3235" s="0"/>
      <c r="H3235" s="0"/>
      <c r="I3235" s="0"/>
      <c r="J3235" s="0"/>
      <c r="K3235" s="0"/>
      <c r="L3235" s="0"/>
      <c r="M3235" s="0"/>
      <c r="N3235" s="0"/>
    </row>
    <row r="3236" customFormat="false" ht="12.8" hidden="false" customHeight="false" outlineLevel="0" collapsed="false">
      <c r="A3236" s="0"/>
      <c r="B3236" s="0"/>
      <c r="C3236" s="0"/>
      <c r="D3236" s="0"/>
      <c r="E3236" s="0"/>
      <c r="F3236" s="0"/>
      <c r="G3236" s="0"/>
      <c r="H3236" s="0"/>
      <c r="I3236" s="0"/>
      <c r="J3236" s="0"/>
      <c r="K3236" s="0"/>
      <c r="L3236" s="0"/>
      <c r="M3236" s="0"/>
      <c r="N3236" s="0"/>
    </row>
    <row r="3237" customFormat="false" ht="12.8" hidden="false" customHeight="false" outlineLevel="0" collapsed="false">
      <c r="A3237" s="0"/>
      <c r="B3237" s="0"/>
      <c r="C3237" s="0"/>
      <c r="D3237" s="0"/>
      <c r="E3237" s="0"/>
      <c r="F3237" s="0"/>
      <c r="G3237" s="0"/>
      <c r="H3237" s="0"/>
      <c r="I3237" s="0"/>
      <c r="J3237" s="0"/>
      <c r="K3237" s="0"/>
      <c r="L3237" s="0"/>
      <c r="M3237" s="0"/>
      <c r="N3237" s="0"/>
    </row>
    <row r="3238" customFormat="false" ht="12.8" hidden="false" customHeight="false" outlineLevel="0" collapsed="false">
      <c r="A3238" s="0"/>
      <c r="B3238" s="0"/>
      <c r="C3238" s="0"/>
      <c r="D3238" s="0"/>
      <c r="E3238" s="0"/>
      <c r="F3238" s="0"/>
      <c r="G3238" s="0"/>
      <c r="H3238" s="0"/>
      <c r="I3238" s="0"/>
      <c r="J3238" s="0"/>
      <c r="K3238" s="0"/>
      <c r="L3238" s="0"/>
      <c r="M3238" s="0"/>
      <c r="N3238" s="0"/>
    </row>
    <row r="3239" customFormat="false" ht="12.8" hidden="false" customHeight="false" outlineLevel="0" collapsed="false">
      <c r="A3239" s="0"/>
      <c r="B3239" s="0"/>
      <c r="C3239" s="0"/>
      <c r="D3239" s="0"/>
      <c r="E3239" s="0"/>
      <c r="F3239" s="0"/>
      <c r="G3239" s="0"/>
      <c r="H3239" s="0"/>
      <c r="I3239" s="0"/>
      <c r="J3239" s="0"/>
      <c r="K3239" s="0"/>
      <c r="L3239" s="0"/>
      <c r="M3239" s="0"/>
      <c r="N3239" s="0"/>
    </row>
    <row r="3240" customFormat="false" ht="12.8" hidden="false" customHeight="false" outlineLevel="0" collapsed="false">
      <c r="A3240" s="0"/>
      <c r="B3240" s="0"/>
      <c r="C3240" s="0"/>
      <c r="D3240" s="0"/>
      <c r="E3240" s="0"/>
      <c r="F3240" s="0"/>
      <c r="G3240" s="0"/>
      <c r="H3240" s="0"/>
      <c r="I3240" s="0"/>
      <c r="J3240" s="0"/>
      <c r="K3240" s="0"/>
      <c r="L3240" s="0"/>
      <c r="M3240" s="0"/>
      <c r="N3240" s="0"/>
    </row>
    <row r="3241" customFormat="false" ht="12.8" hidden="false" customHeight="false" outlineLevel="0" collapsed="false">
      <c r="A3241" s="0"/>
      <c r="B3241" s="0"/>
      <c r="C3241" s="0"/>
      <c r="D3241" s="0"/>
      <c r="E3241" s="0"/>
      <c r="F3241" s="0"/>
      <c r="G3241" s="0"/>
      <c r="H3241" s="0"/>
      <c r="I3241" s="0"/>
      <c r="J3241" s="0"/>
      <c r="K3241" s="0"/>
      <c r="L3241" s="0"/>
      <c r="M3241" s="0"/>
      <c r="N3241" s="0"/>
    </row>
    <row r="3242" customFormat="false" ht="12.8" hidden="false" customHeight="false" outlineLevel="0" collapsed="false">
      <c r="A3242" s="0"/>
      <c r="B3242" s="0"/>
      <c r="C3242" s="0"/>
      <c r="D3242" s="0"/>
      <c r="E3242" s="0"/>
      <c r="F3242" s="0"/>
      <c r="G3242" s="0"/>
      <c r="H3242" s="0"/>
      <c r="I3242" s="0"/>
      <c r="J3242" s="0"/>
      <c r="K3242" s="0"/>
      <c r="L3242" s="0"/>
      <c r="M3242" s="0"/>
      <c r="N3242" s="0"/>
    </row>
    <row r="3243" customFormat="false" ht="12.8" hidden="false" customHeight="false" outlineLevel="0" collapsed="false">
      <c r="A3243" s="0"/>
      <c r="B3243" s="0"/>
      <c r="C3243" s="0"/>
      <c r="D3243" s="0"/>
      <c r="E3243" s="0"/>
      <c r="F3243" s="0"/>
      <c r="G3243" s="0"/>
      <c r="H3243" s="0"/>
      <c r="I3243" s="0"/>
      <c r="J3243" s="0"/>
      <c r="K3243" s="0"/>
      <c r="L3243" s="0"/>
      <c r="M3243" s="0"/>
      <c r="N3243" s="0"/>
    </row>
    <row r="3244" customFormat="false" ht="12.8" hidden="false" customHeight="false" outlineLevel="0" collapsed="false">
      <c r="A3244" s="0"/>
      <c r="B3244" s="0"/>
      <c r="C3244" s="0"/>
      <c r="D3244" s="0"/>
      <c r="E3244" s="0"/>
      <c r="F3244" s="0"/>
      <c r="G3244" s="0"/>
      <c r="H3244" s="0"/>
      <c r="I3244" s="0"/>
      <c r="J3244" s="0"/>
      <c r="K3244" s="0"/>
      <c r="L3244" s="0"/>
      <c r="M3244" s="0"/>
      <c r="N3244" s="0"/>
    </row>
    <row r="3245" customFormat="false" ht="12.8" hidden="false" customHeight="false" outlineLevel="0" collapsed="false">
      <c r="A3245" s="0"/>
      <c r="B3245" s="0"/>
      <c r="C3245" s="0"/>
      <c r="D3245" s="0"/>
      <c r="E3245" s="0"/>
      <c r="F3245" s="0"/>
      <c r="G3245" s="0"/>
      <c r="H3245" s="0"/>
      <c r="I3245" s="0"/>
      <c r="J3245" s="0"/>
      <c r="K3245" s="0"/>
      <c r="L3245" s="0"/>
      <c r="M3245" s="0"/>
      <c r="N3245" s="0"/>
    </row>
    <row r="3246" customFormat="false" ht="12.8" hidden="false" customHeight="false" outlineLevel="0" collapsed="false">
      <c r="A3246" s="0"/>
      <c r="B3246" s="0"/>
      <c r="C3246" s="0"/>
      <c r="D3246" s="0"/>
      <c r="E3246" s="0"/>
      <c r="F3246" s="0"/>
      <c r="G3246" s="0"/>
      <c r="H3246" s="0"/>
      <c r="I3246" s="0"/>
      <c r="J3246" s="0"/>
      <c r="K3246" s="0"/>
      <c r="L3246" s="0"/>
      <c r="M3246" s="0"/>
      <c r="N3246" s="0"/>
    </row>
    <row r="3247" customFormat="false" ht="12.8" hidden="false" customHeight="false" outlineLevel="0" collapsed="false">
      <c r="A3247" s="0"/>
      <c r="B3247" s="0"/>
      <c r="C3247" s="0"/>
      <c r="D3247" s="0"/>
      <c r="E3247" s="0"/>
      <c r="F3247" s="0"/>
      <c r="G3247" s="0"/>
      <c r="H3247" s="0"/>
      <c r="I3247" s="0"/>
      <c r="J3247" s="0"/>
      <c r="K3247" s="0"/>
      <c r="L3247" s="0"/>
      <c r="M3247" s="0"/>
      <c r="N3247" s="0"/>
    </row>
    <row r="3248" customFormat="false" ht="12.8" hidden="false" customHeight="false" outlineLevel="0" collapsed="false">
      <c r="A3248" s="0"/>
      <c r="B3248" s="0"/>
      <c r="C3248" s="0"/>
      <c r="D3248" s="0"/>
      <c r="E3248" s="0"/>
      <c r="F3248" s="0"/>
      <c r="G3248" s="0"/>
      <c r="H3248" s="0"/>
      <c r="I3248" s="0"/>
      <c r="J3248" s="0"/>
      <c r="K3248" s="0"/>
      <c r="L3248" s="0"/>
      <c r="M3248" s="0"/>
      <c r="N3248" s="0"/>
    </row>
    <row r="3249" customFormat="false" ht="12.8" hidden="false" customHeight="false" outlineLevel="0" collapsed="false">
      <c r="A3249" s="0"/>
      <c r="B3249" s="0"/>
      <c r="C3249" s="0"/>
      <c r="D3249" s="0"/>
      <c r="E3249" s="0"/>
      <c r="F3249" s="0"/>
      <c r="G3249" s="0"/>
      <c r="H3249" s="0"/>
      <c r="I3249" s="0"/>
      <c r="J3249" s="0"/>
      <c r="K3249" s="0"/>
      <c r="L3249" s="0"/>
      <c r="M3249" s="0"/>
      <c r="N3249" s="0"/>
    </row>
    <row r="3250" customFormat="false" ht="12.8" hidden="false" customHeight="false" outlineLevel="0" collapsed="false">
      <c r="A3250" s="0"/>
      <c r="B3250" s="0"/>
      <c r="C3250" s="0"/>
      <c r="D3250" s="0"/>
      <c r="E3250" s="0"/>
      <c r="F3250" s="0"/>
      <c r="G3250" s="0"/>
      <c r="H3250" s="0"/>
      <c r="I3250" s="0"/>
      <c r="J3250" s="0"/>
      <c r="K3250" s="0"/>
      <c r="L3250" s="0"/>
      <c r="M3250" s="0"/>
      <c r="N3250" s="0"/>
    </row>
    <row r="3251" customFormat="false" ht="12.8" hidden="false" customHeight="false" outlineLevel="0" collapsed="false">
      <c r="A3251" s="0"/>
      <c r="B3251" s="0"/>
      <c r="C3251" s="0"/>
      <c r="D3251" s="0"/>
      <c r="E3251" s="0"/>
      <c r="F3251" s="0"/>
      <c r="G3251" s="0"/>
      <c r="H3251" s="0"/>
      <c r="I3251" s="0"/>
      <c r="J3251" s="0"/>
      <c r="K3251" s="0"/>
      <c r="L3251" s="0"/>
      <c r="M3251" s="0"/>
      <c r="N3251" s="0"/>
    </row>
    <row r="3252" customFormat="false" ht="12.8" hidden="false" customHeight="false" outlineLevel="0" collapsed="false">
      <c r="A3252" s="0"/>
      <c r="B3252" s="0"/>
      <c r="C3252" s="0"/>
      <c r="D3252" s="0"/>
      <c r="E3252" s="0"/>
      <c r="F3252" s="0"/>
      <c r="G3252" s="0"/>
      <c r="H3252" s="0"/>
      <c r="I3252" s="0"/>
      <c r="J3252" s="0"/>
      <c r="K3252" s="0"/>
      <c r="L3252" s="0"/>
      <c r="M3252" s="0"/>
      <c r="N3252" s="0"/>
    </row>
    <row r="3253" customFormat="false" ht="12.8" hidden="false" customHeight="false" outlineLevel="0" collapsed="false">
      <c r="A3253" s="0"/>
      <c r="B3253" s="0"/>
      <c r="C3253" s="0"/>
      <c r="D3253" s="0"/>
      <c r="E3253" s="0"/>
      <c r="F3253" s="0"/>
      <c r="G3253" s="0"/>
      <c r="H3253" s="0"/>
      <c r="I3253" s="0"/>
      <c r="J3253" s="0"/>
      <c r="K3253" s="0"/>
      <c r="L3253" s="0"/>
      <c r="M3253" s="0"/>
      <c r="N3253" s="0"/>
    </row>
    <row r="3254" customFormat="false" ht="12.8" hidden="false" customHeight="false" outlineLevel="0" collapsed="false">
      <c r="A3254" s="0"/>
      <c r="B3254" s="0"/>
      <c r="C3254" s="0"/>
      <c r="D3254" s="0"/>
      <c r="E3254" s="0"/>
      <c r="F3254" s="0"/>
      <c r="G3254" s="0"/>
      <c r="H3254" s="0"/>
      <c r="I3254" s="0"/>
      <c r="J3254" s="0"/>
      <c r="K3254" s="0"/>
      <c r="L3254" s="0"/>
      <c r="M3254" s="0"/>
      <c r="N3254" s="0"/>
    </row>
    <row r="3255" customFormat="false" ht="12.8" hidden="false" customHeight="false" outlineLevel="0" collapsed="false">
      <c r="A3255" s="0"/>
      <c r="B3255" s="0"/>
      <c r="C3255" s="0"/>
      <c r="D3255" s="0"/>
      <c r="E3255" s="0"/>
      <c r="F3255" s="0"/>
      <c r="G3255" s="0"/>
      <c r="H3255" s="0"/>
      <c r="I3255" s="0"/>
      <c r="J3255" s="0"/>
      <c r="K3255" s="0"/>
      <c r="L3255" s="0"/>
      <c r="M3255" s="0"/>
      <c r="N3255" s="0"/>
    </row>
    <row r="3256" customFormat="false" ht="12.8" hidden="false" customHeight="false" outlineLevel="0" collapsed="false">
      <c r="A3256" s="0"/>
      <c r="B3256" s="0"/>
      <c r="C3256" s="0"/>
      <c r="D3256" s="0"/>
      <c r="E3256" s="0"/>
      <c r="F3256" s="0"/>
      <c r="G3256" s="0"/>
      <c r="H3256" s="0"/>
      <c r="I3256" s="0"/>
      <c r="J3256" s="0"/>
      <c r="K3256" s="0"/>
      <c r="L3256" s="0"/>
      <c r="M3256" s="0"/>
      <c r="N3256" s="0"/>
    </row>
    <row r="3257" customFormat="false" ht="12.8" hidden="false" customHeight="false" outlineLevel="0" collapsed="false">
      <c r="A3257" s="0"/>
      <c r="B3257" s="0"/>
      <c r="C3257" s="0"/>
      <c r="D3257" s="0"/>
      <c r="E3257" s="0"/>
      <c r="F3257" s="0"/>
      <c r="G3257" s="0"/>
      <c r="H3257" s="0"/>
      <c r="I3257" s="0"/>
      <c r="J3257" s="0"/>
      <c r="K3257" s="0"/>
      <c r="L3257" s="0"/>
      <c r="M3257" s="0"/>
      <c r="N3257" s="0"/>
    </row>
    <row r="3258" customFormat="false" ht="12.8" hidden="false" customHeight="false" outlineLevel="0" collapsed="false">
      <c r="A3258" s="0"/>
      <c r="B3258" s="0"/>
      <c r="C3258" s="0"/>
      <c r="D3258" s="0"/>
      <c r="E3258" s="0"/>
      <c r="F3258" s="0"/>
      <c r="G3258" s="0"/>
      <c r="H3258" s="0"/>
      <c r="I3258" s="0"/>
      <c r="J3258" s="0"/>
      <c r="K3258" s="0"/>
      <c r="L3258" s="0"/>
      <c r="M3258" s="0"/>
      <c r="N3258" s="0"/>
    </row>
    <row r="3259" customFormat="false" ht="12.8" hidden="false" customHeight="false" outlineLevel="0" collapsed="false">
      <c r="A3259" s="0"/>
      <c r="B3259" s="0"/>
      <c r="C3259" s="0"/>
      <c r="D3259" s="0"/>
      <c r="E3259" s="0"/>
      <c r="F3259" s="0"/>
      <c r="G3259" s="0"/>
      <c r="H3259" s="0"/>
      <c r="I3259" s="0"/>
      <c r="J3259" s="0"/>
      <c r="K3259" s="0"/>
      <c r="L3259" s="0"/>
      <c r="M3259" s="0"/>
      <c r="N3259" s="0"/>
    </row>
    <row r="3260" customFormat="false" ht="12.8" hidden="false" customHeight="false" outlineLevel="0" collapsed="false">
      <c r="A3260" s="0"/>
      <c r="B3260" s="0"/>
      <c r="C3260" s="0"/>
      <c r="D3260" s="0"/>
      <c r="E3260" s="0"/>
      <c r="F3260" s="0"/>
      <c r="G3260" s="0"/>
      <c r="H3260" s="0"/>
      <c r="I3260" s="0"/>
      <c r="J3260" s="0"/>
      <c r="K3260" s="0"/>
      <c r="L3260" s="0"/>
      <c r="M3260" s="0"/>
      <c r="N3260" s="0"/>
    </row>
    <row r="3261" customFormat="false" ht="12.8" hidden="false" customHeight="false" outlineLevel="0" collapsed="false">
      <c r="A3261" s="0"/>
      <c r="B3261" s="0"/>
      <c r="C3261" s="0"/>
      <c r="D3261" s="0"/>
      <c r="E3261" s="0"/>
      <c r="F3261" s="0"/>
      <c r="G3261" s="0"/>
      <c r="H3261" s="0"/>
      <c r="I3261" s="0"/>
      <c r="J3261" s="0"/>
      <c r="K3261" s="0"/>
      <c r="L3261" s="0"/>
      <c r="M3261" s="0"/>
      <c r="N3261" s="0"/>
    </row>
    <row r="3262" customFormat="false" ht="12.8" hidden="false" customHeight="false" outlineLevel="0" collapsed="false">
      <c r="A3262" s="0"/>
      <c r="B3262" s="0"/>
      <c r="C3262" s="0"/>
      <c r="D3262" s="0"/>
      <c r="E3262" s="0"/>
      <c r="F3262" s="0"/>
      <c r="G3262" s="0"/>
      <c r="H3262" s="0"/>
      <c r="I3262" s="0"/>
      <c r="J3262" s="0"/>
      <c r="K3262" s="0"/>
      <c r="L3262" s="0"/>
      <c r="M3262" s="0"/>
      <c r="N3262" s="0"/>
    </row>
    <row r="3263" customFormat="false" ht="12.8" hidden="false" customHeight="false" outlineLevel="0" collapsed="false">
      <c r="A3263" s="0"/>
      <c r="B3263" s="0"/>
      <c r="C3263" s="0"/>
      <c r="D3263" s="0"/>
      <c r="E3263" s="0"/>
      <c r="F3263" s="0"/>
      <c r="G3263" s="0"/>
      <c r="H3263" s="0"/>
      <c r="I3263" s="0"/>
      <c r="J3263" s="0"/>
      <c r="K3263" s="0"/>
      <c r="L3263" s="0"/>
      <c r="M3263" s="0"/>
      <c r="N3263" s="0"/>
    </row>
    <row r="3264" customFormat="false" ht="12.8" hidden="false" customHeight="false" outlineLevel="0" collapsed="false">
      <c r="A3264" s="0"/>
      <c r="B3264" s="0"/>
      <c r="C3264" s="0"/>
      <c r="D3264" s="0"/>
      <c r="E3264" s="0"/>
      <c r="F3264" s="0"/>
      <c r="G3264" s="0"/>
      <c r="H3264" s="0"/>
      <c r="I3264" s="0"/>
      <c r="J3264" s="0"/>
      <c r="K3264" s="0"/>
      <c r="L3264" s="0"/>
      <c r="M3264" s="0"/>
      <c r="N3264" s="0"/>
    </row>
    <row r="3265" customFormat="false" ht="12.8" hidden="false" customHeight="false" outlineLevel="0" collapsed="false">
      <c r="A3265" s="0"/>
      <c r="B3265" s="0"/>
      <c r="C3265" s="0"/>
      <c r="D3265" s="0"/>
      <c r="E3265" s="0"/>
      <c r="F3265" s="0"/>
      <c r="G3265" s="0"/>
      <c r="H3265" s="0"/>
      <c r="I3265" s="0"/>
      <c r="J3265" s="0"/>
      <c r="K3265" s="0"/>
      <c r="L3265" s="0"/>
      <c r="M3265" s="0"/>
      <c r="N3265" s="0"/>
    </row>
    <row r="3266" customFormat="false" ht="12.8" hidden="false" customHeight="false" outlineLevel="0" collapsed="false">
      <c r="A3266" s="0"/>
      <c r="B3266" s="0"/>
      <c r="C3266" s="0"/>
      <c r="D3266" s="0"/>
      <c r="E3266" s="0"/>
      <c r="F3266" s="0"/>
      <c r="G3266" s="0"/>
      <c r="H3266" s="0"/>
      <c r="I3266" s="0"/>
      <c r="J3266" s="0"/>
      <c r="K3266" s="0"/>
      <c r="L3266" s="0"/>
      <c r="M3266" s="0"/>
      <c r="N3266" s="0"/>
    </row>
    <row r="3267" customFormat="false" ht="12.8" hidden="false" customHeight="false" outlineLevel="0" collapsed="false">
      <c r="A3267" s="0"/>
      <c r="B3267" s="0"/>
      <c r="C3267" s="0"/>
      <c r="D3267" s="0"/>
      <c r="E3267" s="0"/>
      <c r="F3267" s="0"/>
      <c r="G3267" s="0"/>
      <c r="H3267" s="0"/>
      <c r="I3267" s="0"/>
      <c r="J3267" s="0"/>
      <c r="K3267" s="0"/>
      <c r="L3267" s="0"/>
      <c r="M3267" s="0"/>
      <c r="N3267" s="0"/>
    </row>
    <row r="3268" customFormat="false" ht="12.8" hidden="false" customHeight="false" outlineLevel="0" collapsed="false">
      <c r="A3268" s="0"/>
      <c r="B3268" s="0"/>
      <c r="C3268" s="0"/>
      <c r="D3268" s="0"/>
      <c r="E3268" s="0"/>
      <c r="F3268" s="0"/>
      <c r="G3268" s="0"/>
      <c r="H3268" s="0"/>
      <c r="I3268" s="0"/>
      <c r="J3268" s="0"/>
      <c r="K3268" s="0"/>
      <c r="L3268" s="0"/>
      <c r="M3268" s="0"/>
      <c r="N3268" s="0"/>
    </row>
    <row r="3269" customFormat="false" ht="12.8" hidden="false" customHeight="false" outlineLevel="0" collapsed="false">
      <c r="A3269" s="0"/>
      <c r="B3269" s="0"/>
      <c r="C3269" s="0"/>
      <c r="D3269" s="0"/>
      <c r="E3269" s="0"/>
      <c r="F3269" s="0"/>
      <c r="G3269" s="0"/>
      <c r="H3269" s="0"/>
      <c r="I3269" s="0"/>
      <c r="J3269" s="0"/>
      <c r="K3269" s="0"/>
      <c r="L3269" s="0"/>
      <c r="M3269" s="0"/>
      <c r="N3269" s="0"/>
    </row>
    <row r="3270" customFormat="false" ht="12.8" hidden="false" customHeight="false" outlineLevel="0" collapsed="false">
      <c r="A3270" s="0"/>
      <c r="B3270" s="0"/>
      <c r="C3270" s="0"/>
      <c r="D3270" s="0"/>
      <c r="E3270" s="0"/>
      <c r="F3270" s="0"/>
      <c r="G3270" s="0"/>
      <c r="H3270" s="0"/>
      <c r="I3270" s="0"/>
      <c r="J3270" s="0"/>
      <c r="K3270" s="0"/>
      <c r="L3270" s="0"/>
      <c r="M3270" s="0"/>
      <c r="N3270" s="0"/>
    </row>
    <row r="3271" customFormat="false" ht="12.8" hidden="false" customHeight="false" outlineLevel="0" collapsed="false">
      <c r="A3271" s="0"/>
      <c r="B3271" s="0"/>
      <c r="C3271" s="0"/>
      <c r="D3271" s="0"/>
      <c r="E3271" s="0"/>
      <c r="F3271" s="0"/>
      <c r="G3271" s="0"/>
      <c r="H3271" s="0"/>
      <c r="I3271" s="0"/>
      <c r="J3271" s="0"/>
      <c r="K3271" s="0"/>
      <c r="L3271" s="0"/>
      <c r="M3271" s="0"/>
      <c r="N3271" s="0"/>
    </row>
    <row r="3272" customFormat="false" ht="12.8" hidden="false" customHeight="false" outlineLevel="0" collapsed="false">
      <c r="A3272" s="0"/>
      <c r="B3272" s="0"/>
      <c r="C3272" s="0"/>
      <c r="D3272" s="0"/>
      <c r="E3272" s="0"/>
      <c r="F3272" s="0"/>
      <c r="G3272" s="0"/>
      <c r="H3272" s="0"/>
      <c r="I3272" s="0"/>
      <c r="J3272" s="0"/>
      <c r="K3272" s="0"/>
      <c r="L3272" s="0"/>
      <c r="M3272" s="0"/>
      <c r="N3272" s="0"/>
    </row>
    <row r="3273" customFormat="false" ht="12.8" hidden="false" customHeight="false" outlineLevel="0" collapsed="false">
      <c r="A3273" s="0"/>
      <c r="B3273" s="0"/>
      <c r="C3273" s="0"/>
      <c r="D3273" s="0"/>
      <c r="E3273" s="0"/>
      <c r="F3273" s="0"/>
      <c r="G3273" s="0"/>
      <c r="H3273" s="0"/>
      <c r="I3273" s="0"/>
      <c r="J3273" s="0"/>
      <c r="K3273" s="0"/>
      <c r="L3273" s="0"/>
      <c r="M3273" s="0"/>
      <c r="N3273" s="0"/>
    </row>
    <row r="3274" customFormat="false" ht="12.8" hidden="false" customHeight="false" outlineLevel="0" collapsed="false">
      <c r="A3274" s="0"/>
      <c r="B3274" s="0"/>
      <c r="C3274" s="0"/>
      <c r="D3274" s="0"/>
      <c r="E3274" s="0"/>
      <c r="F3274" s="0"/>
      <c r="G3274" s="0"/>
      <c r="H3274" s="0"/>
      <c r="I3274" s="0"/>
      <c r="J3274" s="0"/>
      <c r="K3274" s="0"/>
      <c r="L3274" s="0"/>
      <c r="M3274" s="0"/>
      <c r="N3274" s="0"/>
    </row>
    <row r="3275" customFormat="false" ht="12.8" hidden="false" customHeight="false" outlineLevel="0" collapsed="false">
      <c r="A3275" s="0"/>
      <c r="B3275" s="0"/>
      <c r="C3275" s="0"/>
      <c r="D3275" s="0"/>
      <c r="E3275" s="0"/>
      <c r="F3275" s="0"/>
      <c r="G3275" s="0"/>
      <c r="H3275" s="0"/>
      <c r="I3275" s="0"/>
      <c r="J3275" s="0"/>
      <c r="K3275" s="0"/>
      <c r="L3275" s="0"/>
      <c r="M3275" s="0"/>
      <c r="N3275" s="0"/>
    </row>
    <row r="3276" customFormat="false" ht="12.8" hidden="false" customHeight="false" outlineLevel="0" collapsed="false">
      <c r="A3276" s="0"/>
      <c r="B3276" s="0"/>
      <c r="C3276" s="0"/>
      <c r="D3276" s="0"/>
      <c r="E3276" s="0"/>
      <c r="F3276" s="0"/>
      <c r="G3276" s="0"/>
      <c r="H3276" s="0"/>
      <c r="I3276" s="0"/>
      <c r="J3276" s="0"/>
      <c r="K3276" s="0"/>
      <c r="L3276" s="0"/>
      <c r="M3276" s="0"/>
      <c r="N3276" s="0"/>
    </row>
    <row r="3277" customFormat="false" ht="12.8" hidden="false" customHeight="false" outlineLevel="0" collapsed="false">
      <c r="A3277" s="0"/>
      <c r="B3277" s="0"/>
      <c r="C3277" s="0"/>
      <c r="D3277" s="0"/>
      <c r="E3277" s="0"/>
      <c r="F3277" s="0"/>
      <c r="G3277" s="0"/>
      <c r="H3277" s="0"/>
      <c r="I3277" s="0"/>
      <c r="J3277" s="0"/>
      <c r="K3277" s="0"/>
      <c r="L3277" s="0"/>
      <c r="M3277" s="0"/>
      <c r="N3277" s="0"/>
    </row>
    <row r="3278" customFormat="false" ht="12.8" hidden="false" customHeight="false" outlineLevel="0" collapsed="false">
      <c r="A3278" s="0"/>
      <c r="B3278" s="0"/>
      <c r="C3278" s="0"/>
      <c r="D3278" s="0"/>
      <c r="E3278" s="0"/>
      <c r="F3278" s="0"/>
      <c r="G3278" s="0"/>
      <c r="H3278" s="0"/>
      <c r="I3278" s="0"/>
      <c r="J3278" s="0"/>
      <c r="K3278" s="0"/>
      <c r="L3278" s="0"/>
      <c r="M3278" s="0"/>
      <c r="N3278" s="0"/>
    </row>
    <row r="3279" customFormat="false" ht="12.8" hidden="false" customHeight="false" outlineLevel="0" collapsed="false">
      <c r="A3279" s="0"/>
      <c r="B3279" s="0"/>
      <c r="C3279" s="0"/>
      <c r="D3279" s="0"/>
      <c r="E3279" s="0"/>
      <c r="F3279" s="0"/>
      <c r="G3279" s="0"/>
      <c r="H3279" s="0"/>
      <c r="I3279" s="0"/>
      <c r="J3279" s="0"/>
      <c r="K3279" s="0"/>
      <c r="L3279" s="0"/>
      <c r="M3279" s="0"/>
      <c r="N3279" s="0"/>
    </row>
    <row r="3280" customFormat="false" ht="12.8" hidden="false" customHeight="false" outlineLevel="0" collapsed="false">
      <c r="A3280" s="0"/>
      <c r="B3280" s="0"/>
      <c r="C3280" s="0"/>
      <c r="D3280" s="0"/>
      <c r="E3280" s="0"/>
      <c r="F3280" s="0"/>
      <c r="G3280" s="0"/>
      <c r="H3280" s="0"/>
      <c r="I3280" s="0"/>
      <c r="J3280" s="0"/>
      <c r="K3280" s="0"/>
      <c r="L3280" s="0"/>
      <c r="M3280" s="0"/>
      <c r="N3280" s="0"/>
    </row>
    <row r="3281" customFormat="false" ht="12.8" hidden="false" customHeight="false" outlineLevel="0" collapsed="false">
      <c r="A3281" s="0"/>
      <c r="B3281" s="0"/>
      <c r="C3281" s="0"/>
      <c r="D3281" s="0"/>
      <c r="E3281" s="0"/>
      <c r="F3281" s="0"/>
      <c r="G3281" s="0"/>
      <c r="H3281" s="0"/>
      <c r="I3281" s="0"/>
      <c r="J3281" s="0"/>
      <c r="K3281" s="0"/>
      <c r="L3281" s="0"/>
      <c r="M3281" s="0"/>
      <c r="N3281" s="0"/>
    </row>
    <row r="3282" customFormat="false" ht="12.8" hidden="false" customHeight="false" outlineLevel="0" collapsed="false">
      <c r="A3282" s="0"/>
      <c r="B3282" s="0"/>
      <c r="C3282" s="0"/>
      <c r="D3282" s="0"/>
      <c r="E3282" s="0"/>
      <c r="F3282" s="0"/>
      <c r="G3282" s="0"/>
      <c r="H3282" s="0"/>
      <c r="I3282" s="0"/>
      <c r="J3282" s="0"/>
      <c r="K3282" s="0"/>
      <c r="L3282" s="0"/>
      <c r="M3282" s="0"/>
      <c r="N3282" s="0"/>
    </row>
    <row r="3283" customFormat="false" ht="12.8" hidden="false" customHeight="false" outlineLevel="0" collapsed="false">
      <c r="A3283" s="0"/>
      <c r="B3283" s="0"/>
      <c r="C3283" s="0"/>
      <c r="D3283" s="0"/>
      <c r="E3283" s="0"/>
      <c r="F3283" s="0"/>
      <c r="G3283" s="0"/>
      <c r="H3283" s="0"/>
      <c r="I3283" s="0"/>
      <c r="J3283" s="0"/>
      <c r="K3283" s="0"/>
      <c r="L3283" s="0"/>
      <c r="M3283" s="0"/>
      <c r="N3283" s="0"/>
    </row>
    <row r="3284" customFormat="false" ht="12.8" hidden="false" customHeight="false" outlineLevel="0" collapsed="false">
      <c r="A3284" s="0"/>
      <c r="B3284" s="0"/>
      <c r="C3284" s="0"/>
      <c r="D3284" s="0"/>
      <c r="E3284" s="0"/>
      <c r="F3284" s="0"/>
      <c r="G3284" s="0"/>
      <c r="H3284" s="0"/>
      <c r="I3284" s="0"/>
      <c r="J3284" s="0"/>
      <c r="K3284" s="0"/>
      <c r="L3284" s="0"/>
      <c r="M3284" s="0"/>
      <c r="N3284" s="0"/>
    </row>
    <row r="3285" customFormat="false" ht="12.8" hidden="false" customHeight="false" outlineLevel="0" collapsed="false">
      <c r="A3285" s="0"/>
      <c r="B3285" s="0"/>
      <c r="C3285" s="0"/>
      <c r="D3285" s="0"/>
      <c r="E3285" s="0"/>
      <c r="F3285" s="0"/>
      <c r="G3285" s="0"/>
      <c r="H3285" s="0"/>
      <c r="I3285" s="0"/>
      <c r="J3285" s="0"/>
      <c r="K3285" s="0"/>
      <c r="L3285" s="0"/>
      <c r="M3285" s="0"/>
      <c r="N3285" s="0"/>
    </row>
    <row r="3286" customFormat="false" ht="12.8" hidden="false" customHeight="false" outlineLevel="0" collapsed="false">
      <c r="A3286" s="0"/>
      <c r="B3286" s="0"/>
      <c r="C3286" s="0"/>
      <c r="D3286" s="0"/>
      <c r="E3286" s="0"/>
      <c r="F3286" s="0"/>
      <c r="G3286" s="0"/>
      <c r="H3286" s="0"/>
      <c r="I3286" s="0"/>
      <c r="J3286" s="0"/>
      <c r="K3286" s="0"/>
      <c r="L3286" s="0"/>
      <c r="M3286" s="0"/>
      <c r="N3286" s="0"/>
    </row>
    <row r="3287" customFormat="false" ht="12.8" hidden="false" customHeight="false" outlineLevel="0" collapsed="false">
      <c r="A3287" s="0"/>
      <c r="B3287" s="0"/>
      <c r="C3287" s="0"/>
      <c r="D3287" s="0"/>
      <c r="E3287" s="0"/>
      <c r="F3287" s="0"/>
      <c r="G3287" s="0"/>
      <c r="H3287" s="0"/>
      <c r="I3287" s="0"/>
      <c r="J3287" s="0"/>
      <c r="K3287" s="0"/>
      <c r="L3287" s="0"/>
      <c r="M3287" s="0"/>
      <c r="N3287" s="0"/>
    </row>
    <row r="3288" customFormat="false" ht="12.8" hidden="false" customHeight="false" outlineLevel="0" collapsed="false">
      <c r="A3288" s="0"/>
      <c r="B3288" s="0"/>
      <c r="C3288" s="0"/>
      <c r="D3288" s="0"/>
      <c r="E3288" s="0"/>
      <c r="F3288" s="0"/>
      <c r="G3288" s="0"/>
      <c r="H3288" s="0"/>
      <c r="I3288" s="0"/>
      <c r="J3288" s="0"/>
      <c r="K3288" s="0"/>
      <c r="L3288" s="0"/>
      <c r="M3288" s="0"/>
      <c r="N3288" s="0"/>
    </row>
    <row r="3289" customFormat="false" ht="12.8" hidden="false" customHeight="false" outlineLevel="0" collapsed="false">
      <c r="A3289" s="0"/>
      <c r="B3289" s="0"/>
      <c r="C3289" s="0"/>
      <c r="D3289" s="0"/>
      <c r="E3289" s="0"/>
      <c r="F3289" s="0"/>
      <c r="G3289" s="0"/>
      <c r="H3289" s="0"/>
      <c r="I3289" s="0"/>
      <c r="J3289" s="0"/>
      <c r="K3289" s="0"/>
      <c r="L3289" s="0"/>
      <c r="M3289" s="0"/>
      <c r="N3289" s="0"/>
    </row>
    <row r="3290" customFormat="false" ht="12.8" hidden="false" customHeight="false" outlineLevel="0" collapsed="false">
      <c r="A3290" s="0"/>
      <c r="B3290" s="0"/>
      <c r="C3290" s="0"/>
      <c r="D3290" s="0"/>
      <c r="E3290" s="0"/>
      <c r="F3290" s="0"/>
      <c r="G3290" s="0"/>
      <c r="H3290" s="0"/>
      <c r="I3290" s="0"/>
      <c r="J3290" s="0"/>
      <c r="K3290" s="0"/>
      <c r="L3290" s="0"/>
      <c r="M3290" s="0"/>
      <c r="N3290" s="0"/>
    </row>
    <row r="3291" customFormat="false" ht="12.8" hidden="false" customHeight="false" outlineLevel="0" collapsed="false">
      <c r="A3291" s="0"/>
      <c r="B3291" s="0"/>
      <c r="C3291" s="0"/>
      <c r="D3291" s="0"/>
      <c r="E3291" s="0"/>
      <c r="F3291" s="0"/>
      <c r="G3291" s="0"/>
      <c r="H3291" s="0"/>
      <c r="I3291" s="0"/>
      <c r="J3291" s="0"/>
      <c r="K3291" s="0"/>
      <c r="L3291" s="0"/>
      <c r="M3291" s="0"/>
      <c r="N3291" s="0"/>
    </row>
    <row r="3292" customFormat="false" ht="12.8" hidden="false" customHeight="false" outlineLevel="0" collapsed="false">
      <c r="A3292" s="0"/>
      <c r="B3292" s="0"/>
      <c r="C3292" s="0"/>
      <c r="D3292" s="0"/>
      <c r="E3292" s="0"/>
      <c r="F3292" s="0"/>
      <c r="G3292" s="0"/>
      <c r="H3292" s="0"/>
      <c r="I3292" s="0"/>
      <c r="J3292" s="0"/>
      <c r="K3292" s="0"/>
      <c r="L3292" s="0"/>
      <c r="M3292" s="0"/>
      <c r="N3292" s="0"/>
    </row>
    <row r="3293" customFormat="false" ht="12.8" hidden="false" customHeight="false" outlineLevel="0" collapsed="false">
      <c r="A3293" s="0"/>
      <c r="B3293" s="0"/>
      <c r="C3293" s="0"/>
      <c r="D3293" s="0"/>
      <c r="E3293" s="0"/>
      <c r="F3293" s="0"/>
      <c r="G3293" s="0"/>
      <c r="H3293" s="0"/>
      <c r="I3293" s="0"/>
      <c r="J3293" s="0"/>
      <c r="K3293" s="0"/>
      <c r="L3293" s="0"/>
      <c r="M3293" s="0"/>
      <c r="N3293" s="0"/>
    </row>
    <row r="3294" customFormat="false" ht="12.8" hidden="false" customHeight="false" outlineLevel="0" collapsed="false">
      <c r="A3294" s="0"/>
      <c r="B3294" s="0"/>
      <c r="C3294" s="0"/>
      <c r="D3294" s="0"/>
      <c r="E3294" s="0"/>
      <c r="F3294" s="0"/>
      <c r="G3294" s="0"/>
      <c r="H3294" s="0"/>
      <c r="I3294" s="0"/>
      <c r="J3294" s="0"/>
      <c r="K3294" s="0"/>
      <c r="L3294" s="0"/>
      <c r="M3294" s="0"/>
      <c r="N3294" s="0"/>
    </row>
    <row r="3295" customFormat="false" ht="12.8" hidden="false" customHeight="false" outlineLevel="0" collapsed="false">
      <c r="A3295" s="0"/>
      <c r="B3295" s="0"/>
      <c r="C3295" s="0"/>
      <c r="D3295" s="0"/>
      <c r="E3295" s="0"/>
      <c r="F3295" s="0"/>
      <c r="G3295" s="0"/>
      <c r="H3295" s="0"/>
      <c r="I3295" s="0"/>
      <c r="J3295" s="0"/>
      <c r="K3295" s="0"/>
      <c r="L3295" s="0"/>
      <c r="M3295" s="0"/>
      <c r="N3295" s="0"/>
    </row>
    <row r="3296" customFormat="false" ht="12.8" hidden="false" customHeight="false" outlineLevel="0" collapsed="false">
      <c r="A3296" s="0"/>
      <c r="B3296" s="0"/>
      <c r="C3296" s="0"/>
      <c r="D3296" s="0"/>
      <c r="E3296" s="0"/>
      <c r="F3296" s="0"/>
      <c r="G3296" s="0"/>
      <c r="H3296" s="0"/>
      <c r="I3296" s="0"/>
      <c r="J3296" s="0"/>
      <c r="K3296" s="0"/>
      <c r="L3296" s="0"/>
      <c r="M3296" s="0"/>
      <c r="N3296" s="0"/>
    </row>
    <row r="3297" customFormat="false" ht="12.8" hidden="false" customHeight="false" outlineLevel="0" collapsed="false">
      <c r="A3297" s="0"/>
      <c r="B3297" s="0"/>
      <c r="C3297" s="0"/>
      <c r="D3297" s="0"/>
      <c r="E3297" s="0"/>
      <c r="F3297" s="0"/>
      <c r="G3297" s="0"/>
      <c r="H3297" s="0"/>
      <c r="I3297" s="0"/>
      <c r="J3297" s="0"/>
      <c r="K3297" s="0"/>
      <c r="L3297" s="0"/>
      <c r="M3297" s="0"/>
      <c r="N3297" s="0"/>
    </row>
    <row r="3298" customFormat="false" ht="12.8" hidden="false" customHeight="false" outlineLevel="0" collapsed="false">
      <c r="A3298" s="0"/>
      <c r="B3298" s="0"/>
      <c r="C3298" s="0"/>
      <c r="D3298" s="0"/>
      <c r="E3298" s="0"/>
      <c r="F3298" s="0"/>
      <c r="G3298" s="0"/>
      <c r="H3298" s="0"/>
      <c r="I3298" s="0"/>
      <c r="J3298" s="0"/>
      <c r="K3298" s="0"/>
      <c r="L3298" s="0"/>
      <c r="M3298" s="0"/>
      <c r="N3298" s="0"/>
    </row>
    <row r="3299" customFormat="false" ht="12.8" hidden="false" customHeight="false" outlineLevel="0" collapsed="false">
      <c r="A3299" s="0"/>
      <c r="B3299" s="0"/>
      <c r="C3299" s="0"/>
      <c r="D3299" s="0"/>
      <c r="E3299" s="0"/>
      <c r="F3299" s="0"/>
      <c r="G3299" s="0"/>
      <c r="H3299" s="0"/>
      <c r="I3299" s="0"/>
      <c r="J3299" s="0"/>
      <c r="K3299" s="0"/>
      <c r="L3299" s="0"/>
      <c r="M3299" s="0"/>
      <c r="N3299" s="0"/>
    </row>
    <row r="3300" customFormat="false" ht="12.8" hidden="false" customHeight="false" outlineLevel="0" collapsed="false">
      <c r="A3300" s="0"/>
      <c r="B3300" s="0"/>
      <c r="C3300" s="0"/>
      <c r="D3300" s="0"/>
      <c r="E3300" s="0"/>
      <c r="F3300" s="0"/>
      <c r="G3300" s="0"/>
      <c r="H3300" s="0"/>
      <c r="I3300" s="0"/>
      <c r="J3300" s="0"/>
      <c r="K3300" s="0"/>
      <c r="L3300" s="0"/>
      <c r="M3300" s="0"/>
      <c r="N3300" s="0"/>
    </row>
    <row r="3301" customFormat="false" ht="12.8" hidden="false" customHeight="false" outlineLevel="0" collapsed="false">
      <c r="A3301" s="0"/>
      <c r="B3301" s="0"/>
      <c r="C3301" s="0"/>
      <c r="D3301" s="0"/>
      <c r="E3301" s="0"/>
      <c r="F3301" s="0"/>
      <c r="G3301" s="0"/>
      <c r="H3301" s="0"/>
      <c r="I3301" s="0"/>
      <c r="J3301" s="0"/>
      <c r="K3301" s="0"/>
      <c r="L3301" s="0"/>
      <c r="M3301" s="0"/>
      <c r="N3301" s="0"/>
    </row>
    <row r="3302" customFormat="false" ht="12.8" hidden="false" customHeight="false" outlineLevel="0" collapsed="false">
      <c r="A3302" s="0"/>
      <c r="B3302" s="0"/>
      <c r="C3302" s="0"/>
      <c r="D3302" s="0"/>
      <c r="E3302" s="0"/>
      <c r="F3302" s="0"/>
      <c r="G3302" s="0"/>
      <c r="H3302" s="0"/>
      <c r="I3302" s="0"/>
      <c r="J3302" s="0"/>
      <c r="K3302" s="0"/>
      <c r="L3302" s="0"/>
      <c r="M3302" s="0"/>
      <c r="N3302" s="0"/>
    </row>
    <row r="3303" customFormat="false" ht="12.8" hidden="false" customHeight="false" outlineLevel="0" collapsed="false">
      <c r="A3303" s="0"/>
      <c r="B3303" s="0"/>
      <c r="C3303" s="0"/>
      <c r="D3303" s="0"/>
      <c r="E3303" s="0"/>
      <c r="F3303" s="0"/>
      <c r="G3303" s="0"/>
      <c r="H3303" s="0"/>
      <c r="I3303" s="0"/>
      <c r="J3303" s="0"/>
      <c r="K3303" s="0"/>
      <c r="L3303" s="0"/>
      <c r="M3303" s="0"/>
      <c r="N3303" s="0"/>
    </row>
    <row r="3304" customFormat="false" ht="12.8" hidden="false" customHeight="false" outlineLevel="0" collapsed="false">
      <c r="A3304" s="0"/>
      <c r="B3304" s="0"/>
      <c r="C3304" s="0"/>
      <c r="D3304" s="0"/>
      <c r="E3304" s="0"/>
      <c r="F3304" s="0"/>
      <c r="G3304" s="0"/>
      <c r="H3304" s="0"/>
      <c r="I3304" s="0"/>
      <c r="J3304" s="0"/>
      <c r="K3304" s="0"/>
      <c r="L3304" s="0"/>
      <c r="M3304" s="0"/>
      <c r="N3304" s="0"/>
    </row>
    <row r="3305" customFormat="false" ht="12.8" hidden="false" customHeight="false" outlineLevel="0" collapsed="false">
      <c r="A3305" s="0"/>
      <c r="B3305" s="0"/>
      <c r="C3305" s="0"/>
      <c r="D3305" s="0"/>
      <c r="E3305" s="0"/>
      <c r="F3305" s="0"/>
      <c r="G3305" s="0"/>
      <c r="H3305" s="0"/>
      <c r="I3305" s="0"/>
      <c r="J3305" s="0"/>
      <c r="K3305" s="0"/>
      <c r="L3305" s="0"/>
      <c r="M3305" s="0"/>
      <c r="N3305" s="0"/>
    </row>
    <row r="3306" customFormat="false" ht="12.8" hidden="false" customHeight="false" outlineLevel="0" collapsed="false">
      <c r="A3306" s="0"/>
      <c r="B3306" s="0"/>
      <c r="C3306" s="0"/>
      <c r="D3306" s="0"/>
      <c r="E3306" s="0"/>
      <c r="F3306" s="0"/>
      <c r="G3306" s="0"/>
      <c r="H3306" s="0"/>
      <c r="I3306" s="0"/>
      <c r="J3306" s="0"/>
      <c r="K3306" s="0"/>
      <c r="L3306" s="0"/>
      <c r="M3306" s="0"/>
      <c r="N3306" s="0"/>
    </row>
    <row r="3307" customFormat="false" ht="12.8" hidden="false" customHeight="false" outlineLevel="0" collapsed="false">
      <c r="A3307" s="0"/>
      <c r="B3307" s="0"/>
      <c r="C3307" s="0"/>
      <c r="D3307" s="0"/>
      <c r="E3307" s="0"/>
      <c r="F3307" s="0"/>
      <c r="G3307" s="0"/>
      <c r="H3307" s="0"/>
      <c r="I3307" s="0"/>
      <c r="J3307" s="0"/>
      <c r="K3307" s="0"/>
      <c r="L3307" s="0"/>
      <c r="M3307" s="0"/>
      <c r="N3307" s="0"/>
    </row>
    <row r="3308" customFormat="false" ht="12.8" hidden="false" customHeight="false" outlineLevel="0" collapsed="false">
      <c r="A3308" s="0"/>
      <c r="B3308" s="0"/>
      <c r="C3308" s="0"/>
      <c r="D3308" s="0"/>
      <c r="E3308" s="0"/>
      <c r="F3308" s="0"/>
      <c r="G3308" s="0"/>
      <c r="H3308" s="0"/>
      <c r="I3308" s="0"/>
      <c r="J3308" s="0"/>
      <c r="K3308" s="0"/>
      <c r="L3308" s="0"/>
      <c r="M3308" s="0"/>
      <c r="N3308" s="0"/>
    </row>
    <row r="3309" customFormat="false" ht="12.8" hidden="false" customHeight="false" outlineLevel="0" collapsed="false">
      <c r="A3309" s="0"/>
      <c r="B3309" s="0"/>
      <c r="C3309" s="0"/>
      <c r="D3309" s="0"/>
      <c r="E3309" s="0"/>
      <c r="F3309" s="0"/>
      <c r="G3309" s="0"/>
      <c r="H3309" s="0"/>
      <c r="I3309" s="0"/>
      <c r="J3309" s="0"/>
      <c r="K3309" s="0"/>
      <c r="L3309" s="0"/>
      <c r="M3309" s="0"/>
      <c r="N3309" s="0"/>
    </row>
    <row r="3310" customFormat="false" ht="12.8" hidden="false" customHeight="false" outlineLevel="0" collapsed="false">
      <c r="A3310" s="0"/>
      <c r="B3310" s="0"/>
      <c r="C3310" s="0"/>
      <c r="D3310" s="0"/>
      <c r="E3310" s="0"/>
      <c r="F3310" s="0"/>
      <c r="G3310" s="0"/>
      <c r="H3310" s="0"/>
      <c r="I3310" s="0"/>
      <c r="J3310" s="0"/>
      <c r="K3310" s="0"/>
      <c r="L3310" s="0"/>
      <c r="M3310" s="0"/>
      <c r="N3310" s="0"/>
    </row>
    <row r="3311" customFormat="false" ht="12.8" hidden="false" customHeight="false" outlineLevel="0" collapsed="false">
      <c r="A3311" s="0"/>
      <c r="B3311" s="0"/>
      <c r="C3311" s="0"/>
      <c r="D3311" s="0"/>
      <c r="E3311" s="0"/>
      <c r="F3311" s="0"/>
      <c r="G3311" s="0"/>
      <c r="H3311" s="0"/>
      <c r="I3311" s="0"/>
      <c r="J3311" s="0"/>
      <c r="K3311" s="0"/>
      <c r="L3311" s="0"/>
      <c r="M3311" s="0"/>
      <c r="N3311" s="0"/>
    </row>
    <row r="3312" customFormat="false" ht="12.8" hidden="false" customHeight="false" outlineLevel="0" collapsed="false">
      <c r="A3312" s="0"/>
      <c r="B3312" s="0"/>
      <c r="C3312" s="0"/>
      <c r="D3312" s="0"/>
      <c r="E3312" s="0"/>
      <c r="F3312" s="0"/>
      <c r="G3312" s="0"/>
      <c r="H3312" s="0"/>
      <c r="I3312" s="0"/>
      <c r="J3312" s="0"/>
      <c r="K3312" s="0"/>
      <c r="L3312" s="0"/>
      <c r="M3312" s="0"/>
      <c r="N3312" s="0"/>
    </row>
    <row r="3313" customFormat="false" ht="12.8" hidden="false" customHeight="false" outlineLevel="0" collapsed="false">
      <c r="A3313" s="0"/>
      <c r="B3313" s="0"/>
      <c r="C3313" s="0"/>
      <c r="D3313" s="0"/>
      <c r="E3313" s="0"/>
      <c r="F3313" s="0"/>
      <c r="G3313" s="0"/>
      <c r="H3313" s="0"/>
      <c r="I3313" s="0"/>
      <c r="J3313" s="0"/>
      <c r="K3313" s="0"/>
      <c r="L3313" s="0"/>
      <c r="M3313" s="0"/>
      <c r="N3313" s="0"/>
    </row>
    <row r="3314" customFormat="false" ht="12.8" hidden="false" customHeight="false" outlineLevel="0" collapsed="false">
      <c r="A3314" s="0"/>
      <c r="B3314" s="0"/>
      <c r="C3314" s="0"/>
      <c r="D3314" s="0"/>
      <c r="E3314" s="0"/>
      <c r="F3314" s="0"/>
      <c r="G3314" s="0"/>
      <c r="H3314" s="0"/>
      <c r="I3314" s="0"/>
      <c r="J3314" s="0"/>
      <c r="K3314" s="0"/>
      <c r="L3314" s="0"/>
      <c r="M3314" s="0"/>
      <c r="N3314" s="0"/>
    </row>
    <row r="3315" customFormat="false" ht="12.8" hidden="false" customHeight="false" outlineLevel="0" collapsed="false">
      <c r="A3315" s="0"/>
      <c r="B3315" s="0"/>
      <c r="C3315" s="0"/>
      <c r="D3315" s="0"/>
      <c r="E3315" s="0"/>
      <c r="F3315" s="0"/>
      <c r="G3315" s="0"/>
      <c r="H3315" s="0"/>
      <c r="I3315" s="0"/>
      <c r="J3315" s="0"/>
      <c r="K3315" s="0"/>
      <c r="L3315" s="0"/>
      <c r="M3315" s="0"/>
      <c r="N3315" s="0"/>
    </row>
    <row r="3316" customFormat="false" ht="12.8" hidden="false" customHeight="false" outlineLevel="0" collapsed="false">
      <c r="A3316" s="0"/>
      <c r="B3316" s="0"/>
      <c r="C3316" s="0"/>
      <c r="D3316" s="0"/>
      <c r="E3316" s="0"/>
      <c r="F3316" s="0"/>
      <c r="G3316" s="0"/>
      <c r="H3316" s="0"/>
      <c r="I3316" s="0"/>
      <c r="J3316" s="0"/>
      <c r="K3316" s="0"/>
      <c r="L3316" s="0"/>
      <c r="M3316" s="0"/>
      <c r="N3316" s="0"/>
    </row>
    <row r="3317" customFormat="false" ht="12.8" hidden="false" customHeight="false" outlineLevel="0" collapsed="false">
      <c r="A3317" s="0"/>
      <c r="B3317" s="0"/>
      <c r="C3317" s="0"/>
      <c r="D3317" s="0"/>
      <c r="E3317" s="0"/>
      <c r="F3317" s="0"/>
      <c r="G3317" s="0"/>
      <c r="H3317" s="0"/>
      <c r="I3317" s="0"/>
      <c r="J3317" s="0"/>
      <c r="K3317" s="0"/>
      <c r="L3317" s="0"/>
      <c r="M3317" s="0"/>
      <c r="N3317" s="0"/>
    </row>
    <row r="3318" customFormat="false" ht="12.8" hidden="false" customHeight="false" outlineLevel="0" collapsed="false">
      <c r="A3318" s="0"/>
      <c r="B3318" s="0"/>
      <c r="C3318" s="0"/>
      <c r="D3318" s="0"/>
      <c r="E3318" s="0"/>
      <c r="F3318" s="0"/>
      <c r="G3318" s="0"/>
      <c r="H3318" s="0"/>
      <c r="I3318" s="0"/>
      <c r="J3318" s="0"/>
      <c r="K3318" s="0"/>
      <c r="L3318" s="0"/>
      <c r="M3318" s="0"/>
      <c r="N3318" s="0"/>
    </row>
    <row r="3319" customFormat="false" ht="12.8" hidden="false" customHeight="false" outlineLevel="0" collapsed="false">
      <c r="A3319" s="0"/>
      <c r="B3319" s="0"/>
      <c r="C3319" s="0"/>
      <c r="D3319" s="0"/>
      <c r="E3319" s="0"/>
      <c r="F3319" s="0"/>
      <c r="G3319" s="0"/>
      <c r="H3319" s="0"/>
      <c r="I3319" s="0"/>
      <c r="J3319" s="0"/>
      <c r="K3319" s="0"/>
      <c r="L3319" s="0"/>
      <c r="M3319" s="0"/>
      <c r="N3319" s="0"/>
    </row>
    <row r="3320" customFormat="false" ht="12.8" hidden="false" customHeight="false" outlineLevel="0" collapsed="false">
      <c r="A3320" s="0"/>
      <c r="B3320" s="0"/>
      <c r="C3320" s="0"/>
      <c r="D3320" s="0"/>
      <c r="E3320" s="0"/>
      <c r="F3320" s="0"/>
      <c r="G3320" s="0"/>
      <c r="H3320" s="0"/>
      <c r="I3320" s="0"/>
      <c r="J3320" s="0"/>
      <c r="K3320" s="0"/>
      <c r="L3320" s="0"/>
      <c r="M3320" s="0"/>
      <c r="N3320" s="0"/>
    </row>
    <row r="3321" customFormat="false" ht="12.8" hidden="false" customHeight="false" outlineLevel="0" collapsed="false">
      <c r="A3321" s="0"/>
      <c r="B3321" s="0"/>
      <c r="C3321" s="0"/>
      <c r="D3321" s="0"/>
      <c r="E3321" s="0"/>
      <c r="F3321" s="0"/>
      <c r="G3321" s="0"/>
      <c r="H3321" s="0"/>
      <c r="I3321" s="0"/>
      <c r="J3321" s="0"/>
      <c r="K3321" s="0"/>
      <c r="L3321" s="0"/>
      <c r="M3321" s="0"/>
      <c r="N3321" s="0"/>
    </row>
    <row r="3322" customFormat="false" ht="12.8" hidden="false" customHeight="false" outlineLevel="0" collapsed="false">
      <c r="A3322" s="0"/>
      <c r="B3322" s="0"/>
      <c r="C3322" s="0"/>
      <c r="D3322" s="0"/>
      <c r="E3322" s="0"/>
      <c r="F3322" s="0"/>
      <c r="G3322" s="0"/>
      <c r="H3322" s="0"/>
      <c r="I3322" s="0"/>
      <c r="J3322" s="0"/>
      <c r="K3322" s="0"/>
      <c r="L3322" s="0"/>
      <c r="M3322" s="0"/>
      <c r="N3322" s="0"/>
    </row>
    <row r="3323" customFormat="false" ht="12.8" hidden="false" customHeight="false" outlineLevel="0" collapsed="false">
      <c r="A3323" s="0"/>
      <c r="B3323" s="0"/>
      <c r="C3323" s="0"/>
      <c r="D3323" s="0"/>
      <c r="E3323" s="0"/>
      <c r="F3323" s="0"/>
      <c r="G3323" s="0"/>
      <c r="H3323" s="0"/>
      <c r="I3323" s="0"/>
      <c r="J3323" s="0"/>
      <c r="K3323" s="0"/>
      <c r="L3323" s="0"/>
      <c r="M3323" s="0"/>
      <c r="N3323" s="0"/>
    </row>
    <row r="3324" customFormat="false" ht="12.8" hidden="false" customHeight="false" outlineLevel="0" collapsed="false">
      <c r="A3324" s="0"/>
      <c r="B3324" s="0"/>
      <c r="C3324" s="0"/>
      <c r="D3324" s="0"/>
      <c r="E3324" s="0"/>
      <c r="F3324" s="0"/>
      <c r="G3324" s="0"/>
      <c r="H3324" s="0"/>
      <c r="I3324" s="0"/>
      <c r="J3324" s="0"/>
      <c r="K3324" s="0"/>
      <c r="L3324" s="0"/>
      <c r="M3324" s="0"/>
      <c r="N3324" s="0"/>
    </row>
    <row r="3325" customFormat="false" ht="12.8" hidden="false" customHeight="false" outlineLevel="0" collapsed="false">
      <c r="A3325" s="0"/>
      <c r="B3325" s="0"/>
      <c r="C3325" s="0"/>
      <c r="D3325" s="0"/>
      <c r="E3325" s="0"/>
      <c r="F3325" s="0"/>
      <c r="G3325" s="0"/>
      <c r="H3325" s="0"/>
      <c r="I3325" s="0"/>
      <c r="J3325" s="0"/>
      <c r="K3325" s="0"/>
      <c r="L3325" s="0"/>
      <c r="M3325" s="0"/>
      <c r="N3325" s="0"/>
    </row>
    <row r="3326" customFormat="false" ht="12.8" hidden="false" customHeight="false" outlineLevel="0" collapsed="false">
      <c r="A3326" s="0"/>
      <c r="B3326" s="0"/>
      <c r="C3326" s="0"/>
      <c r="D3326" s="0"/>
      <c r="E3326" s="0"/>
      <c r="F3326" s="0"/>
      <c r="G3326" s="0"/>
      <c r="H3326" s="0"/>
      <c r="I3326" s="0"/>
      <c r="J3326" s="0"/>
      <c r="K3326" s="0"/>
      <c r="L3326" s="0"/>
      <c r="M3326" s="0"/>
      <c r="N3326" s="0"/>
    </row>
    <row r="3327" customFormat="false" ht="12.8" hidden="false" customHeight="false" outlineLevel="0" collapsed="false">
      <c r="A3327" s="0"/>
      <c r="B3327" s="0"/>
      <c r="C3327" s="0"/>
      <c r="D3327" s="0"/>
      <c r="E3327" s="0"/>
      <c r="F3327" s="0"/>
      <c r="G3327" s="0"/>
      <c r="H3327" s="0"/>
      <c r="I3327" s="0"/>
      <c r="J3327" s="0"/>
      <c r="K3327" s="0"/>
      <c r="L3327" s="0"/>
      <c r="M3327" s="0"/>
      <c r="N3327" s="0"/>
    </row>
    <row r="3328" customFormat="false" ht="12.8" hidden="false" customHeight="false" outlineLevel="0" collapsed="false">
      <c r="A3328" s="0"/>
      <c r="B3328" s="0"/>
      <c r="C3328" s="0"/>
      <c r="D3328" s="0"/>
      <c r="E3328" s="0"/>
      <c r="F3328" s="0"/>
      <c r="G3328" s="0"/>
      <c r="H3328" s="0"/>
      <c r="I3328" s="0"/>
      <c r="J3328" s="0"/>
      <c r="K3328" s="0"/>
      <c r="L3328" s="0"/>
      <c r="M3328" s="0"/>
      <c r="N3328" s="0"/>
    </row>
    <row r="3329" customFormat="false" ht="12.8" hidden="false" customHeight="false" outlineLevel="0" collapsed="false">
      <c r="A3329" s="0"/>
      <c r="B3329" s="0"/>
      <c r="C3329" s="0"/>
      <c r="D3329" s="0"/>
      <c r="E3329" s="0"/>
      <c r="F3329" s="0"/>
      <c r="G3329" s="0"/>
      <c r="H3329" s="0"/>
      <c r="I3329" s="0"/>
      <c r="J3329" s="0"/>
      <c r="K3329" s="0"/>
      <c r="L3329" s="0"/>
      <c r="M3329" s="0"/>
      <c r="N3329" s="0"/>
    </row>
    <row r="3330" customFormat="false" ht="12.8" hidden="false" customHeight="false" outlineLevel="0" collapsed="false">
      <c r="A3330" s="0"/>
      <c r="B3330" s="0"/>
      <c r="C3330" s="0"/>
      <c r="D3330" s="0"/>
      <c r="E3330" s="0"/>
      <c r="F3330" s="0"/>
      <c r="G3330" s="0"/>
      <c r="H3330" s="0"/>
      <c r="I3330" s="0"/>
      <c r="J3330" s="0"/>
      <c r="K3330" s="0"/>
      <c r="L3330" s="0"/>
      <c r="M3330" s="0"/>
      <c r="N3330" s="0"/>
    </row>
    <row r="3331" customFormat="false" ht="12.8" hidden="false" customHeight="false" outlineLevel="0" collapsed="false">
      <c r="A3331" s="0"/>
      <c r="B3331" s="0"/>
      <c r="C3331" s="0"/>
      <c r="D3331" s="0"/>
      <c r="E3331" s="0"/>
      <c r="F3331" s="0"/>
      <c r="G3331" s="0"/>
      <c r="H3331" s="0"/>
      <c r="I3331" s="0"/>
      <c r="J3331" s="0"/>
      <c r="K3331" s="0"/>
      <c r="L3331" s="0"/>
      <c r="M3331" s="0"/>
      <c r="N3331" s="0"/>
    </row>
    <row r="3332" customFormat="false" ht="12.8" hidden="false" customHeight="false" outlineLevel="0" collapsed="false">
      <c r="A3332" s="0"/>
      <c r="B3332" s="0"/>
      <c r="C3332" s="0"/>
      <c r="D3332" s="0"/>
      <c r="E3332" s="0"/>
      <c r="F3332" s="0"/>
      <c r="G3332" s="0"/>
      <c r="H3332" s="0"/>
      <c r="I3332" s="0"/>
      <c r="J3332" s="0"/>
      <c r="K3332" s="0"/>
      <c r="L3332" s="0"/>
      <c r="M3332" s="0"/>
      <c r="N3332" s="0"/>
    </row>
    <row r="3333" customFormat="false" ht="12.8" hidden="false" customHeight="false" outlineLevel="0" collapsed="false">
      <c r="A3333" s="0"/>
      <c r="B3333" s="0"/>
      <c r="C3333" s="0"/>
      <c r="D3333" s="0"/>
      <c r="E3333" s="0"/>
      <c r="F3333" s="0"/>
      <c r="G3333" s="0"/>
      <c r="H3333" s="0"/>
      <c r="I3333" s="0"/>
      <c r="J3333" s="0"/>
      <c r="K3333" s="0"/>
      <c r="L3333" s="0"/>
      <c r="M3333" s="0"/>
      <c r="N3333" s="0"/>
    </row>
    <row r="3334" customFormat="false" ht="12.8" hidden="false" customHeight="false" outlineLevel="0" collapsed="false">
      <c r="A3334" s="0"/>
      <c r="B3334" s="0"/>
      <c r="C3334" s="0"/>
      <c r="D3334" s="0"/>
      <c r="E3334" s="0"/>
      <c r="F3334" s="0"/>
      <c r="G3334" s="0"/>
      <c r="H3334" s="0"/>
      <c r="I3334" s="0"/>
      <c r="J3334" s="0"/>
      <c r="K3334" s="0"/>
      <c r="L3334" s="0"/>
      <c r="M3334" s="0"/>
      <c r="N3334" s="0"/>
    </row>
    <row r="3335" customFormat="false" ht="12.8" hidden="false" customHeight="false" outlineLevel="0" collapsed="false">
      <c r="A3335" s="0"/>
      <c r="B3335" s="0"/>
      <c r="C3335" s="0"/>
      <c r="D3335" s="0"/>
      <c r="E3335" s="0"/>
      <c r="F3335" s="0"/>
      <c r="G3335" s="0"/>
      <c r="H3335" s="0"/>
      <c r="I3335" s="0"/>
      <c r="J3335" s="0"/>
      <c r="K3335" s="0"/>
      <c r="L3335" s="0"/>
      <c r="M3335" s="0"/>
      <c r="N3335" s="0"/>
    </row>
    <row r="3336" customFormat="false" ht="12.8" hidden="false" customHeight="false" outlineLevel="0" collapsed="false">
      <c r="A3336" s="0"/>
      <c r="B3336" s="0"/>
      <c r="C3336" s="0"/>
      <c r="D3336" s="0"/>
      <c r="E3336" s="0"/>
      <c r="F3336" s="0"/>
      <c r="G3336" s="0"/>
      <c r="H3336" s="0"/>
      <c r="I3336" s="0"/>
      <c r="J3336" s="0"/>
      <c r="K3336" s="0"/>
      <c r="L3336" s="0"/>
      <c r="M3336" s="0"/>
      <c r="N3336" s="0"/>
    </row>
    <row r="3337" customFormat="false" ht="12.8" hidden="false" customHeight="false" outlineLevel="0" collapsed="false">
      <c r="A3337" s="0"/>
      <c r="B3337" s="0"/>
      <c r="C3337" s="0"/>
      <c r="D3337" s="0"/>
      <c r="E3337" s="0"/>
      <c r="F3337" s="0"/>
      <c r="G3337" s="0"/>
      <c r="H3337" s="0"/>
      <c r="I3337" s="0"/>
      <c r="J3337" s="0"/>
      <c r="K3337" s="0"/>
      <c r="L3337" s="0"/>
      <c r="M3337" s="0"/>
      <c r="N3337" s="0"/>
    </row>
    <row r="3338" customFormat="false" ht="12.8" hidden="false" customHeight="false" outlineLevel="0" collapsed="false">
      <c r="A3338" s="0"/>
      <c r="B3338" s="0"/>
      <c r="C3338" s="0"/>
      <c r="D3338" s="0"/>
      <c r="E3338" s="0"/>
      <c r="F3338" s="0"/>
      <c r="G3338" s="0"/>
      <c r="H3338" s="0"/>
      <c r="I3338" s="0"/>
      <c r="J3338" s="0"/>
      <c r="K3338" s="0"/>
      <c r="L3338" s="0"/>
      <c r="M3338" s="0"/>
      <c r="N3338" s="0"/>
    </row>
    <row r="3339" customFormat="false" ht="12.8" hidden="false" customHeight="false" outlineLevel="0" collapsed="false">
      <c r="A3339" s="0"/>
      <c r="B3339" s="0"/>
      <c r="C3339" s="0"/>
      <c r="D3339" s="0"/>
      <c r="E3339" s="0"/>
      <c r="F3339" s="0"/>
      <c r="G3339" s="0"/>
      <c r="H3339" s="0"/>
      <c r="I3339" s="0"/>
      <c r="J3339" s="0"/>
      <c r="K3339" s="0"/>
      <c r="L3339" s="0"/>
      <c r="M3339" s="0"/>
      <c r="N3339" s="0"/>
    </row>
    <row r="3340" customFormat="false" ht="12.8" hidden="false" customHeight="false" outlineLevel="0" collapsed="false">
      <c r="A3340" s="0"/>
      <c r="B3340" s="0"/>
      <c r="C3340" s="0"/>
      <c r="D3340" s="0"/>
      <c r="E3340" s="0"/>
      <c r="F3340" s="0"/>
      <c r="G3340" s="0"/>
      <c r="H3340" s="0"/>
      <c r="I3340" s="0"/>
      <c r="J3340" s="0"/>
      <c r="K3340" s="0"/>
      <c r="L3340" s="0"/>
      <c r="M3340" s="0"/>
      <c r="N3340" s="0"/>
    </row>
    <row r="3341" customFormat="false" ht="12.8" hidden="false" customHeight="false" outlineLevel="0" collapsed="false">
      <c r="A3341" s="0"/>
      <c r="B3341" s="0"/>
      <c r="C3341" s="0"/>
      <c r="D3341" s="0"/>
      <c r="E3341" s="0"/>
      <c r="F3341" s="0"/>
      <c r="G3341" s="0"/>
      <c r="H3341" s="0"/>
      <c r="I3341" s="0"/>
      <c r="J3341" s="0"/>
      <c r="K3341" s="0"/>
      <c r="L3341" s="0"/>
      <c r="M3341" s="0"/>
      <c r="N3341" s="0"/>
    </row>
    <row r="3342" customFormat="false" ht="12.8" hidden="false" customHeight="false" outlineLevel="0" collapsed="false">
      <c r="A3342" s="0"/>
      <c r="B3342" s="0"/>
      <c r="C3342" s="0"/>
      <c r="D3342" s="0"/>
      <c r="E3342" s="0"/>
      <c r="F3342" s="0"/>
      <c r="G3342" s="0"/>
      <c r="H3342" s="0"/>
      <c r="I3342" s="0"/>
      <c r="J3342" s="0"/>
      <c r="K3342" s="0"/>
      <c r="L3342" s="0"/>
      <c r="M3342" s="0"/>
      <c r="N3342" s="0"/>
    </row>
    <row r="3343" customFormat="false" ht="12.8" hidden="false" customHeight="false" outlineLevel="0" collapsed="false">
      <c r="A3343" s="0"/>
      <c r="B3343" s="0"/>
      <c r="C3343" s="0"/>
      <c r="D3343" s="0"/>
      <c r="E3343" s="0"/>
      <c r="F3343" s="0"/>
      <c r="G3343" s="0"/>
      <c r="H3343" s="0"/>
      <c r="I3343" s="0"/>
      <c r="J3343" s="0"/>
      <c r="K3343" s="0"/>
      <c r="L3343" s="0"/>
      <c r="M3343" s="0"/>
      <c r="N3343" s="0"/>
    </row>
    <row r="3344" customFormat="false" ht="12.8" hidden="false" customHeight="false" outlineLevel="0" collapsed="false">
      <c r="A3344" s="0"/>
      <c r="B3344" s="0"/>
      <c r="C3344" s="0"/>
      <c r="D3344" s="0"/>
      <c r="E3344" s="0"/>
      <c r="F3344" s="0"/>
      <c r="G3344" s="0"/>
      <c r="H3344" s="0"/>
      <c r="I3344" s="0"/>
      <c r="J3344" s="0"/>
      <c r="K3344" s="0"/>
      <c r="L3344" s="0"/>
      <c r="M3344" s="0"/>
      <c r="N3344" s="0"/>
    </row>
    <row r="3345" customFormat="false" ht="12.8" hidden="false" customHeight="false" outlineLevel="0" collapsed="false">
      <c r="A3345" s="0"/>
      <c r="B3345" s="0"/>
      <c r="C3345" s="0"/>
      <c r="D3345" s="0"/>
      <c r="E3345" s="0"/>
      <c r="F3345" s="0"/>
      <c r="G3345" s="0"/>
      <c r="H3345" s="0"/>
      <c r="I3345" s="0"/>
      <c r="J3345" s="0"/>
      <c r="K3345" s="0"/>
      <c r="L3345" s="0"/>
      <c r="M3345" s="0"/>
      <c r="N3345" s="0"/>
    </row>
    <row r="3346" customFormat="false" ht="12.8" hidden="false" customHeight="false" outlineLevel="0" collapsed="false">
      <c r="A3346" s="0"/>
      <c r="B3346" s="0"/>
      <c r="C3346" s="0"/>
      <c r="D3346" s="0"/>
      <c r="E3346" s="0"/>
      <c r="F3346" s="0"/>
      <c r="G3346" s="0"/>
      <c r="H3346" s="0"/>
      <c r="I3346" s="0"/>
      <c r="J3346" s="0"/>
      <c r="K3346" s="0"/>
      <c r="L3346" s="0"/>
      <c r="M3346" s="0"/>
      <c r="N3346" s="0"/>
    </row>
    <row r="3347" customFormat="false" ht="12.8" hidden="false" customHeight="false" outlineLevel="0" collapsed="false">
      <c r="A3347" s="0"/>
      <c r="B3347" s="0"/>
      <c r="C3347" s="0"/>
      <c r="D3347" s="0"/>
      <c r="E3347" s="0"/>
      <c r="F3347" s="0"/>
      <c r="G3347" s="0"/>
      <c r="H3347" s="0"/>
      <c r="I3347" s="0"/>
      <c r="J3347" s="0"/>
      <c r="K3347" s="0"/>
      <c r="L3347" s="0"/>
      <c r="M3347" s="0"/>
      <c r="N3347" s="0"/>
    </row>
    <row r="3348" customFormat="false" ht="12.8" hidden="false" customHeight="false" outlineLevel="0" collapsed="false">
      <c r="A3348" s="0"/>
      <c r="B3348" s="0"/>
      <c r="C3348" s="0"/>
      <c r="D3348" s="0"/>
      <c r="E3348" s="0"/>
      <c r="F3348" s="0"/>
      <c r="G3348" s="0"/>
      <c r="H3348" s="0"/>
      <c r="I3348" s="0"/>
      <c r="J3348" s="0"/>
      <c r="K3348" s="0"/>
      <c r="L3348" s="0"/>
      <c r="M3348" s="0"/>
      <c r="N3348" s="0"/>
    </row>
    <row r="3349" customFormat="false" ht="12.8" hidden="false" customHeight="false" outlineLevel="0" collapsed="false">
      <c r="A3349" s="0"/>
      <c r="B3349" s="0"/>
      <c r="C3349" s="0"/>
      <c r="D3349" s="0"/>
      <c r="E3349" s="0"/>
      <c r="F3349" s="0"/>
      <c r="G3349" s="0"/>
      <c r="H3349" s="0"/>
      <c r="I3349" s="0"/>
      <c r="J3349" s="0"/>
      <c r="K3349" s="0"/>
      <c r="L3349" s="0"/>
      <c r="M3349" s="0"/>
      <c r="N3349" s="0"/>
    </row>
    <row r="3350" customFormat="false" ht="12.8" hidden="false" customHeight="false" outlineLevel="0" collapsed="false">
      <c r="A3350" s="0"/>
      <c r="B3350" s="0"/>
      <c r="C3350" s="0"/>
      <c r="D3350" s="0"/>
      <c r="E3350" s="0"/>
      <c r="F3350" s="0"/>
      <c r="G3350" s="0"/>
      <c r="H3350" s="0"/>
      <c r="I3350" s="0"/>
      <c r="J3350" s="0"/>
      <c r="K3350" s="0"/>
      <c r="L3350" s="0"/>
      <c r="M3350" s="0"/>
      <c r="N3350" s="0"/>
    </row>
    <row r="3351" customFormat="false" ht="12.8" hidden="false" customHeight="false" outlineLevel="0" collapsed="false">
      <c r="A3351" s="0"/>
      <c r="B3351" s="0"/>
      <c r="C3351" s="0"/>
      <c r="D3351" s="0"/>
      <c r="E3351" s="0"/>
      <c r="F3351" s="0"/>
      <c r="G3351" s="0"/>
      <c r="H3351" s="0"/>
      <c r="I3351" s="0"/>
      <c r="J3351" s="0"/>
      <c r="K3351" s="0"/>
      <c r="L3351" s="0"/>
      <c r="M3351" s="0"/>
      <c r="N3351" s="0"/>
    </row>
    <row r="3352" customFormat="false" ht="12.8" hidden="false" customHeight="false" outlineLevel="0" collapsed="false">
      <c r="A3352" s="0"/>
      <c r="B3352" s="0"/>
      <c r="C3352" s="0"/>
      <c r="D3352" s="0"/>
      <c r="E3352" s="0"/>
      <c r="F3352" s="0"/>
      <c r="G3352" s="0"/>
      <c r="H3352" s="0"/>
      <c r="I3352" s="0"/>
      <c r="J3352" s="0"/>
      <c r="K3352" s="0"/>
      <c r="L3352" s="0"/>
      <c r="M3352" s="0"/>
      <c r="N3352" s="0"/>
    </row>
    <row r="3353" customFormat="false" ht="12.8" hidden="false" customHeight="false" outlineLevel="0" collapsed="false">
      <c r="A3353" s="0"/>
      <c r="B3353" s="0"/>
      <c r="C3353" s="0"/>
      <c r="D3353" s="0"/>
      <c r="E3353" s="0"/>
      <c r="F3353" s="0"/>
      <c r="G3353" s="0"/>
      <c r="H3353" s="0"/>
      <c r="I3353" s="0"/>
      <c r="J3353" s="0"/>
      <c r="K3353" s="0"/>
      <c r="L3353" s="0"/>
      <c r="M3353" s="0"/>
      <c r="N3353" s="0"/>
    </row>
    <row r="3354" customFormat="false" ht="12.8" hidden="false" customHeight="false" outlineLevel="0" collapsed="false">
      <c r="A3354" s="0"/>
      <c r="B3354" s="0"/>
      <c r="C3354" s="0"/>
      <c r="D3354" s="0"/>
      <c r="E3354" s="0"/>
      <c r="F3354" s="0"/>
      <c r="G3354" s="0"/>
      <c r="H3354" s="0"/>
      <c r="I3354" s="0"/>
      <c r="J3354" s="0"/>
      <c r="K3354" s="0"/>
      <c r="L3354" s="0"/>
      <c r="M3354" s="0"/>
      <c r="N3354" s="0"/>
    </row>
    <row r="3355" customFormat="false" ht="12.8" hidden="false" customHeight="false" outlineLevel="0" collapsed="false">
      <c r="A3355" s="0"/>
      <c r="B3355" s="0"/>
      <c r="C3355" s="0"/>
      <c r="D3355" s="0"/>
      <c r="E3355" s="0"/>
      <c r="F3355" s="0"/>
      <c r="G3355" s="0"/>
      <c r="H3355" s="0"/>
      <c r="I3355" s="0"/>
      <c r="J3355" s="0"/>
      <c r="K3355" s="0"/>
      <c r="L3355" s="0"/>
      <c r="M3355" s="0"/>
      <c r="N3355" s="0"/>
    </row>
    <row r="3356" customFormat="false" ht="12.8" hidden="false" customHeight="false" outlineLevel="0" collapsed="false">
      <c r="A3356" s="0"/>
      <c r="B3356" s="0"/>
      <c r="C3356" s="0"/>
      <c r="D3356" s="0"/>
      <c r="E3356" s="0"/>
      <c r="F3356" s="0"/>
      <c r="G3356" s="0"/>
      <c r="H3356" s="0"/>
      <c r="I3356" s="0"/>
      <c r="J3356" s="0"/>
      <c r="K3356" s="0"/>
      <c r="L3356" s="0"/>
      <c r="M3356" s="0"/>
      <c r="N3356" s="0"/>
    </row>
    <row r="3357" customFormat="false" ht="12.8" hidden="false" customHeight="false" outlineLevel="0" collapsed="false">
      <c r="A3357" s="0"/>
      <c r="B3357" s="0"/>
      <c r="C3357" s="0"/>
      <c r="D3357" s="0"/>
      <c r="E3357" s="0"/>
      <c r="F3357" s="0"/>
      <c r="G3357" s="0"/>
      <c r="H3357" s="0"/>
      <c r="I3357" s="0"/>
      <c r="J3357" s="0"/>
      <c r="K3357" s="0"/>
      <c r="L3357" s="0"/>
      <c r="M3357" s="0"/>
      <c r="N3357" s="0"/>
    </row>
    <row r="3358" customFormat="false" ht="12.8" hidden="false" customHeight="false" outlineLevel="0" collapsed="false">
      <c r="A3358" s="0"/>
      <c r="B3358" s="0"/>
      <c r="C3358" s="0"/>
      <c r="D3358" s="0"/>
      <c r="E3358" s="0"/>
      <c r="F3358" s="0"/>
      <c r="G3358" s="0"/>
      <c r="H3358" s="0"/>
      <c r="I3358" s="0"/>
      <c r="J3358" s="0"/>
      <c r="K3358" s="0"/>
      <c r="L3358" s="0"/>
      <c r="M3358" s="0"/>
      <c r="N3358" s="0"/>
    </row>
    <row r="3359" customFormat="false" ht="12.8" hidden="false" customHeight="false" outlineLevel="0" collapsed="false">
      <c r="A3359" s="0"/>
      <c r="B3359" s="0"/>
      <c r="C3359" s="0"/>
      <c r="D3359" s="0"/>
      <c r="E3359" s="0"/>
      <c r="F3359" s="0"/>
      <c r="G3359" s="0"/>
      <c r="H3359" s="0"/>
      <c r="I3359" s="0"/>
      <c r="J3359" s="0"/>
      <c r="K3359" s="0"/>
      <c r="L3359" s="0"/>
      <c r="M3359" s="0"/>
      <c r="N3359" s="0"/>
    </row>
    <row r="3360" customFormat="false" ht="12.8" hidden="false" customHeight="false" outlineLevel="0" collapsed="false">
      <c r="A3360" s="0"/>
      <c r="B3360" s="0"/>
      <c r="C3360" s="0"/>
      <c r="D3360" s="0"/>
      <c r="E3360" s="0"/>
      <c r="F3360" s="0"/>
      <c r="G3360" s="0"/>
      <c r="H3360" s="0"/>
      <c r="I3360" s="0"/>
      <c r="J3360" s="0"/>
      <c r="K3360" s="0"/>
      <c r="L3360" s="0"/>
      <c r="M3360" s="0"/>
      <c r="N3360" s="0"/>
    </row>
    <row r="3361" customFormat="false" ht="12.8" hidden="false" customHeight="false" outlineLevel="0" collapsed="false">
      <c r="A3361" s="0"/>
      <c r="B3361" s="0"/>
      <c r="C3361" s="0"/>
      <c r="D3361" s="0"/>
      <c r="E3361" s="0"/>
      <c r="F3361" s="0"/>
      <c r="G3361" s="0"/>
      <c r="H3361" s="0"/>
      <c r="I3361" s="0"/>
      <c r="J3361" s="0"/>
      <c r="K3361" s="0"/>
      <c r="L3361" s="0"/>
      <c r="M3361" s="0"/>
      <c r="N3361" s="0"/>
    </row>
    <row r="3362" customFormat="false" ht="12.8" hidden="false" customHeight="false" outlineLevel="0" collapsed="false">
      <c r="A3362" s="0"/>
      <c r="B3362" s="0"/>
      <c r="C3362" s="0"/>
      <c r="D3362" s="0"/>
      <c r="E3362" s="0"/>
      <c r="F3362" s="0"/>
      <c r="G3362" s="0"/>
      <c r="H3362" s="0"/>
      <c r="I3362" s="0"/>
      <c r="J3362" s="0"/>
      <c r="K3362" s="0"/>
      <c r="L3362" s="0"/>
      <c r="M3362" s="0"/>
      <c r="N3362" s="0"/>
    </row>
    <row r="3363" customFormat="false" ht="12.8" hidden="false" customHeight="false" outlineLevel="0" collapsed="false">
      <c r="A3363" s="0"/>
      <c r="B3363" s="0"/>
      <c r="C3363" s="0"/>
      <c r="D3363" s="0"/>
      <c r="E3363" s="0"/>
      <c r="F3363" s="0"/>
      <c r="G3363" s="0"/>
      <c r="H3363" s="0"/>
      <c r="I3363" s="0"/>
      <c r="J3363" s="0"/>
      <c r="K3363" s="0"/>
      <c r="L3363" s="0"/>
      <c r="M3363" s="0"/>
      <c r="N3363" s="0"/>
    </row>
    <row r="3364" customFormat="false" ht="12.8" hidden="false" customHeight="false" outlineLevel="0" collapsed="false">
      <c r="A3364" s="0"/>
      <c r="B3364" s="0"/>
      <c r="C3364" s="0"/>
      <c r="D3364" s="0"/>
      <c r="E3364" s="0"/>
      <c r="F3364" s="0"/>
      <c r="G3364" s="0"/>
      <c r="H3364" s="0"/>
      <c r="I3364" s="0"/>
      <c r="J3364" s="0"/>
      <c r="K3364" s="0"/>
      <c r="L3364" s="0"/>
      <c r="M3364" s="0"/>
      <c r="N3364" s="0"/>
    </row>
    <row r="3365" customFormat="false" ht="12.8" hidden="false" customHeight="false" outlineLevel="0" collapsed="false">
      <c r="A3365" s="0"/>
      <c r="B3365" s="0"/>
      <c r="C3365" s="0"/>
      <c r="D3365" s="0"/>
      <c r="E3365" s="0"/>
      <c r="F3365" s="0"/>
      <c r="G3365" s="0"/>
      <c r="H3365" s="0"/>
      <c r="I3365" s="0"/>
      <c r="J3365" s="0"/>
      <c r="K3365" s="0"/>
      <c r="L3365" s="0"/>
      <c r="M3365" s="0"/>
      <c r="N3365" s="0"/>
    </row>
    <row r="3366" customFormat="false" ht="12.8" hidden="false" customHeight="false" outlineLevel="0" collapsed="false">
      <c r="A3366" s="0"/>
      <c r="B3366" s="0"/>
      <c r="C3366" s="0"/>
      <c r="D3366" s="0"/>
      <c r="E3366" s="0"/>
      <c r="F3366" s="0"/>
      <c r="G3366" s="0"/>
      <c r="H3366" s="0"/>
      <c r="I3366" s="0"/>
      <c r="J3366" s="0"/>
      <c r="K3366" s="0"/>
      <c r="L3366" s="0"/>
      <c r="M3366" s="0"/>
      <c r="N3366" s="0"/>
    </row>
    <row r="3367" customFormat="false" ht="12.8" hidden="false" customHeight="false" outlineLevel="0" collapsed="false">
      <c r="A3367" s="0"/>
      <c r="B3367" s="0"/>
      <c r="C3367" s="0"/>
      <c r="D3367" s="0"/>
      <c r="E3367" s="0"/>
      <c r="F3367" s="0"/>
      <c r="G3367" s="0"/>
      <c r="H3367" s="0"/>
      <c r="I3367" s="0"/>
      <c r="J3367" s="0"/>
      <c r="K3367" s="0"/>
      <c r="L3367" s="0"/>
      <c r="M3367" s="0"/>
      <c r="N3367" s="0"/>
    </row>
    <row r="3368" customFormat="false" ht="12.8" hidden="false" customHeight="false" outlineLevel="0" collapsed="false">
      <c r="A3368" s="0"/>
      <c r="B3368" s="0"/>
      <c r="C3368" s="0"/>
      <c r="D3368" s="0"/>
      <c r="E3368" s="0"/>
      <c r="F3368" s="0"/>
      <c r="G3368" s="0"/>
      <c r="H3368" s="0"/>
      <c r="I3368" s="0"/>
      <c r="J3368" s="0"/>
      <c r="K3368" s="0"/>
      <c r="L3368" s="0"/>
      <c r="M3368" s="0"/>
      <c r="N3368" s="0"/>
    </row>
    <row r="3369" customFormat="false" ht="12.8" hidden="false" customHeight="false" outlineLevel="0" collapsed="false">
      <c r="A3369" s="0"/>
      <c r="B3369" s="0"/>
      <c r="C3369" s="0"/>
      <c r="D3369" s="0"/>
      <c r="E3369" s="0"/>
      <c r="F3369" s="0"/>
      <c r="G3369" s="0"/>
      <c r="H3369" s="0"/>
      <c r="I3369" s="0"/>
      <c r="J3369" s="0"/>
      <c r="K3369" s="0"/>
      <c r="L3369" s="0"/>
      <c r="M3369" s="0"/>
      <c r="N3369" s="0"/>
    </row>
    <row r="3370" customFormat="false" ht="12.8" hidden="false" customHeight="false" outlineLevel="0" collapsed="false">
      <c r="A3370" s="0"/>
      <c r="B3370" s="0"/>
      <c r="C3370" s="0"/>
      <c r="D3370" s="0"/>
      <c r="E3370" s="0"/>
      <c r="F3370" s="0"/>
      <c r="G3370" s="0"/>
      <c r="H3370" s="0"/>
      <c r="I3370" s="0"/>
      <c r="J3370" s="0"/>
      <c r="K3370" s="0"/>
      <c r="L3370" s="0"/>
      <c r="M3370" s="0"/>
      <c r="N3370" s="0"/>
    </row>
    <row r="3371" customFormat="false" ht="12.8" hidden="false" customHeight="false" outlineLevel="0" collapsed="false">
      <c r="A3371" s="0"/>
      <c r="B3371" s="0"/>
      <c r="C3371" s="0"/>
      <c r="D3371" s="0"/>
      <c r="E3371" s="0"/>
      <c r="F3371" s="0"/>
      <c r="G3371" s="0"/>
      <c r="H3371" s="0"/>
      <c r="I3371" s="0"/>
      <c r="J3371" s="0"/>
      <c r="K3371" s="0"/>
      <c r="L3371" s="0"/>
      <c r="M3371" s="0"/>
      <c r="N3371" s="0"/>
    </row>
    <row r="3372" customFormat="false" ht="12.8" hidden="false" customHeight="false" outlineLevel="0" collapsed="false">
      <c r="A3372" s="0"/>
      <c r="B3372" s="0"/>
      <c r="C3372" s="0"/>
      <c r="D3372" s="0"/>
      <c r="E3372" s="0"/>
      <c r="F3372" s="0"/>
      <c r="G3372" s="0"/>
      <c r="H3372" s="0"/>
      <c r="I3372" s="0"/>
      <c r="J3372" s="0"/>
      <c r="K3372" s="0"/>
      <c r="L3372" s="0"/>
      <c r="M3372" s="0"/>
      <c r="N3372" s="0"/>
    </row>
    <row r="3373" customFormat="false" ht="12.8" hidden="false" customHeight="false" outlineLevel="0" collapsed="false">
      <c r="A3373" s="0"/>
      <c r="B3373" s="0"/>
      <c r="C3373" s="0"/>
      <c r="D3373" s="0"/>
      <c r="E3373" s="0"/>
      <c r="F3373" s="0"/>
      <c r="G3373" s="0"/>
      <c r="H3373" s="0"/>
      <c r="I3373" s="0"/>
      <c r="J3373" s="0"/>
      <c r="K3373" s="0"/>
      <c r="L3373" s="0"/>
      <c r="M3373" s="0"/>
      <c r="N3373" s="0"/>
    </row>
    <row r="3374" customFormat="false" ht="12.8" hidden="false" customHeight="false" outlineLevel="0" collapsed="false">
      <c r="A3374" s="0"/>
      <c r="B3374" s="0"/>
      <c r="C3374" s="0"/>
      <c r="D3374" s="0"/>
      <c r="E3374" s="0"/>
      <c r="F3374" s="0"/>
      <c r="G3374" s="0"/>
      <c r="H3374" s="0"/>
      <c r="I3374" s="0"/>
      <c r="J3374" s="0"/>
      <c r="K3374" s="0"/>
      <c r="L3374" s="0"/>
      <c r="M3374" s="0"/>
      <c r="N3374" s="0"/>
    </row>
    <row r="3375" customFormat="false" ht="12.8" hidden="false" customHeight="false" outlineLevel="0" collapsed="false">
      <c r="A3375" s="0"/>
      <c r="B3375" s="0"/>
      <c r="C3375" s="0"/>
      <c r="D3375" s="0"/>
      <c r="E3375" s="0"/>
      <c r="F3375" s="0"/>
      <c r="G3375" s="0"/>
      <c r="H3375" s="0"/>
      <c r="I3375" s="0"/>
      <c r="J3375" s="0"/>
      <c r="K3375" s="0"/>
      <c r="L3375" s="0"/>
      <c r="M3375" s="0"/>
      <c r="N3375" s="0"/>
    </row>
    <row r="3376" customFormat="false" ht="12.8" hidden="false" customHeight="false" outlineLevel="0" collapsed="false">
      <c r="A3376" s="0"/>
      <c r="B3376" s="0"/>
      <c r="C3376" s="0"/>
      <c r="D3376" s="0"/>
      <c r="E3376" s="0"/>
      <c r="F3376" s="0"/>
      <c r="G3376" s="0"/>
      <c r="H3376" s="0"/>
      <c r="I3376" s="0"/>
      <c r="J3376" s="0"/>
      <c r="K3376" s="0"/>
      <c r="L3376" s="0"/>
      <c r="M3376" s="0"/>
      <c r="N3376" s="0"/>
    </row>
    <row r="3377" customFormat="false" ht="12.8" hidden="false" customHeight="false" outlineLevel="0" collapsed="false">
      <c r="A3377" s="0"/>
      <c r="B3377" s="0"/>
      <c r="C3377" s="0"/>
      <c r="D3377" s="0"/>
      <c r="E3377" s="0"/>
      <c r="F3377" s="0"/>
      <c r="G3377" s="0"/>
      <c r="H3377" s="0"/>
      <c r="I3377" s="0"/>
      <c r="J3377" s="0"/>
      <c r="K3377" s="0"/>
      <c r="L3377" s="0"/>
      <c r="M3377" s="0"/>
      <c r="N3377" s="0"/>
    </row>
    <row r="3378" customFormat="false" ht="12.8" hidden="false" customHeight="false" outlineLevel="0" collapsed="false">
      <c r="A3378" s="0"/>
      <c r="B3378" s="0"/>
      <c r="C3378" s="0"/>
      <c r="D3378" s="0"/>
      <c r="E3378" s="0"/>
      <c r="F3378" s="0"/>
      <c r="G3378" s="0"/>
      <c r="H3378" s="0"/>
      <c r="I3378" s="0"/>
      <c r="J3378" s="0"/>
      <c r="K3378" s="0"/>
      <c r="L3378" s="0"/>
      <c r="M3378" s="0"/>
      <c r="N3378" s="0"/>
    </row>
    <row r="3379" customFormat="false" ht="12.8" hidden="false" customHeight="false" outlineLevel="0" collapsed="false">
      <c r="A3379" s="0"/>
      <c r="B3379" s="0"/>
      <c r="C3379" s="0"/>
      <c r="D3379" s="0"/>
      <c r="E3379" s="0"/>
      <c r="F3379" s="0"/>
      <c r="G3379" s="0"/>
      <c r="H3379" s="0"/>
      <c r="I3379" s="0"/>
      <c r="J3379" s="0"/>
      <c r="K3379" s="0"/>
      <c r="L3379" s="0"/>
      <c r="M3379" s="0"/>
      <c r="N3379" s="0"/>
    </row>
    <row r="3380" customFormat="false" ht="12.8" hidden="false" customHeight="false" outlineLevel="0" collapsed="false">
      <c r="A3380" s="0"/>
      <c r="B3380" s="0"/>
      <c r="C3380" s="0"/>
      <c r="D3380" s="0"/>
      <c r="E3380" s="0"/>
      <c r="F3380" s="0"/>
      <c r="G3380" s="0"/>
      <c r="H3380" s="0"/>
      <c r="I3380" s="0"/>
      <c r="J3380" s="0"/>
      <c r="K3380" s="0"/>
      <c r="L3380" s="0"/>
      <c r="M3380" s="0"/>
      <c r="N3380" s="0"/>
    </row>
    <row r="3381" customFormat="false" ht="12.8" hidden="false" customHeight="false" outlineLevel="0" collapsed="false">
      <c r="A3381" s="0"/>
      <c r="B3381" s="0"/>
      <c r="C3381" s="0"/>
      <c r="D3381" s="0"/>
      <c r="E3381" s="0"/>
      <c r="F3381" s="0"/>
      <c r="G3381" s="0"/>
      <c r="H3381" s="0"/>
      <c r="I3381" s="0"/>
      <c r="J3381" s="0"/>
      <c r="K3381" s="0"/>
      <c r="L3381" s="0"/>
      <c r="M3381" s="0"/>
      <c r="N3381" s="0"/>
    </row>
    <row r="3382" customFormat="false" ht="12.8" hidden="false" customHeight="false" outlineLevel="0" collapsed="false">
      <c r="A3382" s="0"/>
      <c r="B3382" s="0"/>
      <c r="C3382" s="0"/>
      <c r="D3382" s="0"/>
      <c r="E3382" s="0"/>
      <c r="F3382" s="0"/>
      <c r="G3382" s="0"/>
      <c r="H3382" s="0"/>
      <c r="I3382" s="0"/>
      <c r="J3382" s="0"/>
      <c r="K3382" s="0"/>
      <c r="L3382" s="0"/>
      <c r="M3382" s="0"/>
      <c r="N3382" s="0"/>
    </row>
    <row r="3383" customFormat="false" ht="12.8" hidden="false" customHeight="false" outlineLevel="0" collapsed="false">
      <c r="A3383" s="0"/>
      <c r="B3383" s="0"/>
      <c r="C3383" s="0"/>
      <c r="D3383" s="0"/>
      <c r="E3383" s="0"/>
      <c r="F3383" s="0"/>
      <c r="G3383" s="0"/>
      <c r="H3383" s="0"/>
      <c r="I3383" s="0"/>
      <c r="J3383" s="0"/>
      <c r="K3383" s="0"/>
      <c r="L3383" s="0"/>
      <c r="M3383" s="0"/>
      <c r="N3383" s="0"/>
    </row>
    <row r="3384" customFormat="false" ht="12.8" hidden="false" customHeight="false" outlineLevel="0" collapsed="false">
      <c r="A3384" s="0"/>
      <c r="B3384" s="0"/>
      <c r="C3384" s="0"/>
      <c r="D3384" s="0"/>
      <c r="E3384" s="0"/>
      <c r="F3384" s="0"/>
      <c r="G3384" s="0"/>
      <c r="H3384" s="0"/>
      <c r="I3384" s="0"/>
      <c r="J3384" s="0"/>
      <c r="K3384" s="0"/>
      <c r="L3384" s="0"/>
      <c r="M3384" s="0"/>
      <c r="N3384" s="0"/>
    </row>
    <row r="3385" customFormat="false" ht="12.8" hidden="false" customHeight="false" outlineLevel="0" collapsed="false">
      <c r="A3385" s="0"/>
      <c r="B3385" s="0"/>
      <c r="C3385" s="0"/>
      <c r="D3385" s="0"/>
      <c r="E3385" s="0"/>
      <c r="F3385" s="0"/>
      <c r="G3385" s="0"/>
      <c r="H3385" s="0"/>
      <c r="I3385" s="0"/>
      <c r="J3385" s="0"/>
      <c r="K3385" s="0"/>
      <c r="L3385" s="0"/>
      <c r="M3385" s="0"/>
      <c r="N3385" s="0"/>
    </row>
    <row r="3386" customFormat="false" ht="12.8" hidden="false" customHeight="false" outlineLevel="0" collapsed="false">
      <c r="A3386" s="0"/>
      <c r="B3386" s="0"/>
      <c r="C3386" s="0"/>
      <c r="D3386" s="0"/>
      <c r="E3386" s="0"/>
      <c r="F3386" s="0"/>
      <c r="G3386" s="0"/>
      <c r="H3386" s="0"/>
      <c r="I3386" s="0"/>
      <c r="J3386" s="0"/>
      <c r="K3386" s="0"/>
      <c r="L3386" s="0"/>
      <c r="M3386" s="0"/>
      <c r="N3386" s="0"/>
    </row>
    <row r="3387" customFormat="false" ht="12.8" hidden="false" customHeight="false" outlineLevel="0" collapsed="false">
      <c r="A3387" s="0"/>
      <c r="B3387" s="0"/>
      <c r="C3387" s="0"/>
      <c r="D3387" s="0"/>
      <c r="E3387" s="0"/>
      <c r="F3387" s="0"/>
      <c r="G3387" s="0"/>
      <c r="H3387" s="0"/>
      <c r="I3387" s="0"/>
      <c r="J3387" s="0"/>
      <c r="K3387" s="0"/>
      <c r="L3387" s="0"/>
      <c r="M3387" s="0"/>
      <c r="N3387" s="0"/>
    </row>
    <row r="3388" customFormat="false" ht="12.8" hidden="false" customHeight="false" outlineLevel="0" collapsed="false">
      <c r="A3388" s="0"/>
      <c r="B3388" s="0"/>
      <c r="C3388" s="0"/>
      <c r="D3388" s="0"/>
      <c r="E3388" s="0"/>
      <c r="F3388" s="0"/>
      <c r="G3388" s="0"/>
      <c r="H3388" s="0"/>
      <c r="I3388" s="0"/>
      <c r="J3388" s="0"/>
      <c r="K3388" s="0"/>
      <c r="L3388" s="0"/>
      <c r="M3388" s="0"/>
      <c r="N3388" s="0"/>
    </row>
    <row r="3389" customFormat="false" ht="12.8" hidden="false" customHeight="false" outlineLevel="0" collapsed="false">
      <c r="A3389" s="0"/>
      <c r="B3389" s="0"/>
      <c r="C3389" s="0"/>
      <c r="D3389" s="0"/>
      <c r="E3389" s="0"/>
      <c r="F3389" s="0"/>
      <c r="G3389" s="0"/>
      <c r="H3389" s="0"/>
      <c r="I3389" s="0"/>
      <c r="J3389" s="0"/>
      <c r="K3389" s="0"/>
      <c r="L3389" s="0"/>
      <c r="M3389" s="0"/>
      <c r="N3389" s="0"/>
    </row>
    <row r="3390" customFormat="false" ht="12.8" hidden="false" customHeight="false" outlineLevel="0" collapsed="false">
      <c r="A3390" s="0"/>
      <c r="B3390" s="0"/>
      <c r="C3390" s="0"/>
      <c r="D3390" s="0"/>
      <c r="E3390" s="0"/>
      <c r="F3390" s="0"/>
      <c r="G3390" s="0"/>
      <c r="H3390" s="0"/>
      <c r="I3390" s="0"/>
      <c r="J3390" s="0"/>
      <c r="K3390" s="0"/>
      <c r="L3390" s="0"/>
      <c r="M3390" s="0"/>
      <c r="N3390" s="0"/>
    </row>
    <row r="3391" customFormat="false" ht="12.8" hidden="false" customHeight="false" outlineLevel="0" collapsed="false">
      <c r="A3391" s="0"/>
      <c r="B3391" s="0"/>
      <c r="C3391" s="0"/>
      <c r="D3391" s="0"/>
      <c r="E3391" s="0"/>
      <c r="F3391" s="0"/>
      <c r="G3391" s="0"/>
      <c r="H3391" s="0"/>
      <c r="I3391" s="0"/>
      <c r="J3391" s="0"/>
      <c r="K3391" s="0"/>
      <c r="L3391" s="0"/>
      <c r="M3391" s="0"/>
      <c r="N3391" s="0"/>
    </row>
    <row r="3392" customFormat="false" ht="12.8" hidden="false" customHeight="false" outlineLevel="0" collapsed="false">
      <c r="A3392" s="0"/>
      <c r="B3392" s="0"/>
      <c r="C3392" s="0"/>
      <c r="D3392" s="0"/>
      <c r="E3392" s="0"/>
      <c r="F3392" s="0"/>
      <c r="G3392" s="0"/>
      <c r="H3392" s="0"/>
      <c r="I3392" s="0"/>
      <c r="J3392" s="0"/>
      <c r="K3392" s="0"/>
      <c r="L3392" s="0"/>
      <c r="M3392" s="0"/>
      <c r="N3392" s="0"/>
    </row>
    <row r="3393" customFormat="false" ht="12.8" hidden="false" customHeight="false" outlineLevel="0" collapsed="false">
      <c r="A3393" s="0"/>
      <c r="B3393" s="0"/>
      <c r="C3393" s="0"/>
      <c r="D3393" s="0"/>
      <c r="E3393" s="0"/>
      <c r="F3393" s="0"/>
      <c r="G3393" s="0"/>
      <c r="H3393" s="0"/>
      <c r="I3393" s="0"/>
      <c r="J3393" s="0"/>
      <c r="K3393" s="0"/>
      <c r="L3393" s="0"/>
      <c r="M3393" s="0"/>
      <c r="N3393" s="0"/>
    </row>
    <row r="3394" customFormat="false" ht="12.8" hidden="false" customHeight="false" outlineLevel="0" collapsed="false">
      <c r="A3394" s="0"/>
      <c r="B3394" s="0"/>
      <c r="C3394" s="0"/>
      <c r="D3394" s="0"/>
      <c r="E3394" s="0"/>
      <c r="F3394" s="0"/>
      <c r="G3394" s="0"/>
      <c r="H3394" s="0"/>
      <c r="I3394" s="0"/>
      <c r="J3394" s="0"/>
      <c r="K3394" s="0"/>
      <c r="L3394" s="0"/>
      <c r="M3394" s="0"/>
      <c r="N3394" s="0"/>
    </row>
    <row r="3395" customFormat="false" ht="12.8" hidden="false" customHeight="false" outlineLevel="0" collapsed="false">
      <c r="A3395" s="0"/>
      <c r="B3395" s="0"/>
      <c r="C3395" s="0"/>
      <c r="D3395" s="0"/>
      <c r="E3395" s="0"/>
      <c r="F3395" s="0"/>
      <c r="G3395" s="0"/>
      <c r="H3395" s="0"/>
      <c r="I3395" s="0"/>
      <c r="J3395" s="0"/>
      <c r="K3395" s="0"/>
      <c r="L3395" s="0"/>
      <c r="M3395" s="0"/>
      <c r="N3395" s="0"/>
    </row>
    <row r="3396" customFormat="false" ht="12.8" hidden="false" customHeight="false" outlineLevel="0" collapsed="false">
      <c r="A3396" s="0"/>
      <c r="B3396" s="0"/>
      <c r="C3396" s="0"/>
      <c r="D3396" s="0"/>
      <c r="E3396" s="0"/>
      <c r="F3396" s="0"/>
      <c r="G3396" s="0"/>
      <c r="H3396" s="0"/>
      <c r="I3396" s="0"/>
      <c r="J3396" s="0"/>
      <c r="K3396" s="0"/>
      <c r="L3396" s="0"/>
      <c r="M3396" s="0"/>
      <c r="N3396" s="0"/>
    </row>
    <row r="3397" customFormat="false" ht="12.8" hidden="false" customHeight="false" outlineLevel="0" collapsed="false">
      <c r="A3397" s="0"/>
      <c r="B3397" s="0"/>
      <c r="C3397" s="0"/>
      <c r="D3397" s="0"/>
      <c r="E3397" s="0"/>
      <c r="F3397" s="0"/>
      <c r="G3397" s="0"/>
      <c r="H3397" s="0"/>
      <c r="I3397" s="0"/>
      <c r="J3397" s="0"/>
      <c r="K3397" s="0"/>
      <c r="L3397" s="0"/>
      <c r="M3397" s="0"/>
      <c r="N3397" s="0"/>
    </row>
    <row r="3398" customFormat="false" ht="12.8" hidden="false" customHeight="false" outlineLevel="0" collapsed="false">
      <c r="A3398" s="0"/>
      <c r="B3398" s="0"/>
      <c r="C3398" s="0"/>
      <c r="D3398" s="0"/>
      <c r="E3398" s="0"/>
      <c r="F3398" s="0"/>
      <c r="G3398" s="0"/>
      <c r="H3398" s="0"/>
      <c r="I3398" s="0"/>
      <c r="J3398" s="0"/>
      <c r="K3398" s="0"/>
      <c r="L3398" s="0"/>
      <c r="M3398" s="0"/>
      <c r="N3398" s="0"/>
    </row>
    <row r="3399" customFormat="false" ht="12.8" hidden="false" customHeight="false" outlineLevel="0" collapsed="false">
      <c r="A3399" s="0"/>
      <c r="B3399" s="0"/>
      <c r="C3399" s="0"/>
      <c r="D3399" s="0"/>
      <c r="E3399" s="0"/>
      <c r="F3399" s="0"/>
      <c r="G3399" s="0"/>
      <c r="H3399" s="0"/>
      <c r="I3399" s="0"/>
      <c r="J3399" s="0"/>
      <c r="K3399" s="0"/>
      <c r="L3399" s="0"/>
      <c r="M3399" s="0"/>
      <c r="N3399" s="0"/>
    </row>
    <row r="3400" customFormat="false" ht="12.8" hidden="false" customHeight="false" outlineLevel="0" collapsed="false">
      <c r="A3400" s="0"/>
      <c r="B3400" s="0"/>
      <c r="C3400" s="0"/>
      <c r="D3400" s="0"/>
      <c r="E3400" s="0"/>
      <c r="F3400" s="0"/>
      <c r="G3400" s="0"/>
      <c r="H3400" s="0"/>
      <c r="I3400" s="0"/>
      <c r="J3400" s="0"/>
      <c r="K3400" s="0"/>
      <c r="L3400" s="0"/>
      <c r="M3400" s="0"/>
      <c r="N3400" s="0"/>
    </row>
    <row r="3401" customFormat="false" ht="12.8" hidden="false" customHeight="false" outlineLevel="0" collapsed="false">
      <c r="A3401" s="0"/>
      <c r="B3401" s="0"/>
      <c r="C3401" s="0"/>
      <c r="D3401" s="0"/>
      <c r="E3401" s="0"/>
      <c r="F3401" s="0"/>
      <c r="G3401" s="0"/>
      <c r="H3401" s="0"/>
      <c r="I3401" s="0"/>
      <c r="J3401" s="0"/>
      <c r="K3401" s="0"/>
      <c r="L3401" s="0"/>
      <c r="M3401" s="0"/>
      <c r="N3401" s="0"/>
    </row>
    <row r="3402" customFormat="false" ht="12.8" hidden="false" customHeight="false" outlineLevel="0" collapsed="false">
      <c r="A3402" s="0"/>
      <c r="B3402" s="0"/>
      <c r="C3402" s="0"/>
      <c r="D3402" s="0"/>
      <c r="E3402" s="0"/>
      <c r="F3402" s="0"/>
      <c r="G3402" s="0"/>
      <c r="H3402" s="0"/>
      <c r="I3402" s="0"/>
      <c r="J3402" s="0"/>
      <c r="K3402" s="0"/>
      <c r="L3402" s="0"/>
      <c r="M3402" s="0"/>
      <c r="N3402" s="0"/>
    </row>
    <row r="3403" customFormat="false" ht="12.8" hidden="false" customHeight="false" outlineLevel="0" collapsed="false">
      <c r="A3403" s="0"/>
      <c r="B3403" s="0"/>
      <c r="C3403" s="0"/>
      <c r="D3403" s="0"/>
      <c r="E3403" s="0"/>
      <c r="F3403" s="0"/>
      <c r="G3403" s="0"/>
      <c r="H3403" s="0"/>
      <c r="I3403" s="0"/>
      <c r="J3403" s="0"/>
      <c r="K3403" s="0"/>
      <c r="L3403" s="0"/>
      <c r="M3403" s="0"/>
      <c r="N3403" s="0"/>
    </row>
    <row r="3404" customFormat="false" ht="12.8" hidden="false" customHeight="false" outlineLevel="0" collapsed="false">
      <c r="A3404" s="0"/>
      <c r="B3404" s="0"/>
      <c r="C3404" s="0"/>
      <c r="D3404" s="0"/>
      <c r="E3404" s="0"/>
      <c r="F3404" s="0"/>
      <c r="G3404" s="0"/>
      <c r="H3404" s="0"/>
      <c r="I3404" s="0"/>
      <c r="J3404" s="0"/>
      <c r="K3404" s="0"/>
      <c r="L3404" s="0"/>
      <c r="M3404" s="0"/>
      <c r="N3404" s="0"/>
    </row>
    <row r="3405" customFormat="false" ht="12.8" hidden="false" customHeight="false" outlineLevel="0" collapsed="false">
      <c r="A3405" s="0"/>
      <c r="B3405" s="0"/>
      <c r="C3405" s="0"/>
      <c r="D3405" s="0"/>
      <c r="E3405" s="0"/>
      <c r="F3405" s="0"/>
      <c r="G3405" s="0"/>
      <c r="H3405" s="0"/>
      <c r="I3405" s="0"/>
      <c r="J3405" s="0"/>
      <c r="K3405" s="0"/>
      <c r="L3405" s="0"/>
      <c r="M3405" s="0"/>
      <c r="N3405" s="0"/>
    </row>
    <row r="3406" customFormat="false" ht="12.8" hidden="false" customHeight="false" outlineLevel="0" collapsed="false">
      <c r="A3406" s="0"/>
      <c r="B3406" s="0"/>
      <c r="C3406" s="0"/>
      <c r="D3406" s="0"/>
      <c r="E3406" s="0"/>
      <c r="F3406" s="0"/>
      <c r="G3406" s="0"/>
      <c r="H3406" s="0"/>
      <c r="I3406" s="0"/>
      <c r="J3406" s="0"/>
      <c r="K3406" s="0"/>
      <c r="L3406" s="0"/>
      <c r="M3406" s="0"/>
      <c r="N3406" s="0"/>
    </row>
    <row r="3407" customFormat="false" ht="12.8" hidden="false" customHeight="false" outlineLevel="0" collapsed="false">
      <c r="A3407" s="0"/>
      <c r="B3407" s="0"/>
      <c r="C3407" s="0"/>
      <c r="D3407" s="0"/>
      <c r="E3407" s="0"/>
      <c r="F3407" s="0"/>
      <c r="G3407" s="0"/>
      <c r="H3407" s="0"/>
      <c r="I3407" s="0"/>
      <c r="J3407" s="0"/>
      <c r="K3407" s="0"/>
      <c r="L3407" s="0"/>
      <c r="M3407" s="0"/>
      <c r="N3407" s="0"/>
    </row>
    <row r="3408" customFormat="false" ht="12.8" hidden="false" customHeight="false" outlineLevel="0" collapsed="false">
      <c r="A3408" s="0"/>
      <c r="B3408" s="0"/>
      <c r="C3408" s="0"/>
      <c r="D3408" s="0"/>
      <c r="E3408" s="0"/>
      <c r="F3408" s="0"/>
      <c r="G3408" s="0"/>
      <c r="H3408" s="0"/>
      <c r="I3408" s="0"/>
      <c r="J3408" s="0"/>
      <c r="K3408" s="0"/>
      <c r="L3408" s="0"/>
      <c r="M3408" s="0"/>
      <c r="N3408" s="0"/>
    </row>
    <row r="3409" customFormat="false" ht="12.8" hidden="false" customHeight="false" outlineLevel="0" collapsed="false">
      <c r="A3409" s="0"/>
      <c r="B3409" s="0"/>
      <c r="C3409" s="0"/>
      <c r="D3409" s="0"/>
      <c r="E3409" s="0"/>
      <c r="F3409" s="0"/>
      <c r="G3409" s="0"/>
      <c r="H3409" s="0"/>
      <c r="I3409" s="0"/>
      <c r="J3409" s="0"/>
      <c r="K3409" s="0"/>
      <c r="L3409" s="0"/>
      <c r="M3409" s="0"/>
      <c r="N3409" s="0"/>
    </row>
    <row r="3410" customFormat="false" ht="12.8" hidden="false" customHeight="false" outlineLevel="0" collapsed="false">
      <c r="A3410" s="0"/>
      <c r="B3410" s="0"/>
      <c r="C3410" s="0"/>
      <c r="D3410" s="0"/>
      <c r="E3410" s="0"/>
      <c r="F3410" s="0"/>
      <c r="G3410" s="0"/>
      <c r="H3410" s="0"/>
      <c r="I3410" s="0"/>
      <c r="J3410" s="0"/>
      <c r="K3410" s="0"/>
      <c r="L3410" s="0"/>
      <c r="M3410" s="0"/>
      <c r="N3410" s="0"/>
    </row>
    <row r="3411" customFormat="false" ht="12.8" hidden="false" customHeight="false" outlineLevel="0" collapsed="false">
      <c r="A3411" s="0"/>
      <c r="B3411" s="0"/>
      <c r="C3411" s="0"/>
      <c r="D3411" s="0"/>
      <c r="E3411" s="0"/>
      <c r="F3411" s="0"/>
      <c r="G3411" s="0"/>
      <c r="H3411" s="0"/>
      <c r="I3411" s="0"/>
      <c r="J3411" s="0"/>
      <c r="K3411" s="0"/>
      <c r="L3411" s="0"/>
      <c r="M3411" s="0"/>
      <c r="N3411" s="0"/>
    </row>
    <row r="3412" customFormat="false" ht="12.8" hidden="false" customHeight="false" outlineLevel="0" collapsed="false">
      <c r="A3412" s="0"/>
      <c r="B3412" s="0"/>
      <c r="C3412" s="0"/>
      <c r="D3412" s="0"/>
      <c r="E3412" s="0"/>
      <c r="F3412" s="0"/>
      <c r="G3412" s="0"/>
      <c r="H3412" s="0"/>
      <c r="I3412" s="0"/>
      <c r="J3412" s="0"/>
      <c r="K3412" s="0"/>
      <c r="L3412" s="0"/>
      <c r="M3412" s="0"/>
      <c r="N3412" s="0"/>
    </row>
    <row r="3413" customFormat="false" ht="12.8" hidden="false" customHeight="false" outlineLevel="0" collapsed="false">
      <c r="A3413" s="0"/>
      <c r="B3413" s="0"/>
      <c r="C3413" s="0"/>
      <c r="D3413" s="0"/>
      <c r="E3413" s="0"/>
      <c r="F3413" s="0"/>
      <c r="G3413" s="0"/>
      <c r="H3413" s="0"/>
      <c r="I3413" s="0"/>
      <c r="J3413" s="0"/>
      <c r="K3413" s="0"/>
      <c r="L3413" s="0"/>
      <c r="M3413" s="0"/>
      <c r="N3413" s="0"/>
    </row>
    <row r="3414" customFormat="false" ht="12.8" hidden="false" customHeight="false" outlineLevel="0" collapsed="false">
      <c r="A3414" s="0"/>
      <c r="B3414" s="0"/>
      <c r="C3414" s="0"/>
      <c r="D3414" s="0"/>
      <c r="E3414" s="0"/>
      <c r="F3414" s="0"/>
      <c r="G3414" s="0"/>
      <c r="H3414" s="0"/>
      <c r="I3414" s="0"/>
      <c r="J3414" s="0"/>
      <c r="K3414" s="0"/>
      <c r="L3414" s="0"/>
      <c r="M3414" s="0"/>
      <c r="N3414" s="0"/>
    </row>
    <row r="3415" customFormat="false" ht="12.8" hidden="false" customHeight="false" outlineLevel="0" collapsed="false">
      <c r="A3415" s="0"/>
      <c r="B3415" s="0"/>
      <c r="C3415" s="0"/>
      <c r="D3415" s="0"/>
      <c r="E3415" s="0"/>
      <c r="F3415" s="0"/>
      <c r="G3415" s="0"/>
      <c r="H3415" s="0"/>
      <c r="I3415" s="0"/>
      <c r="J3415" s="0"/>
      <c r="K3415" s="0"/>
      <c r="L3415" s="0"/>
      <c r="M3415" s="0"/>
      <c r="N3415" s="0"/>
    </row>
    <row r="3416" customFormat="false" ht="12.8" hidden="false" customHeight="false" outlineLevel="0" collapsed="false">
      <c r="A3416" s="0"/>
      <c r="B3416" s="0"/>
      <c r="C3416" s="0"/>
      <c r="D3416" s="0"/>
      <c r="E3416" s="0"/>
      <c r="F3416" s="0"/>
      <c r="G3416" s="0"/>
      <c r="H3416" s="0"/>
      <c r="I3416" s="0"/>
      <c r="J3416" s="0"/>
      <c r="K3416" s="0"/>
      <c r="L3416" s="0"/>
      <c r="M3416" s="0"/>
      <c r="N3416" s="0"/>
    </row>
    <row r="3417" customFormat="false" ht="12.8" hidden="false" customHeight="false" outlineLevel="0" collapsed="false">
      <c r="A3417" s="0"/>
      <c r="B3417" s="0"/>
      <c r="C3417" s="0"/>
      <c r="D3417" s="0"/>
      <c r="E3417" s="0"/>
      <c r="F3417" s="0"/>
      <c r="G3417" s="0"/>
      <c r="H3417" s="0"/>
      <c r="I3417" s="0"/>
      <c r="J3417" s="0"/>
      <c r="K3417" s="0"/>
      <c r="L3417" s="0"/>
      <c r="M3417" s="0"/>
      <c r="N3417" s="0"/>
    </row>
    <row r="3418" customFormat="false" ht="12.8" hidden="false" customHeight="false" outlineLevel="0" collapsed="false">
      <c r="A3418" s="0"/>
      <c r="B3418" s="0"/>
      <c r="C3418" s="0"/>
      <c r="D3418" s="0"/>
      <c r="E3418" s="0"/>
      <c r="F3418" s="0"/>
      <c r="G3418" s="0"/>
      <c r="H3418" s="0"/>
      <c r="I3418" s="0"/>
      <c r="J3418" s="0"/>
      <c r="K3418" s="0"/>
      <c r="L3418" s="0"/>
      <c r="M3418" s="0"/>
      <c r="N3418" s="0"/>
    </row>
    <row r="3419" customFormat="false" ht="12.8" hidden="false" customHeight="false" outlineLevel="0" collapsed="false">
      <c r="A3419" s="0"/>
      <c r="B3419" s="0"/>
      <c r="C3419" s="0"/>
      <c r="D3419" s="0"/>
      <c r="E3419" s="0"/>
      <c r="F3419" s="0"/>
      <c r="G3419" s="0"/>
      <c r="H3419" s="0"/>
      <c r="I3419" s="0"/>
      <c r="J3419" s="0"/>
      <c r="K3419" s="0"/>
      <c r="L3419" s="0"/>
      <c r="M3419" s="0"/>
      <c r="N3419" s="0"/>
    </row>
    <row r="3420" customFormat="false" ht="12.8" hidden="false" customHeight="false" outlineLevel="0" collapsed="false">
      <c r="A3420" s="0"/>
      <c r="B3420" s="0"/>
      <c r="C3420" s="0"/>
      <c r="D3420" s="0"/>
      <c r="E3420" s="0"/>
      <c r="F3420" s="0"/>
      <c r="G3420" s="0"/>
      <c r="H3420" s="0"/>
      <c r="I3420" s="0"/>
      <c r="J3420" s="0"/>
      <c r="K3420" s="0"/>
      <c r="L3420" s="0"/>
      <c r="M3420" s="0"/>
      <c r="N3420" s="0"/>
    </row>
    <row r="3421" customFormat="false" ht="12.8" hidden="false" customHeight="false" outlineLevel="0" collapsed="false">
      <c r="A3421" s="0"/>
      <c r="B3421" s="0"/>
      <c r="C3421" s="0"/>
      <c r="D3421" s="0"/>
      <c r="E3421" s="0"/>
      <c r="F3421" s="0"/>
      <c r="G3421" s="0"/>
      <c r="H3421" s="0"/>
      <c r="I3421" s="0"/>
      <c r="J3421" s="0"/>
      <c r="K3421" s="0"/>
      <c r="L3421" s="0"/>
      <c r="M3421" s="0"/>
      <c r="N3421" s="0"/>
    </row>
    <row r="3422" customFormat="false" ht="12.8" hidden="false" customHeight="false" outlineLevel="0" collapsed="false">
      <c r="A3422" s="0"/>
      <c r="B3422" s="0"/>
      <c r="C3422" s="0"/>
      <c r="D3422" s="0"/>
      <c r="E3422" s="0"/>
      <c r="F3422" s="0"/>
      <c r="G3422" s="0"/>
      <c r="H3422" s="0"/>
      <c r="I3422" s="0"/>
      <c r="J3422" s="0"/>
      <c r="K3422" s="0"/>
      <c r="L3422" s="0"/>
      <c r="M3422" s="0"/>
      <c r="N3422" s="0"/>
    </row>
    <row r="3423" customFormat="false" ht="12.8" hidden="false" customHeight="false" outlineLevel="0" collapsed="false">
      <c r="A3423" s="0"/>
      <c r="B3423" s="0"/>
      <c r="C3423" s="0"/>
      <c r="D3423" s="0"/>
      <c r="E3423" s="0"/>
      <c r="F3423" s="0"/>
      <c r="G3423" s="0"/>
      <c r="H3423" s="0"/>
      <c r="I3423" s="0"/>
      <c r="J3423" s="0"/>
      <c r="K3423" s="0"/>
      <c r="L3423" s="0"/>
      <c r="M3423" s="0"/>
      <c r="N3423" s="0"/>
    </row>
    <row r="3424" customFormat="false" ht="12.8" hidden="false" customHeight="false" outlineLevel="0" collapsed="false">
      <c r="A3424" s="0"/>
      <c r="B3424" s="0"/>
      <c r="C3424" s="0"/>
      <c r="D3424" s="0"/>
      <c r="E3424" s="0"/>
      <c r="F3424" s="0"/>
      <c r="G3424" s="0"/>
      <c r="H3424" s="0"/>
      <c r="I3424" s="0"/>
      <c r="J3424" s="0"/>
      <c r="K3424" s="0"/>
      <c r="L3424" s="0"/>
      <c r="M3424" s="0"/>
      <c r="N3424" s="0"/>
    </row>
    <row r="3425" customFormat="false" ht="12.8" hidden="false" customHeight="false" outlineLevel="0" collapsed="false">
      <c r="A3425" s="0"/>
      <c r="B3425" s="0"/>
      <c r="C3425" s="0"/>
      <c r="D3425" s="0"/>
      <c r="E3425" s="0"/>
      <c r="F3425" s="0"/>
      <c r="G3425" s="0"/>
      <c r="H3425" s="0"/>
      <c r="I3425" s="0"/>
      <c r="J3425" s="0"/>
      <c r="K3425" s="0"/>
      <c r="L3425" s="0"/>
      <c r="M3425" s="0"/>
      <c r="N3425" s="0"/>
    </row>
    <row r="3426" customFormat="false" ht="12.8" hidden="false" customHeight="false" outlineLevel="0" collapsed="false">
      <c r="A3426" s="0"/>
      <c r="B3426" s="0"/>
      <c r="C3426" s="0"/>
      <c r="D3426" s="0"/>
      <c r="E3426" s="0"/>
      <c r="F3426" s="0"/>
      <c r="G3426" s="0"/>
      <c r="H3426" s="0"/>
      <c r="I3426" s="0"/>
      <c r="J3426" s="0"/>
      <c r="K3426" s="0"/>
      <c r="L3426" s="0"/>
      <c r="M3426" s="0"/>
      <c r="N3426" s="0"/>
    </row>
    <row r="3427" customFormat="false" ht="12.8" hidden="false" customHeight="false" outlineLevel="0" collapsed="false">
      <c r="A3427" s="0"/>
      <c r="B3427" s="0"/>
      <c r="C3427" s="0"/>
      <c r="D3427" s="0"/>
      <c r="E3427" s="0"/>
      <c r="F3427" s="0"/>
      <c r="G3427" s="0"/>
      <c r="H3427" s="0"/>
      <c r="I3427" s="0"/>
      <c r="J3427" s="0"/>
      <c r="K3427" s="0"/>
      <c r="L3427" s="0"/>
      <c r="M3427" s="0"/>
      <c r="N3427" s="0"/>
    </row>
    <row r="3428" customFormat="false" ht="12.8" hidden="false" customHeight="false" outlineLevel="0" collapsed="false">
      <c r="A3428" s="0"/>
      <c r="B3428" s="0"/>
      <c r="C3428" s="0"/>
      <c r="D3428" s="0"/>
      <c r="E3428" s="0"/>
      <c r="F3428" s="0"/>
      <c r="G3428" s="0"/>
      <c r="H3428" s="0"/>
      <c r="I3428" s="0"/>
      <c r="J3428" s="0"/>
      <c r="K3428" s="0"/>
      <c r="L3428" s="0"/>
      <c r="M3428" s="0"/>
      <c r="N3428" s="0"/>
    </row>
    <row r="3429" customFormat="false" ht="12.8" hidden="false" customHeight="false" outlineLevel="0" collapsed="false">
      <c r="A3429" s="0"/>
      <c r="B3429" s="0"/>
      <c r="C3429" s="0"/>
      <c r="D3429" s="0"/>
      <c r="E3429" s="0"/>
      <c r="F3429" s="0"/>
      <c r="G3429" s="0"/>
      <c r="H3429" s="0"/>
      <c r="I3429" s="0"/>
      <c r="J3429" s="0"/>
      <c r="K3429" s="0"/>
      <c r="L3429" s="0"/>
      <c r="M3429" s="0"/>
      <c r="N3429" s="0"/>
    </row>
    <row r="3430" customFormat="false" ht="12.8" hidden="false" customHeight="false" outlineLevel="0" collapsed="false">
      <c r="A3430" s="0"/>
      <c r="B3430" s="0"/>
      <c r="C3430" s="0"/>
      <c r="D3430" s="0"/>
      <c r="E3430" s="0"/>
      <c r="F3430" s="0"/>
      <c r="G3430" s="0"/>
      <c r="H3430" s="0"/>
      <c r="I3430" s="0"/>
      <c r="J3430" s="0"/>
      <c r="K3430" s="0"/>
      <c r="L3430" s="0"/>
      <c r="M3430" s="0"/>
      <c r="N3430" s="0"/>
    </row>
    <row r="3431" customFormat="false" ht="12.8" hidden="false" customHeight="false" outlineLevel="0" collapsed="false">
      <c r="A3431" s="0"/>
      <c r="B3431" s="0"/>
      <c r="C3431" s="0"/>
      <c r="D3431" s="0"/>
      <c r="E3431" s="0"/>
      <c r="F3431" s="0"/>
      <c r="G3431" s="0"/>
      <c r="H3431" s="0"/>
      <c r="I3431" s="0"/>
      <c r="J3431" s="0"/>
      <c r="K3431" s="0"/>
      <c r="L3431" s="0"/>
      <c r="M3431" s="0"/>
      <c r="N3431" s="0"/>
    </row>
    <row r="3432" customFormat="false" ht="12.8" hidden="false" customHeight="false" outlineLevel="0" collapsed="false">
      <c r="A3432" s="0"/>
      <c r="B3432" s="0"/>
      <c r="C3432" s="0"/>
      <c r="D3432" s="0"/>
      <c r="E3432" s="0"/>
      <c r="F3432" s="0"/>
      <c r="G3432" s="0"/>
      <c r="H3432" s="0"/>
      <c r="I3432" s="0"/>
      <c r="J3432" s="0"/>
      <c r="K3432" s="0"/>
      <c r="L3432" s="0"/>
      <c r="M3432" s="0"/>
      <c r="N3432" s="0"/>
    </row>
    <row r="3433" customFormat="false" ht="12.8" hidden="false" customHeight="false" outlineLevel="0" collapsed="false">
      <c r="A3433" s="0"/>
      <c r="B3433" s="0"/>
      <c r="C3433" s="0"/>
      <c r="D3433" s="0"/>
      <c r="E3433" s="0"/>
      <c r="F3433" s="0"/>
      <c r="G3433" s="0"/>
      <c r="H3433" s="0"/>
      <c r="I3433" s="0"/>
      <c r="J3433" s="0"/>
      <c r="K3433" s="0"/>
      <c r="L3433" s="0"/>
      <c r="M3433" s="0"/>
      <c r="N3433" s="0"/>
    </row>
    <row r="3434" customFormat="false" ht="12.8" hidden="false" customHeight="false" outlineLevel="0" collapsed="false">
      <c r="A3434" s="0"/>
      <c r="B3434" s="0"/>
      <c r="C3434" s="0"/>
      <c r="D3434" s="0"/>
      <c r="E3434" s="0"/>
      <c r="F3434" s="0"/>
      <c r="G3434" s="0"/>
      <c r="H3434" s="0"/>
      <c r="I3434" s="0"/>
      <c r="J3434" s="0"/>
      <c r="K3434" s="0"/>
      <c r="L3434" s="0"/>
      <c r="M3434" s="0"/>
      <c r="N3434" s="0"/>
    </row>
    <row r="3435" customFormat="false" ht="12.8" hidden="false" customHeight="false" outlineLevel="0" collapsed="false">
      <c r="A3435" s="0"/>
      <c r="B3435" s="0"/>
      <c r="C3435" s="0"/>
      <c r="D3435" s="0"/>
      <c r="E3435" s="0"/>
      <c r="F3435" s="0"/>
      <c r="G3435" s="0"/>
      <c r="H3435" s="0"/>
      <c r="I3435" s="0"/>
      <c r="J3435" s="0"/>
      <c r="K3435" s="0"/>
      <c r="L3435" s="0"/>
      <c r="M3435" s="0"/>
      <c r="N3435" s="0"/>
    </row>
    <row r="3436" customFormat="false" ht="12.8" hidden="false" customHeight="false" outlineLevel="0" collapsed="false">
      <c r="A3436" s="0"/>
      <c r="B3436" s="0"/>
      <c r="C3436" s="0"/>
      <c r="D3436" s="0"/>
      <c r="E3436" s="0"/>
      <c r="F3436" s="0"/>
      <c r="G3436" s="0"/>
      <c r="H3436" s="0"/>
      <c r="I3436" s="0"/>
      <c r="J3436" s="0"/>
      <c r="K3436" s="0"/>
      <c r="L3436" s="0"/>
      <c r="M3436" s="0"/>
      <c r="N3436" s="0"/>
    </row>
    <row r="3437" customFormat="false" ht="12.8" hidden="false" customHeight="false" outlineLevel="0" collapsed="false">
      <c r="A3437" s="0"/>
      <c r="B3437" s="0"/>
      <c r="C3437" s="0"/>
      <c r="D3437" s="0"/>
      <c r="E3437" s="0"/>
      <c r="F3437" s="0"/>
      <c r="G3437" s="0"/>
      <c r="H3437" s="0"/>
      <c r="I3437" s="0"/>
      <c r="J3437" s="0"/>
      <c r="K3437" s="0"/>
      <c r="L3437" s="0"/>
      <c r="M3437" s="0"/>
      <c r="N3437" s="0"/>
    </row>
    <row r="3438" customFormat="false" ht="12.8" hidden="false" customHeight="false" outlineLevel="0" collapsed="false">
      <c r="A3438" s="0"/>
      <c r="B3438" s="0"/>
      <c r="C3438" s="0"/>
      <c r="D3438" s="0"/>
      <c r="E3438" s="0"/>
      <c r="F3438" s="0"/>
      <c r="G3438" s="0"/>
      <c r="H3438" s="0"/>
      <c r="I3438" s="0"/>
      <c r="J3438" s="0"/>
      <c r="K3438" s="0"/>
      <c r="L3438" s="0"/>
      <c r="M3438" s="0"/>
      <c r="N3438" s="0"/>
    </row>
    <row r="3439" customFormat="false" ht="12.8" hidden="false" customHeight="false" outlineLevel="0" collapsed="false">
      <c r="A3439" s="0"/>
      <c r="B3439" s="0"/>
      <c r="C3439" s="0"/>
      <c r="D3439" s="0"/>
      <c r="E3439" s="0"/>
      <c r="F3439" s="0"/>
      <c r="G3439" s="0"/>
      <c r="H3439" s="0"/>
      <c r="I3439" s="0"/>
      <c r="J3439" s="0"/>
      <c r="K3439" s="0"/>
      <c r="L3439" s="0"/>
      <c r="M3439" s="0"/>
      <c r="N3439" s="0"/>
    </row>
    <row r="3440" customFormat="false" ht="12.8" hidden="false" customHeight="false" outlineLevel="0" collapsed="false">
      <c r="A3440" s="0"/>
      <c r="B3440" s="0"/>
      <c r="C3440" s="0"/>
      <c r="D3440" s="0"/>
      <c r="E3440" s="0"/>
      <c r="F3440" s="0"/>
      <c r="G3440" s="0"/>
      <c r="H3440" s="0"/>
      <c r="I3440" s="0"/>
      <c r="J3440" s="0"/>
      <c r="K3440" s="0"/>
      <c r="L3440" s="0"/>
      <c r="M3440" s="0"/>
      <c r="N3440" s="0"/>
    </row>
    <row r="3441" customFormat="false" ht="12.8" hidden="false" customHeight="false" outlineLevel="0" collapsed="false">
      <c r="A3441" s="0"/>
      <c r="B3441" s="0"/>
      <c r="C3441" s="0"/>
      <c r="D3441" s="0"/>
      <c r="E3441" s="0"/>
      <c r="F3441" s="0"/>
      <c r="G3441" s="0"/>
      <c r="H3441" s="0"/>
      <c r="I3441" s="0"/>
      <c r="J3441" s="0"/>
      <c r="K3441" s="0"/>
      <c r="L3441" s="0"/>
      <c r="M3441" s="0"/>
      <c r="N3441" s="0"/>
    </row>
    <row r="3442" customFormat="false" ht="12.8" hidden="false" customHeight="false" outlineLevel="0" collapsed="false">
      <c r="A3442" s="0"/>
      <c r="B3442" s="0"/>
      <c r="C3442" s="0"/>
      <c r="D3442" s="0"/>
      <c r="E3442" s="0"/>
      <c r="F3442" s="0"/>
      <c r="G3442" s="0"/>
      <c r="H3442" s="0"/>
      <c r="I3442" s="0"/>
      <c r="J3442" s="0"/>
      <c r="K3442" s="0"/>
      <c r="L3442" s="0"/>
      <c r="M3442" s="0"/>
      <c r="N3442" s="0"/>
    </row>
    <row r="3443" customFormat="false" ht="12.8" hidden="false" customHeight="false" outlineLevel="0" collapsed="false">
      <c r="A3443" s="0"/>
      <c r="B3443" s="0"/>
      <c r="C3443" s="0"/>
      <c r="D3443" s="0"/>
      <c r="E3443" s="0"/>
      <c r="F3443" s="0"/>
      <c r="G3443" s="0"/>
      <c r="H3443" s="0"/>
      <c r="I3443" s="0"/>
      <c r="J3443" s="0"/>
      <c r="K3443" s="0"/>
      <c r="L3443" s="0"/>
      <c r="M3443" s="0"/>
      <c r="N3443" s="0"/>
    </row>
    <row r="3444" customFormat="false" ht="12.8" hidden="false" customHeight="false" outlineLevel="0" collapsed="false">
      <c r="A3444" s="0"/>
      <c r="B3444" s="0"/>
      <c r="C3444" s="0"/>
      <c r="D3444" s="0"/>
      <c r="E3444" s="0"/>
      <c r="F3444" s="0"/>
      <c r="G3444" s="0"/>
      <c r="H3444" s="0"/>
      <c r="I3444" s="0"/>
      <c r="J3444" s="0"/>
      <c r="K3444" s="0"/>
      <c r="L3444" s="0"/>
      <c r="M3444" s="0"/>
      <c r="N3444" s="0"/>
    </row>
    <row r="3445" customFormat="false" ht="12.8" hidden="false" customHeight="false" outlineLevel="0" collapsed="false">
      <c r="A3445" s="0"/>
      <c r="B3445" s="0"/>
      <c r="C3445" s="0"/>
      <c r="D3445" s="0"/>
      <c r="E3445" s="0"/>
      <c r="F3445" s="0"/>
      <c r="G3445" s="0"/>
      <c r="H3445" s="0"/>
      <c r="I3445" s="0"/>
      <c r="J3445" s="0"/>
      <c r="K3445" s="0"/>
      <c r="L3445" s="0"/>
      <c r="M3445" s="0"/>
      <c r="N3445" s="0"/>
    </row>
    <row r="3446" customFormat="false" ht="12.8" hidden="false" customHeight="false" outlineLevel="0" collapsed="false">
      <c r="A3446" s="0"/>
      <c r="B3446" s="0"/>
      <c r="C3446" s="0"/>
      <c r="D3446" s="0"/>
      <c r="E3446" s="0"/>
      <c r="F3446" s="0"/>
      <c r="G3446" s="0"/>
      <c r="H3446" s="0"/>
      <c r="I3446" s="0"/>
      <c r="J3446" s="0"/>
      <c r="K3446" s="0"/>
      <c r="L3446" s="0"/>
      <c r="M3446" s="0"/>
      <c r="N3446" s="0"/>
    </row>
    <row r="3447" customFormat="false" ht="12.8" hidden="false" customHeight="false" outlineLevel="0" collapsed="false">
      <c r="A3447" s="0"/>
      <c r="B3447" s="0"/>
      <c r="C3447" s="0"/>
      <c r="D3447" s="0"/>
      <c r="E3447" s="0"/>
      <c r="F3447" s="0"/>
      <c r="G3447" s="0"/>
      <c r="H3447" s="0"/>
      <c r="I3447" s="0"/>
      <c r="J3447" s="0"/>
      <c r="K3447" s="0"/>
      <c r="L3447" s="0"/>
      <c r="M3447" s="0"/>
      <c r="N3447" s="0"/>
    </row>
    <row r="3448" customFormat="false" ht="12.8" hidden="false" customHeight="false" outlineLevel="0" collapsed="false">
      <c r="A3448" s="0"/>
      <c r="B3448" s="0"/>
      <c r="C3448" s="0"/>
      <c r="D3448" s="0"/>
      <c r="E3448" s="0"/>
      <c r="F3448" s="0"/>
      <c r="G3448" s="0"/>
      <c r="H3448" s="0"/>
      <c r="I3448" s="0"/>
      <c r="J3448" s="0"/>
      <c r="K3448" s="0"/>
      <c r="L3448" s="0"/>
      <c r="M3448" s="0"/>
      <c r="N3448" s="0"/>
    </row>
    <row r="3449" customFormat="false" ht="12.8" hidden="false" customHeight="false" outlineLevel="0" collapsed="false">
      <c r="A3449" s="0"/>
      <c r="B3449" s="0"/>
      <c r="C3449" s="0"/>
      <c r="D3449" s="0"/>
      <c r="E3449" s="0"/>
      <c r="F3449" s="0"/>
      <c r="G3449" s="0"/>
      <c r="H3449" s="0"/>
      <c r="I3449" s="0"/>
      <c r="J3449" s="0"/>
      <c r="K3449" s="0"/>
      <c r="L3449" s="0"/>
      <c r="M3449" s="0"/>
      <c r="N3449" s="0"/>
    </row>
    <row r="3450" customFormat="false" ht="12.8" hidden="false" customHeight="false" outlineLevel="0" collapsed="false">
      <c r="A3450" s="0"/>
      <c r="B3450" s="0"/>
      <c r="C3450" s="0"/>
      <c r="D3450" s="0"/>
      <c r="E3450" s="0"/>
      <c r="F3450" s="0"/>
      <c r="G3450" s="0"/>
      <c r="H3450" s="0"/>
      <c r="I3450" s="0"/>
      <c r="J3450" s="0"/>
      <c r="K3450" s="0"/>
      <c r="L3450" s="0"/>
      <c r="M3450" s="0"/>
      <c r="N3450" s="0"/>
    </row>
    <row r="3451" customFormat="false" ht="12.8" hidden="false" customHeight="false" outlineLevel="0" collapsed="false">
      <c r="A3451" s="0"/>
      <c r="B3451" s="0"/>
      <c r="C3451" s="0"/>
      <c r="D3451" s="0"/>
      <c r="E3451" s="0"/>
      <c r="F3451" s="0"/>
      <c r="G3451" s="0"/>
      <c r="H3451" s="0"/>
      <c r="I3451" s="0"/>
      <c r="J3451" s="0"/>
      <c r="K3451" s="0"/>
      <c r="L3451" s="0"/>
      <c r="M3451" s="0"/>
      <c r="N3451" s="0"/>
    </row>
    <row r="3452" customFormat="false" ht="12.8" hidden="false" customHeight="false" outlineLevel="0" collapsed="false">
      <c r="A3452" s="0"/>
      <c r="B3452" s="0"/>
      <c r="C3452" s="0"/>
      <c r="D3452" s="0"/>
      <c r="E3452" s="0"/>
      <c r="F3452" s="0"/>
      <c r="G3452" s="0"/>
      <c r="H3452" s="0"/>
      <c r="I3452" s="0"/>
      <c r="J3452" s="0"/>
      <c r="K3452" s="0"/>
      <c r="L3452" s="0"/>
      <c r="M3452" s="0"/>
      <c r="N3452" s="0"/>
    </row>
    <row r="3453" customFormat="false" ht="12.8" hidden="false" customHeight="false" outlineLevel="0" collapsed="false">
      <c r="A3453" s="0"/>
      <c r="B3453" s="0"/>
      <c r="C3453" s="0"/>
      <c r="D3453" s="0"/>
      <c r="E3453" s="0"/>
      <c r="F3453" s="0"/>
      <c r="G3453" s="0"/>
      <c r="H3453" s="0"/>
      <c r="I3453" s="0"/>
      <c r="J3453" s="0"/>
      <c r="K3453" s="0"/>
      <c r="L3453" s="0"/>
      <c r="M3453" s="0"/>
      <c r="N3453" s="0"/>
    </row>
    <row r="3454" customFormat="false" ht="12.8" hidden="false" customHeight="false" outlineLevel="0" collapsed="false">
      <c r="A3454" s="0"/>
      <c r="B3454" s="0"/>
      <c r="C3454" s="0"/>
      <c r="D3454" s="0"/>
      <c r="E3454" s="0"/>
      <c r="F3454" s="0"/>
      <c r="G3454" s="0"/>
      <c r="H3454" s="0"/>
      <c r="I3454" s="0"/>
      <c r="J3454" s="0"/>
      <c r="K3454" s="0"/>
      <c r="L3454" s="0"/>
      <c r="M3454" s="0"/>
      <c r="N3454" s="0"/>
    </row>
    <row r="3455" customFormat="false" ht="12.8" hidden="false" customHeight="false" outlineLevel="0" collapsed="false">
      <c r="A3455" s="0"/>
      <c r="B3455" s="0"/>
      <c r="C3455" s="0"/>
      <c r="D3455" s="0"/>
      <c r="E3455" s="0"/>
      <c r="F3455" s="0"/>
      <c r="G3455" s="0"/>
      <c r="H3455" s="0"/>
      <c r="I3455" s="0"/>
      <c r="J3455" s="0"/>
      <c r="K3455" s="0"/>
      <c r="L3455" s="0"/>
      <c r="M3455" s="0"/>
      <c r="N3455" s="0"/>
    </row>
    <row r="3456" customFormat="false" ht="12.8" hidden="false" customHeight="false" outlineLevel="0" collapsed="false">
      <c r="A3456" s="0"/>
      <c r="B3456" s="0"/>
      <c r="C3456" s="0"/>
      <c r="D3456" s="0"/>
      <c r="E3456" s="0"/>
      <c r="F3456" s="0"/>
      <c r="G3456" s="0"/>
      <c r="H3456" s="0"/>
      <c r="I3456" s="0"/>
      <c r="J3456" s="0"/>
      <c r="K3456" s="0"/>
      <c r="L3456" s="0"/>
      <c r="M3456" s="0"/>
      <c r="N3456" s="0"/>
    </row>
    <row r="3457" customFormat="false" ht="12.8" hidden="false" customHeight="false" outlineLevel="0" collapsed="false">
      <c r="A3457" s="0"/>
      <c r="B3457" s="0"/>
      <c r="C3457" s="0"/>
      <c r="D3457" s="0"/>
      <c r="E3457" s="0"/>
      <c r="F3457" s="0"/>
      <c r="G3457" s="0"/>
      <c r="H3457" s="0"/>
      <c r="I3457" s="0"/>
      <c r="J3457" s="0"/>
      <c r="K3457" s="0"/>
      <c r="L3457" s="0"/>
      <c r="M3457" s="0"/>
      <c r="N3457" s="0"/>
    </row>
    <row r="3458" customFormat="false" ht="12.8" hidden="false" customHeight="false" outlineLevel="0" collapsed="false">
      <c r="A3458" s="0"/>
      <c r="B3458" s="0"/>
      <c r="C3458" s="0"/>
      <c r="D3458" s="0"/>
      <c r="E3458" s="0"/>
      <c r="F3458" s="0"/>
      <c r="G3458" s="0"/>
      <c r="H3458" s="0"/>
      <c r="I3458" s="0"/>
      <c r="J3458" s="0"/>
      <c r="K3458" s="0"/>
      <c r="L3458" s="0"/>
      <c r="M3458" s="0"/>
      <c r="N3458" s="0"/>
    </row>
    <row r="3459" customFormat="false" ht="12.8" hidden="false" customHeight="false" outlineLevel="0" collapsed="false">
      <c r="A3459" s="0"/>
      <c r="B3459" s="0"/>
      <c r="C3459" s="0"/>
      <c r="D3459" s="0"/>
      <c r="E3459" s="0"/>
      <c r="F3459" s="0"/>
      <c r="G3459" s="0"/>
      <c r="H3459" s="0"/>
      <c r="I3459" s="0"/>
      <c r="J3459" s="0"/>
      <c r="K3459" s="0"/>
      <c r="L3459" s="0"/>
      <c r="M3459" s="0"/>
      <c r="N3459" s="0"/>
    </row>
    <row r="3460" customFormat="false" ht="12.8" hidden="false" customHeight="false" outlineLevel="0" collapsed="false">
      <c r="A3460" s="0"/>
      <c r="B3460" s="0"/>
      <c r="C3460" s="0"/>
      <c r="D3460" s="0"/>
      <c r="E3460" s="0"/>
      <c r="F3460" s="0"/>
      <c r="G3460" s="0"/>
      <c r="H3460" s="0"/>
      <c r="I3460" s="0"/>
      <c r="J3460" s="0"/>
      <c r="K3460" s="0"/>
      <c r="L3460" s="0"/>
      <c r="M3460" s="0"/>
      <c r="N3460" s="0"/>
    </row>
    <row r="3461" customFormat="false" ht="12.8" hidden="false" customHeight="false" outlineLevel="0" collapsed="false">
      <c r="A3461" s="0"/>
      <c r="B3461" s="0"/>
      <c r="C3461" s="0"/>
      <c r="D3461" s="0"/>
      <c r="E3461" s="0"/>
      <c r="F3461" s="0"/>
      <c r="G3461" s="0"/>
      <c r="H3461" s="0"/>
      <c r="I3461" s="0"/>
      <c r="J3461" s="0"/>
      <c r="K3461" s="0"/>
      <c r="L3461" s="0"/>
      <c r="M3461" s="0"/>
      <c r="N3461" s="0"/>
    </row>
    <row r="3462" customFormat="false" ht="12.8" hidden="false" customHeight="false" outlineLevel="0" collapsed="false">
      <c r="A3462" s="0"/>
      <c r="B3462" s="0"/>
      <c r="C3462" s="0"/>
      <c r="D3462" s="0"/>
      <c r="E3462" s="0"/>
      <c r="F3462" s="0"/>
      <c r="G3462" s="0"/>
      <c r="H3462" s="0"/>
      <c r="I3462" s="0"/>
      <c r="J3462" s="0"/>
      <c r="K3462" s="0"/>
      <c r="L3462" s="0"/>
      <c r="M3462" s="0"/>
      <c r="N3462" s="0"/>
    </row>
    <row r="3463" customFormat="false" ht="12.8" hidden="false" customHeight="false" outlineLevel="0" collapsed="false">
      <c r="A3463" s="0"/>
      <c r="B3463" s="0"/>
      <c r="C3463" s="0"/>
      <c r="D3463" s="0"/>
      <c r="E3463" s="0"/>
      <c r="F3463" s="0"/>
      <c r="G3463" s="0"/>
      <c r="H3463" s="0"/>
      <c r="I3463" s="0"/>
      <c r="J3463" s="0"/>
      <c r="K3463" s="0"/>
      <c r="L3463" s="0"/>
      <c r="M3463" s="0"/>
      <c r="N3463" s="0"/>
    </row>
    <row r="3464" customFormat="false" ht="12.8" hidden="false" customHeight="false" outlineLevel="0" collapsed="false">
      <c r="A3464" s="0"/>
      <c r="B3464" s="0"/>
      <c r="C3464" s="0"/>
      <c r="D3464" s="0"/>
      <c r="E3464" s="0"/>
      <c r="F3464" s="0"/>
      <c r="G3464" s="0"/>
      <c r="H3464" s="0"/>
      <c r="I3464" s="0"/>
      <c r="J3464" s="0"/>
      <c r="K3464" s="0"/>
      <c r="L3464" s="0"/>
      <c r="M3464" s="0"/>
      <c r="N3464" s="0"/>
    </row>
    <row r="3465" customFormat="false" ht="12.8" hidden="false" customHeight="false" outlineLevel="0" collapsed="false">
      <c r="A3465" s="0"/>
      <c r="B3465" s="0"/>
      <c r="C3465" s="0"/>
      <c r="D3465" s="0"/>
      <c r="E3465" s="0"/>
      <c r="F3465" s="0"/>
      <c r="G3465" s="0"/>
      <c r="H3465" s="0"/>
      <c r="I3465" s="0"/>
      <c r="J3465" s="0"/>
      <c r="K3465" s="0"/>
      <c r="L3465" s="0"/>
      <c r="M3465" s="0"/>
      <c r="N3465" s="0"/>
    </row>
    <row r="3466" customFormat="false" ht="12.8" hidden="false" customHeight="false" outlineLevel="0" collapsed="false">
      <c r="A3466" s="0"/>
      <c r="B3466" s="0"/>
      <c r="C3466" s="0"/>
      <c r="D3466" s="0"/>
      <c r="E3466" s="0"/>
      <c r="F3466" s="0"/>
      <c r="G3466" s="0"/>
      <c r="H3466" s="0"/>
      <c r="I3466" s="0"/>
      <c r="J3466" s="0"/>
      <c r="K3466" s="0"/>
      <c r="L3466" s="0"/>
      <c r="M3466" s="0"/>
      <c r="N3466" s="0"/>
    </row>
    <row r="3467" customFormat="false" ht="12.8" hidden="false" customHeight="false" outlineLevel="0" collapsed="false">
      <c r="A3467" s="0"/>
      <c r="B3467" s="0"/>
      <c r="C3467" s="0"/>
      <c r="D3467" s="0"/>
      <c r="E3467" s="0"/>
      <c r="F3467" s="0"/>
      <c r="G3467" s="0"/>
      <c r="H3467" s="0"/>
      <c r="I3467" s="0"/>
      <c r="J3467" s="0"/>
      <c r="K3467" s="0"/>
      <c r="L3467" s="0"/>
      <c r="M3467" s="0"/>
      <c r="N3467" s="0"/>
    </row>
    <row r="3468" customFormat="false" ht="12.8" hidden="false" customHeight="false" outlineLevel="0" collapsed="false">
      <c r="A3468" s="0"/>
      <c r="B3468" s="0"/>
      <c r="C3468" s="0"/>
      <c r="D3468" s="0"/>
      <c r="E3468" s="0"/>
      <c r="F3468" s="0"/>
      <c r="G3468" s="0"/>
      <c r="H3468" s="0"/>
      <c r="I3468" s="0"/>
      <c r="J3468" s="0"/>
      <c r="K3468" s="0"/>
      <c r="L3468" s="0"/>
      <c r="M3468" s="0"/>
      <c r="N3468" s="0"/>
    </row>
    <row r="3469" customFormat="false" ht="12.8" hidden="false" customHeight="false" outlineLevel="0" collapsed="false">
      <c r="A3469" s="0"/>
      <c r="B3469" s="0"/>
      <c r="C3469" s="0"/>
      <c r="D3469" s="0"/>
      <c r="E3469" s="0"/>
      <c r="F3469" s="0"/>
      <c r="G3469" s="0"/>
      <c r="H3469" s="0"/>
      <c r="I3469" s="0"/>
      <c r="J3469" s="0"/>
      <c r="K3469" s="0"/>
      <c r="L3469" s="0"/>
      <c r="M3469" s="0"/>
      <c r="N3469" s="0"/>
    </row>
    <row r="3470" customFormat="false" ht="12.8" hidden="false" customHeight="false" outlineLevel="0" collapsed="false">
      <c r="A3470" s="0"/>
      <c r="B3470" s="0"/>
      <c r="C3470" s="0"/>
      <c r="D3470" s="0"/>
      <c r="E3470" s="0"/>
      <c r="F3470" s="0"/>
      <c r="G3470" s="0"/>
      <c r="H3470" s="0"/>
      <c r="I3470" s="0"/>
      <c r="J3470" s="0"/>
      <c r="K3470" s="0"/>
      <c r="L3470" s="0"/>
      <c r="M3470" s="0"/>
      <c r="N3470" s="0"/>
    </row>
    <row r="3471" customFormat="false" ht="12.8" hidden="false" customHeight="false" outlineLevel="0" collapsed="false">
      <c r="A3471" s="0"/>
      <c r="B3471" s="0"/>
      <c r="C3471" s="0"/>
      <c r="D3471" s="0"/>
      <c r="E3471" s="0"/>
      <c r="F3471" s="0"/>
      <c r="G3471" s="0"/>
      <c r="H3471" s="0"/>
      <c r="I3471" s="0"/>
      <c r="J3471" s="0"/>
      <c r="K3471" s="0"/>
      <c r="L3471" s="0"/>
      <c r="M3471" s="0"/>
      <c r="N3471" s="0"/>
    </row>
    <row r="3472" customFormat="false" ht="12.8" hidden="false" customHeight="false" outlineLevel="0" collapsed="false">
      <c r="A3472" s="0"/>
      <c r="B3472" s="0"/>
      <c r="C3472" s="0"/>
      <c r="D3472" s="0"/>
      <c r="E3472" s="0"/>
      <c r="F3472" s="0"/>
      <c r="G3472" s="0"/>
      <c r="H3472" s="0"/>
      <c r="I3472" s="0"/>
      <c r="J3472" s="0"/>
      <c r="K3472" s="0"/>
      <c r="L3472" s="0"/>
      <c r="M3472" s="0"/>
      <c r="N3472" s="0"/>
    </row>
    <row r="3473" customFormat="false" ht="12.8" hidden="false" customHeight="false" outlineLevel="0" collapsed="false">
      <c r="A3473" s="0"/>
      <c r="B3473" s="0"/>
      <c r="C3473" s="0"/>
      <c r="D3473" s="0"/>
      <c r="E3473" s="0"/>
      <c r="F3473" s="0"/>
      <c r="G3473" s="0"/>
      <c r="H3473" s="0"/>
      <c r="I3473" s="0"/>
      <c r="J3473" s="0"/>
      <c r="K3473" s="0"/>
      <c r="L3473" s="0"/>
      <c r="M3473" s="0"/>
      <c r="N3473" s="0"/>
    </row>
    <row r="3474" customFormat="false" ht="12.8" hidden="false" customHeight="false" outlineLevel="0" collapsed="false">
      <c r="A3474" s="0"/>
      <c r="B3474" s="0"/>
      <c r="C3474" s="0"/>
      <c r="D3474" s="0"/>
      <c r="E3474" s="0"/>
      <c r="F3474" s="0"/>
      <c r="G3474" s="0"/>
      <c r="H3474" s="0"/>
      <c r="I3474" s="0"/>
      <c r="J3474" s="0"/>
      <c r="K3474" s="0"/>
      <c r="L3474" s="0"/>
      <c r="M3474" s="0"/>
      <c r="N3474" s="0"/>
    </row>
    <row r="3475" customFormat="false" ht="12.8" hidden="false" customHeight="false" outlineLevel="0" collapsed="false">
      <c r="A3475" s="0"/>
      <c r="B3475" s="0"/>
      <c r="C3475" s="0"/>
      <c r="D3475" s="0"/>
      <c r="E3475" s="0"/>
      <c r="F3475" s="0"/>
      <c r="G3475" s="0"/>
      <c r="H3475" s="0"/>
      <c r="I3475" s="0"/>
      <c r="J3475" s="0"/>
      <c r="K3475" s="0"/>
      <c r="L3475" s="0"/>
      <c r="M3475" s="0"/>
      <c r="N3475" s="0"/>
    </row>
    <row r="3476" customFormat="false" ht="12.8" hidden="false" customHeight="false" outlineLevel="0" collapsed="false">
      <c r="A3476" s="0"/>
      <c r="B3476" s="0"/>
      <c r="C3476" s="0"/>
      <c r="D3476" s="0"/>
      <c r="E3476" s="0"/>
      <c r="F3476" s="0"/>
      <c r="G3476" s="0"/>
      <c r="H3476" s="0"/>
      <c r="I3476" s="0"/>
      <c r="J3476" s="0"/>
      <c r="K3476" s="0"/>
      <c r="L3476" s="0"/>
      <c r="M3476" s="0"/>
      <c r="N3476" s="0"/>
    </row>
    <row r="3477" customFormat="false" ht="12.8" hidden="false" customHeight="false" outlineLevel="0" collapsed="false">
      <c r="A3477" s="0"/>
      <c r="B3477" s="0"/>
      <c r="C3477" s="0"/>
      <c r="D3477" s="0"/>
      <c r="E3477" s="0"/>
      <c r="F3477" s="0"/>
      <c r="G3477" s="0"/>
      <c r="H3477" s="0"/>
      <c r="I3477" s="0"/>
      <c r="J3477" s="0"/>
      <c r="K3477" s="0"/>
      <c r="L3477" s="0"/>
      <c r="M3477" s="0"/>
      <c r="N3477" s="0"/>
    </row>
    <row r="3478" customFormat="false" ht="12.8" hidden="false" customHeight="false" outlineLevel="0" collapsed="false">
      <c r="A3478" s="0"/>
      <c r="B3478" s="0"/>
      <c r="C3478" s="0"/>
      <c r="D3478" s="0"/>
      <c r="E3478" s="0"/>
      <c r="F3478" s="0"/>
      <c r="G3478" s="0"/>
      <c r="H3478" s="0"/>
      <c r="I3478" s="0"/>
      <c r="J3478" s="0"/>
      <c r="K3478" s="0"/>
      <c r="L3478" s="0"/>
      <c r="M3478" s="0"/>
      <c r="N3478" s="0"/>
    </row>
    <row r="3479" customFormat="false" ht="12.8" hidden="false" customHeight="false" outlineLevel="0" collapsed="false">
      <c r="A3479" s="0"/>
      <c r="B3479" s="0"/>
      <c r="C3479" s="0"/>
      <c r="D3479" s="0"/>
      <c r="E3479" s="0"/>
      <c r="F3479" s="0"/>
      <c r="G3479" s="0"/>
      <c r="H3479" s="0"/>
      <c r="I3479" s="0"/>
      <c r="J3479" s="0"/>
      <c r="K3479" s="0"/>
      <c r="L3479" s="0"/>
      <c r="M3479" s="0"/>
      <c r="N3479" s="0"/>
    </row>
    <row r="3480" customFormat="false" ht="12.8" hidden="false" customHeight="false" outlineLevel="0" collapsed="false">
      <c r="A3480" s="0"/>
      <c r="B3480" s="0"/>
      <c r="C3480" s="0"/>
      <c r="D3480" s="0"/>
      <c r="E3480" s="0"/>
      <c r="F3480" s="0"/>
      <c r="G3480" s="0"/>
      <c r="H3480" s="0"/>
      <c r="I3480" s="0"/>
      <c r="J3480" s="0"/>
      <c r="K3480" s="0"/>
      <c r="L3480" s="0"/>
      <c r="M3480" s="0"/>
      <c r="N3480" s="0"/>
    </row>
    <row r="3481" customFormat="false" ht="12.8" hidden="false" customHeight="false" outlineLevel="0" collapsed="false">
      <c r="A3481" s="0"/>
      <c r="B3481" s="0"/>
      <c r="C3481" s="0"/>
      <c r="D3481" s="0"/>
      <c r="E3481" s="0"/>
      <c r="F3481" s="0"/>
      <c r="G3481" s="0"/>
      <c r="H3481" s="0"/>
      <c r="I3481" s="0"/>
      <c r="J3481" s="0"/>
      <c r="K3481" s="0"/>
      <c r="L3481" s="0"/>
      <c r="M3481" s="0"/>
      <c r="N3481" s="0"/>
    </row>
    <row r="3482" customFormat="false" ht="12.8" hidden="false" customHeight="false" outlineLevel="0" collapsed="false">
      <c r="A3482" s="0"/>
      <c r="B3482" s="0"/>
      <c r="C3482" s="0"/>
      <c r="D3482" s="0"/>
      <c r="E3482" s="0"/>
      <c r="F3482" s="0"/>
      <c r="G3482" s="0"/>
      <c r="H3482" s="0"/>
      <c r="I3482" s="0"/>
      <c r="J3482" s="0"/>
      <c r="K3482" s="0"/>
      <c r="L3482" s="0"/>
      <c r="M3482" s="0"/>
      <c r="N3482" s="0"/>
    </row>
    <row r="3483" customFormat="false" ht="12.8" hidden="false" customHeight="false" outlineLevel="0" collapsed="false">
      <c r="A3483" s="0"/>
      <c r="B3483" s="0"/>
      <c r="C3483" s="0"/>
      <c r="D3483" s="0"/>
      <c r="E3483" s="0"/>
      <c r="F3483" s="0"/>
      <c r="G3483" s="0"/>
      <c r="H3483" s="0"/>
      <c r="I3483" s="0"/>
      <c r="J3483" s="0"/>
      <c r="K3483" s="0"/>
      <c r="L3483" s="0"/>
      <c r="M3483" s="0"/>
      <c r="N3483" s="0"/>
    </row>
    <row r="3484" customFormat="false" ht="12.8" hidden="false" customHeight="false" outlineLevel="0" collapsed="false">
      <c r="A3484" s="0"/>
      <c r="B3484" s="0"/>
      <c r="C3484" s="0"/>
      <c r="D3484" s="0"/>
      <c r="E3484" s="0"/>
      <c r="F3484" s="0"/>
      <c r="G3484" s="0"/>
      <c r="H3484" s="0"/>
      <c r="I3484" s="0"/>
      <c r="J3484" s="0"/>
      <c r="K3484" s="0"/>
      <c r="L3484" s="0"/>
      <c r="M3484" s="0"/>
      <c r="N3484" s="0"/>
    </row>
    <row r="3485" customFormat="false" ht="12.8" hidden="false" customHeight="false" outlineLevel="0" collapsed="false">
      <c r="A3485" s="0"/>
      <c r="B3485" s="0"/>
      <c r="C3485" s="0"/>
      <c r="D3485" s="0"/>
      <c r="E3485" s="0"/>
      <c r="F3485" s="0"/>
      <c r="G3485" s="0"/>
      <c r="H3485" s="0"/>
      <c r="I3485" s="0"/>
      <c r="J3485" s="0"/>
      <c r="K3485" s="0"/>
      <c r="L3485" s="0"/>
      <c r="M3485" s="0"/>
      <c r="N3485" s="0"/>
    </row>
    <row r="3486" customFormat="false" ht="12.8" hidden="false" customHeight="false" outlineLevel="0" collapsed="false">
      <c r="A3486" s="0"/>
      <c r="B3486" s="0"/>
      <c r="C3486" s="0"/>
      <c r="D3486" s="0"/>
      <c r="E3486" s="0"/>
      <c r="F3486" s="0"/>
      <c r="G3486" s="0"/>
      <c r="H3486" s="0"/>
      <c r="I3486" s="0"/>
      <c r="J3486" s="0"/>
      <c r="K3486" s="0"/>
      <c r="L3486" s="0"/>
      <c r="M3486" s="0"/>
      <c r="N3486" s="0"/>
    </row>
    <row r="3487" customFormat="false" ht="12.8" hidden="false" customHeight="false" outlineLevel="0" collapsed="false">
      <c r="A3487" s="0"/>
      <c r="B3487" s="0"/>
      <c r="C3487" s="0"/>
      <c r="D3487" s="0"/>
      <c r="E3487" s="0"/>
      <c r="F3487" s="0"/>
      <c r="G3487" s="0"/>
      <c r="H3487" s="0"/>
      <c r="I3487" s="0"/>
      <c r="J3487" s="0"/>
      <c r="K3487" s="0"/>
      <c r="L3487" s="0"/>
      <c r="M3487" s="0"/>
      <c r="N3487" s="0"/>
    </row>
    <row r="3488" customFormat="false" ht="12.8" hidden="false" customHeight="false" outlineLevel="0" collapsed="false">
      <c r="A3488" s="0"/>
      <c r="B3488" s="0"/>
      <c r="C3488" s="0"/>
      <c r="D3488" s="0"/>
      <c r="E3488" s="0"/>
      <c r="F3488" s="0"/>
      <c r="G3488" s="0"/>
      <c r="H3488" s="0"/>
      <c r="I3488" s="0"/>
      <c r="J3488" s="0"/>
      <c r="K3488" s="0"/>
      <c r="L3488" s="0"/>
      <c r="M3488" s="0"/>
      <c r="N3488" s="0"/>
    </row>
    <row r="3489" customFormat="false" ht="12.8" hidden="false" customHeight="false" outlineLevel="0" collapsed="false">
      <c r="A3489" s="0"/>
      <c r="B3489" s="0"/>
      <c r="C3489" s="0"/>
      <c r="D3489" s="0"/>
      <c r="E3489" s="0"/>
      <c r="F3489" s="0"/>
      <c r="G3489" s="0"/>
      <c r="H3489" s="0"/>
      <c r="I3489" s="0"/>
      <c r="J3489" s="0"/>
      <c r="K3489" s="0"/>
      <c r="L3489" s="0"/>
      <c r="M3489" s="0"/>
      <c r="N3489" s="0"/>
    </row>
    <row r="3490" customFormat="false" ht="12.8" hidden="false" customHeight="false" outlineLevel="0" collapsed="false">
      <c r="A3490" s="0"/>
      <c r="B3490" s="0"/>
      <c r="C3490" s="0"/>
      <c r="D3490" s="0"/>
      <c r="E3490" s="0"/>
      <c r="F3490" s="0"/>
      <c r="G3490" s="0"/>
      <c r="H3490" s="0"/>
      <c r="I3490" s="0"/>
      <c r="J3490" s="0"/>
      <c r="K3490" s="0"/>
      <c r="L3490" s="0"/>
      <c r="M3490" s="0"/>
      <c r="N3490" s="0"/>
    </row>
    <row r="3491" customFormat="false" ht="12.8" hidden="false" customHeight="false" outlineLevel="0" collapsed="false">
      <c r="A3491" s="0"/>
      <c r="B3491" s="0"/>
      <c r="C3491" s="0"/>
      <c r="D3491" s="0"/>
      <c r="E3491" s="0"/>
      <c r="F3491" s="0"/>
      <c r="G3491" s="0"/>
      <c r="H3491" s="0"/>
      <c r="I3491" s="0"/>
      <c r="J3491" s="0"/>
      <c r="K3491" s="0"/>
      <c r="L3491" s="0"/>
      <c r="M3491" s="0"/>
      <c r="N3491" s="0"/>
    </row>
    <row r="3492" customFormat="false" ht="12.8" hidden="false" customHeight="false" outlineLevel="0" collapsed="false">
      <c r="A3492" s="0"/>
      <c r="B3492" s="0"/>
      <c r="C3492" s="0"/>
      <c r="D3492" s="0"/>
      <c r="E3492" s="0"/>
      <c r="F3492" s="0"/>
      <c r="G3492" s="0"/>
      <c r="H3492" s="0"/>
      <c r="I3492" s="0"/>
      <c r="J3492" s="0"/>
      <c r="K3492" s="0"/>
      <c r="L3492" s="0"/>
      <c r="M3492" s="0"/>
      <c r="N3492" s="0"/>
    </row>
    <row r="3493" customFormat="false" ht="12.8" hidden="false" customHeight="false" outlineLevel="0" collapsed="false">
      <c r="A3493" s="0"/>
      <c r="B3493" s="0"/>
      <c r="C3493" s="0"/>
      <c r="D3493" s="0"/>
      <c r="E3493" s="0"/>
      <c r="F3493" s="0"/>
      <c r="G3493" s="0"/>
      <c r="H3493" s="0"/>
      <c r="I3493" s="0"/>
      <c r="J3493" s="0"/>
      <c r="K3493" s="0"/>
      <c r="L3493" s="0"/>
      <c r="M3493" s="0"/>
      <c r="N3493" s="0"/>
    </row>
    <row r="3494" customFormat="false" ht="12.8" hidden="false" customHeight="false" outlineLevel="0" collapsed="false">
      <c r="A3494" s="0"/>
      <c r="B3494" s="0"/>
      <c r="C3494" s="0"/>
      <c r="D3494" s="0"/>
      <c r="E3494" s="0"/>
      <c r="F3494" s="0"/>
      <c r="G3494" s="0"/>
      <c r="H3494" s="0"/>
      <c r="I3494" s="0"/>
      <c r="J3494" s="0"/>
      <c r="K3494" s="0"/>
      <c r="L3494" s="0"/>
      <c r="M3494" s="0"/>
      <c r="N3494" s="0"/>
    </row>
    <row r="3495" customFormat="false" ht="12.8" hidden="false" customHeight="false" outlineLevel="0" collapsed="false">
      <c r="A3495" s="0"/>
      <c r="B3495" s="0"/>
      <c r="C3495" s="0"/>
      <c r="D3495" s="0"/>
      <c r="E3495" s="0"/>
      <c r="F3495" s="0"/>
      <c r="G3495" s="0"/>
      <c r="H3495" s="0"/>
      <c r="I3495" s="0"/>
      <c r="J3495" s="0"/>
      <c r="K3495" s="0"/>
      <c r="L3495" s="0"/>
      <c r="M3495" s="0"/>
      <c r="N3495" s="0"/>
    </row>
    <row r="3496" customFormat="false" ht="12.8" hidden="false" customHeight="false" outlineLevel="0" collapsed="false">
      <c r="A3496" s="0"/>
      <c r="B3496" s="0"/>
      <c r="C3496" s="0"/>
      <c r="D3496" s="0"/>
      <c r="E3496" s="0"/>
      <c r="F3496" s="0"/>
      <c r="G3496" s="0"/>
      <c r="H3496" s="0"/>
      <c r="I3496" s="0"/>
      <c r="J3496" s="0"/>
      <c r="K3496" s="0"/>
      <c r="L3496" s="0"/>
      <c r="M3496" s="0"/>
      <c r="N3496" s="0"/>
    </row>
    <row r="3497" customFormat="false" ht="12.8" hidden="false" customHeight="false" outlineLevel="0" collapsed="false">
      <c r="A3497" s="0"/>
      <c r="B3497" s="0"/>
      <c r="C3497" s="0"/>
      <c r="D3497" s="0"/>
      <c r="E3497" s="0"/>
      <c r="F3497" s="0"/>
      <c r="G3497" s="0"/>
      <c r="H3497" s="0"/>
      <c r="I3497" s="0"/>
      <c r="J3497" s="0"/>
      <c r="K3497" s="0"/>
      <c r="L3497" s="0"/>
      <c r="M3497" s="0"/>
      <c r="N3497" s="0"/>
    </row>
    <row r="3498" customFormat="false" ht="12.8" hidden="false" customHeight="false" outlineLevel="0" collapsed="false">
      <c r="A3498" s="0"/>
      <c r="B3498" s="0"/>
      <c r="C3498" s="0"/>
      <c r="D3498" s="0"/>
      <c r="E3498" s="0"/>
      <c r="F3498" s="0"/>
      <c r="G3498" s="0"/>
      <c r="H3498" s="0"/>
      <c r="I3498" s="0"/>
      <c r="J3498" s="0"/>
      <c r="K3498" s="0"/>
      <c r="L3498" s="0"/>
      <c r="M3498" s="0"/>
      <c r="N3498" s="0"/>
    </row>
    <row r="3499" customFormat="false" ht="12.8" hidden="false" customHeight="false" outlineLevel="0" collapsed="false">
      <c r="A3499" s="0"/>
      <c r="B3499" s="0"/>
      <c r="C3499" s="0"/>
      <c r="D3499" s="0"/>
      <c r="E3499" s="0"/>
      <c r="F3499" s="0"/>
      <c r="G3499" s="0"/>
      <c r="H3499" s="0"/>
      <c r="I3499" s="0"/>
      <c r="J3499" s="0"/>
      <c r="K3499" s="0"/>
      <c r="L3499" s="0"/>
      <c r="M3499" s="0"/>
      <c r="N3499" s="0"/>
    </row>
    <row r="3500" customFormat="false" ht="12.8" hidden="false" customHeight="false" outlineLevel="0" collapsed="false">
      <c r="A3500" s="0"/>
      <c r="B3500" s="0"/>
      <c r="C3500" s="0"/>
      <c r="D3500" s="0"/>
      <c r="E3500" s="0"/>
      <c r="F3500" s="0"/>
      <c r="G3500" s="0"/>
      <c r="H3500" s="0"/>
      <c r="I3500" s="0"/>
      <c r="J3500" s="0"/>
      <c r="K3500" s="0"/>
      <c r="L3500" s="0"/>
      <c r="M3500" s="0"/>
      <c r="N3500" s="0"/>
    </row>
    <row r="3501" customFormat="false" ht="12.8" hidden="false" customHeight="false" outlineLevel="0" collapsed="false">
      <c r="A3501" s="0"/>
      <c r="B3501" s="0"/>
      <c r="C3501" s="0"/>
      <c r="D3501" s="0"/>
      <c r="E3501" s="0"/>
      <c r="F3501" s="0"/>
      <c r="G3501" s="0"/>
      <c r="H3501" s="0"/>
      <c r="I3501" s="0"/>
      <c r="J3501" s="0"/>
      <c r="K3501" s="0"/>
      <c r="L3501" s="0"/>
      <c r="M3501" s="0"/>
      <c r="N3501" s="0"/>
    </row>
    <row r="3502" customFormat="false" ht="12.8" hidden="false" customHeight="false" outlineLevel="0" collapsed="false">
      <c r="A3502" s="0"/>
      <c r="B3502" s="0"/>
      <c r="C3502" s="0"/>
      <c r="D3502" s="0"/>
      <c r="E3502" s="0"/>
      <c r="F3502" s="0"/>
      <c r="G3502" s="0"/>
      <c r="H3502" s="0"/>
      <c r="I3502" s="0"/>
      <c r="J3502" s="0"/>
      <c r="K3502" s="0"/>
      <c r="L3502" s="0"/>
      <c r="M3502" s="0"/>
      <c r="N3502" s="0"/>
    </row>
    <row r="3503" customFormat="false" ht="12.8" hidden="false" customHeight="false" outlineLevel="0" collapsed="false">
      <c r="A3503" s="0"/>
      <c r="B3503" s="0"/>
      <c r="C3503" s="0"/>
      <c r="D3503" s="0"/>
      <c r="E3503" s="0"/>
      <c r="F3503" s="0"/>
      <c r="G3503" s="0"/>
      <c r="H3503" s="0"/>
      <c r="I3503" s="0"/>
      <c r="J3503" s="0"/>
      <c r="K3503" s="0"/>
      <c r="L3503" s="0"/>
      <c r="M3503" s="0"/>
      <c r="N3503" s="0"/>
    </row>
    <row r="3504" customFormat="false" ht="12.8" hidden="false" customHeight="false" outlineLevel="0" collapsed="false">
      <c r="A3504" s="0"/>
      <c r="B3504" s="0"/>
      <c r="C3504" s="0"/>
      <c r="D3504" s="0"/>
      <c r="E3504" s="0"/>
      <c r="F3504" s="0"/>
      <c r="G3504" s="0"/>
      <c r="H3504" s="0"/>
      <c r="I3504" s="0"/>
      <c r="J3504" s="0"/>
      <c r="K3504" s="0"/>
      <c r="L3504" s="0"/>
      <c r="M3504" s="0"/>
      <c r="N3504" s="0"/>
    </row>
    <row r="3505" customFormat="false" ht="12.8" hidden="false" customHeight="false" outlineLevel="0" collapsed="false">
      <c r="A3505" s="0"/>
      <c r="B3505" s="0"/>
      <c r="C3505" s="0"/>
      <c r="D3505" s="0"/>
      <c r="E3505" s="0"/>
      <c r="F3505" s="0"/>
      <c r="G3505" s="0"/>
      <c r="H3505" s="0"/>
      <c r="I3505" s="0"/>
      <c r="J3505" s="0"/>
      <c r="K3505" s="0"/>
      <c r="L3505" s="0"/>
      <c r="M3505" s="0"/>
      <c r="N3505" s="0"/>
    </row>
    <row r="3506" customFormat="false" ht="12.8" hidden="false" customHeight="false" outlineLevel="0" collapsed="false">
      <c r="A3506" s="0"/>
      <c r="B3506" s="0"/>
      <c r="C3506" s="0"/>
      <c r="D3506" s="0"/>
      <c r="E3506" s="0"/>
      <c r="F3506" s="0"/>
      <c r="G3506" s="0"/>
      <c r="H3506" s="0"/>
      <c r="I3506" s="0"/>
      <c r="J3506" s="0"/>
      <c r="K3506" s="0"/>
      <c r="L3506" s="0"/>
      <c r="M3506" s="0"/>
      <c r="N3506" s="0"/>
    </row>
    <row r="3507" customFormat="false" ht="12.8" hidden="false" customHeight="false" outlineLevel="0" collapsed="false">
      <c r="A3507" s="0"/>
      <c r="B3507" s="0"/>
      <c r="C3507" s="0"/>
      <c r="D3507" s="0"/>
      <c r="E3507" s="0"/>
      <c r="F3507" s="0"/>
      <c r="G3507" s="0"/>
      <c r="H3507" s="0"/>
      <c r="I3507" s="0"/>
      <c r="J3507" s="0"/>
      <c r="K3507" s="0"/>
      <c r="L3507" s="0"/>
      <c r="M3507" s="0"/>
      <c r="N3507" s="0"/>
    </row>
    <row r="3508" customFormat="false" ht="12.8" hidden="false" customHeight="false" outlineLevel="0" collapsed="false">
      <c r="A3508" s="0"/>
      <c r="B3508" s="0"/>
      <c r="C3508" s="0"/>
      <c r="D3508" s="0"/>
      <c r="E3508" s="0"/>
      <c r="F3508" s="0"/>
      <c r="G3508" s="0"/>
      <c r="H3508" s="0"/>
      <c r="I3508" s="0"/>
      <c r="J3508" s="0"/>
      <c r="K3508" s="0"/>
      <c r="L3508" s="0"/>
      <c r="M3508" s="0"/>
      <c r="N3508" s="0"/>
    </row>
    <row r="3509" customFormat="false" ht="12.8" hidden="false" customHeight="false" outlineLevel="0" collapsed="false">
      <c r="A3509" s="0"/>
      <c r="B3509" s="0"/>
      <c r="C3509" s="0"/>
      <c r="D3509" s="0"/>
      <c r="E3509" s="0"/>
      <c r="F3509" s="0"/>
      <c r="G3509" s="0"/>
      <c r="H3509" s="0"/>
      <c r="I3509" s="0"/>
      <c r="J3509" s="0"/>
      <c r="K3509" s="0"/>
      <c r="L3509" s="0"/>
      <c r="M3509" s="0"/>
      <c r="N3509" s="0"/>
    </row>
    <row r="3510" customFormat="false" ht="12.8" hidden="false" customHeight="false" outlineLevel="0" collapsed="false">
      <c r="A3510" s="0"/>
      <c r="B3510" s="0"/>
      <c r="C3510" s="0"/>
      <c r="D3510" s="0"/>
      <c r="E3510" s="0"/>
      <c r="F3510" s="0"/>
      <c r="G3510" s="0"/>
      <c r="H3510" s="0"/>
      <c r="I3510" s="0"/>
      <c r="J3510" s="0"/>
      <c r="K3510" s="0"/>
      <c r="L3510" s="0"/>
      <c r="M3510" s="0"/>
      <c r="N3510" s="0"/>
    </row>
    <row r="3511" customFormat="false" ht="12.8" hidden="false" customHeight="false" outlineLevel="0" collapsed="false">
      <c r="A3511" s="0"/>
      <c r="B3511" s="0"/>
      <c r="C3511" s="0"/>
      <c r="D3511" s="0"/>
      <c r="E3511" s="0"/>
      <c r="F3511" s="0"/>
      <c r="G3511" s="0"/>
      <c r="H3511" s="0"/>
      <c r="I3511" s="0"/>
      <c r="J3511" s="0"/>
      <c r="K3511" s="0"/>
      <c r="L3511" s="0"/>
      <c r="M3511" s="0"/>
      <c r="N3511" s="0"/>
    </row>
    <row r="3512" customFormat="false" ht="12.8" hidden="false" customHeight="false" outlineLevel="0" collapsed="false">
      <c r="A3512" s="0"/>
      <c r="B3512" s="0"/>
      <c r="C3512" s="0"/>
      <c r="D3512" s="0"/>
      <c r="E3512" s="0"/>
      <c r="F3512" s="0"/>
      <c r="G3512" s="0"/>
      <c r="H3512" s="0"/>
      <c r="I3512" s="0"/>
      <c r="J3512" s="0"/>
      <c r="K3512" s="0"/>
      <c r="L3512" s="0"/>
      <c r="M3512" s="0"/>
      <c r="N3512" s="0"/>
    </row>
    <row r="3513" customFormat="false" ht="12.8" hidden="false" customHeight="false" outlineLevel="0" collapsed="false">
      <c r="A3513" s="0"/>
      <c r="B3513" s="0"/>
      <c r="C3513" s="0"/>
      <c r="D3513" s="0"/>
      <c r="E3513" s="0"/>
      <c r="F3513" s="0"/>
      <c r="G3513" s="0"/>
      <c r="H3513" s="0"/>
      <c r="I3513" s="0"/>
      <c r="J3513" s="0"/>
      <c r="K3513" s="0"/>
      <c r="L3513" s="0"/>
      <c r="M3513" s="0"/>
      <c r="N3513" s="0"/>
    </row>
    <row r="3514" customFormat="false" ht="12.8" hidden="false" customHeight="false" outlineLevel="0" collapsed="false">
      <c r="A3514" s="0"/>
      <c r="B3514" s="0"/>
      <c r="C3514" s="0"/>
      <c r="D3514" s="0"/>
      <c r="E3514" s="0"/>
      <c r="F3514" s="0"/>
      <c r="G3514" s="0"/>
      <c r="H3514" s="0"/>
      <c r="I3514" s="0"/>
      <c r="J3514" s="0"/>
      <c r="K3514" s="0"/>
      <c r="L3514" s="0"/>
      <c r="M3514" s="0"/>
      <c r="N3514" s="0"/>
    </row>
    <row r="3515" customFormat="false" ht="12.8" hidden="false" customHeight="false" outlineLevel="0" collapsed="false">
      <c r="A3515" s="0"/>
      <c r="B3515" s="0"/>
      <c r="C3515" s="0"/>
      <c r="D3515" s="0"/>
      <c r="E3515" s="0"/>
      <c r="F3515" s="0"/>
      <c r="G3515" s="0"/>
      <c r="H3515" s="0"/>
      <c r="I3515" s="0"/>
      <c r="J3515" s="0"/>
      <c r="K3515" s="0"/>
      <c r="L3515" s="0"/>
      <c r="M3515" s="0"/>
      <c r="N3515" s="0"/>
    </row>
    <row r="3516" customFormat="false" ht="12.8" hidden="false" customHeight="false" outlineLevel="0" collapsed="false">
      <c r="A3516" s="0"/>
      <c r="B3516" s="0"/>
      <c r="C3516" s="0"/>
      <c r="D3516" s="0"/>
      <c r="E3516" s="0"/>
      <c r="F3516" s="0"/>
      <c r="G3516" s="0"/>
      <c r="H3516" s="0"/>
      <c r="I3516" s="0"/>
      <c r="J3516" s="0"/>
      <c r="K3516" s="0"/>
      <c r="L3516" s="0"/>
      <c r="M3516" s="0"/>
      <c r="N3516" s="0"/>
    </row>
    <row r="3517" customFormat="false" ht="12.8" hidden="false" customHeight="false" outlineLevel="0" collapsed="false">
      <c r="A3517" s="0"/>
      <c r="B3517" s="0"/>
      <c r="C3517" s="0"/>
      <c r="D3517" s="0"/>
      <c r="E3517" s="0"/>
      <c r="F3517" s="0"/>
      <c r="G3517" s="0"/>
      <c r="H3517" s="0"/>
      <c r="I3517" s="0"/>
      <c r="J3517" s="0"/>
      <c r="K3517" s="0"/>
      <c r="L3517" s="0"/>
      <c r="M3517" s="0"/>
      <c r="N3517" s="0"/>
    </row>
    <row r="3518" customFormat="false" ht="12.8" hidden="false" customHeight="false" outlineLevel="0" collapsed="false">
      <c r="A3518" s="0"/>
      <c r="B3518" s="0"/>
      <c r="C3518" s="0"/>
      <c r="D3518" s="0"/>
      <c r="E3518" s="0"/>
      <c r="F3518" s="0"/>
      <c r="G3518" s="0"/>
      <c r="H3518" s="0"/>
      <c r="I3518" s="0"/>
      <c r="J3518" s="0"/>
      <c r="K3518" s="0"/>
      <c r="L3518" s="0"/>
      <c r="M3518" s="0"/>
      <c r="N3518" s="0"/>
    </row>
    <row r="3519" customFormat="false" ht="12.8" hidden="false" customHeight="false" outlineLevel="0" collapsed="false">
      <c r="A3519" s="0"/>
      <c r="B3519" s="0"/>
      <c r="C3519" s="0"/>
      <c r="D3519" s="0"/>
      <c r="E3519" s="0"/>
      <c r="F3519" s="0"/>
      <c r="G3519" s="0"/>
      <c r="H3519" s="0"/>
      <c r="I3519" s="0"/>
      <c r="J3519" s="0"/>
      <c r="K3519" s="0"/>
      <c r="L3519" s="0"/>
      <c r="M3519" s="0"/>
      <c r="N3519" s="0"/>
    </row>
    <row r="3520" customFormat="false" ht="12.8" hidden="false" customHeight="false" outlineLevel="0" collapsed="false">
      <c r="A3520" s="0"/>
      <c r="B3520" s="0"/>
      <c r="C3520" s="0"/>
      <c r="D3520" s="0"/>
      <c r="E3520" s="0"/>
      <c r="F3520" s="0"/>
      <c r="G3520" s="0"/>
      <c r="H3520" s="0"/>
      <c r="I3520" s="0"/>
      <c r="J3520" s="0"/>
      <c r="K3520" s="0"/>
      <c r="L3520" s="0"/>
      <c r="M3520" s="0"/>
      <c r="N3520" s="0"/>
    </row>
    <row r="3521" customFormat="false" ht="12.8" hidden="false" customHeight="false" outlineLevel="0" collapsed="false">
      <c r="A3521" s="0"/>
      <c r="B3521" s="0"/>
      <c r="C3521" s="0"/>
      <c r="D3521" s="0"/>
      <c r="E3521" s="0"/>
      <c r="F3521" s="0"/>
      <c r="G3521" s="0"/>
      <c r="H3521" s="0"/>
      <c r="I3521" s="0"/>
      <c r="J3521" s="0"/>
      <c r="K3521" s="0"/>
      <c r="L3521" s="0"/>
      <c r="M3521" s="0"/>
      <c r="N3521" s="0"/>
    </row>
    <row r="3522" customFormat="false" ht="12.8" hidden="false" customHeight="false" outlineLevel="0" collapsed="false">
      <c r="A3522" s="0"/>
      <c r="B3522" s="0"/>
      <c r="C3522" s="0"/>
      <c r="D3522" s="0"/>
      <c r="E3522" s="0"/>
      <c r="F3522" s="0"/>
      <c r="G3522" s="0"/>
      <c r="H3522" s="0"/>
      <c r="I3522" s="0"/>
      <c r="J3522" s="0"/>
      <c r="K3522" s="0"/>
      <c r="L3522" s="0"/>
      <c r="M3522" s="0"/>
      <c r="N3522" s="0"/>
    </row>
    <row r="3523" customFormat="false" ht="12.8" hidden="false" customHeight="false" outlineLevel="0" collapsed="false">
      <c r="A3523" s="0"/>
      <c r="B3523" s="0"/>
      <c r="C3523" s="0"/>
      <c r="D3523" s="0"/>
      <c r="E3523" s="0"/>
      <c r="F3523" s="0"/>
      <c r="G3523" s="0"/>
      <c r="H3523" s="0"/>
      <c r="I3523" s="0"/>
      <c r="J3523" s="0"/>
      <c r="K3523" s="0"/>
      <c r="L3523" s="0"/>
      <c r="M3523" s="0"/>
      <c r="N3523" s="0"/>
    </row>
    <row r="3524" customFormat="false" ht="12.8" hidden="false" customHeight="false" outlineLevel="0" collapsed="false">
      <c r="A3524" s="0"/>
      <c r="B3524" s="0"/>
      <c r="C3524" s="0"/>
      <c r="D3524" s="0"/>
      <c r="E3524" s="0"/>
      <c r="F3524" s="0"/>
      <c r="G3524" s="0"/>
      <c r="H3524" s="0"/>
      <c r="I3524" s="0"/>
      <c r="J3524" s="0"/>
      <c r="K3524" s="0"/>
      <c r="L3524" s="0"/>
      <c r="M3524" s="0"/>
      <c r="N3524" s="0"/>
    </row>
    <row r="3525" customFormat="false" ht="12.8" hidden="false" customHeight="false" outlineLevel="0" collapsed="false">
      <c r="A3525" s="0"/>
      <c r="B3525" s="0"/>
      <c r="C3525" s="0"/>
      <c r="D3525" s="0"/>
      <c r="E3525" s="0"/>
      <c r="F3525" s="0"/>
      <c r="G3525" s="0"/>
      <c r="H3525" s="0"/>
      <c r="I3525" s="0"/>
      <c r="J3525" s="0"/>
      <c r="K3525" s="0"/>
      <c r="L3525" s="0"/>
      <c r="M3525" s="0"/>
      <c r="N3525" s="0"/>
    </row>
    <row r="3526" customFormat="false" ht="12.8" hidden="false" customHeight="false" outlineLevel="0" collapsed="false">
      <c r="A3526" s="0"/>
      <c r="B3526" s="0"/>
      <c r="C3526" s="0"/>
      <c r="D3526" s="0"/>
      <c r="E3526" s="0"/>
      <c r="F3526" s="0"/>
      <c r="G3526" s="0"/>
      <c r="H3526" s="0"/>
      <c r="I3526" s="0"/>
      <c r="J3526" s="0"/>
      <c r="K3526" s="0"/>
      <c r="L3526" s="0"/>
      <c r="M3526" s="0"/>
      <c r="N3526" s="0"/>
    </row>
    <row r="3527" customFormat="false" ht="12.8" hidden="false" customHeight="false" outlineLevel="0" collapsed="false">
      <c r="A3527" s="0"/>
      <c r="B3527" s="0"/>
      <c r="C3527" s="0"/>
      <c r="D3527" s="0"/>
      <c r="E3527" s="0"/>
      <c r="F3527" s="0"/>
      <c r="G3527" s="0"/>
      <c r="H3527" s="0"/>
      <c r="I3527" s="0"/>
      <c r="J3527" s="0"/>
      <c r="K3527" s="0"/>
      <c r="L3527" s="0"/>
      <c r="M3527" s="0"/>
      <c r="N3527" s="0"/>
    </row>
    <row r="3528" customFormat="false" ht="12.8" hidden="false" customHeight="false" outlineLevel="0" collapsed="false">
      <c r="A3528" s="0"/>
      <c r="B3528" s="0"/>
      <c r="C3528" s="0"/>
      <c r="D3528" s="0"/>
      <c r="E3528" s="0"/>
      <c r="F3528" s="0"/>
      <c r="G3528" s="0"/>
      <c r="H3528" s="0"/>
      <c r="I3528" s="0"/>
      <c r="J3528" s="0"/>
      <c r="K3528" s="0"/>
      <c r="L3528" s="0"/>
      <c r="M3528" s="0"/>
      <c r="N3528" s="0"/>
    </row>
    <row r="3529" customFormat="false" ht="12.8" hidden="false" customHeight="false" outlineLevel="0" collapsed="false">
      <c r="A3529" s="0"/>
      <c r="B3529" s="0"/>
      <c r="C3529" s="0"/>
      <c r="D3529" s="0"/>
      <c r="E3529" s="0"/>
      <c r="F3529" s="0"/>
      <c r="G3529" s="0"/>
      <c r="H3529" s="0"/>
      <c r="I3529" s="0"/>
      <c r="J3529" s="0"/>
      <c r="K3529" s="0"/>
      <c r="L3529" s="0"/>
      <c r="M3529" s="0"/>
      <c r="N3529" s="0"/>
    </row>
    <row r="3530" customFormat="false" ht="12.8" hidden="false" customHeight="false" outlineLevel="0" collapsed="false">
      <c r="A3530" s="0"/>
      <c r="B3530" s="0"/>
      <c r="C3530" s="0"/>
      <c r="D3530" s="0"/>
      <c r="E3530" s="0"/>
      <c r="F3530" s="0"/>
      <c r="G3530" s="0"/>
      <c r="H3530" s="0"/>
      <c r="I3530" s="0"/>
      <c r="J3530" s="0"/>
      <c r="K3530" s="0"/>
      <c r="L3530" s="0"/>
      <c r="M3530" s="0"/>
      <c r="N3530" s="0"/>
    </row>
    <row r="3531" customFormat="false" ht="12.8" hidden="false" customHeight="false" outlineLevel="0" collapsed="false">
      <c r="A3531" s="0"/>
      <c r="B3531" s="0"/>
      <c r="C3531" s="0"/>
      <c r="D3531" s="0"/>
      <c r="E3531" s="0"/>
      <c r="F3531" s="0"/>
      <c r="G3531" s="0"/>
      <c r="H3531" s="0"/>
      <c r="I3531" s="0"/>
      <c r="J3531" s="0"/>
      <c r="K3531" s="0"/>
      <c r="L3531" s="0"/>
      <c r="M3531" s="0"/>
      <c r="N3531" s="0"/>
    </row>
    <row r="3532" customFormat="false" ht="12.8" hidden="false" customHeight="false" outlineLevel="0" collapsed="false">
      <c r="A3532" s="0"/>
      <c r="B3532" s="0"/>
      <c r="C3532" s="0"/>
      <c r="D3532" s="0"/>
      <c r="E3532" s="0"/>
      <c r="F3532" s="0"/>
      <c r="G3532" s="0"/>
      <c r="H3532" s="0"/>
      <c r="I3532" s="0"/>
      <c r="J3532" s="0"/>
      <c r="K3532" s="0"/>
      <c r="L3532" s="0"/>
      <c r="M3532" s="0"/>
      <c r="N3532" s="0"/>
    </row>
    <row r="3533" customFormat="false" ht="12.8" hidden="false" customHeight="false" outlineLevel="0" collapsed="false">
      <c r="A3533" s="0"/>
      <c r="B3533" s="0"/>
      <c r="C3533" s="0"/>
      <c r="D3533" s="0"/>
      <c r="E3533" s="0"/>
      <c r="F3533" s="0"/>
      <c r="G3533" s="0"/>
      <c r="H3533" s="0"/>
      <c r="I3533" s="0"/>
      <c r="J3533" s="0"/>
      <c r="K3533" s="0"/>
      <c r="L3533" s="0"/>
      <c r="M3533" s="0"/>
      <c r="N3533" s="0"/>
    </row>
    <row r="3534" customFormat="false" ht="12.8" hidden="false" customHeight="false" outlineLevel="0" collapsed="false">
      <c r="A3534" s="0"/>
      <c r="B3534" s="0"/>
      <c r="C3534" s="0"/>
      <c r="D3534" s="0"/>
      <c r="E3534" s="0"/>
      <c r="F3534" s="0"/>
      <c r="G3534" s="0"/>
      <c r="H3534" s="0"/>
      <c r="I3534" s="0"/>
      <c r="J3534" s="0"/>
      <c r="K3534" s="0"/>
      <c r="L3534" s="0"/>
      <c r="M3534" s="0"/>
      <c r="N3534" s="0"/>
    </row>
    <row r="3535" customFormat="false" ht="12.8" hidden="false" customHeight="false" outlineLevel="0" collapsed="false">
      <c r="A3535" s="0"/>
      <c r="B3535" s="0"/>
      <c r="C3535" s="0"/>
      <c r="D3535" s="0"/>
      <c r="E3535" s="0"/>
      <c r="F3535" s="0"/>
      <c r="G3535" s="0"/>
      <c r="H3535" s="0"/>
      <c r="I3535" s="0"/>
      <c r="J3535" s="0"/>
      <c r="K3535" s="0"/>
      <c r="L3535" s="0"/>
      <c r="M3535" s="0"/>
      <c r="N3535" s="0"/>
    </row>
    <row r="3536" customFormat="false" ht="12.8" hidden="false" customHeight="false" outlineLevel="0" collapsed="false">
      <c r="A3536" s="0"/>
      <c r="B3536" s="0"/>
      <c r="C3536" s="0"/>
      <c r="D3536" s="0"/>
      <c r="E3536" s="0"/>
      <c r="F3536" s="0"/>
      <c r="G3536" s="0"/>
      <c r="H3536" s="0"/>
      <c r="I3536" s="0"/>
      <c r="J3536" s="0"/>
      <c r="K3536" s="0"/>
      <c r="L3536" s="0"/>
      <c r="M3536" s="0"/>
      <c r="N3536" s="0"/>
    </row>
    <row r="3537" customFormat="false" ht="12.8" hidden="false" customHeight="false" outlineLevel="0" collapsed="false">
      <c r="A3537" s="0"/>
      <c r="B3537" s="0"/>
      <c r="C3537" s="0"/>
      <c r="D3537" s="0"/>
      <c r="E3537" s="0"/>
      <c r="F3537" s="0"/>
      <c r="G3537" s="0"/>
      <c r="H3537" s="0"/>
      <c r="I3537" s="0"/>
      <c r="J3537" s="0"/>
      <c r="K3537" s="0"/>
      <c r="L3537" s="0"/>
      <c r="M3537" s="0"/>
      <c r="N3537" s="0"/>
    </row>
    <row r="3538" customFormat="false" ht="12.8" hidden="false" customHeight="false" outlineLevel="0" collapsed="false">
      <c r="A3538" s="0"/>
      <c r="B3538" s="0"/>
      <c r="C3538" s="0"/>
      <c r="D3538" s="0"/>
      <c r="E3538" s="0"/>
      <c r="F3538" s="0"/>
      <c r="G3538" s="0"/>
      <c r="H3538" s="0"/>
      <c r="I3538" s="0"/>
      <c r="J3538" s="0"/>
      <c r="K3538" s="0"/>
      <c r="L3538" s="0"/>
      <c r="M3538" s="0"/>
      <c r="N3538" s="0"/>
    </row>
    <row r="3539" customFormat="false" ht="12.8" hidden="false" customHeight="false" outlineLevel="0" collapsed="false">
      <c r="A3539" s="0"/>
      <c r="B3539" s="0"/>
      <c r="C3539" s="0"/>
      <c r="D3539" s="0"/>
      <c r="E3539" s="0"/>
      <c r="F3539" s="0"/>
      <c r="G3539" s="0"/>
      <c r="H3539" s="0"/>
      <c r="I3539" s="0"/>
      <c r="J3539" s="0"/>
      <c r="K3539" s="0"/>
      <c r="L3539" s="0"/>
      <c r="M3539" s="0"/>
      <c r="N3539" s="0"/>
    </row>
    <row r="3540" customFormat="false" ht="12.8" hidden="false" customHeight="false" outlineLevel="0" collapsed="false">
      <c r="A3540" s="0"/>
      <c r="B3540" s="0"/>
      <c r="C3540" s="0"/>
      <c r="D3540" s="0"/>
      <c r="E3540" s="0"/>
      <c r="F3540" s="0"/>
      <c r="G3540" s="0"/>
      <c r="H3540" s="0"/>
      <c r="I3540" s="0"/>
      <c r="J3540" s="0"/>
      <c r="K3540" s="0"/>
      <c r="L3540" s="0"/>
      <c r="M3540" s="0"/>
      <c r="N3540" s="0"/>
    </row>
    <row r="3541" customFormat="false" ht="12.8" hidden="false" customHeight="false" outlineLevel="0" collapsed="false">
      <c r="A3541" s="0"/>
      <c r="B3541" s="0"/>
      <c r="C3541" s="0"/>
      <c r="D3541" s="0"/>
      <c r="E3541" s="0"/>
      <c r="F3541" s="0"/>
      <c r="G3541" s="0"/>
      <c r="H3541" s="0"/>
      <c r="I3541" s="0"/>
      <c r="J3541" s="0"/>
      <c r="K3541" s="0"/>
      <c r="L3541" s="0"/>
      <c r="M3541" s="0"/>
      <c r="N3541" s="0"/>
    </row>
    <row r="3542" customFormat="false" ht="12.8" hidden="false" customHeight="false" outlineLevel="0" collapsed="false">
      <c r="A3542" s="0"/>
      <c r="B3542" s="0"/>
      <c r="C3542" s="0"/>
      <c r="D3542" s="0"/>
      <c r="E3542" s="0"/>
      <c r="F3542" s="0"/>
      <c r="G3542" s="0"/>
      <c r="H3542" s="0"/>
      <c r="I3542" s="0"/>
      <c r="J3542" s="0"/>
      <c r="K3542" s="0"/>
      <c r="L3542" s="0"/>
      <c r="M3542" s="0"/>
      <c r="N3542" s="0"/>
    </row>
    <row r="3543" customFormat="false" ht="12.8" hidden="false" customHeight="false" outlineLevel="0" collapsed="false">
      <c r="A3543" s="0"/>
      <c r="B3543" s="0"/>
      <c r="C3543" s="0"/>
      <c r="D3543" s="0"/>
      <c r="E3543" s="0"/>
      <c r="F3543" s="0"/>
      <c r="G3543" s="0"/>
      <c r="H3543" s="0"/>
      <c r="I3543" s="0"/>
      <c r="J3543" s="0"/>
      <c r="K3543" s="0"/>
      <c r="L3543" s="0"/>
      <c r="M3543" s="0"/>
      <c r="N3543" s="0"/>
    </row>
    <row r="3544" customFormat="false" ht="12.8" hidden="false" customHeight="false" outlineLevel="0" collapsed="false">
      <c r="A3544" s="0"/>
      <c r="B3544" s="0"/>
      <c r="C3544" s="0"/>
      <c r="D3544" s="0"/>
      <c r="E3544" s="0"/>
      <c r="F3544" s="0"/>
      <c r="G3544" s="0"/>
      <c r="H3544" s="0"/>
      <c r="I3544" s="0"/>
      <c r="J3544" s="0"/>
      <c r="K3544" s="0"/>
      <c r="L3544" s="0"/>
      <c r="M3544" s="0"/>
      <c r="N3544" s="0"/>
    </row>
    <row r="3545" customFormat="false" ht="12.8" hidden="false" customHeight="false" outlineLevel="0" collapsed="false">
      <c r="A3545" s="0"/>
      <c r="B3545" s="0"/>
      <c r="C3545" s="0"/>
      <c r="D3545" s="0"/>
      <c r="E3545" s="0"/>
      <c r="F3545" s="0"/>
      <c r="G3545" s="0"/>
      <c r="H3545" s="0"/>
      <c r="I3545" s="0"/>
      <c r="J3545" s="0"/>
      <c r="K3545" s="0"/>
      <c r="L3545" s="0"/>
      <c r="M3545" s="0"/>
      <c r="N3545" s="0"/>
    </row>
    <row r="3546" customFormat="false" ht="12.8" hidden="false" customHeight="false" outlineLevel="0" collapsed="false">
      <c r="A3546" s="0"/>
      <c r="B3546" s="0"/>
      <c r="C3546" s="0"/>
      <c r="D3546" s="0"/>
      <c r="E3546" s="0"/>
      <c r="F3546" s="0"/>
      <c r="G3546" s="0"/>
      <c r="H3546" s="0"/>
      <c r="I3546" s="0"/>
      <c r="J3546" s="0"/>
      <c r="K3546" s="0"/>
      <c r="L3546" s="0"/>
      <c r="M3546" s="0"/>
      <c r="N3546" s="0"/>
    </row>
    <row r="3547" customFormat="false" ht="12.8" hidden="false" customHeight="false" outlineLevel="0" collapsed="false">
      <c r="A3547" s="0"/>
      <c r="B3547" s="0"/>
      <c r="C3547" s="0"/>
      <c r="D3547" s="0"/>
      <c r="E3547" s="0"/>
      <c r="F3547" s="0"/>
      <c r="G3547" s="0"/>
      <c r="H3547" s="0"/>
      <c r="I3547" s="0"/>
      <c r="J3547" s="0"/>
      <c r="K3547" s="0"/>
      <c r="L3547" s="0"/>
      <c r="M3547" s="0"/>
      <c r="N3547" s="0"/>
    </row>
    <row r="3548" customFormat="false" ht="12.8" hidden="false" customHeight="false" outlineLevel="0" collapsed="false">
      <c r="A3548" s="0"/>
      <c r="B3548" s="0"/>
      <c r="C3548" s="0"/>
      <c r="D3548" s="0"/>
      <c r="E3548" s="0"/>
      <c r="F3548" s="0"/>
      <c r="G3548" s="0"/>
      <c r="H3548" s="0"/>
      <c r="I3548" s="0"/>
      <c r="J3548" s="0"/>
      <c r="K3548" s="0"/>
      <c r="L3548" s="0"/>
      <c r="M3548" s="0"/>
      <c r="N3548" s="0"/>
    </row>
    <row r="3549" customFormat="false" ht="12.8" hidden="false" customHeight="false" outlineLevel="0" collapsed="false">
      <c r="A3549" s="0"/>
      <c r="B3549" s="0"/>
      <c r="C3549" s="0"/>
      <c r="D3549" s="0"/>
      <c r="E3549" s="0"/>
      <c r="F3549" s="0"/>
      <c r="G3549" s="0"/>
      <c r="H3549" s="0"/>
      <c r="I3549" s="0"/>
      <c r="J3549" s="0"/>
      <c r="K3549" s="0"/>
      <c r="L3549" s="0"/>
      <c r="M3549" s="0"/>
      <c r="N3549" s="0"/>
    </row>
    <row r="3550" customFormat="false" ht="12.8" hidden="false" customHeight="false" outlineLevel="0" collapsed="false">
      <c r="A3550" s="0"/>
      <c r="B3550" s="0"/>
      <c r="C3550" s="0"/>
      <c r="D3550" s="0"/>
      <c r="E3550" s="0"/>
      <c r="F3550" s="0"/>
      <c r="G3550" s="0"/>
      <c r="H3550" s="0"/>
      <c r="I3550" s="0"/>
      <c r="J3550" s="0"/>
      <c r="K3550" s="0"/>
      <c r="L3550" s="0"/>
      <c r="M3550" s="0"/>
      <c r="N3550" s="0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</TotalTime>
  <Application>LibreOffice/25.8.7.3$Linux_X86_64 LibreOffice_project/580$Build-3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2026-05-14T17:05:24Z</dcterms:created>
  <dc:creator/>
  <dc:description/>
  <dc:language>en-US</dc:language>
  <cp:lastModifiedBy/>
  <dcterms:modified xsi:type="dcterms:W3CDTF">2026-07-09T16:35:09Z</dcterms:modified>
  <cp:revision>5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